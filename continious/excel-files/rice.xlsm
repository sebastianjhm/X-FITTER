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USUARIO\Desktop\Fitter\continious\excel-files\"/>
    </mc:Choice>
  </mc:AlternateContent>
  <bookViews>
    <workbookView xWindow="0" yWindow="0" windowWidth="20490" windowHeight="7050"/>
  </bookViews>
  <sheets>
    <sheet name="RICE" sheetId="3" r:id="rId1"/>
    <sheet name="Pruebas RICE" sheetId="2" r:id="rId2"/>
  </sheets>
  <functionGroups builtInGroupCount="18"/>
  <externalReferences>
    <externalReference r:id="rId3"/>
    <externalReference r:id="rId4"/>
  </externalReferences>
  <definedNames>
    <definedName name="_xlchart.0" hidden="1">'Pruebas RICE'!$R$3:$R$2160</definedName>
    <definedName name="_xlchart.1" hidden="1">'Pruebas RICE'!$R$3:$R$2160</definedName>
    <definedName name="_xlchart.2" hidden="1">'Pruebas RICE'!$J$3:$J$2160</definedName>
    <definedName name="_xlchart.v1.11" hidden="1">'[1]Gen. Extreme Value'!#REF!</definedName>
    <definedName name="_xlchart.v1.6" hidden="1">#REF!</definedName>
    <definedName name="PROB">'[2]Probabilidades Origen-Destino'!$D$5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2" l="1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G946" i="2"/>
  <c r="G947" i="2"/>
  <c r="G948" i="2"/>
  <c r="G949" i="2"/>
  <c r="G950" i="2"/>
  <c r="G951" i="2"/>
  <c r="G952" i="2"/>
  <c r="G953" i="2"/>
  <c r="G954" i="2"/>
  <c r="G955" i="2"/>
  <c r="G956" i="2"/>
  <c r="G957" i="2"/>
  <c r="G958" i="2"/>
  <c r="G959" i="2"/>
  <c r="G960" i="2"/>
  <c r="G961" i="2"/>
  <c r="G962" i="2"/>
  <c r="G963" i="2"/>
  <c r="G964" i="2"/>
  <c r="G965" i="2"/>
  <c r="G966" i="2"/>
  <c r="G967" i="2"/>
  <c r="G968" i="2"/>
  <c r="G969" i="2"/>
  <c r="G970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4" i="2"/>
  <c r="G985" i="2"/>
  <c r="G986" i="2"/>
  <c r="G987" i="2"/>
  <c r="G988" i="2"/>
  <c r="G989" i="2"/>
  <c r="G990" i="2"/>
  <c r="G991" i="2"/>
  <c r="G992" i="2"/>
  <c r="G993" i="2"/>
  <c r="G994" i="2"/>
  <c r="G995" i="2"/>
  <c r="G996" i="2"/>
  <c r="G997" i="2"/>
  <c r="G998" i="2"/>
  <c r="G999" i="2"/>
  <c r="G1000" i="2"/>
  <c r="G1001" i="2"/>
  <c r="G1002" i="2"/>
  <c r="G1003" i="2"/>
  <c r="G1004" i="2"/>
  <c r="G1005" i="2"/>
  <c r="G1006" i="2"/>
  <c r="G1007" i="2"/>
  <c r="G1008" i="2"/>
  <c r="G1009" i="2"/>
  <c r="G1010" i="2"/>
  <c r="G1011" i="2"/>
  <c r="G1012" i="2"/>
  <c r="G1013" i="2"/>
  <c r="G1014" i="2"/>
  <c r="G1015" i="2"/>
  <c r="G1016" i="2"/>
  <c r="G1017" i="2"/>
  <c r="G1018" i="2"/>
  <c r="G1019" i="2"/>
  <c r="G1020" i="2"/>
  <c r="G1021" i="2"/>
  <c r="G1022" i="2"/>
  <c r="G1023" i="2"/>
  <c r="G1024" i="2"/>
  <c r="G1025" i="2"/>
  <c r="G1026" i="2"/>
  <c r="G1027" i="2"/>
  <c r="G1028" i="2"/>
  <c r="G1029" i="2"/>
  <c r="G1030" i="2"/>
  <c r="G1031" i="2"/>
  <c r="G1032" i="2"/>
  <c r="G1033" i="2"/>
  <c r="G1034" i="2"/>
  <c r="G1035" i="2"/>
  <c r="G1036" i="2"/>
  <c r="G1037" i="2"/>
  <c r="G1038" i="2"/>
  <c r="G1039" i="2"/>
  <c r="G1040" i="2"/>
  <c r="G1041" i="2"/>
  <c r="G1042" i="2"/>
  <c r="G1043" i="2"/>
  <c r="G1044" i="2"/>
  <c r="G1045" i="2"/>
  <c r="G1046" i="2"/>
  <c r="G1047" i="2"/>
  <c r="G1048" i="2"/>
  <c r="G1049" i="2"/>
  <c r="G1050" i="2"/>
  <c r="G1051" i="2"/>
  <c r="G1052" i="2"/>
  <c r="G1053" i="2"/>
  <c r="G1054" i="2"/>
  <c r="G1055" i="2"/>
  <c r="G1056" i="2"/>
  <c r="G1057" i="2"/>
  <c r="G1058" i="2"/>
  <c r="G1059" i="2"/>
  <c r="G1060" i="2"/>
  <c r="G1061" i="2"/>
  <c r="G1062" i="2"/>
  <c r="G1063" i="2"/>
  <c r="G1064" i="2"/>
  <c r="G1065" i="2"/>
  <c r="G1066" i="2"/>
  <c r="G1067" i="2"/>
  <c r="G1068" i="2"/>
  <c r="G1069" i="2"/>
  <c r="G1070" i="2"/>
  <c r="G1071" i="2"/>
  <c r="G1072" i="2"/>
  <c r="G1073" i="2"/>
  <c r="G1074" i="2"/>
  <c r="G1075" i="2"/>
  <c r="G1076" i="2"/>
  <c r="G1077" i="2"/>
  <c r="G1078" i="2"/>
  <c r="G1079" i="2"/>
  <c r="G1080" i="2"/>
  <c r="G1081" i="2"/>
  <c r="G1082" i="2"/>
  <c r="G1083" i="2"/>
  <c r="G1084" i="2"/>
  <c r="G1085" i="2"/>
  <c r="G1086" i="2"/>
  <c r="G1087" i="2"/>
  <c r="G1088" i="2"/>
  <c r="G1089" i="2"/>
  <c r="G1090" i="2"/>
  <c r="G1091" i="2"/>
  <c r="G1092" i="2"/>
  <c r="G1093" i="2"/>
  <c r="G1094" i="2"/>
  <c r="G1095" i="2"/>
  <c r="G1096" i="2"/>
  <c r="G1097" i="2"/>
  <c r="G1098" i="2"/>
  <c r="G1099" i="2"/>
  <c r="G1100" i="2"/>
  <c r="G1101" i="2"/>
  <c r="G1102" i="2"/>
  <c r="G1103" i="2"/>
  <c r="G1104" i="2"/>
  <c r="G1105" i="2"/>
  <c r="G1106" i="2"/>
  <c r="G1107" i="2"/>
  <c r="G1108" i="2"/>
  <c r="G1109" i="2"/>
  <c r="G1110" i="2"/>
  <c r="G1111" i="2"/>
  <c r="G1112" i="2"/>
  <c r="G1113" i="2"/>
  <c r="G1114" i="2"/>
  <c r="G1115" i="2"/>
  <c r="G1116" i="2"/>
  <c r="G1117" i="2"/>
  <c r="G1118" i="2"/>
  <c r="G1119" i="2"/>
  <c r="G1120" i="2"/>
  <c r="G1121" i="2"/>
  <c r="G1122" i="2"/>
  <c r="G1123" i="2"/>
  <c r="G1124" i="2"/>
  <c r="G1125" i="2"/>
  <c r="G1126" i="2"/>
  <c r="G1127" i="2"/>
  <c r="G1128" i="2"/>
  <c r="G1129" i="2"/>
  <c r="G1130" i="2"/>
  <c r="G1131" i="2"/>
  <c r="G1132" i="2"/>
  <c r="G1133" i="2"/>
  <c r="G1134" i="2"/>
  <c r="G1135" i="2"/>
  <c r="G1136" i="2"/>
  <c r="G1137" i="2"/>
  <c r="G1138" i="2"/>
  <c r="G1139" i="2"/>
  <c r="G1140" i="2"/>
  <c r="G1141" i="2"/>
  <c r="G1142" i="2"/>
  <c r="G1143" i="2"/>
  <c r="G1144" i="2"/>
  <c r="G1145" i="2"/>
  <c r="G1146" i="2"/>
  <c r="G1147" i="2"/>
  <c r="G1148" i="2"/>
  <c r="G1149" i="2"/>
  <c r="G1150" i="2"/>
  <c r="G1151" i="2"/>
  <c r="G1152" i="2"/>
  <c r="G1153" i="2"/>
  <c r="G1154" i="2"/>
  <c r="G1155" i="2"/>
  <c r="G1156" i="2"/>
  <c r="G1157" i="2"/>
  <c r="G1158" i="2"/>
  <c r="G1159" i="2"/>
  <c r="G1160" i="2"/>
  <c r="G1161" i="2"/>
  <c r="G1162" i="2"/>
  <c r="G1163" i="2"/>
  <c r="G1164" i="2"/>
  <c r="G1165" i="2"/>
  <c r="G1166" i="2"/>
  <c r="G1167" i="2"/>
  <c r="G1168" i="2"/>
  <c r="G1169" i="2"/>
  <c r="G1170" i="2"/>
  <c r="G1171" i="2"/>
  <c r="G1172" i="2"/>
  <c r="G1173" i="2"/>
  <c r="G1174" i="2"/>
  <c r="G1175" i="2"/>
  <c r="G1176" i="2"/>
  <c r="G1177" i="2"/>
  <c r="G1178" i="2"/>
  <c r="G1179" i="2"/>
  <c r="G1180" i="2"/>
  <c r="G1181" i="2"/>
  <c r="G1182" i="2"/>
  <c r="G1183" i="2"/>
  <c r="G1184" i="2"/>
  <c r="G1185" i="2"/>
  <c r="G1186" i="2"/>
  <c r="G1187" i="2"/>
  <c r="G1188" i="2"/>
  <c r="G1189" i="2"/>
  <c r="G1190" i="2"/>
  <c r="G1191" i="2"/>
  <c r="G1192" i="2"/>
  <c r="G1193" i="2"/>
  <c r="G1194" i="2"/>
  <c r="G1195" i="2"/>
  <c r="G1196" i="2"/>
  <c r="G1197" i="2"/>
  <c r="G1198" i="2"/>
  <c r="G1199" i="2"/>
  <c r="G1200" i="2"/>
  <c r="G1201" i="2"/>
  <c r="G1202" i="2"/>
  <c r="G1203" i="2"/>
  <c r="G1204" i="2"/>
  <c r="G1205" i="2"/>
  <c r="G1206" i="2"/>
  <c r="G1207" i="2"/>
  <c r="G1208" i="2"/>
  <c r="G1209" i="2"/>
  <c r="G1210" i="2"/>
  <c r="G1211" i="2"/>
  <c r="G1212" i="2"/>
  <c r="G1213" i="2"/>
  <c r="G1214" i="2"/>
  <c r="G1215" i="2"/>
  <c r="G1216" i="2"/>
  <c r="G1217" i="2"/>
  <c r="G1218" i="2"/>
  <c r="G1219" i="2"/>
  <c r="G1220" i="2"/>
  <c r="G1221" i="2"/>
  <c r="G1222" i="2"/>
  <c r="G1223" i="2"/>
  <c r="G1224" i="2"/>
  <c r="G1225" i="2"/>
  <c r="G1226" i="2"/>
  <c r="G1227" i="2"/>
  <c r="G1228" i="2"/>
  <c r="G1229" i="2"/>
  <c r="G1230" i="2"/>
  <c r="G1231" i="2"/>
  <c r="G1232" i="2"/>
  <c r="G1233" i="2"/>
  <c r="G1234" i="2"/>
  <c r="G1235" i="2"/>
  <c r="G1236" i="2"/>
  <c r="G1237" i="2"/>
  <c r="G1238" i="2"/>
  <c r="G1239" i="2"/>
  <c r="G1240" i="2"/>
  <c r="G1241" i="2"/>
  <c r="G1242" i="2"/>
  <c r="G1243" i="2"/>
  <c r="G1244" i="2"/>
  <c r="G1245" i="2"/>
  <c r="G1246" i="2"/>
  <c r="G1247" i="2"/>
  <c r="G1248" i="2"/>
  <c r="G1249" i="2"/>
  <c r="G1250" i="2"/>
  <c r="G1251" i="2"/>
  <c r="G1252" i="2"/>
  <c r="G1253" i="2"/>
  <c r="G1254" i="2"/>
  <c r="G1255" i="2"/>
  <c r="G1256" i="2"/>
  <c r="G1257" i="2"/>
  <c r="G1258" i="2"/>
  <c r="G1259" i="2"/>
  <c r="G1260" i="2"/>
  <c r="G1261" i="2"/>
  <c r="G1262" i="2"/>
  <c r="G1263" i="2"/>
  <c r="G1264" i="2"/>
  <c r="G1265" i="2"/>
  <c r="G1266" i="2"/>
  <c r="G1267" i="2"/>
  <c r="G1268" i="2"/>
  <c r="G1269" i="2"/>
  <c r="G1270" i="2"/>
  <c r="G1271" i="2"/>
  <c r="G1272" i="2"/>
  <c r="G1273" i="2"/>
  <c r="G1274" i="2"/>
  <c r="G1275" i="2"/>
  <c r="G1276" i="2"/>
  <c r="G1277" i="2"/>
  <c r="G1278" i="2"/>
  <c r="G1279" i="2"/>
  <c r="G1280" i="2"/>
  <c r="G1281" i="2"/>
  <c r="G1282" i="2"/>
  <c r="G1283" i="2"/>
  <c r="G1284" i="2"/>
  <c r="G1285" i="2"/>
  <c r="G1286" i="2"/>
  <c r="G1287" i="2"/>
  <c r="G1288" i="2"/>
  <c r="G1289" i="2"/>
  <c r="G1290" i="2"/>
  <c r="G1291" i="2"/>
  <c r="G1292" i="2"/>
  <c r="G1293" i="2"/>
  <c r="G1294" i="2"/>
  <c r="G1295" i="2"/>
  <c r="G1296" i="2"/>
  <c r="G1297" i="2"/>
  <c r="G1298" i="2"/>
  <c r="G1299" i="2"/>
  <c r="G1300" i="2"/>
  <c r="G1301" i="2"/>
  <c r="G1302" i="2"/>
  <c r="G1303" i="2"/>
  <c r="G1304" i="2"/>
  <c r="G1305" i="2"/>
  <c r="G1306" i="2"/>
  <c r="G1307" i="2"/>
  <c r="G1308" i="2"/>
  <c r="G1309" i="2"/>
  <c r="G1310" i="2"/>
  <c r="G1311" i="2"/>
  <c r="G1312" i="2"/>
  <c r="G1313" i="2"/>
  <c r="G1314" i="2"/>
  <c r="G1315" i="2"/>
  <c r="G1316" i="2"/>
  <c r="G1317" i="2"/>
  <c r="G1318" i="2"/>
  <c r="G1319" i="2"/>
  <c r="G1320" i="2"/>
  <c r="G1321" i="2"/>
  <c r="G1322" i="2"/>
  <c r="G1323" i="2"/>
  <c r="G1324" i="2"/>
  <c r="G1325" i="2"/>
  <c r="G1326" i="2"/>
  <c r="G1327" i="2"/>
  <c r="G1328" i="2"/>
  <c r="G1329" i="2"/>
  <c r="G1330" i="2"/>
  <c r="G1331" i="2"/>
  <c r="G1332" i="2"/>
  <c r="G1333" i="2"/>
  <c r="G1334" i="2"/>
  <c r="G1335" i="2"/>
  <c r="G1336" i="2"/>
  <c r="G1337" i="2"/>
  <c r="G1338" i="2"/>
  <c r="G1339" i="2"/>
  <c r="G1340" i="2"/>
  <c r="G1341" i="2"/>
  <c r="G1342" i="2"/>
  <c r="G1343" i="2"/>
  <c r="G1344" i="2"/>
  <c r="G1345" i="2"/>
  <c r="G1346" i="2"/>
  <c r="G1347" i="2"/>
  <c r="G1348" i="2"/>
  <c r="G1349" i="2"/>
  <c r="G1350" i="2"/>
  <c r="G1351" i="2"/>
  <c r="G1352" i="2"/>
  <c r="G1353" i="2"/>
  <c r="G1354" i="2"/>
  <c r="G1355" i="2"/>
  <c r="G1356" i="2"/>
  <c r="G1357" i="2"/>
  <c r="G1358" i="2"/>
  <c r="G1359" i="2"/>
  <c r="G1360" i="2"/>
  <c r="G1361" i="2"/>
  <c r="G1362" i="2"/>
  <c r="G1363" i="2"/>
  <c r="G1364" i="2"/>
  <c r="G1365" i="2"/>
  <c r="G1366" i="2"/>
  <c r="G1367" i="2"/>
  <c r="G1368" i="2"/>
  <c r="G1369" i="2"/>
  <c r="G1370" i="2"/>
  <c r="G1371" i="2"/>
  <c r="G1372" i="2"/>
  <c r="G1373" i="2"/>
  <c r="G1374" i="2"/>
  <c r="G1375" i="2"/>
  <c r="G1376" i="2"/>
  <c r="G1377" i="2"/>
  <c r="G1378" i="2"/>
  <c r="G1379" i="2"/>
  <c r="G1380" i="2"/>
  <c r="G1381" i="2"/>
  <c r="G1382" i="2"/>
  <c r="G1383" i="2"/>
  <c r="G1384" i="2"/>
  <c r="G1385" i="2"/>
  <c r="G1386" i="2"/>
  <c r="G1387" i="2"/>
  <c r="G1388" i="2"/>
  <c r="G1389" i="2"/>
  <c r="G1390" i="2"/>
  <c r="G1391" i="2"/>
  <c r="G1392" i="2"/>
  <c r="G1393" i="2"/>
  <c r="G1394" i="2"/>
  <c r="G1395" i="2"/>
  <c r="G1396" i="2"/>
  <c r="G1397" i="2"/>
  <c r="G1398" i="2"/>
  <c r="G1399" i="2"/>
  <c r="G1400" i="2"/>
  <c r="G1401" i="2"/>
  <c r="G1402" i="2"/>
  <c r="G1403" i="2"/>
  <c r="G1404" i="2"/>
  <c r="G1405" i="2"/>
  <c r="G1406" i="2"/>
  <c r="G1407" i="2"/>
  <c r="G1408" i="2"/>
  <c r="G1409" i="2"/>
  <c r="G1410" i="2"/>
  <c r="G1411" i="2"/>
  <c r="G1412" i="2"/>
  <c r="G1413" i="2"/>
  <c r="G1414" i="2"/>
  <c r="G1415" i="2"/>
  <c r="G1416" i="2"/>
  <c r="G1417" i="2"/>
  <c r="G1418" i="2"/>
  <c r="G1419" i="2"/>
  <c r="G1420" i="2"/>
  <c r="G1421" i="2"/>
  <c r="G1422" i="2"/>
  <c r="G1423" i="2"/>
  <c r="G1424" i="2"/>
  <c r="G1425" i="2"/>
  <c r="G1426" i="2"/>
  <c r="G1427" i="2"/>
  <c r="G1428" i="2"/>
  <c r="G1429" i="2"/>
  <c r="G1430" i="2"/>
  <c r="G1431" i="2"/>
  <c r="G1432" i="2"/>
  <c r="G1433" i="2"/>
  <c r="G1434" i="2"/>
  <c r="G1435" i="2"/>
  <c r="G1436" i="2"/>
  <c r="G1437" i="2"/>
  <c r="G1438" i="2"/>
  <c r="G1439" i="2"/>
  <c r="G1440" i="2"/>
  <c r="G1441" i="2"/>
  <c r="G1442" i="2"/>
  <c r="G1443" i="2"/>
  <c r="G1444" i="2"/>
  <c r="G1445" i="2"/>
  <c r="G1446" i="2"/>
  <c r="G1447" i="2"/>
  <c r="G1448" i="2"/>
  <c r="G1449" i="2"/>
  <c r="G1450" i="2"/>
  <c r="G1451" i="2"/>
  <c r="G1452" i="2"/>
  <c r="G1453" i="2"/>
  <c r="G1454" i="2"/>
  <c r="G1455" i="2"/>
  <c r="G1456" i="2"/>
  <c r="G1457" i="2"/>
  <c r="G1458" i="2"/>
  <c r="G1459" i="2"/>
  <c r="G1460" i="2"/>
  <c r="G1461" i="2"/>
  <c r="G1462" i="2"/>
  <c r="G1463" i="2"/>
  <c r="G1464" i="2"/>
  <c r="G1465" i="2"/>
  <c r="G1466" i="2"/>
  <c r="G1467" i="2"/>
  <c r="G1468" i="2"/>
  <c r="G1469" i="2"/>
  <c r="G1470" i="2"/>
  <c r="G1471" i="2"/>
  <c r="G1472" i="2"/>
  <c r="G1473" i="2"/>
  <c r="G1474" i="2"/>
  <c r="G1475" i="2"/>
  <c r="G1476" i="2"/>
  <c r="G1477" i="2"/>
  <c r="G1478" i="2"/>
  <c r="G1479" i="2"/>
  <c r="G1480" i="2"/>
  <c r="G1481" i="2"/>
  <c r="G1482" i="2"/>
  <c r="G1483" i="2"/>
  <c r="G1484" i="2"/>
  <c r="G1485" i="2"/>
  <c r="G1486" i="2"/>
  <c r="G1487" i="2"/>
  <c r="G1488" i="2"/>
  <c r="G1489" i="2"/>
  <c r="G1490" i="2"/>
  <c r="G1491" i="2"/>
  <c r="G1492" i="2"/>
  <c r="G1493" i="2"/>
  <c r="G1494" i="2"/>
  <c r="G1495" i="2"/>
  <c r="G1496" i="2"/>
  <c r="G1497" i="2"/>
  <c r="G1498" i="2"/>
  <c r="G1499" i="2"/>
  <c r="G1500" i="2"/>
  <c r="G1501" i="2"/>
  <c r="G1502" i="2"/>
  <c r="G1503" i="2"/>
  <c r="G1504" i="2"/>
  <c r="G1505" i="2"/>
  <c r="G1506" i="2"/>
  <c r="G1507" i="2"/>
  <c r="G1508" i="2"/>
  <c r="G1509" i="2"/>
  <c r="G1510" i="2"/>
  <c r="G1511" i="2"/>
  <c r="G1512" i="2"/>
  <c r="G1513" i="2"/>
  <c r="G1514" i="2"/>
  <c r="G1515" i="2"/>
  <c r="G1516" i="2"/>
  <c r="G1517" i="2"/>
  <c r="G1518" i="2"/>
  <c r="G1519" i="2"/>
  <c r="G1520" i="2"/>
  <c r="G1521" i="2"/>
  <c r="G1522" i="2"/>
  <c r="G1523" i="2"/>
  <c r="G1524" i="2"/>
  <c r="G1525" i="2"/>
  <c r="G1526" i="2"/>
  <c r="G1527" i="2"/>
  <c r="G1528" i="2"/>
  <c r="G1529" i="2"/>
  <c r="G1530" i="2"/>
  <c r="G1531" i="2"/>
  <c r="G1532" i="2"/>
  <c r="G1533" i="2"/>
  <c r="G1534" i="2"/>
  <c r="G1535" i="2"/>
  <c r="G1536" i="2"/>
  <c r="G1537" i="2"/>
  <c r="G1538" i="2"/>
  <c r="G1539" i="2"/>
  <c r="G1540" i="2"/>
  <c r="G1541" i="2"/>
  <c r="G1542" i="2"/>
  <c r="G1543" i="2"/>
  <c r="G1544" i="2"/>
  <c r="G1545" i="2"/>
  <c r="G1546" i="2"/>
  <c r="G1547" i="2"/>
  <c r="G1548" i="2"/>
  <c r="G1549" i="2"/>
  <c r="G1550" i="2"/>
  <c r="G1551" i="2"/>
  <c r="G1552" i="2"/>
  <c r="G1553" i="2"/>
  <c r="G1554" i="2"/>
  <c r="G1555" i="2"/>
  <c r="G1556" i="2"/>
  <c r="G1557" i="2"/>
  <c r="G1558" i="2"/>
  <c r="G1559" i="2"/>
  <c r="G1560" i="2"/>
  <c r="G1561" i="2"/>
  <c r="G1562" i="2"/>
  <c r="G1563" i="2"/>
  <c r="G1564" i="2"/>
  <c r="G1565" i="2"/>
  <c r="G1566" i="2"/>
  <c r="G1567" i="2"/>
  <c r="G1568" i="2"/>
  <c r="G1569" i="2"/>
  <c r="G1570" i="2"/>
  <c r="G1571" i="2"/>
  <c r="G1572" i="2"/>
  <c r="G1573" i="2"/>
  <c r="G1574" i="2"/>
  <c r="G1575" i="2"/>
  <c r="G1576" i="2"/>
  <c r="G1577" i="2"/>
  <c r="G1578" i="2"/>
  <c r="G1579" i="2"/>
  <c r="G1580" i="2"/>
  <c r="G1581" i="2"/>
  <c r="G1582" i="2"/>
  <c r="G1583" i="2"/>
  <c r="G1584" i="2"/>
  <c r="G1585" i="2"/>
  <c r="G1586" i="2"/>
  <c r="G1587" i="2"/>
  <c r="G1588" i="2"/>
  <c r="G1589" i="2"/>
  <c r="G1590" i="2"/>
  <c r="G1591" i="2"/>
  <c r="G1592" i="2"/>
  <c r="G1593" i="2"/>
  <c r="G1594" i="2"/>
  <c r="G1595" i="2"/>
  <c r="G1596" i="2"/>
  <c r="G1597" i="2"/>
  <c r="G1598" i="2"/>
  <c r="G1599" i="2"/>
  <c r="G1600" i="2"/>
  <c r="G1601" i="2"/>
  <c r="G1602" i="2"/>
  <c r="G1603" i="2"/>
  <c r="G1604" i="2"/>
  <c r="G1605" i="2"/>
  <c r="G1606" i="2"/>
  <c r="G1607" i="2"/>
  <c r="G1608" i="2"/>
  <c r="G1609" i="2"/>
  <c r="G1610" i="2"/>
  <c r="G1611" i="2"/>
  <c r="G1612" i="2"/>
  <c r="G1613" i="2"/>
  <c r="G1614" i="2"/>
  <c r="G1615" i="2"/>
  <c r="G1616" i="2"/>
  <c r="G1617" i="2"/>
  <c r="G1618" i="2"/>
  <c r="G1619" i="2"/>
  <c r="G1620" i="2"/>
  <c r="G1621" i="2"/>
  <c r="G1622" i="2"/>
  <c r="G1623" i="2"/>
  <c r="G1624" i="2"/>
  <c r="G1625" i="2"/>
  <c r="G1626" i="2"/>
  <c r="G1627" i="2"/>
  <c r="G1628" i="2"/>
  <c r="G1629" i="2"/>
  <c r="G1630" i="2"/>
  <c r="G1631" i="2"/>
  <c r="G1632" i="2"/>
  <c r="G1633" i="2"/>
  <c r="G1634" i="2"/>
  <c r="G1635" i="2"/>
  <c r="G1636" i="2"/>
  <c r="G1637" i="2"/>
  <c r="G1638" i="2"/>
  <c r="G1639" i="2"/>
  <c r="G1640" i="2"/>
  <c r="G1641" i="2"/>
  <c r="G1642" i="2"/>
  <c r="G1643" i="2"/>
  <c r="G1644" i="2"/>
  <c r="G1645" i="2"/>
  <c r="G1646" i="2"/>
  <c r="G1647" i="2"/>
  <c r="G1648" i="2"/>
  <c r="G1649" i="2"/>
  <c r="G1650" i="2"/>
  <c r="G1651" i="2"/>
  <c r="G1652" i="2"/>
  <c r="G1653" i="2"/>
  <c r="G1654" i="2"/>
  <c r="G1655" i="2"/>
  <c r="G1656" i="2"/>
  <c r="G1657" i="2"/>
  <c r="G1658" i="2"/>
  <c r="G1659" i="2"/>
  <c r="G1660" i="2"/>
  <c r="G1661" i="2"/>
  <c r="G1662" i="2"/>
  <c r="G1663" i="2"/>
  <c r="G1664" i="2"/>
  <c r="G1665" i="2"/>
  <c r="G1666" i="2"/>
  <c r="G1667" i="2"/>
  <c r="G1668" i="2"/>
  <c r="G1669" i="2"/>
  <c r="G1670" i="2"/>
  <c r="G1671" i="2"/>
  <c r="G1672" i="2"/>
  <c r="G1673" i="2"/>
  <c r="G1674" i="2"/>
  <c r="G1675" i="2"/>
  <c r="G1676" i="2"/>
  <c r="G1677" i="2"/>
  <c r="G1678" i="2"/>
  <c r="G1679" i="2"/>
  <c r="G1680" i="2"/>
  <c r="G1681" i="2"/>
  <c r="G1682" i="2"/>
  <c r="G1683" i="2"/>
  <c r="G1684" i="2"/>
  <c r="G1685" i="2"/>
  <c r="G1686" i="2"/>
  <c r="G1687" i="2"/>
  <c r="G1688" i="2"/>
  <c r="G1689" i="2"/>
  <c r="G1690" i="2"/>
  <c r="G1691" i="2"/>
  <c r="G1692" i="2"/>
  <c r="G1693" i="2"/>
  <c r="G1694" i="2"/>
  <c r="G1695" i="2"/>
  <c r="G1696" i="2"/>
  <c r="G1697" i="2"/>
  <c r="G1698" i="2"/>
  <c r="G1699" i="2"/>
  <c r="G1700" i="2"/>
  <c r="G1701" i="2"/>
  <c r="G1702" i="2"/>
  <c r="G1703" i="2"/>
  <c r="G1704" i="2"/>
  <c r="G1705" i="2"/>
  <c r="G1706" i="2"/>
  <c r="G1707" i="2"/>
  <c r="G1708" i="2"/>
  <c r="G1709" i="2"/>
  <c r="G1710" i="2"/>
  <c r="G1711" i="2"/>
  <c r="G1712" i="2"/>
  <c r="G1713" i="2"/>
  <c r="G1714" i="2"/>
  <c r="G1715" i="2"/>
  <c r="G1716" i="2"/>
  <c r="G1717" i="2"/>
  <c r="G1718" i="2"/>
  <c r="G1719" i="2"/>
  <c r="G1720" i="2"/>
  <c r="G1721" i="2"/>
  <c r="G1722" i="2"/>
  <c r="G1723" i="2"/>
  <c r="G1724" i="2"/>
  <c r="G1725" i="2"/>
  <c r="G1726" i="2"/>
  <c r="G1727" i="2"/>
  <c r="G1728" i="2"/>
  <c r="G1729" i="2"/>
  <c r="G1730" i="2"/>
  <c r="G1731" i="2"/>
  <c r="G1732" i="2"/>
  <c r="G1733" i="2"/>
  <c r="G1734" i="2"/>
  <c r="G1735" i="2"/>
  <c r="G1736" i="2"/>
  <c r="G1737" i="2"/>
  <c r="G1738" i="2"/>
  <c r="G1739" i="2"/>
  <c r="G1740" i="2"/>
  <c r="G1741" i="2"/>
  <c r="G1742" i="2"/>
  <c r="G1743" i="2"/>
  <c r="G1744" i="2"/>
  <c r="G1745" i="2"/>
  <c r="G1746" i="2"/>
  <c r="G1747" i="2"/>
  <c r="G1748" i="2"/>
  <c r="G1749" i="2"/>
  <c r="G1750" i="2"/>
  <c r="G1751" i="2"/>
  <c r="G1752" i="2"/>
  <c r="G1753" i="2"/>
  <c r="G1754" i="2"/>
  <c r="G1755" i="2"/>
  <c r="G1756" i="2"/>
  <c r="G1757" i="2"/>
  <c r="G1758" i="2"/>
  <c r="G1759" i="2"/>
  <c r="G1760" i="2"/>
  <c r="G1761" i="2"/>
  <c r="G1762" i="2"/>
  <c r="G1763" i="2"/>
  <c r="G1764" i="2"/>
  <c r="G1765" i="2"/>
  <c r="G1766" i="2"/>
  <c r="G1767" i="2"/>
  <c r="G1768" i="2"/>
  <c r="G1769" i="2"/>
  <c r="G1770" i="2"/>
  <c r="G1771" i="2"/>
  <c r="G1772" i="2"/>
  <c r="G1773" i="2"/>
  <c r="G1774" i="2"/>
  <c r="G1775" i="2"/>
  <c r="G1776" i="2"/>
  <c r="G1777" i="2"/>
  <c r="G1778" i="2"/>
  <c r="G1779" i="2"/>
  <c r="G1780" i="2"/>
  <c r="G1781" i="2"/>
  <c r="G1782" i="2"/>
  <c r="G1783" i="2"/>
  <c r="G1784" i="2"/>
  <c r="G1785" i="2"/>
  <c r="G1786" i="2"/>
  <c r="G1787" i="2"/>
  <c r="G1788" i="2"/>
  <c r="G1789" i="2"/>
  <c r="G1790" i="2"/>
  <c r="G1791" i="2"/>
  <c r="G1792" i="2"/>
  <c r="G1793" i="2"/>
  <c r="G1794" i="2"/>
  <c r="G1795" i="2"/>
  <c r="G1796" i="2"/>
  <c r="G1797" i="2"/>
  <c r="G1798" i="2"/>
  <c r="G1799" i="2"/>
  <c r="G1800" i="2"/>
  <c r="G1801" i="2"/>
  <c r="G1802" i="2"/>
  <c r="G1803" i="2"/>
  <c r="G1804" i="2"/>
  <c r="G1805" i="2"/>
  <c r="G1806" i="2"/>
  <c r="G1807" i="2"/>
  <c r="G1808" i="2"/>
  <c r="G1809" i="2"/>
  <c r="G1810" i="2"/>
  <c r="G1811" i="2"/>
  <c r="G1812" i="2"/>
  <c r="G1813" i="2"/>
  <c r="G1814" i="2"/>
  <c r="G1815" i="2"/>
  <c r="G1816" i="2"/>
  <c r="G1817" i="2"/>
  <c r="G1818" i="2"/>
  <c r="G1819" i="2"/>
  <c r="G1820" i="2"/>
  <c r="G1821" i="2"/>
  <c r="G1822" i="2"/>
  <c r="G1823" i="2"/>
  <c r="G1824" i="2"/>
  <c r="G1825" i="2"/>
  <c r="G1826" i="2"/>
  <c r="G1827" i="2"/>
  <c r="G1828" i="2"/>
  <c r="G1829" i="2"/>
  <c r="G1830" i="2"/>
  <c r="G1831" i="2"/>
  <c r="G1832" i="2"/>
  <c r="G1833" i="2"/>
  <c r="G1834" i="2"/>
  <c r="G1835" i="2"/>
  <c r="G1836" i="2"/>
  <c r="G1837" i="2"/>
  <c r="G1838" i="2"/>
  <c r="G1839" i="2"/>
  <c r="G1840" i="2"/>
  <c r="G1841" i="2"/>
  <c r="G1842" i="2"/>
  <c r="G1843" i="2"/>
  <c r="G1844" i="2"/>
  <c r="G1845" i="2"/>
  <c r="G1846" i="2"/>
  <c r="G1847" i="2"/>
  <c r="G1848" i="2"/>
  <c r="G1849" i="2"/>
  <c r="G1850" i="2"/>
  <c r="G1851" i="2"/>
  <c r="G1852" i="2"/>
  <c r="G1853" i="2"/>
  <c r="G1854" i="2"/>
  <c r="G1855" i="2"/>
  <c r="G1856" i="2"/>
  <c r="G1857" i="2"/>
  <c r="G1858" i="2"/>
  <c r="G1859" i="2"/>
  <c r="G1860" i="2"/>
  <c r="G1861" i="2"/>
  <c r="G1862" i="2"/>
  <c r="G1863" i="2"/>
  <c r="G1864" i="2"/>
  <c r="G1865" i="2"/>
  <c r="G1866" i="2"/>
  <c r="G1867" i="2"/>
  <c r="G1868" i="2"/>
  <c r="G1869" i="2"/>
  <c r="G1870" i="2"/>
  <c r="G1871" i="2"/>
  <c r="G1872" i="2"/>
  <c r="G1873" i="2"/>
  <c r="G1874" i="2"/>
  <c r="G1875" i="2"/>
  <c r="G1876" i="2"/>
  <c r="G1877" i="2"/>
  <c r="G1878" i="2"/>
  <c r="G1879" i="2"/>
  <c r="G1880" i="2"/>
  <c r="G1881" i="2"/>
  <c r="G1882" i="2"/>
  <c r="G1883" i="2"/>
  <c r="G1884" i="2"/>
  <c r="G1885" i="2"/>
  <c r="G1886" i="2"/>
  <c r="G1887" i="2"/>
  <c r="G1888" i="2"/>
  <c r="G1889" i="2"/>
  <c r="G1890" i="2"/>
  <c r="G1891" i="2"/>
  <c r="G1892" i="2"/>
  <c r="G1893" i="2"/>
  <c r="G1894" i="2"/>
  <c r="G1895" i="2"/>
  <c r="G1896" i="2"/>
  <c r="G1897" i="2"/>
  <c r="G1898" i="2"/>
  <c r="G1899" i="2"/>
  <c r="G1900" i="2"/>
  <c r="G1901" i="2"/>
  <c r="G1902" i="2"/>
  <c r="G1903" i="2"/>
  <c r="G1904" i="2"/>
  <c r="G1905" i="2"/>
  <c r="G1906" i="2"/>
  <c r="G1907" i="2"/>
  <c r="G1908" i="2"/>
  <c r="G1909" i="2"/>
  <c r="G1910" i="2"/>
  <c r="G1911" i="2"/>
  <c r="G1912" i="2"/>
  <c r="G1913" i="2"/>
  <c r="G1914" i="2"/>
  <c r="G1915" i="2"/>
  <c r="G1916" i="2"/>
  <c r="G1917" i="2"/>
  <c r="G1918" i="2"/>
  <c r="G1919" i="2"/>
  <c r="G1920" i="2"/>
  <c r="G1921" i="2"/>
  <c r="G1922" i="2"/>
  <c r="G1923" i="2"/>
  <c r="G1924" i="2"/>
  <c r="G1925" i="2"/>
  <c r="G1926" i="2"/>
  <c r="G1927" i="2"/>
  <c r="G1928" i="2"/>
  <c r="G1929" i="2"/>
  <c r="G1930" i="2"/>
  <c r="G1931" i="2"/>
  <c r="G1932" i="2"/>
  <c r="G1933" i="2"/>
  <c r="G1934" i="2"/>
  <c r="G1935" i="2"/>
  <c r="G1936" i="2"/>
  <c r="G1937" i="2"/>
  <c r="G1938" i="2"/>
  <c r="G1939" i="2"/>
  <c r="G1940" i="2"/>
  <c r="G1941" i="2"/>
  <c r="G1942" i="2"/>
  <c r="G1943" i="2"/>
  <c r="G1944" i="2"/>
  <c r="G1945" i="2"/>
  <c r="G1946" i="2"/>
  <c r="G1947" i="2"/>
  <c r="G1948" i="2"/>
  <c r="G1949" i="2"/>
  <c r="G1950" i="2"/>
  <c r="G1951" i="2"/>
  <c r="G1952" i="2"/>
  <c r="G1953" i="2"/>
  <c r="G1954" i="2"/>
  <c r="G1955" i="2"/>
  <c r="G1956" i="2"/>
  <c r="G1957" i="2"/>
  <c r="G1958" i="2"/>
  <c r="G1959" i="2"/>
  <c r="G1960" i="2"/>
  <c r="G1961" i="2"/>
  <c r="G1962" i="2"/>
  <c r="G1963" i="2"/>
  <c r="G1964" i="2"/>
  <c r="G1965" i="2"/>
  <c r="G1966" i="2"/>
  <c r="G1967" i="2"/>
  <c r="G1968" i="2"/>
  <c r="G1969" i="2"/>
  <c r="G1970" i="2"/>
  <c r="G1971" i="2"/>
  <c r="G1972" i="2"/>
  <c r="G1973" i="2"/>
  <c r="G1974" i="2"/>
  <c r="G1975" i="2"/>
  <c r="G1976" i="2"/>
  <c r="G1977" i="2"/>
  <c r="G1978" i="2"/>
  <c r="G1979" i="2"/>
  <c r="G1980" i="2"/>
  <c r="G1981" i="2"/>
  <c r="G1982" i="2"/>
  <c r="G1983" i="2"/>
  <c r="G1984" i="2"/>
  <c r="G1985" i="2"/>
  <c r="G1986" i="2"/>
  <c r="G1987" i="2"/>
  <c r="G1988" i="2"/>
  <c r="G1989" i="2"/>
  <c r="G1990" i="2"/>
  <c r="G1991" i="2"/>
  <c r="G1992" i="2"/>
  <c r="G1993" i="2"/>
  <c r="G1994" i="2"/>
  <c r="G1995" i="2"/>
  <c r="G1996" i="2"/>
  <c r="G1997" i="2"/>
  <c r="G1998" i="2"/>
  <c r="G1999" i="2"/>
  <c r="G2000" i="2"/>
  <c r="G2001" i="2"/>
  <c r="G2002" i="2"/>
  <c r="G2003" i="2"/>
  <c r="G2004" i="2"/>
  <c r="G2005" i="2"/>
  <c r="G2006" i="2"/>
  <c r="G2007" i="2"/>
  <c r="G2008" i="2"/>
  <c r="G2009" i="2"/>
  <c r="G2010" i="2"/>
  <c r="G2011" i="2"/>
  <c r="G2012" i="2"/>
  <c r="G2013" i="2"/>
  <c r="G2014" i="2"/>
  <c r="G2015" i="2"/>
  <c r="G2016" i="2"/>
  <c r="G2017" i="2"/>
  <c r="G2018" i="2"/>
  <c r="G2019" i="2"/>
  <c r="G2020" i="2"/>
  <c r="G2021" i="2"/>
  <c r="G2022" i="2"/>
  <c r="G2023" i="2"/>
  <c r="G2024" i="2"/>
  <c r="G2025" i="2"/>
  <c r="G2026" i="2"/>
  <c r="G2027" i="2"/>
  <c r="G2028" i="2"/>
  <c r="G2029" i="2"/>
  <c r="G2030" i="2"/>
  <c r="G2031" i="2"/>
  <c r="G2032" i="2"/>
  <c r="G2033" i="2"/>
  <c r="G2034" i="2"/>
  <c r="G2035" i="2"/>
  <c r="G2036" i="2"/>
  <c r="G2037" i="2"/>
  <c r="G2038" i="2"/>
  <c r="G2039" i="2"/>
  <c r="G2040" i="2"/>
  <c r="G2041" i="2"/>
  <c r="G2042" i="2"/>
  <c r="G2043" i="2"/>
  <c r="G2044" i="2"/>
  <c r="G2045" i="2"/>
  <c r="G2046" i="2"/>
  <c r="G2047" i="2"/>
  <c r="G2048" i="2"/>
  <c r="G2049" i="2"/>
  <c r="G2050" i="2"/>
  <c r="G2051" i="2"/>
  <c r="G2052" i="2"/>
  <c r="G2053" i="2"/>
  <c r="G2054" i="2"/>
  <c r="G2055" i="2"/>
  <c r="G2056" i="2"/>
  <c r="G2057" i="2"/>
  <c r="G2058" i="2"/>
  <c r="G2059" i="2"/>
  <c r="G2060" i="2"/>
  <c r="G2061" i="2"/>
  <c r="G2062" i="2"/>
  <c r="G2063" i="2"/>
  <c r="G2064" i="2"/>
  <c r="G2065" i="2"/>
  <c r="G2066" i="2"/>
  <c r="G2067" i="2"/>
  <c r="G2068" i="2"/>
  <c r="G2069" i="2"/>
  <c r="G2070" i="2"/>
  <c r="G2071" i="2"/>
  <c r="G2072" i="2"/>
  <c r="G2073" i="2"/>
  <c r="G2074" i="2"/>
  <c r="G2075" i="2"/>
  <c r="G2076" i="2"/>
  <c r="G2077" i="2"/>
  <c r="G2078" i="2"/>
  <c r="G2079" i="2"/>
  <c r="G2080" i="2"/>
  <c r="G2081" i="2"/>
  <c r="G2082" i="2"/>
  <c r="G2083" i="2"/>
  <c r="G2084" i="2"/>
  <c r="G2085" i="2"/>
  <c r="G2086" i="2"/>
  <c r="G2087" i="2"/>
  <c r="G2088" i="2"/>
  <c r="G2089" i="2"/>
  <c r="G2090" i="2"/>
  <c r="G2091" i="2"/>
  <c r="G2092" i="2"/>
  <c r="G2093" i="2"/>
  <c r="G2094" i="2"/>
  <c r="G2095" i="2"/>
  <c r="G2096" i="2"/>
  <c r="G2097" i="2"/>
  <c r="G2098" i="2"/>
  <c r="G2099" i="2"/>
  <c r="G2100" i="2"/>
  <c r="G2101" i="2"/>
  <c r="G2102" i="2"/>
  <c r="G2103" i="2"/>
  <c r="G2104" i="2"/>
  <c r="G2105" i="2"/>
  <c r="G2106" i="2"/>
  <c r="G2107" i="2"/>
  <c r="G2108" i="2"/>
  <c r="G2109" i="2"/>
  <c r="G2110" i="2"/>
  <c r="G2111" i="2"/>
  <c r="G2112" i="2"/>
  <c r="G2113" i="2"/>
  <c r="G2114" i="2"/>
  <c r="G2115" i="2"/>
  <c r="G2116" i="2"/>
  <c r="G2117" i="2"/>
  <c r="G2118" i="2"/>
  <c r="G2119" i="2"/>
  <c r="G2120" i="2"/>
  <c r="G2121" i="2"/>
  <c r="G2122" i="2"/>
  <c r="G2123" i="2"/>
  <c r="G2124" i="2"/>
  <c r="G2125" i="2"/>
  <c r="G2126" i="2"/>
  <c r="G2127" i="2"/>
  <c r="G2128" i="2"/>
  <c r="G2129" i="2"/>
  <c r="G2130" i="2"/>
  <c r="G2131" i="2"/>
  <c r="G2132" i="2"/>
  <c r="G2133" i="2"/>
  <c r="G2134" i="2"/>
  <c r="G2135" i="2"/>
  <c r="G2136" i="2"/>
  <c r="G2137" i="2"/>
  <c r="G2138" i="2"/>
  <c r="G2139" i="2"/>
  <c r="G2140" i="2"/>
  <c r="G2141" i="2"/>
  <c r="G2142" i="2"/>
  <c r="G2143" i="2"/>
  <c r="G2144" i="2"/>
  <c r="G2145" i="2"/>
  <c r="G2146" i="2"/>
  <c r="G2147" i="2"/>
  <c r="G2148" i="2"/>
  <c r="G2149" i="2"/>
  <c r="G2150" i="2"/>
  <c r="G2151" i="2"/>
  <c r="G2152" i="2"/>
  <c r="G2153" i="2"/>
  <c r="G2154" i="2"/>
  <c r="G2155" i="2"/>
  <c r="G2156" i="2"/>
  <c r="G2157" i="2"/>
  <c r="G2158" i="2"/>
  <c r="G2159" i="2"/>
  <c r="G2160" i="2"/>
  <c r="G3" i="2"/>
  <c r="F4" i="3" l="1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F476" i="3"/>
  <c r="F477" i="3"/>
  <c r="F478" i="3"/>
  <c r="F479" i="3"/>
  <c r="F480" i="3"/>
  <c r="F481" i="3"/>
  <c r="F482" i="3"/>
  <c r="F483" i="3"/>
  <c r="F484" i="3"/>
  <c r="F485" i="3"/>
  <c r="F486" i="3"/>
  <c r="F487" i="3"/>
  <c r="F488" i="3"/>
  <c r="F489" i="3"/>
  <c r="F490" i="3"/>
  <c r="F491" i="3"/>
  <c r="F492" i="3"/>
  <c r="F493" i="3"/>
  <c r="F494" i="3"/>
  <c r="F495" i="3"/>
  <c r="F496" i="3"/>
  <c r="F497" i="3"/>
  <c r="F498" i="3"/>
  <c r="F499" i="3"/>
  <c r="F500" i="3"/>
  <c r="F501" i="3"/>
  <c r="F502" i="3"/>
  <c r="F503" i="3"/>
  <c r="F504" i="3"/>
  <c r="F505" i="3"/>
  <c r="F506" i="3"/>
  <c r="F507" i="3"/>
  <c r="F508" i="3"/>
  <c r="F509" i="3"/>
  <c r="F510" i="3"/>
  <c r="F511" i="3"/>
  <c r="F512" i="3"/>
  <c r="F513" i="3"/>
  <c r="F514" i="3"/>
  <c r="F515" i="3"/>
  <c r="F516" i="3"/>
  <c r="F517" i="3"/>
  <c r="F518" i="3"/>
  <c r="F519" i="3"/>
  <c r="F520" i="3"/>
  <c r="F521" i="3"/>
  <c r="F522" i="3"/>
  <c r="F523" i="3"/>
  <c r="F524" i="3"/>
  <c r="F525" i="3"/>
  <c r="F526" i="3"/>
  <c r="F527" i="3"/>
  <c r="F528" i="3"/>
  <c r="F529" i="3"/>
  <c r="F530" i="3"/>
  <c r="F531" i="3"/>
  <c r="F532" i="3"/>
  <c r="F533" i="3"/>
  <c r="F534" i="3"/>
  <c r="F535" i="3"/>
  <c r="F536" i="3"/>
  <c r="F537" i="3"/>
  <c r="F538" i="3"/>
  <c r="F539" i="3"/>
  <c r="F540" i="3"/>
  <c r="F541" i="3"/>
  <c r="F542" i="3"/>
  <c r="F543" i="3"/>
  <c r="F544" i="3"/>
  <c r="F545" i="3"/>
  <c r="F546" i="3"/>
  <c r="F547" i="3"/>
  <c r="F548" i="3"/>
  <c r="F549" i="3"/>
  <c r="F550" i="3"/>
  <c r="F551" i="3"/>
  <c r="F552" i="3"/>
  <c r="F553" i="3"/>
  <c r="F554" i="3"/>
  <c r="F555" i="3"/>
  <c r="F556" i="3"/>
  <c r="F557" i="3"/>
  <c r="F558" i="3"/>
  <c r="F559" i="3"/>
  <c r="F560" i="3"/>
  <c r="F561" i="3"/>
  <c r="F562" i="3"/>
  <c r="F563" i="3"/>
  <c r="F564" i="3"/>
  <c r="F565" i="3"/>
  <c r="F566" i="3"/>
  <c r="F567" i="3"/>
  <c r="F568" i="3"/>
  <c r="F569" i="3"/>
  <c r="F570" i="3"/>
  <c r="F571" i="3"/>
  <c r="F572" i="3"/>
  <c r="F573" i="3"/>
  <c r="F574" i="3"/>
  <c r="F575" i="3"/>
  <c r="F576" i="3"/>
  <c r="F577" i="3"/>
  <c r="F578" i="3"/>
  <c r="F579" i="3"/>
  <c r="F580" i="3"/>
  <c r="F581" i="3"/>
  <c r="F582" i="3"/>
  <c r="F583" i="3"/>
  <c r="F584" i="3"/>
  <c r="F585" i="3"/>
  <c r="F586" i="3"/>
  <c r="F587" i="3"/>
  <c r="F588" i="3"/>
  <c r="F589" i="3"/>
  <c r="F590" i="3"/>
  <c r="F591" i="3"/>
  <c r="F592" i="3"/>
  <c r="F593" i="3"/>
  <c r="F594" i="3"/>
  <c r="F595" i="3"/>
  <c r="F596" i="3"/>
  <c r="F597" i="3"/>
  <c r="F598" i="3"/>
  <c r="F599" i="3"/>
  <c r="F600" i="3"/>
  <c r="F601" i="3"/>
  <c r="F602" i="3"/>
  <c r="F603" i="3"/>
  <c r="F604" i="3"/>
  <c r="F605" i="3"/>
  <c r="F606" i="3"/>
  <c r="F607" i="3"/>
  <c r="F608" i="3"/>
  <c r="F609" i="3"/>
  <c r="F610" i="3"/>
  <c r="F611" i="3"/>
  <c r="F612" i="3"/>
  <c r="F613" i="3"/>
  <c r="F614" i="3"/>
  <c r="F615" i="3"/>
  <c r="F616" i="3"/>
  <c r="F617" i="3"/>
  <c r="F618" i="3"/>
  <c r="F619" i="3"/>
  <c r="F620" i="3"/>
  <c r="F621" i="3"/>
  <c r="F622" i="3"/>
  <c r="F623" i="3"/>
  <c r="F624" i="3"/>
  <c r="F625" i="3"/>
  <c r="F626" i="3"/>
  <c r="F627" i="3"/>
  <c r="F628" i="3"/>
  <c r="F629" i="3"/>
  <c r="F630" i="3"/>
  <c r="F631" i="3"/>
  <c r="F632" i="3"/>
  <c r="F633" i="3"/>
  <c r="F634" i="3"/>
  <c r="F635" i="3"/>
  <c r="F636" i="3"/>
  <c r="F637" i="3"/>
  <c r="F638" i="3"/>
  <c r="F639" i="3"/>
  <c r="F640" i="3"/>
  <c r="F641" i="3"/>
  <c r="F642" i="3"/>
  <c r="F643" i="3"/>
  <c r="F644" i="3"/>
  <c r="F645" i="3"/>
  <c r="F646" i="3"/>
  <c r="F647" i="3"/>
  <c r="F648" i="3"/>
  <c r="F649" i="3"/>
  <c r="F650" i="3"/>
  <c r="F651" i="3"/>
  <c r="F652" i="3"/>
  <c r="F653" i="3"/>
  <c r="F654" i="3"/>
  <c r="F655" i="3"/>
  <c r="F656" i="3"/>
  <c r="F657" i="3"/>
  <c r="F658" i="3"/>
  <c r="F659" i="3"/>
  <c r="F660" i="3"/>
  <c r="F661" i="3"/>
  <c r="F662" i="3"/>
  <c r="F663" i="3"/>
  <c r="F664" i="3"/>
  <c r="F665" i="3"/>
  <c r="F666" i="3"/>
  <c r="F667" i="3"/>
  <c r="F668" i="3"/>
  <c r="F669" i="3"/>
  <c r="F670" i="3"/>
  <c r="F671" i="3"/>
  <c r="F672" i="3"/>
  <c r="F673" i="3"/>
  <c r="F674" i="3"/>
  <c r="F675" i="3"/>
  <c r="F676" i="3"/>
  <c r="F677" i="3"/>
  <c r="F678" i="3"/>
  <c r="F679" i="3"/>
  <c r="F680" i="3"/>
  <c r="F681" i="3"/>
  <c r="F682" i="3"/>
  <c r="F683" i="3"/>
  <c r="F684" i="3"/>
  <c r="F685" i="3"/>
  <c r="F686" i="3"/>
  <c r="F687" i="3"/>
  <c r="F688" i="3"/>
  <c r="F689" i="3"/>
  <c r="F690" i="3"/>
  <c r="F691" i="3"/>
  <c r="F692" i="3"/>
  <c r="F693" i="3"/>
  <c r="F694" i="3"/>
  <c r="F695" i="3"/>
  <c r="F696" i="3"/>
  <c r="F697" i="3"/>
  <c r="F698" i="3"/>
  <c r="F699" i="3"/>
  <c r="F700" i="3"/>
  <c r="F701" i="3"/>
  <c r="F702" i="3"/>
  <c r="F703" i="3"/>
  <c r="F704" i="3"/>
  <c r="F705" i="3"/>
  <c r="F706" i="3"/>
  <c r="F707" i="3"/>
  <c r="F708" i="3"/>
  <c r="F709" i="3"/>
  <c r="F710" i="3"/>
  <c r="F711" i="3"/>
  <c r="F712" i="3"/>
  <c r="F713" i="3"/>
  <c r="F714" i="3"/>
  <c r="F715" i="3"/>
  <c r="F716" i="3"/>
  <c r="F717" i="3"/>
  <c r="F718" i="3"/>
  <c r="F719" i="3"/>
  <c r="F720" i="3"/>
  <c r="F721" i="3"/>
  <c r="F722" i="3"/>
  <c r="F723" i="3"/>
  <c r="F724" i="3"/>
  <c r="F725" i="3"/>
  <c r="F726" i="3"/>
  <c r="F727" i="3"/>
  <c r="F728" i="3"/>
  <c r="F729" i="3"/>
  <c r="F730" i="3"/>
  <c r="F731" i="3"/>
  <c r="F732" i="3"/>
  <c r="F733" i="3"/>
  <c r="F734" i="3"/>
  <c r="F735" i="3"/>
  <c r="F736" i="3"/>
  <c r="F737" i="3"/>
  <c r="F738" i="3"/>
  <c r="F739" i="3"/>
  <c r="F740" i="3"/>
  <c r="F741" i="3"/>
  <c r="F742" i="3"/>
  <c r="F743" i="3"/>
  <c r="F744" i="3"/>
  <c r="F745" i="3"/>
  <c r="F746" i="3"/>
  <c r="F747" i="3"/>
  <c r="F748" i="3"/>
  <c r="F749" i="3"/>
  <c r="F750" i="3"/>
  <c r="F751" i="3"/>
  <c r="F752" i="3"/>
  <c r="F753" i="3"/>
  <c r="F754" i="3"/>
  <c r="F755" i="3"/>
  <c r="F756" i="3"/>
  <c r="F757" i="3"/>
  <c r="F758" i="3"/>
  <c r="F759" i="3"/>
  <c r="F760" i="3"/>
  <c r="F761" i="3"/>
  <c r="F762" i="3"/>
  <c r="F763" i="3"/>
  <c r="F764" i="3"/>
  <c r="F765" i="3"/>
  <c r="F766" i="3"/>
  <c r="F767" i="3"/>
  <c r="F768" i="3"/>
  <c r="F769" i="3"/>
  <c r="F770" i="3"/>
  <c r="F771" i="3"/>
  <c r="F772" i="3"/>
  <c r="F773" i="3"/>
  <c r="F774" i="3"/>
  <c r="F775" i="3"/>
  <c r="F776" i="3"/>
  <c r="F777" i="3"/>
  <c r="F778" i="3"/>
  <c r="F779" i="3"/>
  <c r="F780" i="3"/>
  <c r="F781" i="3"/>
  <c r="F782" i="3"/>
  <c r="F783" i="3"/>
  <c r="F784" i="3"/>
  <c r="F785" i="3"/>
  <c r="F786" i="3"/>
  <c r="F787" i="3"/>
  <c r="F788" i="3"/>
  <c r="F789" i="3"/>
  <c r="F790" i="3"/>
  <c r="F791" i="3"/>
  <c r="F792" i="3"/>
  <c r="F793" i="3"/>
  <c r="F794" i="3"/>
  <c r="F795" i="3"/>
  <c r="F796" i="3"/>
  <c r="F797" i="3"/>
  <c r="F798" i="3"/>
  <c r="F799" i="3"/>
  <c r="F800" i="3"/>
  <c r="F801" i="3"/>
  <c r="F802" i="3"/>
  <c r="F803" i="3"/>
  <c r="F804" i="3"/>
  <c r="F805" i="3"/>
  <c r="F806" i="3"/>
  <c r="F807" i="3"/>
  <c r="F808" i="3"/>
  <c r="F809" i="3"/>
  <c r="F810" i="3"/>
  <c r="F811" i="3"/>
  <c r="F812" i="3"/>
  <c r="F813" i="3"/>
  <c r="F814" i="3"/>
  <c r="F815" i="3"/>
  <c r="F816" i="3"/>
  <c r="F817" i="3"/>
  <c r="F818" i="3"/>
  <c r="F819" i="3"/>
  <c r="F820" i="3"/>
  <c r="F821" i="3"/>
  <c r="F822" i="3"/>
  <c r="F823" i="3"/>
  <c r="F824" i="3"/>
  <c r="F825" i="3"/>
  <c r="F826" i="3"/>
  <c r="F827" i="3"/>
  <c r="F828" i="3"/>
  <c r="F829" i="3"/>
  <c r="F830" i="3"/>
  <c r="F831" i="3"/>
  <c r="F832" i="3"/>
  <c r="F833" i="3"/>
  <c r="F834" i="3"/>
  <c r="F835" i="3"/>
  <c r="F836" i="3"/>
  <c r="F837" i="3"/>
  <c r="F838" i="3"/>
  <c r="F839" i="3"/>
  <c r="F840" i="3"/>
  <c r="F841" i="3"/>
  <c r="F842" i="3"/>
  <c r="F843" i="3"/>
  <c r="F844" i="3"/>
  <c r="F845" i="3"/>
  <c r="F846" i="3"/>
  <c r="F847" i="3"/>
  <c r="F848" i="3"/>
  <c r="F849" i="3"/>
  <c r="F850" i="3"/>
  <c r="F851" i="3"/>
  <c r="F852" i="3"/>
  <c r="F853" i="3"/>
  <c r="F854" i="3"/>
  <c r="F855" i="3"/>
  <c r="F856" i="3"/>
  <c r="F857" i="3"/>
  <c r="F858" i="3"/>
  <c r="F859" i="3"/>
  <c r="F860" i="3"/>
  <c r="F861" i="3"/>
  <c r="F862" i="3"/>
  <c r="F863" i="3"/>
  <c r="F864" i="3"/>
  <c r="F865" i="3"/>
  <c r="F866" i="3"/>
  <c r="F867" i="3"/>
  <c r="F868" i="3"/>
  <c r="F869" i="3"/>
  <c r="F870" i="3"/>
  <c r="F871" i="3"/>
  <c r="F872" i="3"/>
  <c r="F873" i="3"/>
  <c r="F874" i="3"/>
  <c r="F875" i="3"/>
  <c r="F876" i="3"/>
  <c r="F877" i="3"/>
  <c r="F878" i="3"/>
  <c r="F879" i="3"/>
  <c r="F880" i="3"/>
  <c r="F881" i="3"/>
  <c r="F882" i="3"/>
  <c r="F883" i="3"/>
  <c r="F884" i="3"/>
  <c r="F885" i="3"/>
  <c r="F886" i="3"/>
  <c r="F887" i="3"/>
  <c r="F888" i="3"/>
  <c r="F889" i="3"/>
  <c r="F890" i="3"/>
  <c r="F891" i="3"/>
  <c r="F892" i="3"/>
  <c r="F893" i="3"/>
  <c r="F894" i="3"/>
  <c r="F895" i="3"/>
  <c r="F896" i="3"/>
  <c r="F897" i="3"/>
  <c r="F898" i="3"/>
  <c r="F899" i="3"/>
  <c r="F900" i="3"/>
  <c r="F901" i="3"/>
  <c r="F902" i="3"/>
  <c r="F903" i="3"/>
  <c r="F904" i="3"/>
  <c r="F905" i="3"/>
  <c r="F906" i="3"/>
  <c r="F907" i="3"/>
  <c r="F908" i="3"/>
  <c r="F909" i="3"/>
  <c r="F910" i="3"/>
  <c r="F911" i="3"/>
  <c r="F912" i="3"/>
  <c r="F913" i="3"/>
  <c r="F914" i="3"/>
  <c r="F915" i="3"/>
  <c r="F916" i="3"/>
  <c r="F917" i="3"/>
  <c r="F918" i="3"/>
  <c r="F919" i="3"/>
  <c r="F920" i="3"/>
  <c r="F921" i="3"/>
  <c r="F922" i="3"/>
  <c r="F923" i="3"/>
  <c r="F924" i="3"/>
  <c r="F925" i="3"/>
  <c r="F926" i="3"/>
  <c r="F927" i="3"/>
  <c r="F928" i="3"/>
  <c r="F929" i="3"/>
  <c r="F930" i="3"/>
  <c r="F931" i="3"/>
  <c r="F932" i="3"/>
  <c r="F933" i="3"/>
  <c r="F934" i="3"/>
  <c r="F935" i="3"/>
  <c r="F936" i="3"/>
  <c r="F937" i="3"/>
  <c r="F938" i="3"/>
  <c r="F939" i="3"/>
  <c r="F940" i="3"/>
  <c r="F941" i="3"/>
  <c r="F942" i="3"/>
  <c r="F943" i="3"/>
  <c r="F944" i="3"/>
  <c r="F945" i="3"/>
  <c r="F946" i="3"/>
  <c r="F947" i="3"/>
  <c r="F948" i="3"/>
  <c r="F949" i="3"/>
  <c r="F950" i="3"/>
  <c r="F951" i="3"/>
  <c r="F952" i="3"/>
  <c r="F953" i="3"/>
  <c r="F954" i="3"/>
  <c r="F955" i="3"/>
  <c r="F956" i="3"/>
  <c r="F957" i="3"/>
  <c r="F958" i="3"/>
  <c r="F959" i="3"/>
  <c r="F960" i="3"/>
  <c r="F961" i="3"/>
  <c r="F962" i="3"/>
  <c r="F963" i="3"/>
  <c r="F964" i="3"/>
  <c r="F965" i="3"/>
  <c r="F966" i="3"/>
  <c r="F967" i="3"/>
  <c r="F968" i="3"/>
  <c r="F969" i="3"/>
  <c r="F970" i="3"/>
  <c r="F971" i="3"/>
  <c r="F972" i="3"/>
  <c r="F973" i="3"/>
  <c r="F974" i="3"/>
  <c r="F975" i="3"/>
  <c r="F976" i="3"/>
  <c r="F977" i="3"/>
  <c r="F978" i="3"/>
  <c r="F979" i="3"/>
  <c r="F980" i="3"/>
  <c r="F981" i="3"/>
  <c r="F982" i="3"/>
  <c r="F983" i="3"/>
  <c r="F984" i="3"/>
  <c r="F985" i="3"/>
  <c r="F986" i="3"/>
  <c r="F987" i="3"/>
  <c r="F988" i="3"/>
  <c r="F989" i="3"/>
  <c r="F990" i="3"/>
  <c r="F991" i="3"/>
  <c r="F992" i="3"/>
  <c r="F993" i="3"/>
  <c r="F994" i="3"/>
  <c r="F995" i="3"/>
  <c r="F996" i="3"/>
  <c r="F997" i="3"/>
  <c r="F998" i="3"/>
  <c r="F999" i="3"/>
  <c r="F1000" i="3"/>
  <c r="F1001" i="3"/>
  <c r="F1002" i="3"/>
  <c r="F1003" i="3"/>
  <c r="F1004" i="3"/>
  <c r="F1005" i="3"/>
  <c r="F1006" i="3"/>
  <c r="F1007" i="3"/>
  <c r="F1008" i="3"/>
  <c r="F1009" i="3"/>
  <c r="F1010" i="3"/>
  <c r="F1011" i="3"/>
  <c r="F1012" i="3"/>
  <c r="F1013" i="3"/>
  <c r="F1014" i="3"/>
  <c r="F1015" i="3"/>
  <c r="F1016" i="3"/>
  <c r="F1017" i="3"/>
  <c r="F1018" i="3"/>
  <c r="F1019" i="3"/>
  <c r="F1020" i="3"/>
  <c r="F1021" i="3"/>
  <c r="F1022" i="3"/>
  <c r="F1023" i="3"/>
  <c r="F1024" i="3"/>
  <c r="F1025" i="3"/>
  <c r="F1026" i="3"/>
  <c r="F1027" i="3"/>
  <c r="F1028" i="3"/>
  <c r="F1029" i="3"/>
  <c r="F1030" i="3"/>
  <c r="F1031" i="3"/>
  <c r="F1032" i="3"/>
  <c r="F1033" i="3"/>
  <c r="F1034" i="3"/>
  <c r="F1035" i="3"/>
  <c r="F1036" i="3"/>
  <c r="F1037" i="3"/>
  <c r="F1038" i="3"/>
  <c r="F1039" i="3"/>
  <c r="F1040" i="3"/>
  <c r="F1041" i="3"/>
  <c r="F1042" i="3"/>
  <c r="F1043" i="3"/>
  <c r="F1044" i="3"/>
  <c r="F1045" i="3"/>
  <c r="F1046" i="3"/>
  <c r="F1047" i="3"/>
  <c r="F1048" i="3"/>
  <c r="F1049" i="3"/>
  <c r="F1050" i="3"/>
  <c r="F1051" i="3"/>
  <c r="F1052" i="3"/>
  <c r="F1053" i="3"/>
  <c r="F1054" i="3"/>
  <c r="F1055" i="3"/>
  <c r="F1056" i="3"/>
  <c r="F1057" i="3"/>
  <c r="F1058" i="3"/>
  <c r="F1059" i="3"/>
  <c r="F1060" i="3"/>
  <c r="F1061" i="3"/>
  <c r="F1062" i="3"/>
  <c r="F1063" i="3"/>
  <c r="F1064" i="3"/>
  <c r="F1065" i="3"/>
  <c r="F1066" i="3"/>
  <c r="F1067" i="3"/>
  <c r="F1068" i="3"/>
  <c r="F1069" i="3"/>
  <c r="F1070" i="3"/>
  <c r="F1071" i="3"/>
  <c r="F1072" i="3"/>
  <c r="F1073" i="3"/>
  <c r="F1074" i="3"/>
  <c r="F1075" i="3"/>
  <c r="F1076" i="3"/>
  <c r="F1077" i="3"/>
  <c r="F1078" i="3"/>
  <c r="F1079" i="3"/>
  <c r="F1080" i="3"/>
  <c r="F1081" i="3"/>
  <c r="F1082" i="3"/>
  <c r="F1083" i="3"/>
  <c r="F1084" i="3"/>
  <c r="F1085" i="3"/>
  <c r="F1086" i="3"/>
  <c r="F1087" i="3"/>
  <c r="F1088" i="3"/>
  <c r="F1089" i="3"/>
  <c r="F1090" i="3"/>
  <c r="F1091" i="3"/>
  <c r="F1092" i="3"/>
  <c r="F1093" i="3"/>
  <c r="F1094" i="3"/>
  <c r="F1095" i="3"/>
  <c r="F1096" i="3"/>
  <c r="F1097" i="3"/>
  <c r="F1098" i="3"/>
  <c r="F1099" i="3"/>
  <c r="F1100" i="3"/>
  <c r="F1101" i="3"/>
  <c r="F1102" i="3"/>
  <c r="F1103" i="3"/>
  <c r="F1104" i="3"/>
  <c r="F1105" i="3"/>
  <c r="F1106" i="3"/>
  <c r="F1107" i="3"/>
  <c r="F1108" i="3"/>
  <c r="F1109" i="3"/>
  <c r="F1110" i="3"/>
  <c r="F1111" i="3"/>
  <c r="F1112" i="3"/>
  <c r="F1113" i="3"/>
  <c r="F1114" i="3"/>
  <c r="F1115" i="3"/>
  <c r="F1116" i="3"/>
  <c r="F1117" i="3"/>
  <c r="F1118" i="3"/>
  <c r="F1119" i="3"/>
  <c r="F1120" i="3"/>
  <c r="F1121" i="3"/>
  <c r="F1122" i="3"/>
  <c r="F1123" i="3"/>
  <c r="F1124" i="3"/>
  <c r="F1125" i="3"/>
  <c r="F1126" i="3"/>
  <c r="F1127" i="3"/>
  <c r="F1128" i="3"/>
  <c r="F1129" i="3"/>
  <c r="F1130" i="3"/>
  <c r="F1131" i="3"/>
  <c r="F1132" i="3"/>
  <c r="F1133" i="3"/>
  <c r="F1134" i="3"/>
  <c r="F1135" i="3"/>
  <c r="F1136" i="3"/>
  <c r="F1137" i="3"/>
  <c r="F1138" i="3"/>
  <c r="F1139" i="3"/>
  <c r="F1140" i="3"/>
  <c r="F1141" i="3"/>
  <c r="F1142" i="3"/>
  <c r="F1143" i="3"/>
  <c r="F1144" i="3"/>
  <c r="F1145" i="3"/>
  <c r="F1146" i="3"/>
  <c r="F1147" i="3"/>
  <c r="F1148" i="3"/>
  <c r="F1149" i="3"/>
  <c r="F1150" i="3"/>
  <c r="F1151" i="3"/>
  <c r="F1152" i="3"/>
  <c r="F1153" i="3"/>
  <c r="F1154" i="3"/>
  <c r="F1155" i="3"/>
  <c r="F1156" i="3"/>
  <c r="F1157" i="3"/>
  <c r="F1158" i="3"/>
  <c r="F1159" i="3"/>
  <c r="F1160" i="3"/>
  <c r="F1161" i="3"/>
  <c r="F1162" i="3"/>
  <c r="F1163" i="3"/>
  <c r="F1164" i="3"/>
  <c r="F1165" i="3"/>
  <c r="F1166" i="3"/>
  <c r="F1167" i="3"/>
  <c r="F1168" i="3"/>
  <c r="F1169" i="3"/>
  <c r="F1170" i="3"/>
  <c r="F1171" i="3"/>
  <c r="F1172" i="3"/>
  <c r="F1173" i="3"/>
  <c r="F1174" i="3"/>
  <c r="F1175" i="3"/>
  <c r="F1176" i="3"/>
  <c r="F1177" i="3"/>
  <c r="F1178" i="3"/>
  <c r="F1179" i="3"/>
  <c r="F1180" i="3"/>
  <c r="F1181" i="3"/>
  <c r="F1182" i="3"/>
  <c r="F1183" i="3"/>
  <c r="F1184" i="3"/>
  <c r="F1185" i="3"/>
  <c r="F1186" i="3"/>
  <c r="F1187" i="3"/>
  <c r="F1188" i="3"/>
  <c r="F1189" i="3"/>
  <c r="F1190" i="3"/>
  <c r="F1191" i="3"/>
  <c r="F1192" i="3"/>
  <c r="F1193" i="3"/>
  <c r="F1194" i="3"/>
  <c r="F1195" i="3"/>
  <c r="F1196" i="3"/>
  <c r="F1197" i="3"/>
  <c r="F1198" i="3"/>
  <c r="F1199" i="3"/>
  <c r="F1200" i="3"/>
  <c r="F1201" i="3"/>
  <c r="F1202" i="3"/>
  <c r="F1203" i="3"/>
  <c r="F1204" i="3"/>
  <c r="F1205" i="3"/>
  <c r="F1206" i="3"/>
  <c r="F1207" i="3"/>
  <c r="F1208" i="3"/>
  <c r="F1209" i="3"/>
  <c r="F1210" i="3"/>
  <c r="F1211" i="3"/>
  <c r="F1212" i="3"/>
  <c r="F1213" i="3"/>
  <c r="F1214" i="3"/>
  <c r="F1215" i="3"/>
  <c r="F1216" i="3"/>
  <c r="F1217" i="3"/>
  <c r="F1218" i="3"/>
  <c r="F1219" i="3"/>
  <c r="F1220" i="3"/>
  <c r="F1221" i="3"/>
  <c r="F1222" i="3"/>
  <c r="F1223" i="3"/>
  <c r="F1224" i="3"/>
  <c r="F1225" i="3"/>
  <c r="F1226" i="3"/>
  <c r="F1227" i="3"/>
  <c r="F1228" i="3"/>
  <c r="F1229" i="3"/>
  <c r="F1230" i="3"/>
  <c r="F1231" i="3"/>
  <c r="F1232" i="3"/>
  <c r="F1233" i="3"/>
  <c r="F1234" i="3"/>
  <c r="F1235" i="3"/>
  <c r="F1236" i="3"/>
  <c r="F1237" i="3"/>
  <c r="F1238" i="3"/>
  <c r="F1239" i="3"/>
  <c r="F1240" i="3"/>
  <c r="F1241" i="3"/>
  <c r="F1242" i="3"/>
  <c r="F1243" i="3"/>
  <c r="F1244" i="3"/>
  <c r="F1245" i="3"/>
  <c r="F1246" i="3"/>
  <c r="F1247" i="3"/>
  <c r="F1248" i="3"/>
  <c r="F1249" i="3"/>
  <c r="F1250" i="3"/>
  <c r="F1251" i="3"/>
  <c r="F1252" i="3"/>
  <c r="F1253" i="3"/>
  <c r="F1254" i="3"/>
  <c r="F1255" i="3"/>
  <c r="F1256" i="3"/>
  <c r="F1257" i="3"/>
  <c r="F1258" i="3"/>
  <c r="F1259" i="3"/>
  <c r="F1260" i="3"/>
  <c r="F1261" i="3"/>
  <c r="F1262" i="3"/>
  <c r="F1263" i="3"/>
  <c r="F1264" i="3"/>
  <c r="F1265" i="3"/>
  <c r="F1266" i="3"/>
  <c r="F1267" i="3"/>
  <c r="F1268" i="3"/>
  <c r="F1269" i="3"/>
  <c r="F1270" i="3"/>
  <c r="F1271" i="3"/>
  <c r="F1272" i="3"/>
  <c r="F1273" i="3"/>
  <c r="F1274" i="3"/>
  <c r="F1275" i="3"/>
  <c r="F1276" i="3"/>
  <c r="F1277" i="3"/>
  <c r="F1278" i="3"/>
  <c r="F1279" i="3"/>
  <c r="F1280" i="3"/>
  <c r="F1281" i="3"/>
  <c r="F1282" i="3"/>
  <c r="F1283" i="3"/>
  <c r="F1284" i="3"/>
  <c r="F1285" i="3"/>
  <c r="F1286" i="3"/>
  <c r="F1287" i="3"/>
  <c r="F1288" i="3"/>
  <c r="F1289" i="3"/>
  <c r="F1290" i="3"/>
  <c r="F1291" i="3"/>
  <c r="F1292" i="3"/>
  <c r="F1293" i="3"/>
  <c r="F1294" i="3"/>
  <c r="F1295" i="3"/>
  <c r="F1296" i="3"/>
  <c r="F1297" i="3"/>
  <c r="F1298" i="3"/>
  <c r="F1299" i="3"/>
  <c r="F1300" i="3"/>
  <c r="F1301" i="3"/>
  <c r="F1302" i="3"/>
  <c r="F1303" i="3"/>
  <c r="F1304" i="3"/>
  <c r="F1305" i="3"/>
  <c r="F1306" i="3"/>
  <c r="F1307" i="3"/>
  <c r="F1308" i="3"/>
  <c r="F1309" i="3"/>
  <c r="F1310" i="3"/>
  <c r="F1311" i="3"/>
  <c r="F1312" i="3"/>
  <c r="F1313" i="3"/>
  <c r="F1314" i="3"/>
  <c r="F1315" i="3"/>
  <c r="F1316" i="3"/>
  <c r="F1317" i="3"/>
  <c r="F1318" i="3"/>
  <c r="F1319" i="3"/>
  <c r="F1320" i="3"/>
  <c r="F1321" i="3"/>
  <c r="F1322" i="3"/>
  <c r="F1323" i="3"/>
  <c r="F1324" i="3"/>
  <c r="F1325" i="3"/>
  <c r="F1326" i="3"/>
  <c r="F1327" i="3"/>
  <c r="F1328" i="3"/>
  <c r="F1329" i="3"/>
  <c r="F1330" i="3"/>
  <c r="F1331" i="3"/>
  <c r="F1332" i="3"/>
  <c r="F1333" i="3"/>
  <c r="F1334" i="3"/>
  <c r="F1335" i="3"/>
  <c r="F1336" i="3"/>
  <c r="F1337" i="3"/>
  <c r="F1338" i="3"/>
  <c r="F1339" i="3"/>
  <c r="F1340" i="3"/>
  <c r="F1341" i="3"/>
  <c r="F1342" i="3"/>
  <c r="F1343" i="3"/>
  <c r="F1344" i="3"/>
  <c r="F1345" i="3"/>
  <c r="F1346" i="3"/>
  <c r="F1347" i="3"/>
  <c r="F1348" i="3"/>
  <c r="F1349" i="3"/>
  <c r="F1350" i="3"/>
  <c r="F1351" i="3"/>
  <c r="F1352" i="3"/>
  <c r="F1353" i="3"/>
  <c r="F1354" i="3"/>
  <c r="F1355" i="3"/>
  <c r="F1356" i="3"/>
  <c r="F1357" i="3"/>
  <c r="F1358" i="3"/>
  <c r="F1359" i="3"/>
  <c r="F1360" i="3"/>
  <c r="F1361" i="3"/>
  <c r="F1362" i="3"/>
  <c r="F1363" i="3"/>
  <c r="F1364" i="3"/>
  <c r="F1365" i="3"/>
  <c r="F1366" i="3"/>
  <c r="F1367" i="3"/>
  <c r="F1368" i="3"/>
  <c r="F1369" i="3"/>
  <c r="F1370" i="3"/>
  <c r="F1371" i="3"/>
  <c r="F1372" i="3"/>
  <c r="F1373" i="3"/>
  <c r="F1374" i="3"/>
  <c r="F1375" i="3"/>
  <c r="F1376" i="3"/>
  <c r="F1377" i="3"/>
  <c r="F1378" i="3"/>
  <c r="F1379" i="3"/>
  <c r="F1380" i="3"/>
  <c r="F1381" i="3"/>
  <c r="F1382" i="3"/>
  <c r="F1383" i="3"/>
  <c r="F1384" i="3"/>
  <c r="F1385" i="3"/>
  <c r="F1386" i="3"/>
  <c r="F1387" i="3"/>
  <c r="F1388" i="3"/>
  <c r="F1389" i="3"/>
  <c r="F1390" i="3"/>
  <c r="F1391" i="3"/>
  <c r="F1392" i="3"/>
  <c r="F1393" i="3"/>
  <c r="F1394" i="3"/>
  <c r="F1395" i="3"/>
  <c r="F1396" i="3"/>
  <c r="F1397" i="3"/>
  <c r="F1398" i="3"/>
  <c r="F1399" i="3"/>
  <c r="F1400" i="3"/>
  <c r="F1401" i="3"/>
  <c r="F1402" i="3"/>
  <c r="F1403" i="3"/>
  <c r="F1404" i="3"/>
  <c r="F1405" i="3"/>
  <c r="F1406" i="3"/>
  <c r="F1407" i="3"/>
  <c r="F1408" i="3"/>
  <c r="F1409" i="3"/>
  <c r="F1410" i="3"/>
  <c r="F1411" i="3"/>
  <c r="F1412" i="3"/>
  <c r="F1413" i="3"/>
  <c r="F1414" i="3"/>
  <c r="F1415" i="3"/>
  <c r="F1416" i="3"/>
  <c r="F1417" i="3"/>
  <c r="F1418" i="3"/>
  <c r="F1419" i="3"/>
  <c r="F1420" i="3"/>
  <c r="F1421" i="3"/>
  <c r="F1422" i="3"/>
  <c r="F1423" i="3"/>
  <c r="F1424" i="3"/>
  <c r="F1425" i="3"/>
  <c r="F1426" i="3"/>
  <c r="F1427" i="3"/>
  <c r="F1428" i="3"/>
  <c r="F1429" i="3"/>
  <c r="F1430" i="3"/>
  <c r="F1431" i="3"/>
  <c r="F1432" i="3"/>
  <c r="F1433" i="3"/>
  <c r="F1434" i="3"/>
  <c r="F1435" i="3"/>
  <c r="F1436" i="3"/>
  <c r="F1437" i="3"/>
  <c r="F1438" i="3"/>
  <c r="F1439" i="3"/>
  <c r="F1440" i="3"/>
  <c r="F1441" i="3"/>
  <c r="F1442" i="3"/>
  <c r="F1443" i="3"/>
  <c r="F1444" i="3"/>
  <c r="F1445" i="3"/>
  <c r="F1446" i="3"/>
  <c r="F1447" i="3"/>
  <c r="F1448" i="3"/>
  <c r="F1449" i="3"/>
  <c r="F1450" i="3"/>
  <c r="F1451" i="3"/>
  <c r="F1452" i="3"/>
  <c r="F1453" i="3"/>
  <c r="F1454" i="3"/>
  <c r="F1455" i="3"/>
  <c r="F1456" i="3"/>
  <c r="F1457" i="3"/>
  <c r="F1458" i="3"/>
  <c r="F1459" i="3"/>
  <c r="F1460" i="3"/>
  <c r="F1461" i="3"/>
  <c r="F1462" i="3"/>
  <c r="F1463" i="3"/>
  <c r="F1464" i="3"/>
  <c r="F1465" i="3"/>
  <c r="F1466" i="3"/>
  <c r="F1467" i="3"/>
  <c r="F1468" i="3"/>
  <c r="F1469" i="3"/>
  <c r="F1470" i="3"/>
  <c r="F1471" i="3"/>
  <c r="F1472" i="3"/>
  <c r="F1473" i="3"/>
  <c r="F1474" i="3"/>
  <c r="F1475" i="3"/>
  <c r="F1476" i="3"/>
  <c r="F1477" i="3"/>
  <c r="F1478" i="3"/>
  <c r="F1479" i="3"/>
  <c r="F1480" i="3"/>
  <c r="F1481" i="3"/>
  <c r="F1482" i="3"/>
  <c r="F1483" i="3"/>
  <c r="F1484" i="3"/>
  <c r="F1485" i="3"/>
  <c r="F1486" i="3"/>
  <c r="F1487" i="3"/>
  <c r="F1488" i="3"/>
  <c r="F1489" i="3"/>
  <c r="F1490" i="3"/>
  <c r="F1491" i="3"/>
  <c r="F1492" i="3"/>
  <c r="F1493" i="3"/>
  <c r="F1494" i="3"/>
  <c r="F1495" i="3"/>
  <c r="F1496" i="3"/>
  <c r="F1497" i="3"/>
  <c r="F1498" i="3"/>
  <c r="F1499" i="3"/>
  <c r="F1500" i="3"/>
  <c r="F1501" i="3"/>
  <c r="F1502" i="3"/>
  <c r="F1503" i="3"/>
  <c r="F1504" i="3"/>
  <c r="F1505" i="3"/>
  <c r="F1506" i="3"/>
  <c r="F1507" i="3"/>
  <c r="F1508" i="3"/>
  <c r="F1509" i="3"/>
  <c r="F1510" i="3"/>
  <c r="F1511" i="3"/>
  <c r="F1512" i="3"/>
  <c r="F1513" i="3"/>
  <c r="F1514" i="3"/>
  <c r="F1515" i="3"/>
  <c r="F1516" i="3"/>
  <c r="F1517" i="3"/>
  <c r="F1518" i="3"/>
  <c r="F1519" i="3"/>
  <c r="F1520" i="3"/>
  <c r="F1521" i="3"/>
  <c r="F1522" i="3"/>
  <c r="F1523" i="3"/>
  <c r="F1524" i="3"/>
  <c r="F1525" i="3"/>
  <c r="F1526" i="3"/>
  <c r="F1527" i="3"/>
  <c r="F1528" i="3"/>
  <c r="F1529" i="3"/>
  <c r="F1530" i="3"/>
  <c r="F1531" i="3"/>
  <c r="F1532" i="3"/>
  <c r="F1533" i="3"/>
  <c r="F1534" i="3"/>
  <c r="F1535" i="3"/>
  <c r="F1536" i="3"/>
  <c r="F1537" i="3"/>
  <c r="F1538" i="3"/>
  <c r="F1539" i="3"/>
  <c r="F1540" i="3"/>
  <c r="F1541" i="3"/>
  <c r="F1542" i="3"/>
  <c r="F1543" i="3"/>
  <c r="F1544" i="3"/>
  <c r="F1545" i="3"/>
  <c r="F1546" i="3"/>
  <c r="F1547" i="3"/>
  <c r="F1548" i="3"/>
  <c r="F1549" i="3"/>
  <c r="F1550" i="3"/>
  <c r="F1551" i="3"/>
  <c r="F1552" i="3"/>
  <c r="F1553" i="3"/>
  <c r="F1554" i="3"/>
  <c r="F1555" i="3"/>
  <c r="F1556" i="3"/>
  <c r="F1557" i="3"/>
  <c r="F1558" i="3"/>
  <c r="F1559" i="3"/>
  <c r="F1560" i="3"/>
  <c r="F1561" i="3"/>
  <c r="F1562" i="3"/>
  <c r="F1563" i="3"/>
  <c r="F1564" i="3"/>
  <c r="F1565" i="3"/>
  <c r="F1566" i="3"/>
  <c r="F1567" i="3"/>
  <c r="F1568" i="3"/>
  <c r="F1569" i="3"/>
  <c r="F1570" i="3"/>
  <c r="F1571" i="3"/>
  <c r="F1572" i="3"/>
  <c r="F1573" i="3"/>
  <c r="F1574" i="3"/>
  <c r="F1575" i="3"/>
  <c r="F1576" i="3"/>
  <c r="F1577" i="3"/>
  <c r="F1578" i="3"/>
  <c r="F1579" i="3"/>
  <c r="F1580" i="3"/>
  <c r="F1581" i="3"/>
  <c r="F1582" i="3"/>
  <c r="F1583" i="3"/>
  <c r="F1584" i="3"/>
  <c r="F1585" i="3"/>
  <c r="F1586" i="3"/>
  <c r="F1587" i="3"/>
  <c r="F1588" i="3"/>
  <c r="F1589" i="3"/>
  <c r="F1590" i="3"/>
  <c r="F1591" i="3"/>
  <c r="F1592" i="3"/>
  <c r="F1593" i="3"/>
  <c r="F1594" i="3"/>
  <c r="F1595" i="3"/>
  <c r="F1596" i="3"/>
  <c r="F1597" i="3"/>
  <c r="F1598" i="3"/>
  <c r="F1599" i="3"/>
  <c r="F1600" i="3"/>
  <c r="F1601" i="3"/>
  <c r="F1602" i="3"/>
  <c r="F1603" i="3"/>
  <c r="F1604" i="3"/>
  <c r="F1605" i="3"/>
  <c r="F1606" i="3"/>
  <c r="F1607" i="3"/>
  <c r="F1608" i="3"/>
  <c r="F1609" i="3"/>
  <c r="F1610" i="3"/>
  <c r="F1611" i="3"/>
  <c r="F1612" i="3"/>
  <c r="F1613" i="3"/>
  <c r="F1614" i="3"/>
  <c r="F1615" i="3"/>
  <c r="F1616" i="3"/>
  <c r="F1617" i="3"/>
  <c r="F1618" i="3"/>
  <c r="F1619" i="3"/>
  <c r="F1620" i="3"/>
  <c r="F1621" i="3"/>
  <c r="F1622" i="3"/>
  <c r="F1623" i="3"/>
  <c r="F1624" i="3"/>
  <c r="F1625" i="3"/>
  <c r="F1626" i="3"/>
  <c r="F1627" i="3"/>
  <c r="F1628" i="3"/>
  <c r="F1629" i="3"/>
  <c r="F1630" i="3"/>
  <c r="F1631" i="3"/>
  <c r="F1632" i="3"/>
  <c r="F1633" i="3"/>
  <c r="F1634" i="3"/>
  <c r="F1635" i="3"/>
  <c r="F1636" i="3"/>
  <c r="F1637" i="3"/>
  <c r="F1638" i="3"/>
  <c r="F1639" i="3"/>
  <c r="F1640" i="3"/>
  <c r="F1641" i="3"/>
  <c r="F1642" i="3"/>
  <c r="F1643" i="3"/>
  <c r="F1644" i="3"/>
  <c r="F1645" i="3"/>
  <c r="F1646" i="3"/>
  <c r="F1647" i="3"/>
  <c r="F1648" i="3"/>
  <c r="F1649" i="3"/>
  <c r="F1650" i="3"/>
  <c r="F1651" i="3"/>
  <c r="F1652" i="3"/>
  <c r="F1653" i="3"/>
  <c r="F1654" i="3"/>
  <c r="F1655" i="3"/>
  <c r="F1656" i="3"/>
  <c r="F1657" i="3"/>
  <c r="F1658" i="3"/>
  <c r="F1659" i="3"/>
  <c r="F1660" i="3"/>
  <c r="F1661" i="3"/>
  <c r="F1662" i="3"/>
  <c r="F1663" i="3"/>
  <c r="F1664" i="3"/>
  <c r="F1665" i="3"/>
  <c r="F1666" i="3"/>
  <c r="F1667" i="3"/>
  <c r="F1668" i="3"/>
  <c r="F1669" i="3"/>
  <c r="F1670" i="3"/>
  <c r="F1671" i="3"/>
  <c r="F1672" i="3"/>
  <c r="F1673" i="3"/>
  <c r="F1674" i="3"/>
  <c r="F1675" i="3"/>
  <c r="F1676" i="3"/>
  <c r="F1677" i="3"/>
  <c r="F1678" i="3"/>
  <c r="F1679" i="3"/>
  <c r="F1680" i="3"/>
  <c r="F1681" i="3"/>
  <c r="F1682" i="3"/>
  <c r="F1683" i="3"/>
  <c r="F1684" i="3"/>
  <c r="F1685" i="3"/>
  <c r="F1686" i="3"/>
  <c r="F1687" i="3"/>
  <c r="F1688" i="3"/>
  <c r="F1689" i="3"/>
  <c r="F1690" i="3"/>
  <c r="F1691" i="3"/>
  <c r="F1692" i="3"/>
  <c r="F1693" i="3"/>
  <c r="F1694" i="3"/>
  <c r="F1695" i="3"/>
  <c r="F1696" i="3"/>
  <c r="F1697" i="3"/>
  <c r="F1698" i="3"/>
  <c r="F1699" i="3"/>
  <c r="F1700" i="3"/>
  <c r="F1701" i="3"/>
  <c r="F1702" i="3"/>
  <c r="F1703" i="3"/>
  <c r="F1704" i="3"/>
  <c r="F1705" i="3"/>
  <c r="F1706" i="3"/>
  <c r="F1707" i="3"/>
  <c r="F1708" i="3"/>
  <c r="F1709" i="3"/>
  <c r="F1710" i="3"/>
  <c r="F1711" i="3"/>
  <c r="F1712" i="3"/>
  <c r="F1713" i="3"/>
  <c r="F1714" i="3"/>
  <c r="F1715" i="3"/>
  <c r="F1716" i="3"/>
  <c r="F1717" i="3"/>
  <c r="F1718" i="3"/>
  <c r="F1719" i="3"/>
  <c r="F1720" i="3"/>
  <c r="F1721" i="3"/>
  <c r="F1722" i="3"/>
  <c r="F1723" i="3"/>
  <c r="F1724" i="3"/>
  <c r="F1725" i="3"/>
  <c r="F1726" i="3"/>
  <c r="F1727" i="3"/>
  <c r="F1728" i="3"/>
  <c r="F1729" i="3"/>
  <c r="F1730" i="3"/>
  <c r="F1731" i="3"/>
  <c r="F1732" i="3"/>
  <c r="F1733" i="3"/>
  <c r="F1734" i="3"/>
  <c r="F1735" i="3"/>
  <c r="F1736" i="3"/>
  <c r="F1737" i="3"/>
  <c r="F1738" i="3"/>
  <c r="F1739" i="3"/>
  <c r="F1740" i="3"/>
  <c r="F1741" i="3"/>
  <c r="F1742" i="3"/>
  <c r="F1743" i="3"/>
  <c r="F1744" i="3"/>
  <c r="F1745" i="3"/>
  <c r="F1746" i="3"/>
  <c r="F1747" i="3"/>
  <c r="F1748" i="3"/>
  <c r="F1749" i="3"/>
  <c r="F1750" i="3"/>
  <c r="F1751" i="3"/>
  <c r="F1752" i="3"/>
  <c r="F1753" i="3"/>
  <c r="F1754" i="3"/>
  <c r="F1755" i="3"/>
  <c r="F1756" i="3"/>
  <c r="F1757" i="3"/>
  <c r="F1758" i="3"/>
  <c r="F1759" i="3"/>
  <c r="F1760" i="3"/>
  <c r="F1761" i="3"/>
  <c r="F1762" i="3"/>
  <c r="F1763" i="3"/>
  <c r="F1764" i="3"/>
  <c r="F1765" i="3"/>
  <c r="F1766" i="3"/>
  <c r="F1767" i="3"/>
  <c r="F1768" i="3"/>
  <c r="F1769" i="3"/>
  <c r="F1770" i="3"/>
  <c r="F1771" i="3"/>
  <c r="F1772" i="3"/>
  <c r="F1773" i="3"/>
  <c r="F1774" i="3"/>
  <c r="F1775" i="3"/>
  <c r="F1776" i="3"/>
  <c r="F1777" i="3"/>
  <c r="F1778" i="3"/>
  <c r="F1779" i="3"/>
  <c r="F1780" i="3"/>
  <c r="F1781" i="3"/>
  <c r="F1782" i="3"/>
  <c r="F1783" i="3"/>
  <c r="F1784" i="3"/>
  <c r="F1785" i="3"/>
  <c r="F1786" i="3"/>
  <c r="F1787" i="3"/>
  <c r="F1788" i="3"/>
  <c r="F1789" i="3"/>
  <c r="F1790" i="3"/>
  <c r="F1791" i="3"/>
  <c r="F1792" i="3"/>
  <c r="F1793" i="3"/>
  <c r="F1794" i="3"/>
  <c r="F1795" i="3"/>
  <c r="F1796" i="3"/>
  <c r="F1797" i="3"/>
  <c r="F1798" i="3"/>
  <c r="F1799" i="3"/>
  <c r="F1800" i="3"/>
  <c r="F1801" i="3"/>
  <c r="F1802" i="3"/>
  <c r="F1803" i="3"/>
  <c r="F1804" i="3"/>
  <c r="F1805" i="3"/>
  <c r="F1806" i="3"/>
  <c r="F1807" i="3"/>
  <c r="F1808" i="3"/>
  <c r="F1809" i="3"/>
  <c r="F1810" i="3"/>
  <c r="F1811" i="3"/>
  <c r="F1812" i="3"/>
  <c r="F1813" i="3"/>
  <c r="F1814" i="3"/>
  <c r="F1815" i="3"/>
  <c r="F1816" i="3"/>
  <c r="F1817" i="3"/>
  <c r="F1818" i="3"/>
  <c r="F1819" i="3"/>
  <c r="F1820" i="3"/>
  <c r="F1821" i="3"/>
  <c r="F1822" i="3"/>
  <c r="F1823" i="3"/>
  <c r="F1824" i="3"/>
  <c r="F1825" i="3"/>
  <c r="F1826" i="3"/>
  <c r="F1827" i="3"/>
  <c r="F1828" i="3"/>
  <c r="F1829" i="3"/>
  <c r="F1830" i="3"/>
  <c r="F1831" i="3"/>
  <c r="F1832" i="3"/>
  <c r="F1833" i="3"/>
  <c r="F1834" i="3"/>
  <c r="F1835" i="3"/>
  <c r="F1836" i="3"/>
  <c r="F1837" i="3"/>
  <c r="F1838" i="3"/>
  <c r="F1839" i="3"/>
  <c r="F1840" i="3"/>
  <c r="F1841" i="3"/>
  <c r="F1842" i="3"/>
  <c r="F1843" i="3"/>
  <c r="F1844" i="3"/>
  <c r="F1845" i="3"/>
  <c r="F1846" i="3"/>
  <c r="F1847" i="3"/>
  <c r="F1848" i="3"/>
  <c r="F1849" i="3"/>
  <c r="F1850" i="3"/>
  <c r="F1851" i="3"/>
  <c r="F1852" i="3"/>
  <c r="F1853" i="3"/>
  <c r="F1854" i="3"/>
  <c r="F1855" i="3"/>
  <c r="F1856" i="3"/>
  <c r="F1857" i="3"/>
  <c r="F1858" i="3"/>
  <c r="F1859" i="3"/>
  <c r="F1860" i="3"/>
  <c r="F1861" i="3"/>
  <c r="F1862" i="3"/>
  <c r="F1863" i="3"/>
  <c r="F1864" i="3"/>
  <c r="F1865" i="3"/>
  <c r="F1866" i="3"/>
  <c r="F1867" i="3"/>
  <c r="F1868" i="3"/>
  <c r="F1869" i="3"/>
  <c r="F1870" i="3"/>
  <c r="F1871" i="3"/>
  <c r="F1872" i="3"/>
  <c r="F1873" i="3"/>
  <c r="F1874" i="3"/>
  <c r="F1875" i="3"/>
  <c r="F1876" i="3"/>
  <c r="F1877" i="3"/>
  <c r="F1878" i="3"/>
  <c r="F1879" i="3"/>
  <c r="F1880" i="3"/>
  <c r="F1881" i="3"/>
  <c r="F1882" i="3"/>
  <c r="F1883" i="3"/>
  <c r="F1884" i="3"/>
  <c r="F1885" i="3"/>
  <c r="F1886" i="3"/>
  <c r="F1887" i="3"/>
  <c r="F1888" i="3"/>
  <c r="F1889" i="3"/>
  <c r="F1890" i="3"/>
  <c r="F1891" i="3"/>
  <c r="F1892" i="3"/>
  <c r="F1893" i="3"/>
  <c r="F1894" i="3"/>
  <c r="F1895" i="3"/>
  <c r="F1896" i="3"/>
  <c r="F1897" i="3"/>
  <c r="F1898" i="3"/>
  <c r="F1899" i="3"/>
  <c r="F1900" i="3"/>
  <c r="F1901" i="3"/>
  <c r="F1902" i="3"/>
  <c r="F1903" i="3"/>
  <c r="F1904" i="3"/>
  <c r="F1905" i="3"/>
  <c r="F1906" i="3"/>
  <c r="F1907" i="3"/>
  <c r="F1908" i="3"/>
  <c r="F1909" i="3"/>
  <c r="F1910" i="3"/>
  <c r="F1911" i="3"/>
  <c r="F1912" i="3"/>
  <c r="F1913" i="3"/>
  <c r="F1914" i="3"/>
  <c r="F1915" i="3"/>
  <c r="F1916" i="3"/>
  <c r="F1917" i="3"/>
  <c r="F1918" i="3"/>
  <c r="F1919" i="3"/>
  <c r="F1920" i="3"/>
  <c r="F1921" i="3"/>
  <c r="F1922" i="3"/>
  <c r="F1923" i="3"/>
  <c r="F1924" i="3"/>
  <c r="F1925" i="3"/>
  <c r="F1926" i="3"/>
  <c r="F1927" i="3"/>
  <c r="F1928" i="3"/>
  <c r="F1929" i="3"/>
  <c r="F1930" i="3"/>
  <c r="F1931" i="3"/>
  <c r="F1932" i="3"/>
  <c r="F1933" i="3"/>
  <c r="F1934" i="3"/>
  <c r="F1935" i="3"/>
  <c r="F1936" i="3"/>
  <c r="F1937" i="3"/>
  <c r="F1938" i="3"/>
  <c r="F1939" i="3"/>
  <c r="F1940" i="3"/>
  <c r="F1941" i="3"/>
  <c r="F1942" i="3"/>
  <c r="F1943" i="3"/>
  <c r="F1944" i="3"/>
  <c r="F1945" i="3"/>
  <c r="F1946" i="3"/>
  <c r="F1947" i="3"/>
  <c r="F1948" i="3"/>
  <c r="F1949" i="3"/>
  <c r="F1950" i="3"/>
  <c r="F1951" i="3"/>
  <c r="F1952" i="3"/>
  <c r="F1953" i="3"/>
  <c r="F1954" i="3"/>
  <c r="F1955" i="3"/>
  <c r="F1956" i="3"/>
  <c r="F1957" i="3"/>
  <c r="F1958" i="3"/>
  <c r="F1959" i="3"/>
  <c r="F1960" i="3"/>
  <c r="F1961" i="3"/>
  <c r="F1962" i="3"/>
  <c r="F1963" i="3"/>
  <c r="F1964" i="3"/>
  <c r="F1965" i="3"/>
  <c r="F1966" i="3"/>
  <c r="F1967" i="3"/>
  <c r="F1968" i="3"/>
  <c r="F1969" i="3"/>
  <c r="F1970" i="3"/>
  <c r="F1971" i="3"/>
  <c r="F1972" i="3"/>
  <c r="F1973" i="3"/>
  <c r="F1974" i="3"/>
  <c r="F1975" i="3"/>
  <c r="F1976" i="3"/>
  <c r="F1977" i="3"/>
  <c r="F1978" i="3"/>
  <c r="F1979" i="3"/>
  <c r="F1980" i="3"/>
  <c r="F1981" i="3"/>
  <c r="F1982" i="3"/>
  <c r="F1983" i="3"/>
  <c r="F1984" i="3"/>
  <c r="F1985" i="3"/>
  <c r="F1986" i="3"/>
  <c r="F1987" i="3"/>
  <c r="F1988" i="3"/>
  <c r="F1989" i="3"/>
  <c r="F1990" i="3"/>
  <c r="F1991" i="3"/>
  <c r="F1992" i="3"/>
  <c r="F1993" i="3"/>
  <c r="F1994" i="3"/>
  <c r="F1995" i="3"/>
  <c r="F1996" i="3"/>
  <c r="F1997" i="3"/>
  <c r="F1998" i="3"/>
  <c r="F1999" i="3"/>
  <c r="F2000" i="3"/>
  <c r="F2001" i="3"/>
  <c r="F2002" i="3"/>
  <c r="F2003" i="3"/>
  <c r="F2004" i="3"/>
  <c r="F2005" i="3"/>
  <c r="F2006" i="3"/>
  <c r="F2007" i="3"/>
  <c r="F2008" i="3"/>
  <c r="F2009" i="3"/>
  <c r="F2010" i="3"/>
  <c r="F2011" i="3"/>
  <c r="F2012" i="3"/>
  <c r="F2013" i="3"/>
  <c r="F2014" i="3"/>
  <c r="F2015" i="3"/>
  <c r="F2016" i="3"/>
  <c r="F2017" i="3"/>
  <c r="F2018" i="3"/>
  <c r="F2019" i="3"/>
  <c r="F2020" i="3"/>
  <c r="F2021" i="3"/>
  <c r="F2022" i="3"/>
  <c r="F2023" i="3"/>
  <c r="F2024" i="3"/>
  <c r="F2025" i="3"/>
  <c r="F2026" i="3"/>
  <c r="F2027" i="3"/>
  <c r="F2028" i="3"/>
  <c r="F2029" i="3"/>
  <c r="F2030" i="3"/>
  <c r="F2031" i="3"/>
  <c r="F2032" i="3"/>
  <c r="F2033" i="3"/>
  <c r="F2034" i="3"/>
  <c r="F2035" i="3"/>
  <c r="F2036" i="3"/>
  <c r="F2037" i="3"/>
  <c r="F2038" i="3"/>
  <c r="F2039" i="3"/>
  <c r="F2040" i="3"/>
  <c r="F2041" i="3"/>
  <c r="F2042" i="3"/>
  <c r="F2043" i="3"/>
  <c r="F2044" i="3"/>
  <c r="F2045" i="3"/>
  <c r="F2046" i="3"/>
  <c r="F2047" i="3"/>
  <c r="F2048" i="3"/>
  <c r="F2049" i="3"/>
  <c r="F2050" i="3"/>
  <c r="F2051" i="3"/>
  <c r="F2052" i="3"/>
  <c r="F2053" i="3"/>
  <c r="F2054" i="3"/>
  <c r="F2055" i="3"/>
  <c r="F2056" i="3"/>
  <c r="F2057" i="3"/>
  <c r="F2058" i="3"/>
  <c r="F2059" i="3"/>
  <c r="F2060" i="3"/>
  <c r="F2061" i="3"/>
  <c r="F2062" i="3"/>
  <c r="F2063" i="3"/>
  <c r="F2064" i="3"/>
  <c r="F2065" i="3"/>
  <c r="F2066" i="3"/>
  <c r="F2067" i="3"/>
  <c r="F2068" i="3"/>
  <c r="F2069" i="3"/>
  <c r="F2070" i="3"/>
  <c r="F2071" i="3"/>
  <c r="F2072" i="3"/>
  <c r="F2073" i="3"/>
  <c r="F2074" i="3"/>
  <c r="F2075" i="3"/>
  <c r="F2076" i="3"/>
  <c r="F2077" i="3"/>
  <c r="F2078" i="3"/>
  <c r="F2079" i="3"/>
  <c r="F2080" i="3"/>
  <c r="F2081" i="3"/>
  <c r="F2082" i="3"/>
  <c r="F2083" i="3"/>
  <c r="F2084" i="3"/>
  <c r="F2085" i="3"/>
  <c r="F2086" i="3"/>
  <c r="F2087" i="3"/>
  <c r="F2088" i="3"/>
  <c r="F2089" i="3"/>
  <c r="F2090" i="3"/>
  <c r="F2091" i="3"/>
  <c r="F2092" i="3"/>
  <c r="F2093" i="3"/>
  <c r="F2094" i="3"/>
  <c r="F2095" i="3"/>
  <c r="F2096" i="3"/>
  <c r="F2097" i="3"/>
  <c r="F2098" i="3"/>
  <c r="F2099" i="3"/>
  <c r="F2100" i="3"/>
  <c r="F2101" i="3"/>
  <c r="F2102" i="3"/>
  <c r="F2103" i="3"/>
  <c r="F2104" i="3"/>
  <c r="F2105" i="3"/>
  <c r="F2106" i="3"/>
  <c r="F2107" i="3"/>
  <c r="F2108" i="3"/>
  <c r="F2109" i="3"/>
  <c r="F2110" i="3"/>
  <c r="F2111" i="3"/>
  <c r="F2112" i="3"/>
  <c r="F2113" i="3"/>
  <c r="F2114" i="3"/>
  <c r="F2115" i="3"/>
  <c r="F2116" i="3"/>
  <c r="F2117" i="3"/>
  <c r="F2118" i="3"/>
  <c r="F2119" i="3"/>
  <c r="F2120" i="3"/>
  <c r="F2121" i="3"/>
  <c r="F2122" i="3"/>
  <c r="F2123" i="3"/>
  <c r="F2124" i="3"/>
  <c r="F2125" i="3"/>
  <c r="F2126" i="3"/>
  <c r="F2127" i="3"/>
  <c r="F2128" i="3"/>
  <c r="F2129" i="3"/>
  <c r="F2130" i="3"/>
  <c r="F2131" i="3"/>
  <c r="F2132" i="3"/>
  <c r="F2133" i="3"/>
  <c r="F2134" i="3"/>
  <c r="F2135" i="3"/>
  <c r="F2136" i="3"/>
  <c r="F2137" i="3"/>
  <c r="F2138" i="3"/>
  <c r="F2139" i="3"/>
  <c r="F2140" i="3"/>
  <c r="F2141" i="3"/>
  <c r="F2142" i="3"/>
  <c r="F2143" i="3"/>
  <c r="F2144" i="3"/>
  <c r="F2145" i="3"/>
  <c r="F2146" i="3"/>
  <c r="F2147" i="3"/>
  <c r="F2148" i="3"/>
  <c r="F2149" i="3"/>
  <c r="F2150" i="3"/>
  <c r="F2151" i="3"/>
  <c r="F2152" i="3"/>
  <c r="F2153" i="3"/>
  <c r="F2154" i="3"/>
  <c r="F2155" i="3"/>
  <c r="F2156" i="3"/>
  <c r="F2157" i="3"/>
  <c r="F2158" i="3"/>
  <c r="F2159" i="3"/>
  <c r="F2160" i="3"/>
  <c r="E4" i="3"/>
  <c r="E5" i="3"/>
  <c r="G5" i="3" s="1"/>
  <c r="E6" i="3"/>
  <c r="G6" i="3" s="1"/>
  <c r="E7" i="3"/>
  <c r="E8" i="3"/>
  <c r="E9" i="3"/>
  <c r="G9" i="3" s="1"/>
  <c r="E10" i="3"/>
  <c r="G10" i="3" s="1"/>
  <c r="E11" i="3"/>
  <c r="E12" i="3"/>
  <c r="E13" i="3"/>
  <c r="G13" i="3" s="1"/>
  <c r="E14" i="3"/>
  <c r="G14" i="3" s="1"/>
  <c r="E15" i="3"/>
  <c r="E16" i="3"/>
  <c r="E17" i="3"/>
  <c r="G17" i="3" s="1"/>
  <c r="E18" i="3"/>
  <c r="G18" i="3" s="1"/>
  <c r="E19" i="3"/>
  <c r="E20" i="3"/>
  <c r="E21" i="3"/>
  <c r="G21" i="3" s="1"/>
  <c r="E22" i="3"/>
  <c r="G22" i="3" s="1"/>
  <c r="E23" i="3"/>
  <c r="E24" i="3"/>
  <c r="E25" i="3"/>
  <c r="G25" i="3" s="1"/>
  <c r="E26" i="3"/>
  <c r="G26" i="3" s="1"/>
  <c r="E27" i="3"/>
  <c r="E28" i="3"/>
  <c r="E29" i="3"/>
  <c r="G29" i="3" s="1"/>
  <c r="E30" i="3"/>
  <c r="G30" i="3" s="1"/>
  <c r="E31" i="3"/>
  <c r="E32" i="3"/>
  <c r="E33" i="3"/>
  <c r="G33" i="3" s="1"/>
  <c r="E34" i="3"/>
  <c r="G34" i="3" s="1"/>
  <c r="E35" i="3"/>
  <c r="E36" i="3"/>
  <c r="E37" i="3"/>
  <c r="G37" i="3" s="1"/>
  <c r="E38" i="3"/>
  <c r="G38" i="3" s="1"/>
  <c r="E39" i="3"/>
  <c r="E40" i="3"/>
  <c r="E41" i="3"/>
  <c r="G41" i="3" s="1"/>
  <c r="E42" i="3"/>
  <c r="G42" i="3" s="1"/>
  <c r="E43" i="3"/>
  <c r="E44" i="3"/>
  <c r="E45" i="3"/>
  <c r="G45" i="3" s="1"/>
  <c r="E46" i="3"/>
  <c r="G46" i="3" s="1"/>
  <c r="E47" i="3"/>
  <c r="E48" i="3"/>
  <c r="E49" i="3"/>
  <c r="G49" i="3" s="1"/>
  <c r="E50" i="3"/>
  <c r="G50" i="3" s="1"/>
  <c r="E51" i="3"/>
  <c r="E52" i="3"/>
  <c r="E53" i="3"/>
  <c r="G53" i="3" s="1"/>
  <c r="E54" i="3"/>
  <c r="G54" i="3" s="1"/>
  <c r="E55" i="3"/>
  <c r="E56" i="3"/>
  <c r="E57" i="3"/>
  <c r="G57" i="3" s="1"/>
  <c r="E58" i="3"/>
  <c r="G58" i="3" s="1"/>
  <c r="E59" i="3"/>
  <c r="E60" i="3"/>
  <c r="E61" i="3"/>
  <c r="G61" i="3" s="1"/>
  <c r="E62" i="3"/>
  <c r="G62" i="3" s="1"/>
  <c r="E63" i="3"/>
  <c r="E64" i="3"/>
  <c r="E65" i="3"/>
  <c r="G65" i="3" s="1"/>
  <c r="E66" i="3"/>
  <c r="G66" i="3" s="1"/>
  <c r="E67" i="3"/>
  <c r="E68" i="3"/>
  <c r="E69" i="3"/>
  <c r="G69" i="3" s="1"/>
  <c r="E70" i="3"/>
  <c r="G70" i="3" s="1"/>
  <c r="E71" i="3"/>
  <c r="E72" i="3"/>
  <c r="E73" i="3"/>
  <c r="G73" i="3" s="1"/>
  <c r="E74" i="3"/>
  <c r="G74" i="3" s="1"/>
  <c r="E75" i="3"/>
  <c r="E76" i="3"/>
  <c r="E77" i="3"/>
  <c r="G77" i="3" s="1"/>
  <c r="E78" i="3"/>
  <c r="G78" i="3" s="1"/>
  <c r="E79" i="3"/>
  <c r="E80" i="3"/>
  <c r="E81" i="3"/>
  <c r="G81" i="3" s="1"/>
  <c r="E82" i="3"/>
  <c r="G82" i="3" s="1"/>
  <c r="E83" i="3"/>
  <c r="E84" i="3"/>
  <c r="E85" i="3"/>
  <c r="G85" i="3" s="1"/>
  <c r="E86" i="3"/>
  <c r="G86" i="3" s="1"/>
  <c r="E87" i="3"/>
  <c r="E88" i="3"/>
  <c r="E89" i="3"/>
  <c r="G89" i="3" s="1"/>
  <c r="E90" i="3"/>
  <c r="G90" i="3" s="1"/>
  <c r="E91" i="3"/>
  <c r="E92" i="3"/>
  <c r="E93" i="3"/>
  <c r="G93" i="3" s="1"/>
  <c r="E94" i="3"/>
  <c r="G94" i="3" s="1"/>
  <c r="E95" i="3"/>
  <c r="E96" i="3"/>
  <c r="E97" i="3"/>
  <c r="G97" i="3" s="1"/>
  <c r="E98" i="3"/>
  <c r="G98" i="3" s="1"/>
  <c r="E99" i="3"/>
  <c r="E100" i="3"/>
  <c r="E101" i="3"/>
  <c r="G101" i="3" s="1"/>
  <c r="E102" i="3"/>
  <c r="G102" i="3" s="1"/>
  <c r="E103" i="3"/>
  <c r="E104" i="3"/>
  <c r="E105" i="3"/>
  <c r="G105" i="3" s="1"/>
  <c r="E106" i="3"/>
  <c r="G106" i="3" s="1"/>
  <c r="E107" i="3"/>
  <c r="E108" i="3"/>
  <c r="E109" i="3"/>
  <c r="G109" i="3" s="1"/>
  <c r="E110" i="3"/>
  <c r="G110" i="3" s="1"/>
  <c r="E111" i="3"/>
  <c r="E112" i="3"/>
  <c r="E113" i="3"/>
  <c r="G113" i="3" s="1"/>
  <c r="E114" i="3"/>
  <c r="G114" i="3" s="1"/>
  <c r="E115" i="3"/>
  <c r="E116" i="3"/>
  <c r="E117" i="3"/>
  <c r="G117" i="3" s="1"/>
  <c r="E118" i="3"/>
  <c r="G118" i="3" s="1"/>
  <c r="E119" i="3"/>
  <c r="E120" i="3"/>
  <c r="E121" i="3"/>
  <c r="G121" i="3" s="1"/>
  <c r="E122" i="3"/>
  <c r="G122" i="3" s="1"/>
  <c r="E123" i="3"/>
  <c r="E124" i="3"/>
  <c r="E125" i="3"/>
  <c r="G125" i="3" s="1"/>
  <c r="E126" i="3"/>
  <c r="G126" i="3" s="1"/>
  <c r="E127" i="3"/>
  <c r="E128" i="3"/>
  <c r="E129" i="3"/>
  <c r="G129" i="3" s="1"/>
  <c r="E130" i="3"/>
  <c r="G130" i="3" s="1"/>
  <c r="E131" i="3"/>
  <c r="E132" i="3"/>
  <c r="E133" i="3"/>
  <c r="G133" i="3" s="1"/>
  <c r="E134" i="3"/>
  <c r="G134" i="3" s="1"/>
  <c r="E135" i="3"/>
  <c r="E136" i="3"/>
  <c r="E137" i="3"/>
  <c r="G137" i="3" s="1"/>
  <c r="E138" i="3"/>
  <c r="G138" i="3" s="1"/>
  <c r="E139" i="3"/>
  <c r="E140" i="3"/>
  <c r="E141" i="3"/>
  <c r="G141" i="3" s="1"/>
  <c r="E142" i="3"/>
  <c r="G142" i="3" s="1"/>
  <c r="E143" i="3"/>
  <c r="E144" i="3"/>
  <c r="E145" i="3"/>
  <c r="G145" i="3" s="1"/>
  <c r="E146" i="3"/>
  <c r="G146" i="3" s="1"/>
  <c r="E147" i="3"/>
  <c r="E148" i="3"/>
  <c r="E149" i="3"/>
  <c r="G149" i="3" s="1"/>
  <c r="E150" i="3"/>
  <c r="G150" i="3" s="1"/>
  <c r="E151" i="3"/>
  <c r="E152" i="3"/>
  <c r="E153" i="3"/>
  <c r="G153" i="3" s="1"/>
  <c r="E154" i="3"/>
  <c r="G154" i="3" s="1"/>
  <c r="E155" i="3"/>
  <c r="E156" i="3"/>
  <c r="E157" i="3"/>
  <c r="G157" i="3" s="1"/>
  <c r="E158" i="3"/>
  <c r="G158" i="3" s="1"/>
  <c r="E159" i="3"/>
  <c r="E160" i="3"/>
  <c r="E161" i="3"/>
  <c r="G161" i="3" s="1"/>
  <c r="E162" i="3"/>
  <c r="G162" i="3" s="1"/>
  <c r="E163" i="3"/>
  <c r="E164" i="3"/>
  <c r="E165" i="3"/>
  <c r="G165" i="3" s="1"/>
  <c r="E166" i="3"/>
  <c r="G166" i="3" s="1"/>
  <c r="E167" i="3"/>
  <c r="E168" i="3"/>
  <c r="E169" i="3"/>
  <c r="G169" i="3" s="1"/>
  <c r="E170" i="3"/>
  <c r="G170" i="3" s="1"/>
  <c r="E171" i="3"/>
  <c r="E172" i="3"/>
  <c r="E173" i="3"/>
  <c r="G173" i="3" s="1"/>
  <c r="E174" i="3"/>
  <c r="G174" i="3" s="1"/>
  <c r="E175" i="3"/>
  <c r="E176" i="3"/>
  <c r="E177" i="3"/>
  <c r="G177" i="3" s="1"/>
  <c r="E178" i="3"/>
  <c r="G178" i="3" s="1"/>
  <c r="E179" i="3"/>
  <c r="E180" i="3"/>
  <c r="E181" i="3"/>
  <c r="G181" i="3" s="1"/>
  <c r="E182" i="3"/>
  <c r="G182" i="3" s="1"/>
  <c r="E183" i="3"/>
  <c r="E184" i="3"/>
  <c r="E185" i="3"/>
  <c r="G185" i="3" s="1"/>
  <c r="E186" i="3"/>
  <c r="G186" i="3" s="1"/>
  <c r="E187" i="3"/>
  <c r="E188" i="3"/>
  <c r="E189" i="3"/>
  <c r="G189" i="3" s="1"/>
  <c r="E190" i="3"/>
  <c r="G190" i="3" s="1"/>
  <c r="E191" i="3"/>
  <c r="E192" i="3"/>
  <c r="E193" i="3"/>
  <c r="G193" i="3" s="1"/>
  <c r="E194" i="3"/>
  <c r="G194" i="3" s="1"/>
  <c r="E195" i="3"/>
  <c r="E196" i="3"/>
  <c r="E197" i="3"/>
  <c r="G197" i="3" s="1"/>
  <c r="E198" i="3"/>
  <c r="G198" i="3" s="1"/>
  <c r="E199" i="3"/>
  <c r="E200" i="3"/>
  <c r="E201" i="3"/>
  <c r="G201" i="3" s="1"/>
  <c r="E202" i="3"/>
  <c r="G202" i="3" s="1"/>
  <c r="E203" i="3"/>
  <c r="E204" i="3"/>
  <c r="E205" i="3"/>
  <c r="G205" i="3" s="1"/>
  <c r="E206" i="3"/>
  <c r="G206" i="3" s="1"/>
  <c r="E207" i="3"/>
  <c r="E208" i="3"/>
  <c r="E209" i="3"/>
  <c r="G209" i="3" s="1"/>
  <c r="E210" i="3"/>
  <c r="G210" i="3" s="1"/>
  <c r="E211" i="3"/>
  <c r="E212" i="3"/>
  <c r="E213" i="3"/>
  <c r="G213" i="3" s="1"/>
  <c r="E214" i="3"/>
  <c r="G214" i="3" s="1"/>
  <c r="E215" i="3"/>
  <c r="E216" i="3"/>
  <c r="E217" i="3"/>
  <c r="G217" i="3" s="1"/>
  <c r="E218" i="3"/>
  <c r="G218" i="3" s="1"/>
  <c r="E219" i="3"/>
  <c r="E220" i="3"/>
  <c r="E221" i="3"/>
  <c r="G221" i="3" s="1"/>
  <c r="E222" i="3"/>
  <c r="G222" i="3" s="1"/>
  <c r="E223" i="3"/>
  <c r="E224" i="3"/>
  <c r="E225" i="3"/>
  <c r="G225" i="3" s="1"/>
  <c r="E226" i="3"/>
  <c r="G226" i="3" s="1"/>
  <c r="E227" i="3"/>
  <c r="E228" i="3"/>
  <c r="E229" i="3"/>
  <c r="G229" i="3" s="1"/>
  <c r="E230" i="3"/>
  <c r="G230" i="3" s="1"/>
  <c r="E231" i="3"/>
  <c r="E232" i="3"/>
  <c r="E233" i="3"/>
  <c r="G233" i="3" s="1"/>
  <c r="E234" i="3"/>
  <c r="G234" i="3" s="1"/>
  <c r="E235" i="3"/>
  <c r="E236" i="3"/>
  <c r="E237" i="3"/>
  <c r="G237" i="3" s="1"/>
  <c r="E238" i="3"/>
  <c r="G238" i="3" s="1"/>
  <c r="E239" i="3"/>
  <c r="E240" i="3"/>
  <c r="E241" i="3"/>
  <c r="G241" i="3" s="1"/>
  <c r="E242" i="3"/>
  <c r="G242" i="3" s="1"/>
  <c r="E243" i="3"/>
  <c r="E244" i="3"/>
  <c r="E245" i="3"/>
  <c r="G245" i="3" s="1"/>
  <c r="E246" i="3"/>
  <c r="G246" i="3" s="1"/>
  <c r="E247" i="3"/>
  <c r="E248" i="3"/>
  <c r="E249" i="3"/>
  <c r="G249" i="3" s="1"/>
  <c r="E250" i="3"/>
  <c r="G250" i="3" s="1"/>
  <c r="E251" i="3"/>
  <c r="E252" i="3"/>
  <c r="E253" i="3"/>
  <c r="G253" i="3" s="1"/>
  <c r="E254" i="3"/>
  <c r="G254" i="3" s="1"/>
  <c r="E255" i="3"/>
  <c r="E256" i="3"/>
  <c r="E257" i="3"/>
  <c r="G257" i="3" s="1"/>
  <c r="E258" i="3"/>
  <c r="G258" i="3" s="1"/>
  <c r="E259" i="3"/>
  <c r="E260" i="3"/>
  <c r="E261" i="3"/>
  <c r="G261" i="3" s="1"/>
  <c r="E262" i="3"/>
  <c r="G262" i="3" s="1"/>
  <c r="E263" i="3"/>
  <c r="E264" i="3"/>
  <c r="E265" i="3"/>
  <c r="G265" i="3" s="1"/>
  <c r="E266" i="3"/>
  <c r="G266" i="3" s="1"/>
  <c r="E267" i="3"/>
  <c r="E268" i="3"/>
  <c r="E269" i="3"/>
  <c r="G269" i="3" s="1"/>
  <c r="E270" i="3"/>
  <c r="G270" i="3" s="1"/>
  <c r="E271" i="3"/>
  <c r="E272" i="3"/>
  <c r="E273" i="3"/>
  <c r="G273" i="3" s="1"/>
  <c r="E274" i="3"/>
  <c r="G274" i="3" s="1"/>
  <c r="E275" i="3"/>
  <c r="E276" i="3"/>
  <c r="E277" i="3"/>
  <c r="G277" i="3" s="1"/>
  <c r="E278" i="3"/>
  <c r="G278" i="3" s="1"/>
  <c r="E279" i="3"/>
  <c r="E280" i="3"/>
  <c r="E281" i="3"/>
  <c r="G281" i="3" s="1"/>
  <c r="E282" i="3"/>
  <c r="G282" i="3" s="1"/>
  <c r="E283" i="3"/>
  <c r="E284" i="3"/>
  <c r="E285" i="3"/>
  <c r="G285" i="3" s="1"/>
  <c r="E286" i="3"/>
  <c r="G286" i="3" s="1"/>
  <c r="E287" i="3"/>
  <c r="E288" i="3"/>
  <c r="E289" i="3"/>
  <c r="G289" i="3" s="1"/>
  <c r="E290" i="3"/>
  <c r="G290" i="3" s="1"/>
  <c r="E291" i="3"/>
  <c r="E292" i="3"/>
  <c r="E293" i="3"/>
  <c r="G293" i="3" s="1"/>
  <c r="E294" i="3"/>
  <c r="G294" i="3" s="1"/>
  <c r="E295" i="3"/>
  <c r="E296" i="3"/>
  <c r="E297" i="3"/>
  <c r="G297" i="3" s="1"/>
  <c r="E298" i="3"/>
  <c r="G298" i="3" s="1"/>
  <c r="E299" i="3"/>
  <c r="E300" i="3"/>
  <c r="E301" i="3"/>
  <c r="G301" i="3" s="1"/>
  <c r="E302" i="3"/>
  <c r="G302" i="3" s="1"/>
  <c r="E303" i="3"/>
  <c r="E304" i="3"/>
  <c r="E305" i="3"/>
  <c r="G305" i="3" s="1"/>
  <c r="E306" i="3"/>
  <c r="G306" i="3" s="1"/>
  <c r="E307" i="3"/>
  <c r="E308" i="3"/>
  <c r="E309" i="3"/>
  <c r="G309" i="3" s="1"/>
  <c r="E310" i="3"/>
  <c r="G310" i="3" s="1"/>
  <c r="E311" i="3"/>
  <c r="E312" i="3"/>
  <c r="E313" i="3"/>
  <c r="G313" i="3" s="1"/>
  <c r="E314" i="3"/>
  <c r="G314" i="3" s="1"/>
  <c r="E315" i="3"/>
  <c r="E316" i="3"/>
  <c r="E317" i="3"/>
  <c r="G317" i="3" s="1"/>
  <c r="E318" i="3"/>
  <c r="G318" i="3" s="1"/>
  <c r="E319" i="3"/>
  <c r="E320" i="3"/>
  <c r="E321" i="3"/>
  <c r="G321" i="3" s="1"/>
  <c r="E322" i="3"/>
  <c r="G322" i="3" s="1"/>
  <c r="E323" i="3"/>
  <c r="E324" i="3"/>
  <c r="E325" i="3"/>
  <c r="G325" i="3" s="1"/>
  <c r="E326" i="3"/>
  <c r="G326" i="3" s="1"/>
  <c r="E327" i="3"/>
  <c r="E328" i="3"/>
  <c r="E329" i="3"/>
  <c r="G329" i="3" s="1"/>
  <c r="E330" i="3"/>
  <c r="G330" i="3" s="1"/>
  <c r="E331" i="3"/>
  <c r="E332" i="3"/>
  <c r="E333" i="3"/>
  <c r="G333" i="3" s="1"/>
  <c r="E334" i="3"/>
  <c r="G334" i="3" s="1"/>
  <c r="E335" i="3"/>
  <c r="E336" i="3"/>
  <c r="E337" i="3"/>
  <c r="G337" i="3" s="1"/>
  <c r="E338" i="3"/>
  <c r="G338" i="3" s="1"/>
  <c r="E339" i="3"/>
  <c r="E340" i="3"/>
  <c r="E341" i="3"/>
  <c r="G341" i="3" s="1"/>
  <c r="E342" i="3"/>
  <c r="G342" i="3" s="1"/>
  <c r="E343" i="3"/>
  <c r="E344" i="3"/>
  <c r="E345" i="3"/>
  <c r="G345" i="3" s="1"/>
  <c r="E346" i="3"/>
  <c r="G346" i="3" s="1"/>
  <c r="E347" i="3"/>
  <c r="E348" i="3"/>
  <c r="E349" i="3"/>
  <c r="G349" i="3" s="1"/>
  <c r="E350" i="3"/>
  <c r="G350" i="3" s="1"/>
  <c r="E351" i="3"/>
  <c r="E352" i="3"/>
  <c r="E353" i="3"/>
  <c r="G353" i="3" s="1"/>
  <c r="E354" i="3"/>
  <c r="G354" i="3" s="1"/>
  <c r="E355" i="3"/>
  <c r="E356" i="3"/>
  <c r="E357" i="3"/>
  <c r="G357" i="3" s="1"/>
  <c r="E358" i="3"/>
  <c r="G358" i="3" s="1"/>
  <c r="E359" i="3"/>
  <c r="E360" i="3"/>
  <c r="E361" i="3"/>
  <c r="G361" i="3" s="1"/>
  <c r="E362" i="3"/>
  <c r="G362" i="3" s="1"/>
  <c r="E363" i="3"/>
  <c r="E364" i="3"/>
  <c r="E365" i="3"/>
  <c r="G365" i="3" s="1"/>
  <c r="E366" i="3"/>
  <c r="G366" i="3" s="1"/>
  <c r="E367" i="3"/>
  <c r="E368" i="3"/>
  <c r="E369" i="3"/>
  <c r="G369" i="3" s="1"/>
  <c r="E370" i="3"/>
  <c r="G370" i="3" s="1"/>
  <c r="E371" i="3"/>
  <c r="E372" i="3"/>
  <c r="E373" i="3"/>
  <c r="G373" i="3" s="1"/>
  <c r="E374" i="3"/>
  <c r="G374" i="3" s="1"/>
  <c r="E375" i="3"/>
  <c r="E376" i="3"/>
  <c r="E377" i="3"/>
  <c r="G377" i="3" s="1"/>
  <c r="E378" i="3"/>
  <c r="G378" i="3" s="1"/>
  <c r="E379" i="3"/>
  <c r="E380" i="3"/>
  <c r="E381" i="3"/>
  <c r="G381" i="3" s="1"/>
  <c r="E382" i="3"/>
  <c r="G382" i="3" s="1"/>
  <c r="E383" i="3"/>
  <c r="E384" i="3"/>
  <c r="E385" i="3"/>
  <c r="G385" i="3" s="1"/>
  <c r="E386" i="3"/>
  <c r="G386" i="3" s="1"/>
  <c r="E387" i="3"/>
  <c r="E388" i="3"/>
  <c r="E389" i="3"/>
  <c r="G389" i="3" s="1"/>
  <c r="E390" i="3"/>
  <c r="G390" i="3" s="1"/>
  <c r="E391" i="3"/>
  <c r="E392" i="3"/>
  <c r="E393" i="3"/>
  <c r="G393" i="3" s="1"/>
  <c r="E394" i="3"/>
  <c r="G394" i="3" s="1"/>
  <c r="E395" i="3"/>
  <c r="E396" i="3"/>
  <c r="E397" i="3"/>
  <c r="G397" i="3" s="1"/>
  <c r="E398" i="3"/>
  <c r="G398" i="3" s="1"/>
  <c r="E399" i="3"/>
  <c r="E400" i="3"/>
  <c r="E401" i="3"/>
  <c r="G401" i="3" s="1"/>
  <c r="E402" i="3"/>
  <c r="G402" i="3" s="1"/>
  <c r="E403" i="3"/>
  <c r="E404" i="3"/>
  <c r="E405" i="3"/>
  <c r="G405" i="3" s="1"/>
  <c r="E406" i="3"/>
  <c r="G406" i="3" s="1"/>
  <c r="E407" i="3"/>
  <c r="E408" i="3"/>
  <c r="E409" i="3"/>
  <c r="G409" i="3" s="1"/>
  <c r="E410" i="3"/>
  <c r="G410" i="3" s="1"/>
  <c r="E411" i="3"/>
  <c r="E412" i="3"/>
  <c r="E413" i="3"/>
  <c r="G413" i="3" s="1"/>
  <c r="E414" i="3"/>
  <c r="G414" i="3" s="1"/>
  <c r="E415" i="3"/>
  <c r="E416" i="3"/>
  <c r="E417" i="3"/>
  <c r="G417" i="3" s="1"/>
  <c r="E418" i="3"/>
  <c r="G418" i="3" s="1"/>
  <c r="E419" i="3"/>
  <c r="E420" i="3"/>
  <c r="E421" i="3"/>
  <c r="G421" i="3" s="1"/>
  <c r="E422" i="3"/>
  <c r="G422" i="3" s="1"/>
  <c r="E423" i="3"/>
  <c r="E424" i="3"/>
  <c r="E425" i="3"/>
  <c r="G425" i="3" s="1"/>
  <c r="E426" i="3"/>
  <c r="G426" i="3" s="1"/>
  <c r="E427" i="3"/>
  <c r="E428" i="3"/>
  <c r="E429" i="3"/>
  <c r="G429" i="3" s="1"/>
  <c r="E430" i="3"/>
  <c r="G430" i="3" s="1"/>
  <c r="E431" i="3"/>
  <c r="E432" i="3"/>
  <c r="E433" i="3"/>
  <c r="G433" i="3" s="1"/>
  <c r="E434" i="3"/>
  <c r="G434" i="3" s="1"/>
  <c r="E435" i="3"/>
  <c r="E436" i="3"/>
  <c r="E437" i="3"/>
  <c r="G437" i="3" s="1"/>
  <c r="E438" i="3"/>
  <c r="G438" i="3" s="1"/>
  <c r="E439" i="3"/>
  <c r="E440" i="3"/>
  <c r="E441" i="3"/>
  <c r="G441" i="3" s="1"/>
  <c r="E442" i="3"/>
  <c r="G442" i="3" s="1"/>
  <c r="E443" i="3"/>
  <c r="E444" i="3"/>
  <c r="E445" i="3"/>
  <c r="G445" i="3" s="1"/>
  <c r="E446" i="3"/>
  <c r="G446" i="3" s="1"/>
  <c r="E447" i="3"/>
  <c r="E448" i="3"/>
  <c r="E449" i="3"/>
  <c r="G449" i="3" s="1"/>
  <c r="E450" i="3"/>
  <c r="G450" i="3" s="1"/>
  <c r="E451" i="3"/>
  <c r="E452" i="3"/>
  <c r="E453" i="3"/>
  <c r="G453" i="3" s="1"/>
  <c r="E454" i="3"/>
  <c r="G454" i="3" s="1"/>
  <c r="E455" i="3"/>
  <c r="E456" i="3"/>
  <c r="E457" i="3"/>
  <c r="G457" i="3" s="1"/>
  <c r="E458" i="3"/>
  <c r="G458" i="3" s="1"/>
  <c r="E459" i="3"/>
  <c r="E460" i="3"/>
  <c r="E461" i="3"/>
  <c r="G461" i="3" s="1"/>
  <c r="E462" i="3"/>
  <c r="G462" i="3" s="1"/>
  <c r="E463" i="3"/>
  <c r="E464" i="3"/>
  <c r="E465" i="3"/>
  <c r="G465" i="3" s="1"/>
  <c r="E466" i="3"/>
  <c r="G466" i="3" s="1"/>
  <c r="E467" i="3"/>
  <c r="E468" i="3"/>
  <c r="E469" i="3"/>
  <c r="G469" i="3" s="1"/>
  <c r="E470" i="3"/>
  <c r="G470" i="3" s="1"/>
  <c r="E471" i="3"/>
  <c r="E472" i="3"/>
  <c r="E473" i="3"/>
  <c r="G473" i="3" s="1"/>
  <c r="E474" i="3"/>
  <c r="G474" i="3" s="1"/>
  <c r="E475" i="3"/>
  <c r="E476" i="3"/>
  <c r="E477" i="3"/>
  <c r="G477" i="3" s="1"/>
  <c r="E478" i="3"/>
  <c r="G478" i="3" s="1"/>
  <c r="E479" i="3"/>
  <c r="E480" i="3"/>
  <c r="E481" i="3"/>
  <c r="G481" i="3" s="1"/>
  <c r="E482" i="3"/>
  <c r="G482" i="3" s="1"/>
  <c r="E483" i="3"/>
  <c r="E484" i="3"/>
  <c r="E485" i="3"/>
  <c r="G485" i="3" s="1"/>
  <c r="E486" i="3"/>
  <c r="G486" i="3" s="1"/>
  <c r="E487" i="3"/>
  <c r="E488" i="3"/>
  <c r="E489" i="3"/>
  <c r="G489" i="3" s="1"/>
  <c r="E490" i="3"/>
  <c r="G490" i="3" s="1"/>
  <c r="E491" i="3"/>
  <c r="E492" i="3"/>
  <c r="E493" i="3"/>
  <c r="G493" i="3" s="1"/>
  <c r="E494" i="3"/>
  <c r="G494" i="3" s="1"/>
  <c r="E495" i="3"/>
  <c r="E496" i="3"/>
  <c r="E497" i="3"/>
  <c r="G497" i="3" s="1"/>
  <c r="E498" i="3"/>
  <c r="G498" i="3" s="1"/>
  <c r="E499" i="3"/>
  <c r="E500" i="3"/>
  <c r="E501" i="3"/>
  <c r="G501" i="3" s="1"/>
  <c r="E502" i="3"/>
  <c r="G502" i="3" s="1"/>
  <c r="E503" i="3"/>
  <c r="E504" i="3"/>
  <c r="E505" i="3"/>
  <c r="G505" i="3" s="1"/>
  <c r="E506" i="3"/>
  <c r="G506" i="3" s="1"/>
  <c r="E507" i="3"/>
  <c r="E508" i="3"/>
  <c r="E509" i="3"/>
  <c r="G509" i="3" s="1"/>
  <c r="E510" i="3"/>
  <c r="G510" i="3" s="1"/>
  <c r="E511" i="3"/>
  <c r="E512" i="3"/>
  <c r="E513" i="3"/>
  <c r="G513" i="3" s="1"/>
  <c r="E514" i="3"/>
  <c r="G514" i="3" s="1"/>
  <c r="E515" i="3"/>
  <c r="E516" i="3"/>
  <c r="E517" i="3"/>
  <c r="G517" i="3" s="1"/>
  <c r="E518" i="3"/>
  <c r="G518" i="3" s="1"/>
  <c r="E519" i="3"/>
  <c r="E520" i="3"/>
  <c r="E521" i="3"/>
  <c r="G521" i="3" s="1"/>
  <c r="E522" i="3"/>
  <c r="G522" i="3" s="1"/>
  <c r="E523" i="3"/>
  <c r="E524" i="3"/>
  <c r="E525" i="3"/>
  <c r="G525" i="3" s="1"/>
  <c r="E526" i="3"/>
  <c r="G526" i="3" s="1"/>
  <c r="E527" i="3"/>
  <c r="E528" i="3"/>
  <c r="E529" i="3"/>
  <c r="G529" i="3" s="1"/>
  <c r="E530" i="3"/>
  <c r="G530" i="3" s="1"/>
  <c r="E531" i="3"/>
  <c r="E532" i="3"/>
  <c r="E533" i="3"/>
  <c r="G533" i="3" s="1"/>
  <c r="E534" i="3"/>
  <c r="G534" i="3" s="1"/>
  <c r="E535" i="3"/>
  <c r="E536" i="3"/>
  <c r="E537" i="3"/>
  <c r="G537" i="3" s="1"/>
  <c r="E538" i="3"/>
  <c r="G538" i="3" s="1"/>
  <c r="E539" i="3"/>
  <c r="E540" i="3"/>
  <c r="E541" i="3"/>
  <c r="G541" i="3" s="1"/>
  <c r="E542" i="3"/>
  <c r="G542" i="3" s="1"/>
  <c r="E543" i="3"/>
  <c r="E544" i="3"/>
  <c r="E545" i="3"/>
  <c r="G545" i="3" s="1"/>
  <c r="E546" i="3"/>
  <c r="G546" i="3" s="1"/>
  <c r="E547" i="3"/>
  <c r="E548" i="3"/>
  <c r="E549" i="3"/>
  <c r="G549" i="3" s="1"/>
  <c r="E550" i="3"/>
  <c r="G550" i="3" s="1"/>
  <c r="E551" i="3"/>
  <c r="E552" i="3"/>
  <c r="E553" i="3"/>
  <c r="G553" i="3" s="1"/>
  <c r="E554" i="3"/>
  <c r="G554" i="3" s="1"/>
  <c r="E555" i="3"/>
  <c r="E556" i="3"/>
  <c r="E557" i="3"/>
  <c r="G557" i="3" s="1"/>
  <c r="E558" i="3"/>
  <c r="G558" i="3" s="1"/>
  <c r="E559" i="3"/>
  <c r="E560" i="3"/>
  <c r="E561" i="3"/>
  <c r="G561" i="3" s="1"/>
  <c r="E562" i="3"/>
  <c r="G562" i="3" s="1"/>
  <c r="E563" i="3"/>
  <c r="E564" i="3"/>
  <c r="E565" i="3"/>
  <c r="G565" i="3" s="1"/>
  <c r="E566" i="3"/>
  <c r="G566" i="3" s="1"/>
  <c r="E567" i="3"/>
  <c r="E568" i="3"/>
  <c r="E569" i="3"/>
  <c r="G569" i="3" s="1"/>
  <c r="E570" i="3"/>
  <c r="G570" i="3" s="1"/>
  <c r="E571" i="3"/>
  <c r="E572" i="3"/>
  <c r="E573" i="3"/>
  <c r="G573" i="3" s="1"/>
  <c r="E574" i="3"/>
  <c r="G574" i="3" s="1"/>
  <c r="E575" i="3"/>
  <c r="E576" i="3"/>
  <c r="E577" i="3"/>
  <c r="G577" i="3" s="1"/>
  <c r="E578" i="3"/>
  <c r="G578" i="3" s="1"/>
  <c r="E579" i="3"/>
  <c r="E580" i="3"/>
  <c r="E581" i="3"/>
  <c r="G581" i="3" s="1"/>
  <c r="E582" i="3"/>
  <c r="G582" i="3" s="1"/>
  <c r="E583" i="3"/>
  <c r="E584" i="3"/>
  <c r="E585" i="3"/>
  <c r="G585" i="3" s="1"/>
  <c r="E586" i="3"/>
  <c r="G586" i="3" s="1"/>
  <c r="E587" i="3"/>
  <c r="E588" i="3"/>
  <c r="E589" i="3"/>
  <c r="G589" i="3" s="1"/>
  <c r="E590" i="3"/>
  <c r="G590" i="3" s="1"/>
  <c r="E591" i="3"/>
  <c r="E592" i="3"/>
  <c r="E593" i="3"/>
  <c r="G593" i="3" s="1"/>
  <c r="E594" i="3"/>
  <c r="G594" i="3" s="1"/>
  <c r="E595" i="3"/>
  <c r="E596" i="3"/>
  <c r="E597" i="3"/>
  <c r="G597" i="3" s="1"/>
  <c r="E598" i="3"/>
  <c r="G598" i="3" s="1"/>
  <c r="E599" i="3"/>
  <c r="E600" i="3"/>
  <c r="E601" i="3"/>
  <c r="G601" i="3" s="1"/>
  <c r="E602" i="3"/>
  <c r="G602" i="3" s="1"/>
  <c r="E603" i="3"/>
  <c r="E604" i="3"/>
  <c r="E605" i="3"/>
  <c r="G605" i="3" s="1"/>
  <c r="E606" i="3"/>
  <c r="G606" i="3" s="1"/>
  <c r="E607" i="3"/>
  <c r="E608" i="3"/>
  <c r="E609" i="3"/>
  <c r="G609" i="3" s="1"/>
  <c r="E610" i="3"/>
  <c r="G610" i="3" s="1"/>
  <c r="E611" i="3"/>
  <c r="E612" i="3"/>
  <c r="E613" i="3"/>
  <c r="G613" i="3" s="1"/>
  <c r="E614" i="3"/>
  <c r="G614" i="3" s="1"/>
  <c r="E615" i="3"/>
  <c r="E616" i="3"/>
  <c r="E617" i="3"/>
  <c r="G617" i="3" s="1"/>
  <c r="E618" i="3"/>
  <c r="G618" i="3" s="1"/>
  <c r="E619" i="3"/>
  <c r="E620" i="3"/>
  <c r="E621" i="3"/>
  <c r="G621" i="3" s="1"/>
  <c r="E622" i="3"/>
  <c r="G622" i="3" s="1"/>
  <c r="E623" i="3"/>
  <c r="E624" i="3"/>
  <c r="E625" i="3"/>
  <c r="G625" i="3" s="1"/>
  <c r="E626" i="3"/>
  <c r="G626" i="3" s="1"/>
  <c r="E627" i="3"/>
  <c r="E628" i="3"/>
  <c r="E629" i="3"/>
  <c r="G629" i="3" s="1"/>
  <c r="E630" i="3"/>
  <c r="G630" i="3" s="1"/>
  <c r="E631" i="3"/>
  <c r="E632" i="3"/>
  <c r="E633" i="3"/>
  <c r="G633" i="3" s="1"/>
  <c r="E634" i="3"/>
  <c r="G634" i="3" s="1"/>
  <c r="E635" i="3"/>
  <c r="E636" i="3"/>
  <c r="E637" i="3"/>
  <c r="G637" i="3" s="1"/>
  <c r="E638" i="3"/>
  <c r="G638" i="3" s="1"/>
  <c r="E639" i="3"/>
  <c r="E640" i="3"/>
  <c r="E641" i="3"/>
  <c r="G641" i="3" s="1"/>
  <c r="E642" i="3"/>
  <c r="G642" i="3" s="1"/>
  <c r="E643" i="3"/>
  <c r="E644" i="3"/>
  <c r="E645" i="3"/>
  <c r="G645" i="3" s="1"/>
  <c r="E646" i="3"/>
  <c r="G646" i="3" s="1"/>
  <c r="E647" i="3"/>
  <c r="E648" i="3"/>
  <c r="E649" i="3"/>
  <c r="G649" i="3" s="1"/>
  <c r="E650" i="3"/>
  <c r="G650" i="3" s="1"/>
  <c r="E651" i="3"/>
  <c r="E652" i="3"/>
  <c r="E653" i="3"/>
  <c r="G653" i="3" s="1"/>
  <c r="E654" i="3"/>
  <c r="G654" i="3" s="1"/>
  <c r="E655" i="3"/>
  <c r="E656" i="3"/>
  <c r="E657" i="3"/>
  <c r="G657" i="3" s="1"/>
  <c r="E658" i="3"/>
  <c r="G658" i="3" s="1"/>
  <c r="E659" i="3"/>
  <c r="E660" i="3"/>
  <c r="E661" i="3"/>
  <c r="G661" i="3" s="1"/>
  <c r="E662" i="3"/>
  <c r="G662" i="3" s="1"/>
  <c r="E663" i="3"/>
  <c r="E664" i="3"/>
  <c r="E665" i="3"/>
  <c r="G665" i="3" s="1"/>
  <c r="E666" i="3"/>
  <c r="G666" i="3" s="1"/>
  <c r="E667" i="3"/>
  <c r="E668" i="3"/>
  <c r="E669" i="3"/>
  <c r="G669" i="3" s="1"/>
  <c r="E670" i="3"/>
  <c r="G670" i="3" s="1"/>
  <c r="E671" i="3"/>
  <c r="E672" i="3"/>
  <c r="E673" i="3"/>
  <c r="G673" i="3" s="1"/>
  <c r="E674" i="3"/>
  <c r="G674" i="3" s="1"/>
  <c r="E675" i="3"/>
  <c r="E676" i="3"/>
  <c r="E677" i="3"/>
  <c r="G677" i="3" s="1"/>
  <c r="E678" i="3"/>
  <c r="G678" i="3" s="1"/>
  <c r="E679" i="3"/>
  <c r="E680" i="3"/>
  <c r="E681" i="3"/>
  <c r="G681" i="3" s="1"/>
  <c r="E682" i="3"/>
  <c r="G682" i="3" s="1"/>
  <c r="E683" i="3"/>
  <c r="E684" i="3"/>
  <c r="E685" i="3"/>
  <c r="G685" i="3" s="1"/>
  <c r="E686" i="3"/>
  <c r="G686" i="3" s="1"/>
  <c r="E687" i="3"/>
  <c r="E688" i="3"/>
  <c r="E689" i="3"/>
  <c r="G689" i="3" s="1"/>
  <c r="E690" i="3"/>
  <c r="G690" i="3" s="1"/>
  <c r="E691" i="3"/>
  <c r="E692" i="3"/>
  <c r="E693" i="3"/>
  <c r="G693" i="3" s="1"/>
  <c r="E694" i="3"/>
  <c r="G694" i="3" s="1"/>
  <c r="E695" i="3"/>
  <c r="E696" i="3"/>
  <c r="E697" i="3"/>
  <c r="G697" i="3" s="1"/>
  <c r="E698" i="3"/>
  <c r="G698" i="3" s="1"/>
  <c r="E699" i="3"/>
  <c r="E700" i="3"/>
  <c r="E701" i="3"/>
  <c r="G701" i="3" s="1"/>
  <c r="E702" i="3"/>
  <c r="G702" i="3" s="1"/>
  <c r="E703" i="3"/>
  <c r="E704" i="3"/>
  <c r="E705" i="3"/>
  <c r="G705" i="3" s="1"/>
  <c r="E706" i="3"/>
  <c r="G706" i="3" s="1"/>
  <c r="E707" i="3"/>
  <c r="E708" i="3"/>
  <c r="E709" i="3"/>
  <c r="G709" i="3" s="1"/>
  <c r="E710" i="3"/>
  <c r="G710" i="3" s="1"/>
  <c r="E711" i="3"/>
  <c r="E712" i="3"/>
  <c r="E713" i="3"/>
  <c r="G713" i="3" s="1"/>
  <c r="E714" i="3"/>
  <c r="G714" i="3" s="1"/>
  <c r="E715" i="3"/>
  <c r="E716" i="3"/>
  <c r="E717" i="3"/>
  <c r="G717" i="3" s="1"/>
  <c r="E718" i="3"/>
  <c r="G718" i="3" s="1"/>
  <c r="E719" i="3"/>
  <c r="E720" i="3"/>
  <c r="E721" i="3"/>
  <c r="G721" i="3" s="1"/>
  <c r="E722" i="3"/>
  <c r="G722" i="3" s="1"/>
  <c r="E723" i="3"/>
  <c r="E724" i="3"/>
  <c r="E725" i="3"/>
  <c r="G725" i="3" s="1"/>
  <c r="E726" i="3"/>
  <c r="G726" i="3" s="1"/>
  <c r="E727" i="3"/>
  <c r="E728" i="3"/>
  <c r="E729" i="3"/>
  <c r="G729" i="3" s="1"/>
  <c r="E730" i="3"/>
  <c r="G730" i="3" s="1"/>
  <c r="E731" i="3"/>
  <c r="E732" i="3"/>
  <c r="E733" i="3"/>
  <c r="G733" i="3" s="1"/>
  <c r="E734" i="3"/>
  <c r="G734" i="3" s="1"/>
  <c r="E735" i="3"/>
  <c r="E736" i="3"/>
  <c r="E737" i="3"/>
  <c r="G737" i="3" s="1"/>
  <c r="E738" i="3"/>
  <c r="G738" i="3" s="1"/>
  <c r="E739" i="3"/>
  <c r="E740" i="3"/>
  <c r="E741" i="3"/>
  <c r="G741" i="3" s="1"/>
  <c r="E742" i="3"/>
  <c r="G742" i="3" s="1"/>
  <c r="E743" i="3"/>
  <c r="E744" i="3"/>
  <c r="E745" i="3"/>
  <c r="G745" i="3" s="1"/>
  <c r="E746" i="3"/>
  <c r="G746" i="3" s="1"/>
  <c r="E747" i="3"/>
  <c r="E748" i="3"/>
  <c r="E749" i="3"/>
  <c r="G749" i="3" s="1"/>
  <c r="E750" i="3"/>
  <c r="G750" i="3" s="1"/>
  <c r="E751" i="3"/>
  <c r="E752" i="3"/>
  <c r="E753" i="3"/>
  <c r="G753" i="3" s="1"/>
  <c r="E754" i="3"/>
  <c r="G754" i="3" s="1"/>
  <c r="E755" i="3"/>
  <c r="E756" i="3"/>
  <c r="E757" i="3"/>
  <c r="G757" i="3" s="1"/>
  <c r="E758" i="3"/>
  <c r="G758" i="3" s="1"/>
  <c r="E759" i="3"/>
  <c r="E760" i="3"/>
  <c r="E761" i="3"/>
  <c r="G761" i="3" s="1"/>
  <c r="E762" i="3"/>
  <c r="G762" i="3" s="1"/>
  <c r="E763" i="3"/>
  <c r="E764" i="3"/>
  <c r="E765" i="3"/>
  <c r="G765" i="3" s="1"/>
  <c r="E766" i="3"/>
  <c r="G766" i="3" s="1"/>
  <c r="E767" i="3"/>
  <c r="E768" i="3"/>
  <c r="E769" i="3"/>
  <c r="G769" i="3" s="1"/>
  <c r="E770" i="3"/>
  <c r="G770" i="3" s="1"/>
  <c r="E771" i="3"/>
  <c r="E772" i="3"/>
  <c r="E773" i="3"/>
  <c r="G773" i="3" s="1"/>
  <c r="E774" i="3"/>
  <c r="G774" i="3" s="1"/>
  <c r="E775" i="3"/>
  <c r="E776" i="3"/>
  <c r="E777" i="3"/>
  <c r="G777" i="3" s="1"/>
  <c r="E778" i="3"/>
  <c r="G778" i="3" s="1"/>
  <c r="E779" i="3"/>
  <c r="E780" i="3"/>
  <c r="E781" i="3"/>
  <c r="G781" i="3" s="1"/>
  <c r="E782" i="3"/>
  <c r="G782" i="3" s="1"/>
  <c r="E783" i="3"/>
  <c r="E784" i="3"/>
  <c r="E785" i="3"/>
  <c r="G785" i="3" s="1"/>
  <c r="E786" i="3"/>
  <c r="G786" i="3" s="1"/>
  <c r="E787" i="3"/>
  <c r="E788" i="3"/>
  <c r="E789" i="3"/>
  <c r="G789" i="3" s="1"/>
  <c r="E790" i="3"/>
  <c r="G790" i="3" s="1"/>
  <c r="E791" i="3"/>
  <c r="E792" i="3"/>
  <c r="E793" i="3"/>
  <c r="G793" i="3" s="1"/>
  <c r="E794" i="3"/>
  <c r="G794" i="3" s="1"/>
  <c r="E795" i="3"/>
  <c r="E796" i="3"/>
  <c r="E797" i="3"/>
  <c r="G797" i="3" s="1"/>
  <c r="E798" i="3"/>
  <c r="G798" i="3" s="1"/>
  <c r="E799" i="3"/>
  <c r="E800" i="3"/>
  <c r="E801" i="3"/>
  <c r="G801" i="3" s="1"/>
  <c r="E802" i="3"/>
  <c r="G802" i="3" s="1"/>
  <c r="E803" i="3"/>
  <c r="E804" i="3"/>
  <c r="E805" i="3"/>
  <c r="G805" i="3" s="1"/>
  <c r="E806" i="3"/>
  <c r="G806" i="3" s="1"/>
  <c r="E807" i="3"/>
  <c r="E808" i="3"/>
  <c r="E809" i="3"/>
  <c r="G809" i="3" s="1"/>
  <c r="E810" i="3"/>
  <c r="G810" i="3" s="1"/>
  <c r="E811" i="3"/>
  <c r="E812" i="3"/>
  <c r="E813" i="3"/>
  <c r="G813" i="3" s="1"/>
  <c r="E814" i="3"/>
  <c r="G814" i="3" s="1"/>
  <c r="E815" i="3"/>
  <c r="E816" i="3"/>
  <c r="E817" i="3"/>
  <c r="G817" i="3" s="1"/>
  <c r="E818" i="3"/>
  <c r="G818" i="3" s="1"/>
  <c r="E819" i="3"/>
  <c r="E820" i="3"/>
  <c r="E821" i="3"/>
  <c r="G821" i="3" s="1"/>
  <c r="E822" i="3"/>
  <c r="G822" i="3" s="1"/>
  <c r="E823" i="3"/>
  <c r="E824" i="3"/>
  <c r="E825" i="3"/>
  <c r="G825" i="3" s="1"/>
  <c r="E826" i="3"/>
  <c r="G826" i="3" s="1"/>
  <c r="E827" i="3"/>
  <c r="E828" i="3"/>
  <c r="E829" i="3"/>
  <c r="G829" i="3" s="1"/>
  <c r="E830" i="3"/>
  <c r="G830" i="3" s="1"/>
  <c r="E831" i="3"/>
  <c r="E832" i="3"/>
  <c r="E833" i="3"/>
  <c r="G833" i="3" s="1"/>
  <c r="E834" i="3"/>
  <c r="G834" i="3" s="1"/>
  <c r="E835" i="3"/>
  <c r="E836" i="3"/>
  <c r="E837" i="3"/>
  <c r="G837" i="3" s="1"/>
  <c r="E838" i="3"/>
  <c r="G838" i="3" s="1"/>
  <c r="E839" i="3"/>
  <c r="E840" i="3"/>
  <c r="E841" i="3"/>
  <c r="G841" i="3" s="1"/>
  <c r="E842" i="3"/>
  <c r="G842" i="3" s="1"/>
  <c r="E843" i="3"/>
  <c r="E844" i="3"/>
  <c r="E845" i="3"/>
  <c r="G845" i="3" s="1"/>
  <c r="E846" i="3"/>
  <c r="G846" i="3" s="1"/>
  <c r="E847" i="3"/>
  <c r="E848" i="3"/>
  <c r="E849" i="3"/>
  <c r="G849" i="3" s="1"/>
  <c r="E850" i="3"/>
  <c r="G850" i="3" s="1"/>
  <c r="E851" i="3"/>
  <c r="E852" i="3"/>
  <c r="E853" i="3"/>
  <c r="G853" i="3" s="1"/>
  <c r="E854" i="3"/>
  <c r="G854" i="3" s="1"/>
  <c r="E855" i="3"/>
  <c r="E856" i="3"/>
  <c r="E857" i="3"/>
  <c r="G857" i="3" s="1"/>
  <c r="E858" i="3"/>
  <c r="G858" i="3" s="1"/>
  <c r="E859" i="3"/>
  <c r="E860" i="3"/>
  <c r="E861" i="3"/>
  <c r="G861" i="3" s="1"/>
  <c r="E862" i="3"/>
  <c r="G862" i="3" s="1"/>
  <c r="E863" i="3"/>
  <c r="E864" i="3"/>
  <c r="E865" i="3"/>
  <c r="G865" i="3" s="1"/>
  <c r="E866" i="3"/>
  <c r="G866" i="3" s="1"/>
  <c r="E867" i="3"/>
  <c r="E868" i="3"/>
  <c r="E869" i="3"/>
  <c r="G869" i="3" s="1"/>
  <c r="E870" i="3"/>
  <c r="G870" i="3" s="1"/>
  <c r="E871" i="3"/>
  <c r="E872" i="3"/>
  <c r="E873" i="3"/>
  <c r="G873" i="3" s="1"/>
  <c r="E874" i="3"/>
  <c r="G874" i="3" s="1"/>
  <c r="E875" i="3"/>
  <c r="E876" i="3"/>
  <c r="E877" i="3"/>
  <c r="G877" i="3" s="1"/>
  <c r="E878" i="3"/>
  <c r="G878" i="3" s="1"/>
  <c r="E879" i="3"/>
  <c r="E880" i="3"/>
  <c r="E881" i="3"/>
  <c r="G881" i="3" s="1"/>
  <c r="E882" i="3"/>
  <c r="G882" i="3" s="1"/>
  <c r="E883" i="3"/>
  <c r="E884" i="3"/>
  <c r="E885" i="3"/>
  <c r="G885" i="3" s="1"/>
  <c r="E886" i="3"/>
  <c r="G886" i="3" s="1"/>
  <c r="E887" i="3"/>
  <c r="E888" i="3"/>
  <c r="E889" i="3"/>
  <c r="G889" i="3" s="1"/>
  <c r="E890" i="3"/>
  <c r="G890" i="3" s="1"/>
  <c r="E891" i="3"/>
  <c r="E892" i="3"/>
  <c r="E893" i="3"/>
  <c r="G893" i="3" s="1"/>
  <c r="E894" i="3"/>
  <c r="G894" i="3" s="1"/>
  <c r="E895" i="3"/>
  <c r="E896" i="3"/>
  <c r="E897" i="3"/>
  <c r="G897" i="3" s="1"/>
  <c r="E898" i="3"/>
  <c r="G898" i="3" s="1"/>
  <c r="E899" i="3"/>
  <c r="E900" i="3"/>
  <c r="E901" i="3"/>
  <c r="G901" i="3" s="1"/>
  <c r="E902" i="3"/>
  <c r="G902" i="3" s="1"/>
  <c r="E903" i="3"/>
  <c r="E904" i="3"/>
  <c r="E905" i="3"/>
  <c r="G905" i="3" s="1"/>
  <c r="E906" i="3"/>
  <c r="G906" i="3" s="1"/>
  <c r="E907" i="3"/>
  <c r="E908" i="3"/>
  <c r="E909" i="3"/>
  <c r="G909" i="3" s="1"/>
  <c r="E910" i="3"/>
  <c r="G910" i="3" s="1"/>
  <c r="E911" i="3"/>
  <c r="E912" i="3"/>
  <c r="E913" i="3"/>
  <c r="G913" i="3" s="1"/>
  <c r="E914" i="3"/>
  <c r="G914" i="3" s="1"/>
  <c r="E915" i="3"/>
  <c r="E916" i="3"/>
  <c r="E917" i="3"/>
  <c r="G917" i="3" s="1"/>
  <c r="E918" i="3"/>
  <c r="G918" i="3" s="1"/>
  <c r="E919" i="3"/>
  <c r="E920" i="3"/>
  <c r="E921" i="3"/>
  <c r="G921" i="3" s="1"/>
  <c r="E922" i="3"/>
  <c r="G922" i="3" s="1"/>
  <c r="E923" i="3"/>
  <c r="E924" i="3"/>
  <c r="E925" i="3"/>
  <c r="G925" i="3" s="1"/>
  <c r="E926" i="3"/>
  <c r="G926" i="3" s="1"/>
  <c r="E927" i="3"/>
  <c r="E928" i="3"/>
  <c r="E929" i="3"/>
  <c r="G929" i="3" s="1"/>
  <c r="E930" i="3"/>
  <c r="G930" i="3" s="1"/>
  <c r="E931" i="3"/>
  <c r="E932" i="3"/>
  <c r="E933" i="3"/>
  <c r="G933" i="3" s="1"/>
  <c r="E934" i="3"/>
  <c r="G934" i="3" s="1"/>
  <c r="E935" i="3"/>
  <c r="E936" i="3"/>
  <c r="E937" i="3"/>
  <c r="G937" i="3" s="1"/>
  <c r="E938" i="3"/>
  <c r="G938" i="3" s="1"/>
  <c r="E939" i="3"/>
  <c r="E940" i="3"/>
  <c r="E941" i="3"/>
  <c r="G941" i="3" s="1"/>
  <c r="E942" i="3"/>
  <c r="G942" i="3" s="1"/>
  <c r="E943" i="3"/>
  <c r="E944" i="3"/>
  <c r="E945" i="3"/>
  <c r="G945" i="3" s="1"/>
  <c r="E946" i="3"/>
  <c r="G946" i="3" s="1"/>
  <c r="E947" i="3"/>
  <c r="E948" i="3"/>
  <c r="E949" i="3"/>
  <c r="G949" i="3" s="1"/>
  <c r="E950" i="3"/>
  <c r="G950" i="3" s="1"/>
  <c r="E951" i="3"/>
  <c r="E952" i="3"/>
  <c r="E953" i="3"/>
  <c r="G953" i="3" s="1"/>
  <c r="E954" i="3"/>
  <c r="G954" i="3" s="1"/>
  <c r="E955" i="3"/>
  <c r="E956" i="3"/>
  <c r="E957" i="3"/>
  <c r="G957" i="3" s="1"/>
  <c r="E958" i="3"/>
  <c r="G958" i="3" s="1"/>
  <c r="E959" i="3"/>
  <c r="E960" i="3"/>
  <c r="E961" i="3"/>
  <c r="G961" i="3" s="1"/>
  <c r="E962" i="3"/>
  <c r="G962" i="3" s="1"/>
  <c r="E963" i="3"/>
  <c r="E964" i="3"/>
  <c r="E965" i="3"/>
  <c r="G965" i="3" s="1"/>
  <c r="E966" i="3"/>
  <c r="G966" i="3" s="1"/>
  <c r="E967" i="3"/>
  <c r="E968" i="3"/>
  <c r="E969" i="3"/>
  <c r="G969" i="3" s="1"/>
  <c r="E970" i="3"/>
  <c r="G970" i="3" s="1"/>
  <c r="E971" i="3"/>
  <c r="E972" i="3"/>
  <c r="E973" i="3"/>
  <c r="G973" i="3" s="1"/>
  <c r="E974" i="3"/>
  <c r="G974" i="3" s="1"/>
  <c r="E975" i="3"/>
  <c r="E976" i="3"/>
  <c r="E977" i="3"/>
  <c r="G977" i="3" s="1"/>
  <c r="E978" i="3"/>
  <c r="G978" i="3" s="1"/>
  <c r="E979" i="3"/>
  <c r="E980" i="3"/>
  <c r="E981" i="3"/>
  <c r="G981" i="3" s="1"/>
  <c r="E982" i="3"/>
  <c r="G982" i="3" s="1"/>
  <c r="E983" i="3"/>
  <c r="E984" i="3"/>
  <c r="E985" i="3"/>
  <c r="G985" i="3" s="1"/>
  <c r="E986" i="3"/>
  <c r="G986" i="3" s="1"/>
  <c r="E987" i="3"/>
  <c r="E988" i="3"/>
  <c r="E989" i="3"/>
  <c r="G989" i="3" s="1"/>
  <c r="E990" i="3"/>
  <c r="G990" i="3" s="1"/>
  <c r="E991" i="3"/>
  <c r="E992" i="3"/>
  <c r="E993" i="3"/>
  <c r="G993" i="3" s="1"/>
  <c r="E994" i="3"/>
  <c r="G994" i="3" s="1"/>
  <c r="E995" i="3"/>
  <c r="E996" i="3"/>
  <c r="E997" i="3"/>
  <c r="G997" i="3" s="1"/>
  <c r="E998" i="3"/>
  <c r="G998" i="3" s="1"/>
  <c r="E999" i="3"/>
  <c r="E1000" i="3"/>
  <c r="E1001" i="3"/>
  <c r="G1001" i="3" s="1"/>
  <c r="E1002" i="3"/>
  <c r="G1002" i="3" s="1"/>
  <c r="E1003" i="3"/>
  <c r="E1004" i="3"/>
  <c r="E1005" i="3"/>
  <c r="G1005" i="3" s="1"/>
  <c r="E1006" i="3"/>
  <c r="G1006" i="3" s="1"/>
  <c r="E1007" i="3"/>
  <c r="E1008" i="3"/>
  <c r="E1009" i="3"/>
  <c r="G1009" i="3" s="1"/>
  <c r="E1010" i="3"/>
  <c r="G1010" i="3" s="1"/>
  <c r="E1011" i="3"/>
  <c r="E1012" i="3"/>
  <c r="E1013" i="3"/>
  <c r="G1013" i="3" s="1"/>
  <c r="E1014" i="3"/>
  <c r="G1014" i="3" s="1"/>
  <c r="E1015" i="3"/>
  <c r="E1016" i="3"/>
  <c r="E1017" i="3"/>
  <c r="G1017" i="3" s="1"/>
  <c r="E1018" i="3"/>
  <c r="G1018" i="3" s="1"/>
  <c r="E1019" i="3"/>
  <c r="E1020" i="3"/>
  <c r="E1021" i="3"/>
  <c r="G1021" i="3" s="1"/>
  <c r="E1022" i="3"/>
  <c r="G1022" i="3" s="1"/>
  <c r="E1023" i="3"/>
  <c r="E1024" i="3"/>
  <c r="E1025" i="3"/>
  <c r="G1025" i="3" s="1"/>
  <c r="E1026" i="3"/>
  <c r="G1026" i="3" s="1"/>
  <c r="E1027" i="3"/>
  <c r="E1028" i="3"/>
  <c r="E1029" i="3"/>
  <c r="G1029" i="3" s="1"/>
  <c r="E1030" i="3"/>
  <c r="G1030" i="3" s="1"/>
  <c r="E1031" i="3"/>
  <c r="E1032" i="3"/>
  <c r="E1033" i="3"/>
  <c r="G1033" i="3" s="1"/>
  <c r="E1034" i="3"/>
  <c r="G1034" i="3" s="1"/>
  <c r="E1035" i="3"/>
  <c r="E1036" i="3"/>
  <c r="E1037" i="3"/>
  <c r="G1037" i="3" s="1"/>
  <c r="E1038" i="3"/>
  <c r="G1038" i="3" s="1"/>
  <c r="E1039" i="3"/>
  <c r="E1040" i="3"/>
  <c r="E1041" i="3"/>
  <c r="G1041" i="3" s="1"/>
  <c r="E1042" i="3"/>
  <c r="G1042" i="3" s="1"/>
  <c r="E1043" i="3"/>
  <c r="E1044" i="3"/>
  <c r="E1045" i="3"/>
  <c r="G1045" i="3" s="1"/>
  <c r="E1046" i="3"/>
  <c r="G1046" i="3" s="1"/>
  <c r="E1047" i="3"/>
  <c r="E1048" i="3"/>
  <c r="E1049" i="3"/>
  <c r="G1049" i="3" s="1"/>
  <c r="E1050" i="3"/>
  <c r="G1050" i="3" s="1"/>
  <c r="E1051" i="3"/>
  <c r="E1052" i="3"/>
  <c r="E1053" i="3"/>
  <c r="G1053" i="3" s="1"/>
  <c r="E1054" i="3"/>
  <c r="G1054" i="3" s="1"/>
  <c r="E1055" i="3"/>
  <c r="E1056" i="3"/>
  <c r="E1057" i="3"/>
  <c r="G1057" i="3" s="1"/>
  <c r="E1058" i="3"/>
  <c r="G1058" i="3" s="1"/>
  <c r="E1059" i="3"/>
  <c r="E1060" i="3"/>
  <c r="E1061" i="3"/>
  <c r="G1061" i="3" s="1"/>
  <c r="E1062" i="3"/>
  <c r="G1062" i="3" s="1"/>
  <c r="E1063" i="3"/>
  <c r="E1064" i="3"/>
  <c r="E1065" i="3"/>
  <c r="G1065" i="3" s="1"/>
  <c r="E1066" i="3"/>
  <c r="G1066" i="3" s="1"/>
  <c r="E1067" i="3"/>
  <c r="E1068" i="3"/>
  <c r="E1069" i="3"/>
  <c r="G1069" i="3" s="1"/>
  <c r="E1070" i="3"/>
  <c r="G1070" i="3" s="1"/>
  <c r="E1071" i="3"/>
  <c r="E1072" i="3"/>
  <c r="E1073" i="3"/>
  <c r="G1073" i="3" s="1"/>
  <c r="E1074" i="3"/>
  <c r="G1074" i="3" s="1"/>
  <c r="E1075" i="3"/>
  <c r="E1076" i="3"/>
  <c r="E1077" i="3"/>
  <c r="G1077" i="3" s="1"/>
  <c r="E1078" i="3"/>
  <c r="G1078" i="3" s="1"/>
  <c r="E1079" i="3"/>
  <c r="E1080" i="3"/>
  <c r="E1081" i="3"/>
  <c r="G1081" i="3" s="1"/>
  <c r="E1082" i="3"/>
  <c r="G1082" i="3" s="1"/>
  <c r="E1083" i="3"/>
  <c r="E1084" i="3"/>
  <c r="E1085" i="3"/>
  <c r="G1085" i="3" s="1"/>
  <c r="E1086" i="3"/>
  <c r="G1086" i="3" s="1"/>
  <c r="E1087" i="3"/>
  <c r="E1088" i="3"/>
  <c r="E1089" i="3"/>
  <c r="G1089" i="3" s="1"/>
  <c r="E1090" i="3"/>
  <c r="G1090" i="3" s="1"/>
  <c r="E1091" i="3"/>
  <c r="E1092" i="3"/>
  <c r="E1093" i="3"/>
  <c r="G1093" i="3" s="1"/>
  <c r="E1094" i="3"/>
  <c r="G1094" i="3" s="1"/>
  <c r="E1095" i="3"/>
  <c r="E1096" i="3"/>
  <c r="E1097" i="3"/>
  <c r="G1097" i="3" s="1"/>
  <c r="E1098" i="3"/>
  <c r="G1098" i="3" s="1"/>
  <c r="E1099" i="3"/>
  <c r="E1100" i="3"/>
  <c r="E1101" i="3"/>
  <c r="G1101" i="3" s="1"/>
  <c r="E1102" i="3"/>
  <c r="G1102" i="3" s="1"/>
  <c r="E1103" i="3"/>
  <c r="E1104" i="3"/>
  <c r="E1105" i="3"/>
  <c r="G1105" i="3" s="1"/>
  <c r="E1106" i="3"/>
  <c r="G1106" i="3" s="1"/>
  <c r="E1107" i="3"/>
  <c r="E1108" i="3"/>
  <c r="E1109" i="3"/>
  <c r="G1109" i="3" s="1"/>
  <c r="E1110" i="3"/>
  <c r="G1110" i="3" s="1"/>
  <c r="E1111" i="3"/>
  <c r="E1112" i="3"/>
  <c r="E1113" i="3"/>
  <c r="G1113" i="3" s="1"/>
  <c r="E1114" i="3"/>
  <c r="G1114" i="3" s="1"/>
  <c r="E1115" i="3"/>
  <c r="E1116" i="3"/>
  <c r="E1117" i="3"/>
  <c r="G1117" i="3" s="1"/>
  <c r="E1118" i="3"/>
  <c r="G1118" i="3" s="1"/>
  <c r="E1119" i="3"/>
  <c r="E1120" i="3"/>
  <c r="E1121" i="3"/>
  <c r="G1121" i="3" s="1"/>
  <c r="E1122" i="3"/>
  <c r="G1122" i="3" s="1"/>
  <c r="E1123" i="3"/>
  <c r="E1124" i="3"/>
  <c r="E1125" i="3"/>
  <c r="G1125" i="3" s="1"/>
  <c r="E1126" i="3"/>
  <c r="G1126" i="3" s="1"/>
  <c r="E1127" i="3"/>
  <c r="E1128" i="3"/>
  <c r="E1129" i="3"/>
  <c r="G1129" i="3" s="1"/>
  <c r="E1130" i="3"/>
  <c r="G1130" i="3" s="1"/>
  <c r="E1131" i="3"/>
  <c r="E1132" i="3"/>
  <c r="E1133" i="3"/>
  <c r="G1133" i="3" s="1"/>
  <c r="E1134" i="3"/>
  <c r="G1134" i="3" s="1"/>
  <c r="E1135" i="3"/>
  <c r="E1136" i="3"/>
  <c r="E1137" i="3"/>
  <c r="G1137" i="3" s="1"/>
  <c r="E1138" i="3"/>
  <c r="G1138" i="3" s="1"/>
  <c r="E1139" i="3"/>
  <c r="E1140" i="3"/>
  <c r="E1141" i="3"/>
  <c r="G1141" i="3" s="1"/>
  <c r="E1142" i="3"/>
  <c r="G1142" i="3" s="1"/>
  <c r="E1143" i="3"/>
  <c r="E1144" i="3"/>
  <c r="E1145" i="3"/>
  <c r="G1145" i="3" s="1"/>
  <c r="E1146" i="3"/>
  <c r="G1146" i="3" s="1"/>
  <c r="E1147" i="3"/>
  <c r="E1148" i="3"/>
  <c r="E1149" i="3"/>
  <c r="G1149" i="3" s="1"/>
  <c r="E1150" i="3"/>
  <c r="G1150" i="3" s="1"/>
  <c r="E1151" i="3"/>
  <c r="E1152" i="3"/>
  <c r="E1153" i="3"/>
  <c r="G1153" i="3" s="1"/>
  <c r="E1154" i="3"/>
  <c r="G1154" i="3" s="1"/>
  <c r="E1155" i="3"/>
  <c r="E1156" i="3"/>
  <c r="E1157" i="3"/>
  <c r="G1157" i="3" s="1"/>
  <c r="E1158" i="3"/>
  <c r="G1158" i="3" s="1"/>
  <c r="E1159" i="3"/>
  <c r="E1160" i="3"/>
  <c r="E1161" i="3"/>
  <c r="G1161" i="3" s="1"/>
  <c r="E1162" i="3"/>
  <c r="G1162" i="3" s="1"/>
  <c r="E1163" i="3"/>
  <c r="E1164" i="3"/>
  <c r="E1165" i="3"/>
  <c r="G1165" i="3" s="1"/>
  <c r="E1166" i="3"/>
  <c r="G1166" i="3" s="1"/>
  <c r="E1167" i="3"/>
  <c r="E1168" i="3"/>
  <c r="E1169" i="3"/>
  <c r="G1169" i="3" s="1"/>
  <c r="E1170" i="3"/>
  <c r="G1170" i="3" s="1"/>
  <c r="E1171" i="3"/>
  <c r="E1172" i="3"/>
  <c r="E1173" i="3"/>
  <c r="G1173" i="3" s="1"/>
  <c r="E1174" i="3"/>
  <c r="G1174" i="3" s="1"/>
  <c r="E1175" i="3"/>
  <c r="E1176" i="3"/>
  <c r="E1177" i="3"/>
  <c r="G1177" i="3" s="1"/>
  <c r="E1178" i="3"/>
  <c r="G1178" i="3" s="1"/>
  <c r="E1179" i="3"/>
  <c r="E1180" i="3"/>
  <c r="E1181" i="3"/>
  <c r="G1181" i="3" s="1"/>
  <c r="E1182" i="3"/>
  <c r="G1182" i="3" s="1"/>
  <c r="E1183" i="3"/>
  <c r="E1184" i="3"/>
  <c r="E1185" i="3"/>
  <c r="G1185" i="3" s="1"/>
  <c r="E1186" i="3"/>
  <c r="G1186" i="3" s="1"/>
  <c r="E1187" i="3"/>
  <c r="E1188" i="3"/>
  <c r="E1189" i="3"/>
  <c r="G1189" i="3" s="1"/>
  <c r="E1190" i="3"/>
  <c r="G1190" i="3" s="1"/>
  <c r="E1191" i="3"/>
  <c r="E1192" i="3"/>
  <c r="E1193" i="3"/>
  <c r="G1193" i="3" s="1"/>
  <c r="E1194" i="3"/>
  <c r="G1194" i="3" s="1"/>
  <c r="E1195" i="3"/>
  <c r="E1196" i="3"/>
  <c r="E1197" i="3"/>
  <c r="G1197" i="3" s="1"/>
  <c r="E1198" i="3"/>
  <c r="G1198" i="3" s="1"/>
  <c r="E1199" i="3"/>
  <c r="E1200" i="3"/>
  <c r="E1201" i="3"/>
  <c r="G1201" i="3" s="1"/>
  <c r="E1202" i="3"/>
  <c r="G1202" i="3" s="1"/>
  <c r="E1203" i="3"/>
  <c r="E1204" i="3"/>
  <c r="E1205" i="3"/>
  <c r="G1205" i="3" s="1"/>
  <c r="E1206" i="3"/>
  <c r="G1206" i="3" s="1"/>
  <c r="E1207" i="3"/>
  <c r="E1208" i="3"/>
  <c r="E1209" i="3"/>
  <c r="G1209" i="3" s="1"/>
  <c r="E1210" i="3"/>
  <c r="G1210" i="3" s="1"/>
  <c r="E1211" i="3"/>
  <c r="E1212" i="3"/>
  <c r="E1213" i="3"/>
  <c r="G1213" i="3" s="1"/>
  <c r="E1214" i="3"/>
  <c r="G1214" i="3" s="1"/>
  <c r="E1215" i="3"/>
  <c r="E1216" i="3"/>
  <c r="E1217" i="3"/>
  <c r="G1217" i="3" s="1"/>
  <c r="E1218" i="3"/>
  <c r="G1218" i="3" s="1"/>
  <c r="E1219" i="3"/>
  <c r="E1220" i="3"/>
  <c r="E1221" i="3"/>
  <c r="G1221" i="3" s="1"/>
  <c r="E1222" i="3"/>
  <c r="G1222" i="3" s="1"/>
  <c r="E1223" i="3"/>
  <c r="E1224" i="3"/>
  <c r="E1225" i="3"/>
  <c r="G1225" i="3" s="1"/>
  <c r="E1226" i="3"/>
  <c r="G1226" i="3" s="1"/>
  <c r="E1227" i="3"/>
  <c r="E1228" i="3"/>
  <c r="E1229" i="3"/>
  <c r="G1229" i="3" s="1"/>
  <c r="E1230" i="3"/>
  <c r="G1230" i="3" s="1"/>
  <c r="E1231" i="3"/>
  <c r="E1232" i="3"/>
  <c r="E1233" i="3"/>
  <c r="G1233" i="3" s="1"/>
  <c r="E1234" i="3"/>
  <c r="G1234" i="3" s="1"/>
  <c r="E1235" i="3"/>
  <c r="E1236" i="3"/>
  <c r="E1237" i="3"/>
  <c r="G1237" i="3" s="1"/>
  <c r="E1238" i="3"/>
  <c r="G1238" i="3" s="1"/>
  <c r="E1239" i="3"/>
  <c r="E1240" i="3"/>
  <c r="E1241" i="3"/>
  <c r="G1241" i="3" s="1"/>
  <c r="E1242" i="3"/>
  <c r="G1242" i="3" s="1"/>
  <c r="E1243" i="3"/>
  <c r="E1244" i="3"/>
  <c r="E1245" i="3"/>
  <c r="G1245" i="3" s="1"/>
  <c r="E1246" i="3"/>
  <c r="G1246" i="3" s="1"/>
  <c r="E1247" i="3"/>
  <c r="E1248" i="3"/>
  <c r="E1249" i="3"/>
  <c r="G1249" i="3" s="1"/>
  <c r="E1250" i="3"/>
  <c r="G1250" i="3" s="1"/>
  <c r="E1251" i="3"/>
  <c r="E1252" i="3"/>
  <c r="E1253" i="3"/>
  <c r="G1253" i="3" s="1"/>
  <c r="E1254" i="3"/>
  <c r="G1254" i="3" s="1"/>
  <c r="E1255" i="3"/>
  <c r="E1256" i="3"/>
  <c r="E1257" i="3"/>
  <c r="G1257" i="3" s="1"/>
  <c r="E1258" i="3"/>
  <c r="G1258" i="3" s="1"/>
  <c r="E1259" i="3"/>
  <c r="E1260" i="3"/>
  <c r="E1261" i="3"/>
  <c r="G1261" i="3" s="1"/>
  <c r="E1262" i="3"/>
  <c r="G1262" i="3" s="1"/>
  <c r="E1263" i="3"/>
  <c r="E1264" i="3"/>
  <c r="E1265" i="3"/>
  <c r="G1265" i="3" s="1"/>
  <c r="E1266" i="3"/>
  <c r="G1266" i="3" s="1"/>
  <c r="E1267" i="3"/>
  <c r="E1268" i="3"/>
  <c r="E1269" i="3"/>
  <c r="G1269" i="3" s="1"/>
  <c r="E1270" i="3"/>
  <c r="G1270" i="3" s="1"/>
  <c r="E1271" i="3"/>
  <c r="E1272" i="3"/>
  <c r="E1273" i="3"/>
  <c r="G1273" i="3" s="1"/>
  <c r="E1274" i="3"/>
  <c r="G1274" i="3" s="1"/>
  <c r="E1275" i="3"/>
  <c r="E1276" i="3"/>
  <c r="E1277" i="3"/>
  <c r="G1277" i="3" s="1"/>
  <c r="E1278" i="3"/>
  <c r="G1278" i="3" s="1"/>
  <c r="E1279" i="3"/>
  <c r="E1280" i="3"/>
  <c r="E1281" i="3"/>
  <c r="G1281" i="3" s="1"/>
  <c r="E1282" i="3"/>
  <c r="G1282" i="3" s="1"/>
  <c r="E1283" i="3"/>
  <c r="E1284" i="3"/>
  <c r="E1285" i="3"/>
  <c r="G1285" i="3" s="1"/>
  <c r="E1286" i="3"/>
  <c r="G1286" i="3" s="1"/>
  <c r="E1287" i="3"/>
  <c r="E1288" i="3"/>
  <c r="E1289" i="3"/>
  <c r="G1289" i="3" s="1"/>
  <c r="E1290" i="3"/>
  <c r="G1290" i="3" s="1"/>
  <c r="E1291" i="3"/>
  <c r="E1292" i="3"/>
  <c r="E1293" i="3"/>
  <c r="G1293" i="3" s="1"/>
  <c r="E1294" i="3"/>
  <c r="G1294" i="3" s="1"/>
  <c r="E1295" i="3"/>
  <c r="E1296" i="3"/>
  <c r="E1297" i="3"/>
  <c r="G1297" i="3" s="1"/>
  <c r="E1298" i="3"/>
  <c r="G1298" i="3" s="1"/>
  <c r="E1299" i="3"/>
  <c r="E1300" i="3"/>
  <c r="E1301" i="3"/>
  <c r="G1301" i="3" s="1"/>
  <c r="E1302" i="3"/>
  <c r="G1302" i="3" s="1"/>
  <c r="E1303" i="3"/>
  <c r="E1304" i="3"/>
  <c r="E1305" i="3"/>
  <c r="G1305" i="3" s="1"/>
  <c r="E1306" i="3"/>
  <c r="G1306" i="3" s="1"/>
  <c r="E1307" i="3"/>
  <c r="E1308" i="3"/>
  <c r="E1309" i="3"/>
  <c r="G1309" i="3" s="1"/>
  <c r="E1310" i="3"/>
  <c r="G1310" i="3" s="1"/>
  <c r="E1311" i="3"/>
  <c r="E1312" i="3"/>
  <c r="E1313" i="3"/>
  <c r="G1313" i="3" s="1"/>
  <c r="E1314" i="3"/>
  <c r="G1314" i="3" s="1"/>
  <c r="E1315" i="3"/>
  <c r="E1316" i="3"/>
  <c r="E1317" i="3"/>
  <c r="G1317" i="3" s="1"/>
  <c r="E1318" i="3"/>
  <c r="G1318" i="3" s="1"/>
  <c r="E1319" i="3"/>
  <c r="E1320" i="3"/>
  <c r="E1321" i="3"/>
  <c r="G1321" i="3" s="1"/>
  <c r="E1322" i="3"/>
  <c r="G1322" i="3" s="1"/>
  <c r="E1323" i="3"/>
  <c r="E1324" i="3"/>
  <c r="E1325" i="3"/>
  <c r="G1325" i="3" s="1"/>
  <c r="E1326" i="3"/>
  <c r="G1326" i="3" s="1"/>
  <c r="E1327" i="3"/>
  <c r="E1328" i="3"/>
  <c r="E1329" i="3"/>
  <c r="G1329" i="3" s="1"/>
  <c r="E1330" i="3"/>
  <c r="G1330" i="3" s="1"/>
  <c r="E1331" i="3"/>
  <c r="E1332" i="3"/>
  <c r="E1333" i="3"/>
  <c r="G1333" i="3" s="1"/>
  <c r="E1334" i="3"/>
  <c r="G1334" i="3" s="1"/>
  <c r="E1335" i="3"/>
  <c r="E1336" i="3"/>
  <c r="E1337" i="3"/>
  <c r="G1337" i="3" s="1"/>
  <c r="E1338" i="3"/>
  <c r="G1338" i="3" s="1"/>
  <c r="E1339" i="3"/>
  <c r="E1340" i="3"/>
  <c r="E1341" i="3"/>
  <c r="G1341" i="3" s="1"/>
  <c r="E1342" i="3"/>
  <c r="G1342" i="3" s="1"/>
  <c r="E1343" i="3"/>
  <c r="E1344" i="3"/>
  <c r="E1345" i="3"/>
  <c r="G1345" i="3" s="1"/>
  <c r="E1346" i="3"/>
  <c r="G1346" i="3" s="1"/>
  <c r="E1347" i="3"/>
  <c r="E1348" i="3"/>
  <c r="E1349" i="3"/>
  <c r="G1349" i="3" s="1"/>
  <c r="E1350" i="3"/>
  <c r="G1350" i="3" s="1"/>
  <c r="E1351" i="3"/>
  <c r="E1352" i="3"/>
  <c r="E1353" i="3"/>
  <c r="G1353" i="3" s="1"/>
  <c r="E1354" i="3"/>
  <c r="G1354" i="3" s="1"/>
  <c r="E1355" i="3"/>
  <c r="E1356" i="3"/>
  <c r="E1357" i="3"/>
  <c r="G1357" i="3" s="1"/>
  <c r="E1358" i="3"/>
  <c r="G1358" i="3" s="1"/>
  <c r="E1359" i="3"/>
  <c r="E1360" i="3"/>
  <c r="E1361" i="3"/>
  <c r="G1361" i="3" s="1"/>
  <c r="E1362" i="3"/>
  <c r="G1362" i="3" s="1"/>
  <c r="E1363" i="3"/>
  <c r="E1364" i="3"/>
  <c r="E1365" i="3"/>
  <c r="G1365" i="3" s="1"/>
  <c r="E1366" i="3"/>
  <c r="G1366" i="3" s="1"/>
  <c r="E1367" i="3"/>
  <c r="E1368" i="3"/>
  <c r="E1369" i="3"/>
  <c r="G1369" i="3" s="1"/>
  <c r="E1370" i="3"/>
  <c r="G1370" i="3" s="1"/>
  <c r="E1371" i="3"/>
  <c r="E1372" i="3"/>
  <c r="E1373" i="3"/>
  <c r="G1373" i="3" s="1"/>
  <c r="E1374" i="3"/>
  <c r="G1374" i="3" s="1"/>
  <c r="E1375" i="3"/>
  <c r="E1376" i="3"/>
  <c r="E1377" i="3"/>
  <c r="G1377" i="3" s="1"/>
  <c r="E1378" i="3"/>
  <c r="G1378" i="3" s="1"/>
  <c r="E1379" i="3"/>
  <c r="E1380" i="3"/>
  <c r="E1381" i="3"/>
  <c r="G1381" i="3" s="1"/>
  <c r="E1382" i="3"/>
  <c r="G1382" i="3" s="1"/>
  <c r="E1383" i="3"/>
  <c r="E1384" i="3"/>
  <c r="E1385" i="3"/>
  <c r="G1385" i="3" s="1"/>
  <c r="E1386" i="3"/>
  <c r="G1386" i="3" s="1"/>
  <c r="E1387" i="3"/>
  <c r="E1388" i="3"/>
  <c r="E1389" i="3"/>
  <c r="G1389" i="3" s="1"/>
  <c r="E1390" i="3"/>
  <c r="G1390" i="3" s="1"/>
  <c r="E1391" i="3"/>
  <c r="E1392" i="3"/>
  <c r="E1393" i="3"/>
  <c r="G1393" i="3" s="1"/>
  <c r="E1394" i="3"/>
  <c r="G1394" i="3" s="1"/>
  <c r="E1395" i="3"/>
  <c r="E1396" i="3"/>
  <c r="E1397" i="3"/>
  <c r="G1397" i="3" s="1"/>
  <c r="E1398" i="3"/>
  <c r="G1398" i="3" s="1"/>
  <c r="E1399" i="3"/>
  <c r="E1400" i="3"/>
  <c r="E1401" i="3"/>
  <c r="G1401" i="3" s="1"/>
  <c r="E1402" i="3"/>
  <c r="G1402" i="3" s="1"/>
  <c r="E1403" i="3"/>
  <c r="E1404" i="3"/>
  <c r="E1405" i="3"/>
  <c r="G1405" i="3" s="1"/>
  <c r="E1406" i="3"/>
  <c r="G1406" i="3" s="1"/>
  <c r="E1407" i="3"/>
  <c r="E1408" i="3"/>
  <c r="E1409" i="3"/>
  <c r="G1409" i="3" s="1"/>
  <c r="E1410" i="3"/>
  <c r="G1410" i="3" s="1"/>
  <c r="E1411" i="3"/>
  <c r="E1412" i="3"/>
  <c r="E1413" i="3"/>
  <c r="G1413" i="3" s="1"/>
  <c r="E1414" i="3"/>
  <c r="G1414" i="3" s="1"/>
  <c r="E1415" i="3"/>
  <c r="E1416" i="3"/>
  <c r="E1417" i="3"/>
  <c r="G1417" i="3" s="1"/>
  <c r="E1418" i="3"/>
  <c r="G1418" i="3" s="1"/>
  <c r="E1419" i="3"/>
  <c r="E1420" i="3"/>
  <c r="E1421" i="3"/>
  <c r="G1421" i="3" s="1"/>
  <c r="E1422" i="3"/>
  <c r="G1422" i="3" s="1"/>
  <c r="E1423" i="3"/>
  <c r="E1424" i="3"/>
  <c r="E1425" i="3"/>
  <c r="G1425" i="3" s="1"/>
  <c r="E1426" i="3"/>
  <c r="G1426" i="3" s="1"/>
  <c r="E1427" i="3"/>
  <c r="E1428" i="3"/>
  <c r="E1429" i="3"/>
  <c r="G1429" i="3" s="1"/>
  <c r="E1430" i="3"/>
  <c r="G1430" i="3" s="1"/>
  <c r="E1431" i="3"/>
  <c r="E1432" i="3"/>
  <c r="E1433" i="3"/>
  <c r="G1433" i="3" s="1"/>
  <c r="E1434" i="3"/>
  <c r="G1434" i="3" s="1"/>
  <c r="E1435" i="3"/>
  <c r="E1436" i="3"/>
  <c r="E1437" i="3"/>
  <c r="G1437" i="3" s="1"/>
  <c r="E1438" i="3"/>
  <c r="G1438" i="3" s="1"/>
  <c r="E1439" i="3"/>
  <c r="E1440" i="3"/>
  <c r="E1441" i="3"/>
  <c r="G1441" i="3" s="1"/>
  <c r="E1442" i="3"/>
  <c r="G1442" i="3" s="1"/>
  <c r="E1443" i="3"/>
  <c r="E1444" i="3"/>
  <c r="E1445" i="3"/>
  <c r="G1445" i="3" s="1"/>
  <c r="E1446" i="3"/>
  <c r="G1446" i="3" s="1"/>
  <c r="E1447" i="3"/>
  <c r="E1448" i="3"/>
  <c r="E1449" i="3"/>
  <c r="G1449" i="3" s="1"/>
  <c r="E1450" i="3"/>
  <c r="G1450" i="3" s="1"/>
  <c r="E1451" i="3"/>
  <c r="E1452" i="3"/>
  <c r="E1453" i="3"/>
  <c r="G1453" i="3" s="1"/>
  <c r="E1454" i="3"/>
  <c r="G1454" i="3" s="1"/>
  <c r="E1455" i="3"/>
  <c r="E1456" i="3"/>
  <c r="E1457" i="3"/>
  <c r="G1457" i="3" s="1"/>
  <c r="E1458" i="3"/>
  <c r="G1458" i="3" s="1"/>
  <c r="E1459" i="3"/>
  <c r="E1460" i="3"/>
  <c r="E1461" i="3"/>
  <c r="G1461" i="3" s="1"/>
  <c r="E1462" i="3"/>
  <c r="G1462" i="3" s="1"/>
  <c r="E1463" i="3"/>
  <c r="E1464" i="3"/>
  <c r="E1465" i="3"/>
  <c r="G1465" i="3" s="1"/>
  <c r="E1466" i="3"/>
  <c r="G1466" i="3" s="1"/>
  <c r="E1467" i="3"/>
  <c r="E1468" i="3"/>
  <c r="E1469" i="3"/>
  <c r="G1469" i="3" s="1"/>
  <c r="E1470" i="3"/>
  <c r="G1470" i="3" s="1"/>
  <c r="E1471" i="3"/>
  <c r="E1472" i="3"/>
  <c r="E1473" i="3"/>
  <c r="G1473" i="3" s="1"/>
  <c r="E1474" i="3"/>
  <c r="G1474" i="3" s="1"/>
  <c r="E1475" i="3"/>
  <c r="E1476" i="3"/>
  <c r="E1477" i="3"/>
  <c r="G1477" i="3" s="1"/>
  <c r="E1478" i="3"/>
  <c r="G1478" i="3" s="1"/>
  <c r="E1479" i="3"/>
  <c r="E1480" i="3"/>
  <c r="E1481" i="3"/>
  <c r="G1481" i="3" s="1"/>
  <c r="E1482" i="3"/>
  <c r="G1482" i="3" s="1"/>
  <c r="E1483" i="3"/>
  <c r="E1484" i="3"/>
  <c r="E1485" i="3"/>
  <c r="G1485" i="3" s="1"/>
  <c r="E1486" i="3"/>
  <c r="G1486" i="3" s="1"/>
  <c r="E1487" i="3"/>
  <c r="E1488" i="3"/>
  <c r="E1489" i="3"/>
  <c r="G1489" i="3" s="1"/>
  <c r="E1490" i="3"/>
  <c r="G1490" i="3" s="1"/>
  <c r="E1491" i="3"/>
  <c r="E1492" i="3"/>
  <c r="E1493" i="3"/>
  <c r="G1493" i="3" s="1"/>
  <c r="E1494" i="3"/>
  <c r="G1494" i="3" s="1"/>
  <c r="E1495" i="3"/>
  <c r="E1496" i="3"/>
  <c r="E1497" i="3"/>
  <c r="G1497" i="3" s="1"/>
  <c r="E1498" i="3"/>
  <c r="G1498" i="3" s="1"/>
  <c r="E1499" i="3"/>
  <c r="E1500" i="3"/>
  <c r="E1501" i="3"/>
  <c r="G1501" i="3" s="1"/>
  <c r="E1502" i="3"/>
  <c r="G1502" i="3" s="1"/>
  <c r="E1503" i="3"/>
  <c r="E1504" i="3"/>
  <c r="E1505" i="3"/>
  <c r="G1505" i="3" s="1"/>
  <c r="E1506" i="3"/>
  <c r="G1506" i="3" s="1"/>
  <c r="E1507" i="3"/>
  <c r="E1508" i="3"/>
  <c r="E1509" i="3"/>
  <c r="G1509" i="3" s="1"/>
  <c r="E1510" i="3"/>
  <c r="G1510" i="3" s="1"/>
  <c r="E1511" i="3"/>
  <c r="E1512" i="3"/>
  <c r="E1513" i="3"/>
  <c r="G1513" i="3" s="1"/>
  <c r="E1514" i="3"/>
  <c r="G1514" i="3" s="1"/>
  <c r="E1515" i="3"/>
  <c r="E1516" i="3"/>
  <c r="E1517" i="3"/>
  <c r="G1517" i="3" s="1"/>
  <c r="E1518" i="3"/>
  <c r="G1518" i="3" s="1"/>
  <c r="E1519" i="3"/>
  <c r="E1520" i="3"/>
  <c r="E1521" i="3"/>
  <c r="G1521" i="3" s="1"/>
  <c r="E1522" i="3"/>
  <c r="G1522" i="3" s="1"/>
  <c r="E1523" i="3"/>
  <c r="E1524" i="3"/>
  <c r="E1525" i="3"/>
  <c r="G1525" i="3" s="1"/>
  <c r="E1526" i="3"/>
  <c r="G1526" i="3" s="1"/>
  <c r="E1527" i="3"/>
  <c r="E1528" i="3"/>
  <c r="E1529" i="3"/>
  <c r="G1529" i="3" s="1"/>
  <c r="E1530" i="3"/>
  <c r="G1530" i="3" s="1"/>
  <c r="E1531" i="3"/>
  <c r="E1532" i="3"/>
  <c r="E1533" i="3"/>
  <c r="G1533" i="3" s="1"/>
  <c r="E1534" i="3"/>
  <c r="G1534" i="3" s="1"/>
  <c r="E1535" i="3"/>
  <c r="E1536" i="3"/>
  <c r="E1537" i="3"/>
  <c r="G1537" i="3" s="1"/>
  <c r="E1538" i="3"/>
  <c r="G1538" i="3" s="1"/>
  <c r="E1539" i="3"/>
  <c r="E1540" i="3"/>
  <c r="E1541" i="3"/>
  <c r="G1541" i="3" s="1"/>
  <c r="E1542" i="3"/>
  <c r="G1542" i="3" s="1"/>
  <c r="E1543" i="3"/>
  <c r="E1544" i="3"/>
  <c r="E1545" i="3"/>
  <c r="G1545" i="3" s="1"/>
  <c r="E1546" i="3"/>
  <c r="G1546" i="3" s="1"/>
  <c r="E1547" i="3"/>
  <c r="E1548" i="3"/>
  <c r="E1549" i="3"/>
  <c r="G1549" i="3" s="1"/>
  <c r="E1550" i="3"/>
  <c r="G1550" i="3" s="1"/>
  <c r="E1551" i="3"/>
  <c r="E1552" i="3"/>
  <c r="E1553" i="3"/>
  <c r="G1553" i="3" s="1"/>
  <c r="E1554" i="3"/>
  <c r="G1554" i="3" s="1"/>
  <c r="E1555" i="3"/>
  <c r="E1556" i="3"/>
  <c r="E1557" i="3"/>
  <c r="G1557" i="3" s="1"/>
  <c r="E1558" i="3"/>
  <c r="G1558" i="3" s="1"/>
  <c r="E1559" i="3"/>
  <c r="E1560" i="3"/>
  <c r="E1561" i="3"/>
  <c r="G1561" i="3" s="1"/>
  <c r="E1562" i="3"/>
  <c r="G1562" i="3" s="1"/>
  <c r="E1563" i="3"/>
  <c r="E1564" i="3"/>
  <c r="E1565" i="3"/>
  <c r="G1565" i="3" s="1"/>
  <c r="E1566" i="3"/>
  <c r="G1566" i="3" s="1"/>
  <c r="E1567" i="3"/>
  <c r="E1568" i="3"/>
  <c r="E1569" i="3"/>
  <c r="G1569" i="3" s="1"/>
  <c r="E1570" i="3"/>
  <c r="G1570" i="3" s="1"/>
  <c r="E1571" i="3"/>
  <c r="E1572" i="3"/>
  <c r="E1573" i="3"/>
  <c r="G1573" i="3" s="1"/>
  <c r="E1574" i="3"/>
  <c r="G1574" i="3" s="1"/>
  <c r="E1575" i="3"/>
  <c r="E1576" i="3"/>
  <c r="E1577" i="3"/>
  <c r="G1577" i="3" s="1"/>
  <c r="E1578" i="3"/>
  <c r="G1578" i="3" s="1"/>
  <c r="E1579" i="3"/>
  <c r="E1580" i="3"/>
  <c r="E1581" i="3"/>
  <c r="G1581" i="3" s="1"/>
  <c r="E1582" i="3"/>
  <c r="G1582" i="3" s="1"/>
  <c r="E1583" i="3"/>
  <c r="E1584" i="3"/>
  <c r="E1585" i="3"/>
  <c r="G1585" i="3" s="1"/>
  <c r="E1586" i="3"/>
  <c r="G1586" i="3" s="1"/>
  <c r="E1587" i="3"/>
  <c r="E1588" i="3"/>
  <c r="E1589" i="3"/>
  <c r="G1589" i="3" s="1"/>
  <c r="E1590" i="3"/>
  <c r="G1590" i="3" s="1"/>
  <c r="E1591" i="3"/>
  <c r="E1592" i="3"/>
  <c r="E1593" i="3"/>
  <c r="G1593" i="3" s="1"/>
  <c r="E1594" i="3"/>
  <c r="G1594" i="3" s="1"/>
  <c r="E1595" i="3"/>
  <c r="E1596" i="3"/>
  <c r="E1597" i="3"/>
  <c r="G1597" i="3" s="1"/>
  <c r="E1598" i="3"/>
  <c r="G1598" i="3" s="1"/>
  <c r="E1599" i="3"/>
  <c r="E1600" i="3"/>
  <c r="E1601" i="3"/>
  <c r="G1601" i="3" s="1"/>
  <c r="E1602" i="3"/>
  <c r="G1602" i="3" s="1"/>
  <c r="E1603" i="3"/>
  <c r="E1604" i="3"/>
  <c r="E1605" i="3"/>
  <c r="G1605" i="3" s="1"/>
  <c r="E1606" i="3"/>
  <c r="G1606" i="3" s="1"/>
  <c r="E1607" i="3"/>
  <c r="E1608" i="3"/>
  <c r="E1609" i="3"/>
  <c r="G1609" i="3" s="1"/>
  <c r="E1610" i="3"/>
  <c r="G1610" i="3" s="1"/>
  <c r="E1611" i="3"/>
  <c r="E1612" i="3"/>
  <c r="E1613" i="3"/>
  <c r="G1613" i="3" s="1"/>
  <c r="E1614" i="3"/>
  <c r="G1614" i="3" s="1"/>
  <c r="E1615" i="3"/>
  <c r="E1616" i="3"/>
  <c r="E1617" i="3"/>
  <c r="G1617" i="3" s="1"/>
  <c r="E1618" i="3"/>
  <c r="G1618" i="3" s="1"/>
  <c r="E1619" i="3"/>
  <c r="E1620" i="3"/>
  <c r="E1621" i="3"/>
  <c r="G1621" i="3" s="1"/>
  <c r="E1622" i="3"/>
  <c r="G1622" i="3" s="1"/>
  <c r="E1623" i="3"/>
  <c r="E1624" i="3"/>
  <c r="E1625" i="3"/>
  <c r="G1625" i="3" s="1"/>
  <c r="E1626" i="3"/>
  <c r="G1626" i="3" s="1"/>
  <c r="E1627" i="3"/>
  <c r="E1628" i="3"/>
  <c r="E1629" i="3"/>
  <c r="G1629" i="3" s="1"/>
  <c r="E1630" i="3"/>
  <c r="G1630" i="3" s="1"/>
  <c r="E1631" i="3"/>
  <c r="E1632" i="3"/>
  <c r="E1633" i="3"/>
  <c r="G1633" i="3" s="1"/>
  <c r="E1634" i="3"/>
  <c r="G1634" i="3" s="1"/>
  <c r="E1635" i="3"/>
  <c r="E1636" i="3"/>
  <c r="E1637" i="3"/>
  <c r="G1637" i="3" s="1"/>
  <c r="E1638" i="3"/>
  <c r="G1638" i="3" s="1"/>
  <c r="E1639" i="3"/>
  <c r="E1640" i="3"/>
  <c r="E1641" i="3"/>
  <c r="G1641" i="3" s="1"/>
  <c r="E1642" i="3"/>
  <c r="G1642" i="3" s="1"/>
  <c r="E1643" i="3"/>
  <c r="E1644" i="3"/>
  <c r="E1645" i="3"/>
  <c r="G1645" i="3" s="1"/>
  <c r="E1646" i="3"/>
  <c r="G1646" i="3" s="1"/>
  <c r="E1647" i="3"/>
  <c r="E1648" i="3"/>
  <c r="E1649" i="3"/>
  <c r="G1649" i="3" s="1"/>
  <c r="E1650" i="3"/>
  <c r="G1650" i="3" s="1"/>
  <c r="E1651" i="3"/>
  <c r="E1652" i="3"/>
  <c r="E1653" i="3"/>
  <c r="G1653" i="3" s="1"/>
  <c r="E1654" i="3"/>
  <c r="G1654" i="3" s="1"/>
  <c r="E1655" i="3"/>
  <c r="E1656" i="3"/>
  <c r="E1657" i="3"/>
  <c r="G1657" i="3" s="1"/>
  <c r="E1658" i="3"/>
  <c r="G1658" i="3" s="1"/>
  <c r="E1659" i="3"/>
  <c r="E1660" i="3"/>
  <c r="E1661" i="3"/>
  <c r="G1661" i="3" s="1"/>
  <c r="E1662" i="3"/>
  <c r="G1662" i="3" s="1"/>
  <c r="E1663" i="3"/>
  <c r="E1664" i="3"/>
  <c r="E1665" i="3"/>
  <c r="G1665" i="3" s="1"/>
  <c r="E1666" i="3"/>
  <c r="G1666" i="3" s="1"/>
  <c r="E1667" i="3"/>
  <c r="E1668" i="3"/>
  <c r="E1669" i="3"/>
  <c r="G1669" i="3" s="1"/>
  <c r="E1670" i="3"/>
  <c r="G1670" i="3" s="1"/>
  <c r="E1671" i="3"/>
  <c r="E1672" i="3"/>
  <c r="E1673" i="3"/>
  <c r="G1673" i="3" s="1"/>
  <c r="E1674" i="3"/>
  <c r="G1674" i="3" s="1"/>
  <c r="E1675" i="3"/>
  <c r="E1676" i="3"/>
  <c r="E1677" i="3"/>
  <c r="G1677" i="3" s="1"/>
  <c r="E1678" i="3"/>
  <c r="G1678" i="3" s="1"/>
  <c r="E1679" i="3"/>
  <c r="E1680" i="3"/>
  <c r="E1681" i="3"/>
  <c r="G1681" i="3" s="1"/>
  <c r="E1682" i="3"/>
  <c r="G1682" i="3" s="1"/>
  <c r="E1683" i="3"/>
  <c r="E1684" i="3"/>
  <c r="E1685" i="3"/>
  <c r="G1685" i="3" s="1"/>
  <c r="E1686" i="3"/>
  <c r="G1686" i="3" s="1"/>
  <c r="E1687" i="3"/>
  <c r="E1688" i="3"/>
  <c r="E1689" i="3"/>
  <c r="G1689" i="3" s="1"/>
  <c r="E1690" i="3"/>
  <c r="G1690" i="3" s="1"/>
  <c r="E1691" i="3"/>
  <c r="E1692" i="3"/>
  <c r="E1693" i="3"/>
  <c r="G1693" i="3" s="1"/>
  <c r="E1694" i="3"/>
  <c r="G1694" i="3" s="1"/>
  <c r="E1695" i="3"/>
  <c r="E1696" i="3"/>
  <c r="E1697" i="3"/>
  <c r="G1697" i="3" s="1"/>
  <c r="E1698" i="3"/>
  <c r="G1698" i="3" s="1"/>
  <c r="E1699" i="3"/>
  <c r="E1700" i="3"/>
  <c r="E1701" i="3"/>
  <c r="G1701" i="3" s="1"/>
  <c r="E1702" i="3"/>
  <c r="G1702" i="3" s="1"/>
  <c r="E1703" i="3"/>
  <c r="E1704" i="3"/>
  <c r="E1705" i="3"/>
  <c r="G1705" i="3" s="1"/>
  <c r="E1706" i="3"/>
  <c r="G1706" i="3" s="1"/>
  <c r="E1707" i="3"/>
  <c r="E1708" i="3"/>
  <c r="E1709" i="3"/>
  <c r="G1709" i="3" s="1"/>
  <c r="E1710" i="3"/>
  <c r="G1710" i="3" s="1"/>
  <c r="E1711" i="3"/>
  <c r="E1712" i="3"/>
  <c r="E1713" i="3"/>
  <c r="G1713" i="3" s="1"/>
  <c r="E1714" i="3"/>
  <c r="G1714" i="3" s="1"/>
  <c r="E1715" i="3"/>
  <c r="E1716" i="3"/>
  <c r="E1717" i="3"/>
  <c r="G1717" i="3" s="1"/>
  <c r="E1718" i="3"/>
  <c r="G1718" i="3" s="1"/>
  <c r="E1719" i="3"/>
  <c r="E1720" i="3"/>
  <c r="E1721" i="3"/>
  <c r="G1721" i="3" s="1"/>
  <c r="E1722" i="3"/>
  <c r="G1722" i="3" s="1"/>
  <c r="E1723" i="3"/>
  <c r="E1724" i="3"/>
  <c r="E1725" i="3"/>
  <c r="G1725" i="3" s="1"/>
  <c r="E1726" i="3"/>
  <c r="G1726" i="3" s="1"/>
  <c r="E1727" i="3"/>
  <c r="E1728" i="3"/>
  <c r="E1729" i="3"/>
  <c r="G1729" i="3" s="1"/>
  <c r="E1730" i="3"/>
  <c r="G1730" i="3" s="1"/>
  <c r="E1731" i="3"/>
  <c r="E1732" i="3"/>
  <c r="E1733" i="3"/>
  <c r="G1733" i="3" s="1"/>
  <c r="E1734" i="3"/>
  <c r="G1734" i="3" s="1"/>
  <c r="E1735" i="3"/>
  <c r="E1736" i="3"/>
  <c r="E1737" i="3"/>
  <c r="G1737" i="3" s="1"/>
  <c r="E1738" i="3"/>
  <c r="G1738" i="3" s="1"/>
  <c r="E1739" i="3"/>
  <c r="E1740" i="3"/>
  <c r="E1741" i="3"/>
  <c r="G1741" i="3" s="1"/>
  <c r="E1742" i="3"/>
  <c r="G1742" i="3" s="1"/>
  <c r="E1743" i="3"/>
  <c r="E1744" i="3"/>
  <c r="E1745" i="3"/>
  <c r="G1745" i="3" s="1"/>
  <c r="E1746" i="3"/>
  <c r="G1746" i="3" s="1"/>
  <c r="E1747" i="3"/>
  <c r="E1748" i="3"/>
  <c r="E1749" i="3"/>
  <c r="G1749" i="3" s="1"/>
  <c r="E1750" i="3"/>
  <c r="G1750" i="3" s="1"/>
  <c r="E1751" i="3"/>
  <c r="E1752" i="3"/>
  <c r="E1753" i="3"/>
  <c r="G1753" i="3" s="1"/>
  <c r="E1754" i="3"/>
  <c r="G1754" i="3" s="1"/>
  <c r="E1755" i="3"/>
  <c r="E1756" i="3"/>
  <c r="E1757" i="3"/>
  <c r="G1757" i="3" s="1"/>
  <c r="E1758" i="3"/>
  <c r="G1758" i="3" s="1"/>
  <c r="E1759" i="3"/>
  <c r="E1760" i="3"/>
  <c r="E1761" i="3"/>
  <c r="G1761" i="3" s="1"/>
  <c r="E1762" i="3"/>
  <c r="G1762" i="3" s="1"/>
  <c r="E1763" i="3"/>
  <c r="E1764" i="3"/>
  <c r="E1765" i="3"/>
  <c r="G1765" i="3" s="1"/>
  <c r="E1766" i="3"/>
  <c r="G1766" i="3" s="1"/>
  <c r="E1767" i="3"/>
  <c r="E1768" i="3"/>
  <c r="E1769" i="3"/>
  <c r="G1769" i="3" s="1"/>
  <c r="E1770" i="3"/>
  <c r="G1770" i="3" s="1"/>
  <c r="E1771" i="3"/>
  <c r="E1772" i="3"/>
  <c r="E1773" i="3"/>
  <c r="G1773" i="3" s="1"/>
  <c r="E1774" i="3"/>
  <c r="G1774" i="3" s="1"/>
  <c r="E1775" i="3"/>
  <c r="E1776" i="3"/>
  <c r="E1777" i="3"/>
  <c r="G1777" i="3" s="1"/>
  <c r="E1778" i="3"/>
  <c r="G1778" i="3" s="1"/>
  <c r="E1779" i="3"/>
  <c r="E1780" i="3"/>
  <c r="E1781" i="3"/>
  <c r="G1781" i="3" s="1"/>
  <c r="E1782" i="3"/>
  <c r="G1782" i="3" s="1"/>
  <c r="E1783" i="3"/>
  <c r="E1784" i="3"/>
  <c r="E1785" i="3"/>
  <c r="G1785" i="3" s="1"/>
  <c r="E1786" i="3"/>
  <c r="G1786" i="3" s="1"/>
  <c r="E1787" i="3"/>
  <c r="E1788" i="3"/>
  <c r="E1789" i="3"/>
  <c r="G1789" i="3" s="1"/>
  <c r="E1790" i="3"/>
  <c r="G1790" i="3" s="1"/>
  <c r="E1791" i="3"/>
  <c r="E1792" i="3"/>
  <c r="E1793" i="3"/>
  <c r="G1793" i="3" s="1"/>
  <c r="E1794" i="3"/>
  <c r="G1794" i="3" s="1"/>
  <c r="E1795" i="3"/>
  <c r="E1796" i="3"/>
  <c r="E1797" i="3"/>
  <c r="G1797" i="3" s="1"/>
  <c r="E1798" i="3"/>
  <c r="G1798" i="3" s="1"/>
  <c r="E1799" i="3"/>
  <c r="E1800" i="3"/>
  <c r="E1801" i="3"/>
  <c r="G1801" i="3" s="1"/>
  <c r="E1802" i="3"/>
  <c r="G1802" i="3" s="1"/>
  <c r="E1803" i="3"/>
  <c r="E1804" i="3"/>
  <c r="E1805" i="3"/>
  <c r="G1805" i="3" s="1"/>
  <c r="E1806" i="3"/>
  <c r="G1806" i="3" s="1"/>
  <c r="E1807" i="3"/>
  <c r="E1808" i="3"/>
  <c r="E1809" i="3"/>
  <c r="G1809" i="3" s="1"/>
  <c r="E1810" i="3"/>
  <c r="G1810" i="3" s="1"/>
  <c r="E1811" i="3"/>
  <c r="E1812" i="3"/>
  <c r="E1813" i="3"/>
  <c r="G1813" i="3" s="1"/>
  <c r="E1814" i="3"/>
  <c r="G1814" i="3" s="1"/>
  <c r="E1815" i="3"/>
  <c r="E1816" i="3"/>
  <c r="E1817" i="3"/>
  <c r="G1817" i="3" s="1"/>
  <c r="E1818" i="3"/>
  <c r="G1818" i="3" s="1"/>
  <c r="E1819" i="3"/>
  <c r="E1820" i="3"/>
  <c r="E1821" i="3"/>
  <c r="G1821" i="3" s="1"/>
  <c r="E1822" i="3"/>
  <c r="G1822" i="3" s="1"/>
  <c r="E1823" i="3"/>
  <c r="E1824" i="3"/>
  <c r="E1825" i="3"/>
  <c r="G1825" i="3" s="1"/>
  <c r="E1826" i="3"/>
  <c r="G1826" i="3" s="1"/>
  <c r="E1827" i="3"/>
  <c r="E1828" i="3"/>
  <c r="E1829" i="3"/>
  <c r="G1829" i="3" s="1"/>
  <c r="E1830" i="3"/>
  <c r="G1830" i="3" s="1"/>
  <c r="E1831" i="3"/>
  <c r="E1832" i="3"/>
  <c r="E1833" i="3"/>
  <c r="G1833" i="3" s="1"/>
  <c r="E1834" i="3"/>
  <c r="G1834" i="3" s="1"/>
  <c r="E1835" i="3"/>
  <c r="E1836" i="3"/>
  <c r="E1837" i="3"/>
  <c r="G1837" i="3" s="1"/>
  <c r="E1838" i="3"/>
  <c r="G1838" i="3" s="1"/>
  <c r="E1839" i="3"/>
  <c r="E1840" i="3"/>
  <c r="E1841" i="3"/>
  <c r="G1841" i="3" s="1"/>
  <c r="E1842" i="3"/>
  <c r="G1842" i="3" s="1"/>
  <c r="E1843" i="3"/>
  <c r="E1844" i="3"/>
  <c r="E1845" i="3"/>
  <c r="G1845" i="3" s="1"/>
  <c r="E1846" i="3"/>
  <c r="G1846" i="3" s="1"/>
  <c r="E1847" i="3"/>
  <c r="E1848" i="3"/>
  <c r="E1849" i="3"/>
  <c r="G1849" i="3" s="1"/>
  <c r="E1850" i="3"/>
  <c r="G1850" i="3" s="1"/>
  <c r="E1851" i="3"/>
  <c r="E1852" i="3"/>
  <c r="E1853" i="3"/>
  <c r="G1853" i="3" s="1"/>
  <c r="E1854" i="3"/>
  <c r="G1854" i="3" s="1"/>
  <c r="E1855" i="3"/>
  <c r="E1856" i="3"/>
  <c r="E1857" i="3"/>
  <c r="G1857" i="3" s="1"/>
  <c r="E1858" i="3"/>
  <c r="G1858" i="3" s="1"/>
  <c r="E1859" i="3"/>
  <c r="E1860" i="3"/>
  <c r="E1861" i="3"/>
  <c r="G1861" i="3" s="1"/>
  <c r="E1862" i="3"/>
  <c r="G1862" i="3" s="1"/>
  <c r="E1863" i="3"/>
  <c r="E1864" i="3"/>
  <c r="E1865" i="3"/>
  <c r="G1865" i="3" s="1"/>
  <c r="E1866" i="3"/>
  <c r="G1866" i="3" s="1"/>
  <c r="E1867" i="3"/>
  <c r="E1868" i="3"/>
  <c r="E1869" i="3"/>
  <c r="G1869" i="3" s="1"/>
  <c r="E1870" i="3"/>
  <c r="G1870" i="3" s="1"/>
  <c r="E1871" i="3"/>
  <c r="E1872" i="3"/>
  <c r="E1873" i="3"/>
  <c r="G1873" i="3" s="1"/>
  <c r="E1874" i="3"/>
  <c r="G1874" i="3" s="1"/>
  <c r="E1875" i="3"/>
  <c r="E1876" i="3"/>
  <c r="E1877" i="3"/>
  <c r="G1877" i="3" s="1"/>
  <c r="E1878" i="3"/>
  <c r="G1878" i="3" s="1"/>
  <c r="E1879" i="3"/>
  <c r="E1880" i="3"/>
  <c r="E1881" i="3"/>
  <c r="G1881" i="3" s="1"/>
  <c r="E1882" i="3"/>
  <c r="G1882" i="3" s="1"/>
  <c r="E1883" i="3"/>
  <c r="E1884" i="3"/>
  <c r="E1885" i="3"/>
  <c r="G1885" i="3" s="1"/>
  <c r="E1886" i="3"/>
  <c r="G1886" i="3" s="1"/>
  <c r="E1887" i="3"/>
  <c r="E1888" i="3"/>
  <c r="E1889" i="3"/>
  <c r="G1889" i="3" s="1"/>
  <c r="E1890" i="3"/>
  <c r="G1890" i="3" s="1"/>
  <c r="E1891" i="3"/>
  <c r="E1892" i="3"/>
  <c r="E1893" i="3"/>
  <c r="G1893" i="3" s="1"/>
  <c r="E1894" i="3"/>
  <c r="G1894" i="3" s="1"/>
  <c r="E1895" i="3"/>
  <c r="E1896" i="3"/>
  <c r="E1897" i="3"/>
  <c r="G1897" i="3" s="1"/>
  <c r="E1898" i="3"/>
  <c r="G1898" i="3" s="1"/>
  <c r="E1899" i="3"/>
  <c r="E1900" i="3"/>
  <c r="E1901" i="3"/>
  <c r="G1901" i="3" s="1"/>
  <c r="E1902" i="3"/>
  <c r="G1902" i="3" s="1"/>
  <c r="E1903" i="3"/>
  <c r="E1904" i="3"/>
  <c r="E1905" i="3"/>
  <c r="G1905" i="3" s="1"/>
  <c r="E1906" i="3"/>
  <c r="G1906" i="3" s="1"/>
  <c r="E1907" i="3"/>
  <c r="E1908" i="3"/>
  <c r="E1909" i="3"/>
  <c r="G1909" i="3" s="1"/>
  <c r="E1910" i="3"/>
  <c r="G1910" i="3" s="1"/>
  <c r="E1911" i="3"/>
  <c r="E1912" i="3"/>
  <c r="E1913" i="3"/>
  <c r="G1913" i="3" s="1"/>
  <c r="E1914" i="3"/>
  <c r="G1914" i="3" s="1"/>
  <c r="E1915" i="3"/>
  <c r="E1916" i="3"/>
  <c r="E1917" i="3"/>
  <c r="G1917" i="3" s="1"/>
  <c r="E1918" i="3"/>
  <c r="G1918" i="3" s="1"/>
  <c r="E1919" i="3"/>
  <c r="E1920" i="3"/>
  <c r="E1921" i="3"/>
  <c r="G1921" i="3" s="1"/>
  <c r="E1922" i="3"/>
  <c r="G1922" i="3" s="1"/>
  <c r="E1923" i="3"/>
  <c r="E1924" i="3"/>
  <c r="E1925" i="3"/>
  <c r="G1925" i="3" s="1"/>
  <c r="E1926" i="3"/>
  <c r="G1926" i="3" s="1"/>
  <c r="E1927" i="3"/>
  <c r="E1928" i="3"/>
  <c r="E1929" i="3"/>
  <c r="G1929" i="3" s="1"/>
  <c r="E1930" i="3"/>
  <c r="G1930" i="3" s="1"/>
  <c r="E1931" i="3"/>
  <c r="E1932" i="3"/>
  <c r="E1933" i="3"/>
  <c r="G1933" i="3" s="1"/>
  <c r="E1934" i="3"/>
  <c r="G1934" i="3" s="1"/>
  <c r="E1935" i="3"/>
  <c r="E1936" i="3"/>
  <c r="E1937" i="3"/>
  <c r="G1937" i="3" s="1"/>
  <c r="E1938" i="3"/>
  <c r="G1938" i="3" s="1"/>
  <c r="E1939" i="3"/>
  <c r="E1940" i="3"/>
  <c r="E1941" i="3"/>
  <c r="G1941" i="3" s="1"/>
  <c r="E1942" i="3"/>
  <c r="G1942" i="3" s="1"/>
  <c r="E1943" i="3"/>
  <c r="E1944" i="3"/>
  <c r="E1945" i="3"/>
  <c r="G1945" i="3" s="1"/>
  <c r="E1946" i="3"/>
  <c r="G1946" i="3" s="1"/>
  <c r="E1947" i="3"/>
  <c r="E1948" i="3"/>
  <c r="E1949" i="3"/>
  <c r="G1949" i="3" s="1"/>
  <c r="E1950" i="3"/>
  <c r="G1950" i="3" s="1"/>
  <c r="E1951" i="3"/>
  <c r="E1952" i="3"/>
  <c r="E1953" i="3"/>
  <c r="G1953" i="3" s="1"/>
  <c r="E1954" i="3"/>
  <c r="G1954" i="3" s="1"/>
  <c r="E1955" i="3"/>
  <c r="E1956" i="3"/>
  <c r="E1957" i="3"/>
  <c r="G1957" i="3" s="1"/>
  <c r="E1958" i="3"/>
  <c r="G1958" i="3" s="1"/>
  <c r="E1959" i="3"/>
  <c r="E1960" i="3"/>
  <c r="E1961" i="3"/>
  <c r="G1961" i="3" s="1"/>
  <c r="E1962" i="3"/>
  <c r="G1962" i="3" s="1"/>
  <c r="E1963" i="3"/>
  <c r="E1964" i="3"/>
  <c r="E1965" i="3"/>
  <c r="G1965" i="3" s="1"/>
  <c r="E1966" i="3"/>
  <c r="G1966" i="3" s="1"/>
  <c r="E1967" i="3"/>
  <c r="E1968" i="3"/>
  <c r="E1969" i="3"/>
  <c r="G1969" i="3" s="1"/>
  <c r="E1970" i="3"/>
  <c r="G1970" i="3" s="1"/>
  <c r="E1971" i="3"/>
  <c r="E1972" i="3"/>
  <c r="E1973" i="3"/>
  <c r="G1973" i="3" s="1"/>
  <c r="E1974" i="3"/>
  <c r="G1974" i="3" s="1"/>
  <c r="E1975" i="3"/>
  <c r="E1976" i="3"/>
  <c r="E1977" i="3"/>
  <c r="G1977" i="3" s="1"/>
  <c r="E1978" i="3"/>
  <c r="G1978" i="3" s="1"/>
  <c r="E1979" i="3"/>
  <c r="E1980" i="3"/>
  <c r="E1981" i="3"/>
  <c r="G1981" i="3" s="1"/>
  <c r="E1982" i="3"/>
  <c r="G1982" i="3" s="1"/>
  <c r="E1983" i="3"/>
  <c r="E1984" i="3"/>
  <c r="E1985" i="3"/>
  <c r="G1985" i="3" s="1"/>
  <c r="E1986" i="3"/>
  <c r="G1986" i="3" s="1"/>
  <c r="E1987" i="3"/>
  <c r="E1988" i="3"/>
  <c r="E1989" i="3"/>
  <c r="G1989" i="3" s="1"/>
  <c r="E1990" i="3"/>
  <c r="G1990" i="3" s="1"/>
  <c r="E1991" i="3"/>
  <c r="E1992" i="3"/>
  <c r="E1993" i="3"/>
  <c r="G1993" i="3" s="1"/>
  <c r="E1994" i="3"/>
  <c r="G1994" i="3" s="1"/>
  <c r="E1995" i="3"/>
  <c r="E1996" i="3"/>
  <c r="E1997" i="3"/>
  <c r="G1997" i="3" s="1"/>
  <c r="E1998" i="3"/>
  <c r="G1998" i="3" s="1"/>
  <c r="E1999" i="3"/>
  <c r="E2000" i="3"/>
  <c r="E2001" i="3"/>
  <c r="G2001" i="3" s="1"/>
  <c r="E2002" i="3"/>
  <c r="G2002" i="3" s="1"/>
  <c r="E2003" i="3"/>
  <c r="E2004" i="3"/>
  <c r="E2005" i="3"/>
  <c r="G2005" i="3" s="1"/>
  <c r="E2006" i="3"/>
  <c r="G2006" i="3" s="1"/>
  <c r="E2007" i="3"/>
  <c r="E2008" i="3"/>
  <c r="E2009" i="3"/>
  <c r="G2009" i="3" s="1"/>
  <c r="E2010" i="3"/>
  <c r="G2010" i="3" s="1"/>
  <c r="E2011" i="3"/>
  <c r="E2012" i="3"/>
  <c r="E2013" i="3"/>
  <c r="G2013" i="3" s="1"/>
  <c r="E2014" i="3"/>
  <c r="G2014" i="3" s="1"/>
  <c r="E2015" i="3"/>
  <c r="E2016" i="3"/>
  <c r="E2017" i="3"/>
  <c r="G2017" i="3" s="1"/>
  <c r="E2018" i="3"/>
  <c r="G2018" i="3" s="1"/>
  <c r="E2019" i="3"/>
  <c r="E2020" i="3"/>
  <c r="E2021" i="3"/>
  <c r="G2021" i="3" s="1"/>
  <c r="E2022" i="3"/>
  <c r="G2022" i="3" s="1"/>
  <c r="E2023" i="3"/>
  <c r="E2024" i="3"/>
  <c r="E2025" i="3"/>
  <c r="G2025" i="3" s="1"/>
  <c r="E2026" i="3"/>
  <c r="G2026" i="3" s="1"/>
  <c r="E2027" i="3"/>
  <c r="E2028" i="3"/>
  <c r="E2029" i="3"/>
  <c r="G2029" i="3" s="1"/>
  <c r="E2030" i="3"/>
  <c r="G2030" i="3" s="1"/>
  <c r="E2031" i="3"/>
  <c r="E2032" i="3"/>
  <c r="E2033" i="3"/>
  <c r="G2033" i="3" s="1"/>
  <c r="E2034" i="3"/>
  <c r="G2034" i="3" s="1"/>
  <c r="E2035" i="3"/>
  <c r="E2036" i="3"/>
  <c r="E2037" i="3"/>
  <c r="G2037" i="3" s="1"/>
  <c r="E2038" i="3"/>
  <c r="G2038" i="3" s="1"/>
  <c r="E2039" i="3"/>
  <c r="E2040" i="3"/>
  <c r="E2041" i="3"/>
  <c r="G2041" i="3" s="1"/>
  <c r="E2042" i="3"/>
  <c r="G2042" i="3" s="1"/>
  <c r="E2043" i="3"/>
  <c r="E2044" i="3"/>
  <c r="E2045" i="3"/>
  <c r="G2045" i="3" s="1"/>
  <c r="E2046" i="3"/>
  <c r="G2046" i="3" s="1"/>
  <c r="E2047" i="3"/>
  <c r="E2048" i="3"/>
  <c r="E2049" i="3"/>
  <c r="G2049" i="3" s="1"/>
  <c r="E2050" i="3"/>
  <c r="G2050" i="3" s="1"/>
  <c r="E2051" i="3"/>
  <c r="E2052" i="3"/>
  <c r="E2053" i="3"/>
  <c r="G2053" i="3" s="1"/>
  <c r="E2054" i="3"/>
  <c r="G2054" i="3" s="1"/>
  <c r="E2055" i="3"/>
  <c r="E2056" i="3"/>
  <c r="E2057" i="3"/>
  <c r="G2057" i="3" s="1"/>
  <c r="E2058" i="3"/>
  <c r="G2058" i="3" s="1"/>
  <c r="E2059" i="3"/>
  <c r="E2060" i="3"/>
  <c r="E2061" i="3"/>
  <c r="G2061" i="3" s="1"/>
  <c r="E2062" i="3"/>
  <c r="G2062" i="3" s="1"/>
  <c r="E2063" i="3"/>
  <c r="E2064" i="3"/>
  <c r="E2065" i="3"/>
  <c r="G2065" i="3" s="1"/>
  <c r="E2066" i="3"/>
  <c r="G2066" i="3" s="1"/>
  <c r="E2067" i="3"/>
  <c r="E2068" i="3"/>
  <c r="E2069" i="3"/>
  <c r="G2069" i="3" s="1"/>
  <c r="E2070" i="3"/>
  <c r="G2070" i="3" s="1"/>
  <c r="E2071" i="3"/>
  <c r="E2072" i="3"/>
  <c r="E2073" i="3"/>
  <c r="G2073" i="3" s="1"/>
  <c r="E2074" i="3"/>
  <c r="G2074" i="3" s="1"/>
  <c r="E2075" i="3"/>
  <c r="E2076" i="3"/>
  <c r="E2077" i="3"/>
  <c r="G2077" i="3" s="1"/>
  <c r="E2078" i="3"/>
  <c r="G2078" i="3" s="1"/>
  <c r="E2079" i="3"/>
  <c r="E2080" i="3"/>
  <c r="E2081" i="3"/>
  <c r="G2081" i="3" s="1"/>
  <c r="E2082" i="3"/>
  <c r="G2082" i="3" s="1"/>
  <c r="E2083" i="3"/>
  <c r="E2084" i="3"/>
  <c r="E2085" i="3"/>
  <c r="G2085" i="3" s="1"/>
  <c r="E2086" i="3"/>
  <c r="G2086" i="3" s="1"/>
  <c r="E2087" i="3"/>
  <c r="E2088" i="3"/>
  <c r="E2089" i="3"/>
  <c r="G2089" i="3" s="1"/>
  <c r="E2090" i="3"/>
  <c r="G2090" i="3" s="1"/>
  <c r="E2091" i="3"/>
  <c r="E2092" i="3"/>
  <c r="E2093" i="3"/>
  <c r="G2093" i="3" s="1"/>
  <c r="E2094" i="3"/>
  <c r="G2094" i="3" s="1"/>
  <c r="E2095" i="3"/>
  <c r="E2096" i="3"/>
  <c r="E2097" i="3"/>
  <c r="G2097" i="3" s="1"/>
  <c r="E2098" i="3"/>
  <c r="G2098" i="3" s="1"/>
  <c r="E2099" i="3"/>
  <c r="E2100" i="3"/>
  <c r="E2101" i="3"/>
  <c r="G2101" i="3" s="1"/>
  <c r="E2102" i="3"/>
  <c r="G2102" i="3" s="1"/>
  <c r="E2103" i="3"/>
  <c r="E2104" i="3"/>
  <c r="E2105" i="3"/>
  <c r="G2105" i="3" s="1"/>
  <c r="E2106" i="3"/>
  <c r="G2106" i="3" s="1"/>
  <c r="E2107" i="3"/>
  <c r="E2108" i="3"/>
  <c r="E2109" i="3"/>
  <c r="G2109" i="3" s="1"/>
  <c r="E2110" i="3"/>
  <c r="G2110" i="3" s="1"/>
  <c r="E2111" i="3"/>
  <c r="E2112" i="3"/>
  <c r="E2113" i="3"/>
  <c r="G2113" i="3" s="1"/>
  <c r="E2114" i="3"/>
  <c r="G2114" i="3" s="1"/>
  <c r="E2115" i="3"/>
  <c r="E2116" i="3"/>
  <c r="E2117" i="3"/>
  <c r="G2117" i="3" s="1"/>
  <c r="E2118" i="3"/>
  <c r="G2118" i="3" s="1"/>
  <c r="E2119" i="3"/>
  <c r="E2120" i="3"/>
  <c r="E2121" i="3"/>
  <c r="G2121" i="3" s="1"/>
  <c r="E2122" i="3"/>
  <c r="G2122" i="3" s="1"/>
  <c r="E2123" i="3"/>
  <c r="E2124" i="3"/>
  <c r="E2125" i="3"/>
  <c r="G2125" i="3" s="1"/>
  <c r="E2126" i="3"/>
  <c r="G2126" i="3" s="1"/>
  <c r="E2127" i="3"/>
  <c r="E2128" i="3"/>
  <c r="E2129" i="3"/>
  <c r="G2129" i="3" s="1"/>
  <c r="E2130" i="3"/>
  <c r="G2130" i="3" s="1"/>
  <c r="E2131" i="3"/>
  <c r="E2132" i="3"/>
  <c r="E2133" i="3"/>
  <c r="G2133" i="3" s="1"/>
  <c r="E2134" i="3"/>
  <c r="G2134" i="3" s="1"/>
  <c r="E2135" i="3"/>
  <c r="E2136" i="3"/>
  <c r="E2137" i="3"/>
  <c r="G2137" i="3" s="1"/>
  <c r="E2138" i="3"/>
  <c r="G2138" i="3" s="1"/>
  <c r="E2139" i="3"/>
  <c r="E2140" i="3"/>
  <c r="E2141" i="3"/>
  <c r="G2141" i="3" s="1"/>
  <c r="E2142" i="3"/>
  <c r="G2142" i="3" s="1"/>
  <c r="E2143" i="3"/>
  <c r="E2144" i="3"/>
  <c r="E2145" i="3"/>
  <c r="G2145" i="3" s="1"/>
  <c r="E2146" i="3"/>
  <c r="G2146" i="3" s="1"/>
  <c r="E2147" i="3"/>
  <c r="E2148" i="3"/>
  <c r="E2149" i="3"/>
  <c r="G2149" i="3" s="1"/>
  <c r="E2150" i="3"/>
  <c r="G2150" i="3" s="1"/>
  <c r="E2151" i="3"/>
  <c r="E2152" i="3"/>
  <c r="E2153" i="3"/>
  <c r="G2153" i="3" s="1"/>
  <c r="E2154" i="3"/>
  <c r="G2154" i="3" s="1"/>
  <c r="E2155" i="3"/>
  <c r="E2156" i="3"/>
  <c r="E2157" i="3"/>
  <c r="G2157" i="3" s="1"/>
  <c r="E2158" i="3"/>
  <c r="G2158" i="3" s="1"/>
  <c r="E2159" i="3"/>
  <c r="E2160" i="3"/>
  <c r="F3" i="3"/>
  <c r="E3" i="3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Q502" i="2"/>
  <c r="Q503" i="2"/>
  <c r="Q504" i="2"/>
  <c r="Q505" i="2"/>
  <c r="Q506" i="2"/>
  <c r="Q507" i="2"/>
  <c r="Q508" i="2"/>
  <c r="Q509" i="2"/>
  <c r="Q510" i="2"/>
  <c r="Q511" i="2"/>
  <c r="Q512" i="2"/>
  <c r="Q513" i="2"/>
  <c r="Q514" i="2"/>
  <c r="Q515" i="2"/>
  <c r="Q516" i="2"/>
  <c r="Q517" i="2"/>
  <c r="Q518" i="2"/>
  <c r="Q519" i="2"/>
  <c r="Q520" i="2"/>
  <c r="Q521" i="2"/>
  <c r="Q522" i="2"/>
  <c r="Q523" i="2"/>
  <c r="Q524" i="2"/>
  <c r="Q525" i="2"/>
  <c r="Q526" i="2"/>
  <c r="Q527" i="2"/>
  <c r="Q528" i="2"/>
  <c r="Q529" i="2"/>
  <c r="Q530" i="2"/>
  <c r="Q531" i="2"/>
  <c r="Q532" i="2"/>
  <c r="Q533" i="2"/>
  <c r="Q534" i="2"/>
  <c r="Q535" i="2"/>
  <c r="Q536" i="2"/>
  <c r="Q537" i="2"/>
  <c r="Q538" i="2"/>
  <c r="Q539" i="2"/>
  <c r="Q540" i="2"/>
  <c r="Q541" i="2"/>
  <c r="Q542" i="2"/>
  <c r="Q543" i="2"/>
  <c r="Q544" i="2"/>
  <c r="Q545" i="2"/>
  <c r="Q546" i="2"/>
  <c r="Q547" i="2"/>
  <c r="Q548" i="2"/>
  <c r="Q549" i="2"/>
  <c r="Q550" i="2"/>
  <c r="Q551" i="2"/>
  <c r="Q552" i="2"/>
  <c r="Q553" i="2"/>
  <c r="Q554" i="2"/>
  <c r="Q555" i="2"/>
  <c r="Q556" i="2"/>
  <c r="Q557" i="2"/>
  <c r="Q558" i="2"/>
  <c r="Q559" i="2"/>
  <c r="Q560" i="2"/>
  <c r="Q561" i="2"/>
  <c r="Q562" i="2"/>
  <c r="Q563" i="2"/>
  <c r="Q564" i="2"/>
  <c r="Q565" i="2"/>
  <c r="Q566" i="2"/>
  <c r="Q567" i="2"/>
  <c r="Q568" i="2"/>
  <c r="Q569" i="2"/>
  <c r="Q570" i="2"/>
  <c r="Q571" i="2"/>
  <c r="Q572" i="2"/>
  <c r="Q573" i="2"/>
  <c r="Q574" i="2"/>
  <c r="Q575" i="2"/>
  <c r="Q576" i="2"/>
  <c r="Q577" i="2"/>
  <c r="Q578" i="2"/>
  <c r="Q579" i="2"/>
  <c r="Q580" i="2"/>
  <c r="Q581" i="2"/>
  <c r="Q582" i="2"/>
  <c r="Q583" i="2"/>
  <c r="Q584" i="2"/>
  <c r="Q585" i="2"/>
  <c r="Q586" i="2"/>
  <c r="Q587" i="2"/>
  <c r="Q588" i="2"/>
  <c r="Q589" i="2"/>
  <c r="Q590" i="2"/>
  <c r="Q591" i="2"/>
  <c r="Q592" i="2"/>
  <c r="Q593" i="2"/>
  <c r="Q594" i="2"/>
  <c r="Q595" i="2"/>
  <c r="Q596" i="2"/>
  <c r="Q597" i="2"/>
  <c r="Q598" i="2"/>
  <c r="Q599" i="2"/>
  <c r="Q600" i="2"/>
  <c r="Q601" i="2"/>
  <c r="Q602" i="2"/>
  <c r="Q603" i="2"/>
  <c r="Q604" i="2"/>
  <c r="Q605" i="2"/>
  <c r="Q606" i="2"/>
  <c r="Q607" i="2"/>
  <c r="Q608" i="2"/>
  <c r="Q609" i="2"/>
  <c r="Q610" i="2"/>
  <c r="Q611" i="2"/>
  <c r="Q612" i="2"/>
  <c r="Q613" i="2"/>
  <c r="Q614" i="2"/>
  <c r="Q615" i="2"/>
  <c r="Q616" i="2"/>
  <c r="Q617" i="2"/>
  <c r="Q618" i="2"/>
  <c r="Q619" i="2"/>
  <c r="Q620" i="2"/>
  <c r="Q621" i="2"/>
  <c r="Q622" i="2"/>
  <c r="Q623" i="2"/>
  <c r="Q624" i="2"/>
  <c r="Q625" i="2"/>
  <c r="Q626" i="2"/>
  <c r="Q627" i="2"/>
  <c r="Q628" i="2"/>
  <c r="Q629" i="2"/>
  <c r="Q630" i="2"/>
  <c r="Q631" i="2"/>
  <c r="Q632" i="2"/>
  <c r="Q633" i="2"/>
  <c r="Q634" i="2"/>
  <c r="Q635" i="2"/>
  <c r="Q636" i="2"/>
  <c r="Q637" i="2"/>
  <c r="Q638" i="2"/>
  <c r="Q639" i="2"/>
  <c r="Q640" i="2"/>
  <c r="Q641" i="2"/>
  <c r="Q642" i="2"/>
  <c r="Q643" i="2"/>
  <c r="Q644" i="2"/>
  <c r="Q645" i="2"/>
  <c r="Q646" i="2"/>
  <c r="Q647" i="2"/>
  <c r="Q648" i="2"/>
  <c r="Q649" i="2"/>
  <c r="Q650" i="2"/>
  <c r="Q651" i="2"/>
  <c r="Q652" i="2"/>
  <c r="Q653" i="2"/>
  <c r="Q654" i="2"/>
  <c r="Q655" i="2"/>
  <c r="Q656" i="2"/>
  <c r="Q657" i="2"/>
  <c r="Q658" i="2"/>
  <c r="Q659" i="2"/>
  <c r="Q660" i="2"/>
  <c r="Q661" i="2"/>
  <c r="Q662" i="2"/>
  <c r="Q663" i="2"/>
  <c r="Q664" i="2"/>
  <c r="Q665" i="2"/>
  <c r="Q666" i="2"/>
  <c r="Q667" i="2"/>
  <c r="Q668" i="2"/>
  <c r="Q669" i="2"/>
  <c r="Q670" i="2"/>
  <c r="Q671" i="2"/>
  <c r="Q672" i="2"/>
  <c r="Q673" i="2"/>
  <c r="Q674" i="2"/>
  <c r="Q675" i="2"/>
  <c r="Q676" i="2"/>
  <c r="Q677" i="2"/>
  <c r="Q678" i="2"/>
  <c r="Q679" i="2"/>
  <c r="Q680" i="2"/>
  <c r="Q681" i="2"/>
  <c r="Q682" i="2"/>
  <c r="Q683" i="2"/>
  <c r="Q684" i="2"/>
  <c r="Q685" i="2"/>
  <c r="Q686" i="2"/>
  <c r="Q687" i="2"/>
  <c r="Q688" i="2"/>
  <c r="Q689" i="2"/>
  <c r="Q690" i="2"/>
  <c r="Q691" i="2"/>
  <c r="Q692" i="2"/>
  <c r="Q693" i="2"/>
  <c r="Q694" i="2"/>
  <c r="Q695" i="2"/>
  <c r="Q696" i="2"/>
  <c r="Q697" i="2"/>
  <c r="Q698" i="2"/>
  <c r="Q699" i="2"/>
  <c r="Q700" i="2"/>
  <c r="Q701" i="2"/>
  <c r="Q702" i="2"/>
  <c r="Q703" i="2"/>
  <c r="Q704" i="2"/>
  <c r="Q705" i="2"/>
  <c r="Q706" i="2"/>
  <c r="Q707" i="2"/>
  <c r="Q708" i="2"/>
  <c r="Q709" i="2"/>
  <c r="Q710" i="2"/>
  <c r="Q711" i="2"/>
  <c r="Q712" i="2"/>
  <c r="Q713" i="2"/>
  <c r="Q714" i="2"/>
  <c r="Q715" i="2"/>
  <c r="Q716" i="2"/>
  <c r="Q717" i="2"/>
  <c r="Q718" i="2"/>
  <c r="Q719" i="2"/>
  <c r="Q720" i="2"/>
  <c r="Q721" i="2"/>
  <c r="Q722" i="2"/>
  <c r="Q723" i="2"/>
  <c r="Q724" i="2"/>
  <c r="Q725" i="2"/>
  <c r="Q726" i="2"/>
  <c r="Q727" i="2"/>
  <c r="Q728" i="2"/>
  <c r="Q729" i="2"/>
  <c r="Q730" i="2"/>
  <c r="Q731" i="2"/>
  <c r="Q732" i="2"/>
  <c r="Q733" i="2"/>
  <c r="Q734" i="2"/>
  <c r="Q735" i="2"/>
  <c r="Q736" i="2"/>
  <c r="Q737" i="2"/>
  <c r="Q738" i="2"/>
  <c r="Q739" i="2"/>
  <c r="Q740" i="2"/>
  <c r="Q741" i="2"/>
  <c r="Q742" i="2"/>
  <c r="Q743" i="2"/>
  <c r="Q744" i="2"/>
  <c r="Q745" i="2"/>
  <c r="Q746" i="2"/>
  <c r="Q747" i="2"/>
  <c r="Q748" i="2"/>
  <c r="Q749" i="2"/>
  <c r="Q750" i="2"/>
  <c r="Q751" i="2"/>
  <c r="Q752" i="2"/>
  <c r="Q753" i="2"/>
  <c r="Q754" i="2"/>
  <c r="Q755" i="2"/>
  <c r="Q756" i="2"/>
  <c r="Q757" i="2"/>
  <c r="Q758" i="2"/>
  <c r="Q759" i="2"/>
  <c r="Q760" i="2"/>
  <c r="Q761" i="2"/>
  <c r="Q762" i="2"/>
  <c r="Q763" i="2"/>
  <c r="Q764" i="2"/>
  <c r="Q765" i="2"/>
  <c r="Q766" i="2"/>
  <c r="Q767" i="2"/>
  <c r="Q768" i="2"/>
  <c r="Q769" i="2"/>
  <c r="Q770" i="2"/>
  <c r="Q771" i="2"/>
  <c r="Q772" i="2"/>
  <c r="Q773" i="2"/>
  <c r="Q774" i="2"/>
  <c r="Q775" i="2"/>
  <c r="Q776" i="2"/>
  <c r="Q777" i="2"/>
  <c r="Q778" i="2"/>
  <c r="Q779" i="2"/>
  <c r="Q780" i="2"/>
  <c r="Q781" i="2"/>
  <c r="Q782" i="2"/>
  <c r="Q783" i="2"/>
  <c r="Q784" i="2"/>
  <c r="Q785" i="2"/>
  <c r="Q786" i="2"/>
  <c r="Q787" i="2"/>
  <c r="Q788" i="2"/>
  <c r="Q789" i="2"/>
  <c r="Q790" i="2"/>
  <c r="Q791" i="2"/>
  <c r="Q792" i="2"/>
  <c r="Q793" i="2"/>
  <c r="Q794" i="2"/>
  <c r="Q795" i="2"/>
  <c r="Q796" i="2"/>
  <c r="Q797" i="2"/>
  <c r="Q798" i="2"/>
  <c r="Q799" i="2"/>
  <c r="Q800" i="2"/>
  <c r="Q801" i="2"/>
  <c r="Q802" i="2"/>
  <c r="Q803" i="2"/>
  <c r="Q804" i="2"/>
  <c r="Q805" i="2"/>
  <c r="Q806" i="2"/>
  <c r="Q807" i="2"/>
  <c r="Q808" i="2"/>
  <c r="Q809" i="2"/>
  <c r="Q810" i="2"/>
  <c r="Q811" i="2"/>
  <c r="Q812" i="2"/>
  <c r="Q813" i="2"/>
  <c r="Q814" i="2"/>
  <c r="Q815" i="2"/>
  <c r="Q816" i="2"/>
  <c r="Q817" i="2"/>
  <c r="Q818" i="2"/>
  <c r="Q819" i="2"/>
  <c r="Q820" i="2"/>
  <c r="Q821" i="2"/>
  <c r="Q822" i="2"/>
  <c r="Q823" i="2"/>
  <c r="Q824" i="2"/>
  <c r="Q825" i="2"/>
  <c r="Q826" i="2"/>
  <c r="Q827" i="2"/>
  <c r="Q828" i="2"/>
  <c r="Q829" i="2"/>
  <c r="Q830" i="2"/>
  <c r="Q831" i="2"/>
  <c r="Q832" i="2"/>
  <c r="Q833" i="2"/>
  <c r="Q834" i="2"/>
  <c r="Q835" i="2"/>
  <c r="Q836" i="2"/>
  <c r="Q837" i="2"/>
  <c r="Q838" i="2"/>
  <c r="Q839" i="2"/>
  <c r="Q840" i="2"/>
  <c r="Q841" i="2"/>
  <c r="Q842" i="2"/>
  <c r="Q843" i="2"/>
  <c r="Q844" i="2"/>
  <c r="Q845" i="2"/>
  <c r="Q846" i="2"/>
  <c r="Q847" i="2"/>
  <c r="Q848" i="2"/>
  <c r="Q849" i="2"/>
  <c r="Q850" i="2"/>
  <c r="Q851" i="2"/>
  <c r="Q852" i="2"/>
  <c r="Q853" i="2"/>
  <c r="Q854" i="2"/>
  <c r="Q855" i="2"/>
  <c r="Q856" i="2"/>
  <c r="Q857" i="2"/>
  <c r="Q858" i="2"/>
  <c r="Q859" i="2"/>
  <c r="Q860" i="2"/>
  <c r="Q861" i="2"/>
  <c r="Q862" i="2"/>
  <c r="Q863" i="2"/>
  <c r="Q864" i="2"/>
  <c r="Q865" i="2"/>
  <c r="Q866" i="2"/>
  <c r="Q867" i="2"/>
  <c r="Q868" i="2"/>
  <c r="Q869" i="2"/>
  <c r="Q870" i="2"/>
  <c r="Q871" i="2"/>
  <c r="Q872" i="2"/>
  <c r="Q873" i="2"/>
  <c r="Q874" i="2"/>
  <c r="Q875" i="2"/>
  <c r="Q876" i="2"/>
  <c r="Q877" i="2"/>
  <c r="Q878" i="2"/>
  <c r="Q879" i="2"/>
  <c r="Q880" i="2"/>
  <c r="Q881" i="2"/>
  <c r="Q882" i="2"/>
  <c r="Q883" i="2"/>
  <c r="Q884" i="2"/>
  <c r="Q885" i="2"/>
  <c r="Q886" i="2"/>
  <c r="Q887" i="2"/>
  <c r="Q888" i="2"/>
  <c r="Q889" i="2"/>
  <c r="Q890" i="2"/>
  <c r="Q891" i="2"/>
  <c r="Q892" i="2"/>
  <c r="Q893" i="2"/>
  <c r="Q894" i="2"/>
  <c r="Q895" i="2"/>
  <c r="Q896" i="2"/>
  <c r="Q897" i="2"/>
  <c r="Q898" i="2"/>
  <c r="Q899" i="2"/>
  <c r="Q900" i="2"/>
  <c r="Q901" i="2"/>
  <c r="Q902" i="2"/>
  <c r="Q903" i="2"/>
  <c r="Q904" i="2"/>
  <c r="Q905" i="2"/>
  <c r="Q906" i="2"/>
  <c r="Q907" i="2"/>
  <c r="Q908" i="2"/>
  <c r="Q909" i="2"/>
  <c r="Q910" i="2"/>
  <c r="Q911" i="2"/>
  <c r="Q912" i="2"/>
  <c r="Q913" i="2"/>
  <c r="Q914" i="2"/>
  <c r="Q915" i="2"/>
  <c r="Q916" i="2"/>
  <c r="Q917" i="2"/>
  <c r="Q918" i="2"/>
  <c r="Q919" i="2"/>
  <c r="Q920" i="2"/>
  <c r="Q921" i="2"/>
  <c r="Q922" i="2"/>
  <c r="Q923" i="2"/>
  <c r="Q924" i="2"/>
  <c r="Q925" i="2"/>
  <c r="Q926" i="2"/>
  <c r="Q927" i="2"/>
  <c r="Q928" i="2"/>
  <c r="Q929" i="2"/>
  <c r="Q930" i="2"/>
  <c r="Q931" i="2"/>
  <c r="Q932" i="2"/>
  <c r="Q933" i="2"/>
  <c r="Q934" i="2"/>
  <c r="Q935" i="2"/>
  <c r="Q936" i="2"/>
  <c r="Q937" i="2"/>
  <c r="Q938" i="2"/>
  <c r="Q939" i="2"/>
  <c r="Q940" i="2"/>
  <c r="Q941" i="2"/>
  <c r="Q942" i="2"/>
  <c r="Q943" i="2"/>
  <c r="Q944" i="2"/>
  <c r="Q945" i="2"/>
  <c r="Q946" i="2"/>
  <c r="Q947" i="2"/>
  <c r="Q948" i="2"/>
  <c r="Q949" i="2"/>
  <c r="Q950" i="2"/>
  <c r="Q951" i="2"/>
  <c r="Q952" i="2"/>
  <c r="Q953" i="2"/>
  <c r="Q954" i="2"/>
  <c r="Q955" i="2"/>
  <c r="Q956" i="2"/>
  <c r="Q957" i="2"/>
  <c r="Q958" i="2"/>
  <c r="Q959" i="2"/>
  <c r="Q960" i="2"/>
  <c r="Q961" i="2"/>
  <c r="Q962" i="2"/>
  <c r="Q963" i="2"/>
  <c r="Q964" i="2"/>
  <c r="Q965" i="2"/>
  <c r="Q966" i="2"/>
  <c r="Q967" i="2"/>
  <c r="Q968" i="2"/>
  <c r="Q969" i="2"/>
  <c r="Q970" i="2"/>
  <c r="Q971" i="2"/>
  <c r="Q972" i="2"/>
  <c r="Q973" i="2"/>
  <c r="Q974" i="2"/>
  <c r="Q975" i="2"/>
  <c r="Q976" i="2"/>
  <c r="Q977" i="2"/>
  <c r="Q978" i="2"/>
  <c r="Q979" i="2"/>
  <c r="Q980" i="2"/>
  <c r="Q981" i="2"/>
  <c r="Q982" i="2"/>
  <c r="Q983" i="2"/>
  <c r="Q984" i="2"/>
  <c r="Q985" i="2"/>
  <c r="Q986" i="2"/>
  <c r="Q987" i="2"/>
  <c r="Q988" i="2"/>
  <c r="Q989" i="2"/>
  <c r="Q990" i="2"/>
  <c r="Q991" i="2"/>
  <c r="Q992" i="2"/>
  <c r="Q993" i="2"/>
  <c r="Q994" i="2"/>
  <c r="Q995" i="2"/>
  <c r="Q996" i="2"/>
  <c r="Q997" i="2"/>
  <c r="Q998" i="2"/>
  <c r="Q999" i="2"/>
  <c r="Q1000" i="2"/>
  <c r="Q1001" i="2"/>
  <c r="Q1002" i="2"/>
  <c r="Q1003" i="2"/>
  <c r="Q1004" i="2"/>
  <c r="Q1005" i="2"/>
  <c r="Q1006" i="2"/>
  <c r="Q1007" i="2"/>
  <c r="Q1008" i="2"/>
  <c r="Q1009" i="2"/>
  <c r="Q1010" i="2"/>
  <c r="Q1011" i="2"/>
  <c r="Q1012" i="2"/>
  <c r="Q1013" i="2"/>
  <c r="Q1014" i="2"/>
  <c r="Q1015" i="2"/>
  <c r="Q1016" i="2"/>
  <c r="Q1017" i="2"/>
  <c r="Q1018" i="2"/>
  <c r="Q1019" i="2"/>
  <c r="Q1020" i="2"/>
  <c r="Q1021" i="2"/>
  <c r="Q1022" i="2"/>
  <c r="Q1023" i="2"/>
  <c r="Q1024" i="2"/>
  <c r="Q1025" i="2"/>
  <c r="Q1026" i="2"/>
  <c r="Q1027" i="2"/>
  <c r="Q1028" i="2"/>
  <c r="Q1029" i="2"/>
  <c r="Q1030" i="2"/>
  <c r="Q1031" i="2"/>
  <c r="Q1032" i="2"/>
  <c r="Q1033" i="2"/>
  <c r="Q1034" i="2"/>
  <c r="Q1035" i="2"/>
  <c r="Q1036" i="2"/>
  <c r="Q1037" i="2"/>
  <c r="Q1038" i="2"/>
  <c r="Q1039" i="2"/>
  <c r="Q1040" i="2"/>
  <c r="Q1041" i="2"/>
  <c r="Q1042" i="2"/>
  <c r="Q1043" i="2"/>
  <c r="Q1044" i="2"/>
  <c r="Q1045" i="2"/>
  <c r="Q1046" i="2"/>
  <c r="Q1047" i="2"/>
  <c r="Q1048" i="2"/>
  <c r="Q1049" i="2"/>
  <c r="Q1050" i="2"/>
  <c r="Q1051" i="2"/>
  <c r="Q1052" i="2"/>
  <c r="Q1053" i="2"/>
  <c r="Q1054" i="2"/>
  <c r="Q1055" i="2"/>
  <c r="Q1056" i="2"/>
  <c r="Q1057" i="2"/>
  <c r="Q1058" i="2"/>
  <c r="Q1059" i="2"/>
  <c r="Q1060" i="2"/>
  <c r="Q1061" i="2"/>
  <c r="Q1062" i="2"/>
  <c r="Q1063" i="2"/>
  <c r="Q1064" i="2"/>
  <c r="Q1065" i="2"/>
  <c r="Q1066" i="2"/>
  <c r="Q1067" i="2"/>
  <c r="Q1068" i="2"/>
  <c r="Q1069" i="2"/>
  <c r="Q1070" i="2"/>
  <c r="Q1071" i="2"/>
  <c r="Q1072" i="2"/>
  <c r="Q1073" i="2"/>
  <c r="Q1074" i="2"/>
  <c r="Q1075" i="2"/>
  <c r="Q1076" i="2"/>
  <c r="Q1077" i="2"/>
  <c r="Q1078" i="2"/>
  <c r="Q1079" i="2"/>
  <c r="Q1080" i="2"/>
  <c r="Q1081" i="2"/>
  <c r="Q1082" i="2"/>
  <c r="Q1083" i="2"/>
  <c r="Q1084" i="2"/>
  <c r="Q1085" i="2"/>
  <c r="Q1086" i="2"/>
  <c r="Q1087" i="2"/>
  <c r="Q1088" i="2"/>
  <c r="Q1089" i="2"/>
  <c r="Q1090" i="2"/>
  <c r="Q1091" i="2"/>
  <c r="Q1092" i="2"/>
  <c r="Q1093" i="2"/>
  <c r="Q1094" i="2"/>
  <c r="Q1095" i="2"/>
  <c r="Q1096" i="2"/>
  <c r="Q1097" i="2"/>
  <c r="Q1098" i="2"/>
  <c r="Q1099" i="2"/>
  <c r="Q1100" i="2"/>
  <c r="Q1101" i="2"/>
  <c r="Q1102" i="2"/>
  <c r="Q1103" i="2"/>
  <c r="Q1104" i="2"/>
  <c r="Q1105" i="2"/>
  <c r="Q1106" i="2"/>
  <c r="Q1107" i="2"/>
  <c r="Q1108" i="2"/>
  <c r="Q1109" i="2"/>
  <c r="Q1110" i="2"/>
  <c r="Q1111" i="2"/>
  <c r="Q1112" i="2"/>
  <c r="Q1113" i="2"/>
  <c r="Q1114" i="2"/>
  <c r="Q1115" i="2"/>
  <c r="Q1116" i="2"/>
  <c r="Q1117" i="2"/>
  <c r="Q1118" i="2"/>
  <c r="Q1119" i="2"/>
  <c r="Q1120" i="2"/>
  <c r="Q1121" i="2"/>
  <c r="Q1122" i="2"/>
  <c r="Q1123" i="2"/>
  <c r="Q1124" i="2"/>
  <c r="Q1125" i="2"/>
  <c r="Q1126" i="2"/>
  <c r="Q1127" i="2"/>
  <c r="Q1128" i="2"/>
  <c r="Q1129" i="2"/>
  <c r="Q1130" i="2"/>
  <c r="Q1131" i="2"/>
  <c r="Q1132" i="2"/>
  <c r="Q1133" i="2"/>
  <c r="Q1134" i="2"/>
  <c r="Q1135" i="2"/>
  <c r="Q1136" i="2"/>
  <c r="Q1137" i="2"/>
  <c r="Q1138" i="2"/>
  <c r="Q1139" i="2"/>
  <c r="Q1140" i="2"/>
  <c r="Q1141" i="2"/>
  <c r="Q1142" i="2"/>
  <c r="Q1143" i="2"/>
  <c r="Q1144" i="2"/>
  <c r="Q1145" i="2"/>
  <c r="Q1146" i="2"/>
  <c r="Q1147" i="2"/>
  <c r="Q1148" i="2"/>
  <c r="Q1149" i="2"/>
  <c r="Q1150" i="2"/>
  <c r="Q1151" i="2"/>
  <c r="Q1152" i="2"/>
  <c r="Q1153" i="2"/>
  <c r="Q1154" i="2"/>
  <c r="Q1155" i="2"/>
  <c r="Q1156" i="2"/>
  <c r="Q1157" i="2"/>
  <c r="Q1158" i="2"/>
  <c r="Q1159" i="2"/>
  <c r="Q1160" i="2"/>
  <c r="Q1161" i="2"/>
  <c r="Q1162" i="2"/>
  <c r="Q1163" i="2"/>
  <c r="Q1164" i="2"/>
  <c r="Q1165" i="2"/>
  <c r="Q1166" i="2"/>
  <c r="Q1167" i="2"/>
  <c r="Q1168" i="2"/>
  <c r="Q1169" i="2"/>
  <c r="Q1170" i="2"/>
  <c r="Q1171" i="2"/>
  <c r="Q1172" i="2"/>
  <c r="Q1173" i="2"/>
  <c r="Q1174" i="2"/>
  <c r="Q1175" i="2"/>
  <c r="Q1176" i="2"/>
  <c r="Q1177" i="2"/>
  <c r="Q1178" i="2"/>
  <c r="Q1179" i="2"/>
  <c r="Q1180" i="2"/>
  <c r="Q1181" i="2"/>
  <c r="Q1182" i="2"/>
  <c r="Q1183" i="2"/>
  <c r="Q1184" i="2"/>
  <c r="Q1185" i="2"/>
  <c r="Q1186" i="2"/>
  <c r="Q1187" i="2"/>
  <c r="Q1188" i="2"/>
  <c r="Q1189" i="2"/>
  <c r="Q1190" i="2"/>
  <c r="Q1191" i="2"/>
  <c r="Q1192" i="2"/>
  <c r="Q1193" i="2"/>
  <c r="Q1194" i="2"/>
  <c r="Q1195" i="2"/>
  <c r="Q1196" i="2"/>
  <c r="Q1197" i="2"/>
  <c r="Q1198" i="2"/>
  <c r="Q1199" i="2"/>
  <c r="Q1200" i="2"/>
  <c r="Q1201" i="2"/>
  <c r="Q1202" i="2"/>
  <c r="Q1203" i="2"/>
  <c r="Q1204" i="2"/>
  <c r="Q1205" i="2"/>
  <c r="Q1206" i="2"/>
  <c r="Q1207" i="2"/>
  <c r="Q1208" i="2"/>
  <c r="Q1209" i="2"/>
  <c r="Q1210" i="2"/>
  <c r="Q1211" i="2"/>
  <c r="Q1212" i="2"/>
  <c r="Q1213" i="2"/>
  <c r="Q1214" i="2"/>
  <c r="Q1215" i="2"/>
  <c r="Q1216" i="2"/>
  <c r="Q1217" i="2"/>
  <c r="Q1218" i="2"/>
  <c r="Q1219" i="2"/>
  <c r="Q1220" i="2"/>
  <c r="Q1221" i="2"/>
  <c r="Q1222" i="2"/>
  <c r="Q1223" i="2"/>
  <c r="Q1224" i="2"/>
  <c r="Q1225" i="2"/>
  <c r="Q1226" i="2"/>
  <c r="Q1227" i="2"/>
  <c r="Q1228" i="2"/>
  <c r="Q1229" i="2"/>
  <c r="Q1230" i="2"/>
  <c r="Q1231" i="2"/>
  <c r="Q1232" i="2"/>
  <c r="Q1233" i="2"/>
  <c r="Q1234" i="2"/>
  <c r="Q1235" i="2"/>
  <c r="Q1236" i="2"/>
  <c r="Q1237" i="2"/>
  <c r="Q1238" i="2"/>
  <c r="Q1239" i="2"/>
  <c r="Q1240" i="2"/>
  <c r="Q1241" i="2"/>
  <c r="Q1242" i="2"/>
  <c r="Q1243" i="2"/>
  <c r="Q1244" i="2"/>
  <c r="Q1245" i="2"/>
  <c r="Q1246" i="2"/>
  <c r="Q1247" i="2"/>
  <c r="Q1248" i="2"/>
  <c r="Q1249" i="2"/>
  <c r="Q1250" i="2"/>
  <c r="Q1251" i="2"/>
  <c r="Q1252" i="2"/>
  <c r="Q1253" i="2"/>
  <c r="Q1254" i="2"/>
  <c r="Q1255" i="2"/>
  <c r="Q1256" i="2"/>
  <c r="Q1257" i="2"/>
  <c r="Q1258" i="2"/>
  <c r="Q1259" i="2"/>
  <c r="Q1260" i="2"/>
  <c r="Q1261" i="2"/>
  <c r="Q1262" i="2"/>
  <c r="Q1263" i="2"/>
  <c r="Q1264" i="2"/>
  <c r="Q1265" i="2"/>
  <c r="Q1266" i="2"/>
  <c r="Q1267" i="2"/>
  <c r="Q1268" i="2"/>
  <c r="Q1269" i="2"/>
  <c r="Q1270" i="2"/>
  <c r="Q1271" i="2"/>
  <c r="Q1272" i="2"/>
  <c r="Q1273" i="2"/>
  <c r="Q1274" i="2"/>
  <c r="Q1275" i="2"/>
  <c r="Q1276" i="2"/>
  <c r="Q1277" i="2"/>
  <c r="Q1278" i="2"/>
  <c r="Q1279" i="2"/>
  <c r="Q1280" i="2"/>
  <c r="Q1281" i="2"/>
  <c r="Q1282" i="2"/>
  <c r="Q1283" i="2"/>
  <c r="Q1284" i="2"/>
  <c r="Q1285" i="2"/>
  <c r="Q1286" i="2"/>
  <c r="Q1287" i="2"/>
  <c r="Q1288" i="2"/>
  <c r="Q1289" i="2"/>
  <c r="Q1290" i="2"/>
  <c r="Q1291" i="2"/>
  <c r="Q1292" i="2"/>
  <c r="Q1293" i="2"/>
  <c r="Q1294" i="2"/>
  <c r="Q1295" i="2"/>
  <c r="Q1296" i="2"/>
  <c r="Q1297" i="2"/>
  <c r="Q1298" i="2"/>
  <c r="Q1299" i="2"/>
  <c r="Q1300" i="2"/>
  <c r="Q1301" i="2"/>
  <c r="Q1302" i="2"/>
  <c r="Q1303" i="2"/>
  <c r="Q1304" i="2"/>
  <c r="Q1305" i="2"/>
  <c r="Q1306" i="2"/>
  <c r="Q1307" i="2"/>
  <c r="Q1308" i="2"/>
  <c r="Q1309" i="2"/>
  <c r="Q1310" i="2"/>
  <c r="Q1311" i="2"/>
  <c r="Q1312" i="2"/>
  <c r="Q1313" i="2"/>
  <c r="Q1314" i="2"/>
  <c r="Q1315" i="2"/>
  <c r="Q1316" i="2"/>
  <c r="Q1317" i="2"/>
  <c r="Q1318" i="2"/>
  <c r="Q1319" i="2"/>
  <c r="Q1320" i="2"/>
  <c r="Q1321" i="2"/>
  <c r="Q1322" i="2"/>
  <c r="Q1323" i="2"/>
  <c r="Q1324" i="2"/>
  <c r="Q1325" i="2"/>
  <c r="Q1326" i="2"/>
  <c r="Q1327" i="2"/>
  <c r="Q1328" i="2"/>
  <c r="Q1329" i="2"/>
  <c r="Q1330" i="2"/>
  <c r="Q1331" i="2"/>
  <c r="Q1332" i="2"/>
  <c r="Q1333" i="2"/>
  <c r="Q1334" i="2"/>
  <c r="Q1335" i="2"/>
  <c r="Q1336" i="2"/>
  <c r="Q1337" i="2"/>
  <c r="Q1338" i="2"/>
  <c r="Q1339" i="2"/>
  <c r="Q1340" i="2"/>
  <c r="Q1341" i="2"/>
  <c r="Q1342" i="2"/>
  <c r="Q1343" i="2"/>
  <c r="Q1344" i="2"/>
  <c r="Q1345" i="2"/>
  <c r="Q1346" i="2"/>
  <c r="Q1347" i="2"/>
  <c r="Q1348" i="2"/>
  <c r="Q1349" i="2"/>
  <c r="Q1350" i="2"/>
  <c r="Q1351" i="2"/>
  <c r="Q1352" i="2"/>
  <c r="Q1353" i="2"/>
  <c r="Q1354" i="2"/>
  <c r="Q1355" i="2"/>
  <c r="Q1356" i="2"/>
  <c r="Q1357" i="2"/>
  <c r="Q1358" i="2"/>
  <c r="Q1359" i="2"/>
  <c r="Q1360" i="2"/>
  <c r="Q1361" i="2"/>
  <c r="Q1362" i="2"/>
  <c r="Q1363" i="2"/>
  <c r="Q1364" i="2"/>
  <c r="Q1365" i="2"/>
  <c r="Q1366" i="2"/>
  <c r="Q1367" i="2"/>
  <c r="Q1368" i="2"/>
  <c r="Q1369" i="2"/>
  <c r="Q1370" i="2"/>
  <c r="Q1371" i="2"/>
  <c r="Q1372" i="2"/>
  <c r="Q1373" i="2"/>
  <c r="Q1374" i="2"/>
  <c r="Q1375" i="2"/>
  <c r="Q1376" i="2"/>
  <c r="Q1377" i="2"/>
  <c r="Q1378" i="2"/>
  <c r="Q1379" i="2"/>
  <c r="Q1380" i="2"/>
  <c r="Q1381" i="2"/>
  <c r="Q1382" i="2"/>
  <c r="Q1383" i="2"/>
  <c r="Q1384" i="2"/>
  <c r="Q1385" i="2"/>
  <c r="Q1386" i="2"/>
  <c r="Q1387" i="2"/>
  <c r="Q1388" i="2"/>
  <c r="Q1389" i="2"/>
  <c r="Q1390" i="2"/>
  <c r="Q1391" i="2"/>
  <c r="Q1392" i="2"/>
  <c r="Q1393" i="2"/>
  <c r="Q1394" i="2"/>
  <c r="Q1395" i="2"/>
  <c r="Q1396" i="2"/>
  <c r="Q1397" i="2"/>
  <c r="Q1398" i="2"/>
  <c r="Q1399" i="2"/>
  <c r="Q1400" i="2"/>
  <c r="Q1401" i="2"/>
  <c r="Q1402" i="2"/>
  <c r="Q1403" i="2"/>
  <c r="Q1404" i="2"/>
  <c r="Q1405" i="2"/>
  <c r="Q1406" i="2"/>
  <c r="Q1407" i="2"/>
  <c r="Q1408" i="2"/>
  <c r="Q1409" i="2"/>
  <c r="Q1410" i="2"/>
  <c r="Q1411" i="2"/>
  <c r="Q1412" i="2"/>
  <c r="Q1413" i="2"/>
  <c r="Q1414" i="2"/>
  <c r="Q1415" i="2"/>
  <c r="Q1416" i="2"/>
  <c r="Q1417" i="2"/>
  <c r="Q1418" i="2"/>
  <c r="Q1419" i="2"/>
  <c r="Q1420" i="2"/>
  <c r="Q1421" i="2"/>
  <c r="Q1422" i="2"/>
  <c r="Q1423" i="2"/>
  <c r="Q1424" i="2"/>
  <c r="Q1425" i="2"/>
  <c r="Q1426" i="2"/>
  <c r="Q1427" i="2"/>
  <c r="Q1428" i="2"/>
  <c r="Q1429" i="2"/>
  <c r="Q1430" i="2"/>
  <c r="Q1431" i="2"/>
  <c r="Q1432" i="2"/>
  <c r="Q1433" i="2"/>
  <c r="Q1434" i="2"/>
  <c r="Q1435" i="2"/>
  <c r="Q1436" i="2"/>
  <c r="Q1437" i="2"/>
  <c r="Q1438" i="2"/>
  <c r="Q1439" i="2"/>
  <c r="Q1440" i="2"/>
  <c r="Q1441" i="2"/>
  <c r="Q1442" i="2"/>
  <c r="Q1443" i="2"/>
  <c r="Q1444" i="2"/>
  <c r="Q1445" i="2"/>
  <c r="Q1446" i="2"/>
  <c r="Q1447" i="2"/>
  <c r="Q1448" i="2"/>
  <c r="Q1449" i="2"/>
  <c r="Q1450" i="2"/>
  <c r="Q1451" i="2"/>
  <c r="Q1452" i="2"/>
  <c r="Q1453" i="2"/>
  <c r="Q1454" i="2"/>
  <c r="Q1455" i="2"/>
  <c r="Q1456" i="2"/>
  <c r="Q1457" i="2"/>
  <c r="Q1458" i="2"/>
  <c r="Q1459" i="2"/>
  <c r="Q1460" i="2"/>
  <c r="Q1461" i="2"/>
  <c r="Q1462" i="2"/>
  <c r="Q1463" i="2"/>
  <c r="Q1464" i="2"/>
  <c r="Q1465" i="2"/>
  <c r="Q1466" i="2"/>
  <c r="Q1467" i="2"/>
  <c r="Q1468" i="2"/>
  <c r="Q1469" i="2"/>
  <c r="Q1470" i="2"/>
  <c r="Q1471" i="2"/>
  <c r="Q1472" i="2"/>
  <c r="Q1473" i="2"/>
  <c r="Q1474" i="2"/>
  <c r="Q1475" i="2"/>
  <c r="Q1476" i="2"/>
  <c r="Q1477" i="2"/>
  <c r="Q1478" i="2"/>
  <c r="Q1479" i="2"/>
  <c r="Q1480" i="2"/>
  <c r="Q1481" i="2"/>
  <c r="Q1482" i="2"/>
  <c r="Q1483" i="2"/>
  <c r="Q1484" i="2"/>
  <c r="Q1485" i="2"/>
  <c r="Q1486" i="2"/>
  <c r="Q1487" i="2"/>
  <c r="Q1488" i="2"/>
  <c r="Q1489" i="2"/>
  <c r="Q1490" i="2"/>
  <c r="Q1491" i="2"/>
  <c r="Q1492" i="2"/>
  <c r="Q1493" i="2"/>
  <c r="Q1494" i="2"/>
  <c r="Q1495" i="2"/>
  <c r="Q1496" i="2"/>
  <c r="Q1497" i="2"/>
  <c r="Q1498" i="2"/>
  <c r="Q1499" i="2"/>
  <c r="Q1500" i="2"/>
  <c r="Q1501" i="2"/>
  <c r="Q1502" i="2"/>
  <c r="Q1503" i="2"/>
  <c r="Q1504" i="2"/>
  <c r="Q1505" i="2"/>
  <c r="Q1506" i="2"/>
  <c r="Q1507" i="2"/>
  <c r="Q1508" i="2"/>
  <c r="Q1509" i="2"/>
  <c r="Q1510" i="2"/>
  <c r="Q1511" i="2"/>
  <c r="Q1512" i="2"/>
  <c r="Q1513" i="2"/>
  <c r="Q1514" i="2"/>
  <c r="Q1515" i="2"/>
  <c r="Q1516" i="2"/>
  <c r="Q1517" i="2"/>
  <c r="Q1518" i="2"/>
  <c r="Q1519" i="2"/>
  <c r="Q1520" i="2"/>
  <c r="Q1521" i="2"/>
  <c r="Q1522" i="2"/>
  <c r="Q1523" i="2"/>
  <c r="Q1524" i="2"/>
  <c r="Q1525" i="2"/>
  <c r="Q1526" i="2"/>
  <c r="Q1527" i="2"/>
  <c r="Q1528" i="2"/>
  <c r="Q1529" i="2"/>
  <c r="Q1530" i="2"/>
  <c r="Q1531" i="2"/>
  <c r="Q1532" i="2"/>
  <c r="Q1533" i="2"/>
  <c r="Q1534" i="2"/>
  <c r="Q1535" i="2"/>
  <c r="Q1536" i="2"/>
  <c r="Q1537" i="2"/>
  <c r="Q1538" i="2"/>
  <c r="Q1539" i="2"/>
  <c r="Q1540" i="2"/>
  <c r="Q1541" i="2"/>
  <c r="Q1542" i="2"/>
  <c r="Q1543" i="2"/>
  <c r="Q1544" i="2"/>
  <c r="Q1545" i="2"/>
  <c r="Q1546" i="2"/>
  <c r="Q1547" i="2"/>
  <c r="Q1548" i="2"/>
  <c r="Q1549" i="2"/>
  <c r="Q1550" i="2"/>
  <c r="Q1551" i="2"/>
  <c r="Q1552" i="2"/>
  <c r="Q1553" i="2"/>
  <c r="Q1554" i="2"/>
  <c r="Q1555" i="2"/>
  <c r="Q1556" i="2"/>
  <c r="Q1557" i="2"/>
  <c r="Q1558" i="2"/>
  <c r="Q1559" i="2"/>
  <c r="Q1560" i="2"/>
  <c r="Q1561" i="2"/>
  <c r="Q1562" i="2"/>
  <c r="Q1563" i="2"/>
  <c r="Q1564" i="2"/>
  <c r="Q1565" i="2"/>
  <c r="Q1566" i="2"/>
  <c r="Q1567" i="2"/>
  <c r="Q1568" i="2"/>
  <c r="Q1569" i="2"/>
  <c r="Q1570" i="2"/>
  <c r="Q1571" i="2"/>
  <c r="Q1572" i="2"/>
  <c r="Q1573" i="2"/>
  <c r="Q1574" i="2"/>
  <c r="Q1575" i="2"/>
  <c r="Q1576" i="2"/>
  <c r="Q1577" i="2"/>
  <c r="Q1578" i="2"/>
  <c r="Q1579" i="2"/>
  <c r="Q1580" i="2"/>
  <c r="Q1581" i="2"/>
  <c r="Q1582" i="2"/>
  <c r="Q1583" i="2"/>
  <c r="Q1584" i="2"/>
  <c r="Q1585" i="2"/>
  <c r="Q1586" i="2"/>
  <c r="Q1587" i="2"/>
  <c r="Q1588" i="2"/>
  <c r="Q1589" i="2"/>
  <c r="Q1590" i="2"/>
  <c r="Q1591" i="2"/>
  <c r="Q1592" i="2"/>
  <c r="Q1593" i="2"/>
  <c r="Q1594" i="2"/>
  <c r="Q1595" i="2"/>
  <c r="Q1596" i="2"/>
  <c r="Q1597" i="2"/>
  <c r="Q1598" i="2"/>
  <c r="Q1599" i="2"/>
  <c r="Q1600" i="2"/>
  <c r="Q1601" i="2"/>
  <c r="Q1602" i="2"/>
  <c r="Q1603" i="2"/>
  <c r="Q1604" i="2"/>
  <c r="Q1605" i="2"/>
  <c r="Q1606" i="2"/>
  <c r="Q1607" i="2"/>
  <c r="Q1608" i="2"/>
  <c r="Q1609" i="2"/>
  <c r="Q1610" i="2"/>
  <c r="Q1611" i="2"/>
  <c r="Q1612" i="2"/>
  <c r="Q1613" i="2"/>
  <c r="Q1614" i="2"/>
  <c r="Q1615" i="2"/>
  <c r="Q1616" i="2"/>
  <c r="Q1617" i="2"/>
  <c r="Q1618" i="2"/>
  <c r="Q1619" i="2"/>
  <c r="Q1620" i="2"/>
  <c r="Q1621" i="2"/>
  <c r="Q1622" i="2"/>
  <c r="Q1623" i="2"/>
  <c r="Q1624" i="2"/>
  <c r="Q1625" i="2"/>
  <c r="Q1626" i="2"/>
  <c r="Q1627" i="2"/>
  <c r="Q1628" i="2"/>
  <c r="Q1629" i="2"/>
  <c r="Q1630" i="2"/>
  <c r="Q1631" i="2"/>
  <c r="Q1632" i="2"/>
  <c r="Q1633" i="2"/>
  <c r="Q1634" i="2"/>
  <c r="Q1635" i="2"/>
  <c r="Q1636" i="2"/>
  <c r="Q1637" i="2"/>
  <c r="Q1638" i="2"/>
  <c r="Q1639" i="2"/>
  <c r="Q1640" i="2"/>
  <c r="Q1641" i="2"/>
  <c r="Q1642" i="2"/>
  <c r="Q1643" i="2"/>
  <c r="Q1644" i="2"/>
  <c r="Q1645" i="2"/>
  <c r="Q1646" i="2"/>
  <c r="Q1647" i="2"/>
  <c r="Q1648" i="2"/>
  <c r="Q1649" i="2"/>
  <c r="Q1650" i="2"/>
  <c r="Q1651" i="2"/>
  <c r="Q1652" i="2"/>
  <c r="Q1653" i="2"/>
  <c r="Q1654" i="2"/>
  <c r="Q1655" i="2"/>
  <c r="Q1656" i="2"/>
  <c r="Q1657" i="2"/>
  <c r="Q1658" i="2"/>
  <c r="Q1659" i="2"/>
  <c r="Q1660" i="2"/>
  <c r="Q1661" i="2"/>
  <c r="Q1662" i="2"/>
  <c r="Q1663" i="2"/>
  <c r="Q1664" i="2"/>
  <c r="Q1665" i="2"/>
  <c r="Q1666" i="2"/>
  <c r="Q1667" i="2"/>
  <c r="Q1668" i="2"/>
  <c r="Q1669" i="2"/>
  <c r="Q1670" i="2"/>
  <c r="Q1671" i="2"/>
  <c r="Q1672" i="2"/>
  <c r="Q1673" i="2"/>
  <c r="Q1674" i="2"/>
  <c r="Q1675" i="2"/>
  <c r="Q1676" i="2"/>
  <c r="Q1677" i="2"/>
  <c r="Q1678" i="2"/>
  <c r="Q1679" i="2"/>
  <c r="Q1680" i="2"/>
  <c r="Q1681" i="2"/>
  <c r="Q1682" i="2"/>
  <c r="Q1683" i="2"/>
  <c r="Q1684" i="2"/>
  <c r="Q1685" i="2"/>
  <c r="Q1686" i="2"/>
  <c r="Q1687" i="2"/>
  <c r="Q1688" i="2"/>
  <c r="Q1689" i="2"/>
  <c r="Q1690" i="2"/>
  <c r="Q1691" i="2"/>
  <c r="Q1692" i="2"/>
  <c r="Q1693" i="2"/>
  <c r="Q1694" i="2"/>
  <c r="Q1695" i="2"/>
  <c r="Q1696" i="2"/>
  <c r="Q1697" i="2"/>
  <c r="Q1698" i="2"/>
  <c r="Q1699" i="2"/>
  <c r="Q1700" i="2"/>
  <c r="Q1701" i="2"/>
  <c r="Q1702" i="2"/>
  <c r="Q1703" i="2"/>
  <c r="Q1704" i="2"/>
  <c r="Q1705" i="2"/>
  <c r="Q1706" i="2"/>
  <c r="Q1707" i="2"/>
  <c r="Q1708" i="2"/>
  <c r="Q1709" i="2"/>
  <c r="Q1710" i="2"/>
  <c r="Q1711" i="2"/>
  <c r="Q1712" i="2"/>
  <c r="Q1713" i="2"/>
  <c r="Q1714" i="2"/>
  <c r="Q1715" i="2"/>
  <c r="Q1716" i="2"/>
  <c r="Q1717" i="2"/>
  <c r="Q1718" i="2"/>
  <c r="Q1719" i="2"/>
  <c r="Q1720" i="2"/>
  <c r="Q1721" i="2"/>
  <c r="Q1722" i="2"/>
  <c r="Q1723" i="2"/>
  <c r="Q1724" i="2"/>
  <c r="Q1725" i="2"/>
  <c r="Q1726" i="2"/>
  <c r="Q1727" i="2"/>
  <c r="Q1728" i="2"/>
  <c r="Q1729" i="2"/>
  <c r="Q1730" i="2"/>
  <c r="Q1731" i="2"/>
  <c r="Q1732" i="2"/>
  <c r="Q1733" i="2"/>
  <c r="Q1734" i="2"/>
  <c r="Q1735" i="2"/>
  <c r="Q1736" i="2"/>
  <c r="Q1737" i="2"/>
  <c r="Q1738" i="2"/>
  <c r="Q1739" i="2"/>
  <c r="Q1740" i="2"/>
  <c r="Q1741" i="2"/>
  <c r="Q1742" i="2"/>
  <c r="Q1743" i="2"/>
  <c r="Q1744" i="2"/>
  <c r="Q1745" i="2"/>
  <c r="Q1746" i="2"/>
  <c r="Q1747" i="2"/>
  <c r="Q1748" i="2"/>
  <c r="Q1749" i="2"/>
  <c r="Q1750" i="2"/>
  <c r="Q1751" i="2"/>
  <c r="Q1752" i="2"/>
  <c r="Q1753" i="2"/>
  <c r="Q1754" i="2"/>
  <c r="Q1755" i="2"/>
  <c r="Q1756" i="2"/>
  <c r="Q1757" i="2"/>
  <c r="Q1758" i="2"/>
  <c r="Q1759" i="2"/>
  <c r="Q1760" i="2"/>
  <c r="Q1761" i="2"/>
  <c r="Q1762" i="2"/>
  <c r="Q1763" i="2"/>
  <c r="Q1764" i="2"/>
  <c r="Q1765" i="2"/>
  <c r="Q1766" i="2"/>
  <c r="Q1767" i="2"/>
  <c r="Q1768" i="2"/>
  <c r="Q1769" i="2"/>
  <c r="Q1770" i="2"/>
  <c r="Q1771" i="2"/>
  <c r="Q1772" i="2"/>
  <c r="Q1773" i="2"/>
  <c r="Q1774" i="2"/>
  <c r="Q1775" i="2"/>
  <c r="Q1776" i="2"/>
  <c r="Q1777" i="2"/>
  <c r="Q1778" i="2"/>
  <c r="Q1779" i="2"/>
  <c r="Q1780" i="2"/>
  <c r="Q1781" i="2"/>
  <c r="Q1782" i="2"/>
  <c r="Q1783" i="2"/>
  <c r="Q1784" i="2"/>
  <c r="Q1785" i="2"/>
  <c r="Q1786" i="2"/>
  <c r="Q1787" i="2"/>
  <c r="Q1788" i="2"/>
  <c r="Q1789" i="2"/>
  <c r="Q1790" i="2"/>
  <c r="Q1791" i="2"/>
  <c r="Q1792" i="2"/>
  <c r="Q1793" i="2"/>
  <c r="Q1794" i="2"/>
  <c r="Q1795" i="2"/>
  <c r="Q1796" i="2"/>
  <c r="Q1797" i="2"/>
  <c r="Q1798" i="2"/>
  <c r="Q1799" i="2"/>
  <c r="Q1800" i="2"/>
  <c r="Q1801" i="2"/>
  <c r="Q1802" i="2"/>
  <c r="Q1803" i="2"/>
  <c r="Q1804" i="2"/>
  <c r="Q1805" i="2"/>
  <c r="Q1806" i="2"/>
  <c r="Q1807" i="2"/>
  <c r="Q1808" i="2"/>
  <c r="Q1809" i="2"/>
  <c r="Q1810" i="2"/>
  <c r="Q1811" i="2"/>
  <c r="Q1812" i="2"/>
  <c r="Q1813" i="2"/>
  <c r="Q1814" i="2"/>
  <c r="Q1815" i="2"/>
  <c r="Q1816" i="2"/>
  <c r="Q1817" i="2"/>
  <c r="Q1818" i="2"/>
  <c r="Q1819" i="2"/>
  <c r="Q1820" i="2"/>
  <c r="Q1821" i="2"/>
  <c r="Q1822" i="2"/>
  <c r="Q1823" i="2"/>
  <c r="Q1824" i="2"/>
  <c r="Q1825" i="2"/>
  <c r="Q1826" i="2"/>
  <c r="Q1827" i="2"/>
  <c r="Q1828" i="2"/>
  <c r="Q1829" i="2"/>
  <c r="Q1830" i="2"/>
  <c r="Q1831" i="2"/>
  <c r="Q1832" i="2"/>
  <c r="Q1833" i="2"/>
  <c r="Q1834" i="2"/>
  <c r="Q1835" i="2"/>
  <c r="Q1836" i="2"/>
  <c r="Q1837" i="2"/>
  <c r="Q1838" i="2"/>
  <c r="Q1839" i="2"/>
  <c r="Q1840" i="2"/>
  <c r="Q1841" i="2"/>
  <c r="Q1842" i="2"/>
  <c r="Q1843" i="2"/>
  <c r="Q1844" i="2"/>
  <c r="Q1845" i="2"/>
  <c r="Q1846" i="2"/>
  <c r="Q1847" i="2"/>
  <c r="Q1848" i="2"/>
  <c r="Q1849" i="2"/>
  <c r="Q1850" i="2"/>
  <c r="Q1851" i="2"/>
  <c r="Q1852" i="2"/>
  <c r="Q1853" i="2"/>
  <c r="Q1854" i="2"/>
  <c r="Q1855" i="2"/>
  <c r="Q1856" i="2"/>
  <c r="Q1857" i="2"/>
  <c r="Q1858" i="2"/>
  <c r="Q1859" i="2"/>
  <c r="Q1860" i="2"/>
  <c r="Q1861" i="2"/>
  <c r="Q1862" i="2"/>
  <c r="Q1863" i="2"/>
  <c r="Q1864" i="2"/>
  <c r="Q1865" i="2"/>
  <c r="Q1866" i="2"/>
  <c r="Q1867" i="2"/>
  <c r="Q1868" i="2"/>
  <c r="Q1869" i="2"/>
  <c r="Q1870" i="2"/>
  <c r="Q1871" i="2"/>
  <c r="Q1872" i="2"/>
  <c r="Q1873" i="2"/>
  <c r="Q1874" i="2"/>
  <c r="Q1875" i="2"/>
  <c r="Q1876" i="2"/>
  <c r="Q1877" i="2"/>
  <c r="Q1878" i="2"/>
  <c r="Q1879" i="2"/>
  <c r="Q1880" i="2"/>
  <c r="Q1881" i="2"/>
  <c r="Q1882" i="2"/>
  <c r="Q1883" i="2"/>
  <c r="Q1884" i="2"/>
  <c r="Q1885" i="2"/>
  <c r="Q1886" i="2"/>
  <c r="Q1887" i="2"/>
  <c r="Q1888" i="2"/>
  <c r="Q1889" i="2"/>
  <c r="Q1890" i="2"/>
  <c r="Q1891" i="2"/>
  <c r="Q1892" i="2"/>
  <c r="Q1893" i="2"/>
  <c r="Q1894" i="2"/>
  <c r="Q1895" i="2"/>
  <c r="Q1896" i="2"/>
  <c r="Q1897" i="2"/>
  <c r="Q1898" i="2"/>
  <c r="Q1899" i="2"/>
  <c r="Q1900" i="2"/>
  <c r="Q1901" i="2"/>
  <c r="Q1902" i="2"/>
  <c r="Q1903" i="2"/>
  <c r="Q1904" i="2"/>
  <c r="Q1905" i="2"/>
  <c r="Q1906" i="2"/>
  <c r="Q1907" i="2"/>
  <c r="Q1908" i="2"/>
  <c r="Q1909" i="2"/>
  <c r="Q1910" i="2"/>
  <c r="Q1911" i="2"/>
  <c r="Q1912" i="2"/>
  <c r="Q1913" i="2"/>
  <c r="Q1914" i="2"/>
  <c r="Q1915" i="2"/>
  <c r="Q1916" i="2"/>
  <c r="Q1917" i="2"/>
  <c r="Q1918" i="2"/>
  <c r="Q1919" i="2"/>
  <c r="Q1920" i="2"/>
  <c r="Q1921" i="2"/>
  <c r="Q1922" i="2"/>
  <c r="Q1923" i="2"/>
  <c r="Q1924" i="2"/>
  <c r="Q1925" i="2"/>
  <c r="Q1926" i="2"/>
  <c r="Q1927" i="2"/>
  <c r="Q1928" i="2"/>
  <c r="Q1929" i="2"/>
  <c r="Q1930" i="2"/>
  <c r="Q1931" i="2"/>
  <c r="Q1932" i="2"/>
  <c r="Q1933" i="2"/>
  <c r="Q1934" i="2"/>
  <c r="Q1935" i="2"/>
  <c r="Q1936" i="2"/>
  <c r="Q1937" i="2"/>
  <c r="Q1938" i="2"/>
  <c r="Q1939" i="2"/>
  <c r="Q1940" i="2"/>
  <c r="Q1941" i="2"/>
  <c r="Q1942" i="2"/>
  <c r="Q1943" i="2"/>
  <c r="Q1944" i="2"/>
  <c r="Q1945" i="2"/>
  <c r="Q1946" i="2"/>
  <c r="Q1947" i="2"/>
  <c r="Q1948" i="2"/>
  <c r="Q1949" i="2"/>
  <c r="Q1950" i="2"/>
  <c r="Q1951" i="2"/>
  <c r="Q1952" i="2"/>
  <c r="Q1953" i="2"/>
  <c r="Q1954" i="2"/>
  <c r="Q1955" i="2"/>
  <c r="Q1956" i="2"/>
  <c r="Q1957" i="2"/>
  <c r="Q1958" i="2"/>
  <c r="Q1959" i="2"/>
  <c r="Q1960" i="2"/>
  <c r="Q1961" i="2"/>
  <c r="Q1962" i="2"/>
  <c r="Q1963" i="2"/>
  <c r="Q1964" i="2"/>
  <c r="Q1965" i="2"/>
  <c r="Q1966" i="2"/>
  <c r="Q1967" i="2"/>
  <c r="Q1968" i="2"/>
  <c r="Q1969" i="2"/>
  <c r="Q1970" i="2"/>
  <c r="Q1971" i="2"/>
  <c r="Q1972" i="2"/>
  <c r="Q1973" i="2"/>
  <c r="Q1974" i="2"/>
  <c r="Q1975" i="2"/>
  <c r="Q1976" i="2"/>
  <c r="Q1977" i="2"/>
  <c r="Q1978" i="2"/>
  <c r="Q1979" i="2"/>
  <c r="Q1980" i="2"/>
  <c r="Q1981" i="2"/>
  <c r="Q1982" i="2"/>
  <c r="Q1983" i="2"/>
  <c r="Q1984" i="2"/>
  <c r="Q1985" i="2"/>
  <c r="Q1986" i="2"/>
  <c r="Q1987" i="2"/>
  <c r="Q1988" i="2"/>
  <c r="Q1989" i="2"/>
  <c r="Q1990" i="2"/>
  <c r="Q1991" i="2"/>
  <c r="Q1992" i="2"/>
  <c r="Q1993" i="2"/>
  <c r="Q1994" i="2"/>
  <c r="Q1995" i="2"/>
  <c r="Q1996" i="2"/>
  <c r="Q1997" i="2"/>
  <c r="Q1998" i="2"/>
  <c r="Q1999" i="2"/>
  <c r="Q2000" i="2"/>
  <c r="Q2001" i="2"/>
  <c r="Q2002" i="2"/>
  <c r="Q2003" i="2"/>
  <c r="Q2004" i="2"/>
  <c r="Q2005" i="2"/>
  <c r="Q2006" i="2"/>
  <c r="Q2007" i="2"/>
  <c r="Q2008" i="2"/>
  <c r="Q2009" i="2"/>
  <c r="Q2010" i="2"/>
  <c r="Q2011" i="2"/>
  <c r="Q2012" i="2"/>
  <c r="Q2013" i="2"/>
  <c r="Q2014" i="2"/>
  <c r="Q2015" i="2"/>
  <c r="Q2016" i="2"/>
  <c r="Q2017" i="2"/>
  <c r="Q2018" i="2"/>
  <c r="Q2019" i="2"/>
  <c r="Q2020" i="2"/>
  <c r="Q2021" i="2"/>
  <c r="Q2022" i="2"/>
  <c r="Q2023" i="2"/>
  <c r="Q2024" i="2"/>
  <c r="Q2025" i="2"/>
  <c r="Q2026" i="2"/>
  <c r="Q2027" i="2"/>
  <c r="Q2028" i="2"/>
  <c r="Q2029" i="2"/>
  <c r="Q2030" i="2"/>
  <c r="Q2031" i="2"/>
  <c r="Q2032" i="2"/>
  <c r="Q2033" i="2"/>
  <c r="Q2034" i="2"/>
  <c r="Q2035" i="2"/>
  <c r="Q2036" i="2"/>
  <c r="Q2037" i="2"/>
  <c r="Q2038" i="2"/>
  <c r="Q2039" i="2"/>
  <c r="Q2040" i="2"/>
  <c r="Q2041" i="2"/>
  <c r="Q2042" i="2"/>
  <c r="Q2043" i="2"/>
  <c r="Q2044" i="2"/>
  <c r="Q2045" i="2"/>
  <c r="Q2046" i="2"/>
  <c r="Q2047" i="2"/>
  <c r="Q2048" i="2"/>
  <c r="Q2049" i="2"/>
  <c r="Q2050" i="2"/>
  <c r="Q2051" i="2"/>
  <c r="Q2052" i="2"/>
  <c r="Q2053" i="2"/>
  <c r="Q2054" i="2"/>
  <c r="Q2055" i="2"/>
  <c r="Q2056" i="2"/>
  <c r="Q2057" i="2"/>
  <c r="Q2058" i="2"/>
  <c r="Q2059" i="2"/>
  <c r="Q2060" i="2"/>
  <c r="Q2061" i="2"/>
  <c r="Q2062" i="2"/>
  <c r="Q2063" i="2"/>
  <c r="Q2064" i="2"/>
  <c r="Q2065" i="2"/>
  <c r="Q2066" i="2"/>
  <c r="Q2067" i="2"/>
  <c r="Q2068" i="2"/>
  <c r="Q2069" i="2"/>
  <c r="Q2070" i="2"/>
  <c r="Q2071" i="2"/>
  <c r="Q2072" i="2"/>
  <c r="Q2073" i="2"/>
  <c r="Q2074" i="2"/>
  <c r="Q2075" i="2"/>
  <c r="Q2076" i="2"/>
  <c r="Q2077" i="2"/>
  <c r="Q2078" i="2"/>
  <c r="Q2079" i="2"/>
  <c r="Q2080" i="2"/>
  <c r="Q2081" i="2"/>
  <c r="Q2082" i="2"/>
  <c r="Q2083" i="2"/>
  <c r="Q2084" i="2"/>
  <c r="Q2085" i="2"/>
  <c r="Q2086" i="2"/>
  <c r="Q2087" i="2"/>
  <c r="Q2088" i="2"/>
  <c r="Q2089" i="2"/>
  <c r="Q2090" i="2"/>
  <c r="Q2091" i="2"/>
  <c r="Q2092" i="2"/>
  <c r="Q2093" i="2"/>
  <c r="Q2094" i="2"/>
  <c r="Q2095" i="2"/>
  <c r="Q2096" i="2"/>
  <c r="Q2097" i="2"/>
  <c r="Q2098" i="2"/>
  <c r="Q2099" i="2"/>
  <c r="Q2100" i="2"/>
  <c r="Q2101" i="2"/>
  <c r="Q2102" i="2"/>
  <c r="Q2103" i="2"/>
  <c r="Q2104" i="2"/>
  <c r="Q2105" i="2"/>
  <c r="Q2106" i="2"/>
  <c r="Q2107" i="2"/>
  <c r="Q2108" i="2"/>
  <c r="Q2109" i="2"/>
  <c r="Q2110" i="2"/>
  <c r="Q2111" i="2"/>
  <c r="Q2112" i="2"/>
  <c r="Q2113" i="2"/>
  <c r="Q2114" i="2"/>
  <c r="Q2115" i="2"/>
  <c r="Q2116" i="2"/>
  <c r="Q2117" i="2"/>
  <c r="Q2118" i="2"/>
  <c r="Q2119" i="2"/>
  <c r="Q2120" i="2"/>
  <c r="Q2121" i="2"/>
  <c r="Q2122" i="2"/>
  <c r="Q2123" i="2"/>
  <c r="Q2124" i="2"/>
  <c r="Q2125" i="2"/>
  <c r="Q2126" i="2"/>
  <c r="Q2127" i="2"/>
  <c r="Q2128" i="2"/>
  <c r="Q2129" i="2"/>
  <c r="Q2130" i="2"/>
  <c r="Q2131" i="2"/>
  <c r="Q2132" i="2"/>
  <c r="Q2133" i="2"/>
  <c r="Q2134" i="2"/>
  <c r="Q2135" i="2"/>
  <c r="Q2136" i="2"/>
  <c r="Q2137" i="2"/>
  <c r="Q2138" i="2"/>
  <c r="Q2139" i="2"/>
  <c r="Q2140" i="2"/>
  <c r="Q2141" i="2"/>
  <c r="Q2142" i="2"/>
  <c r="Q2143" i="2"/>
  <c r="Q2144" i="2"/>
  <c r="Q2145" i="2"/>
  <c r="Q2146" i="2"/>
  <c r="Q2147" i="2"/>
  <c r="Q2148" i="2"/>
  <c r="Q2149" i="2"/>
  <c r="Q2150" i="2"/>
  <c r="Q2151" i="2"/>
  <c r="Q2152" i="2"/>
  <c r="Q2153" i="2"/>
  <c r="Q2154" i="2"/>
  <c r="Q2155" i="2"/>
  <c r="Q2156" i="2"/>
  <c r="Q2157" i="2"/>
  <c r="Q2158" i="2"/>
  <c r="Q2159" i="2"/>
  <c r="Q2160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P370" i="2"/>
  <c r="P371" i="2"/>
  <c r="P372" i="2"/>
  <c r="P373" i="2"/>
  <c r="P374" i="2"/>
  <c r="P375" i="2"/>
  <c r="P376" i="2"/>
  <c r="P377" i="2"/>
  <c r="P378" i="2"/>
  <c r="P379" i="2"/>
  <c r="P380" i="2"/>
  <c r="P381" i="2"/>
  <c r="P382" i="2"/>
  <c r="P383" i="2"/>
  <c r="P384" i="2"/>
  <c r="P385" i="2"/>
  <c r="P386" i="2"/>
  <c r="P387" i="2"/>
  <c r="P388" i="2"/>
  <c r="P389" i="2"/>
  <c r="P390" i="2"/>
  <c r="P391" i="2"/>
  <c r="P392" i="2"/>
  <c r="P393" i="2"/>
  <c r="P394" i="2"/>
  <c r="P395" i="2"/>
  <c r="P396" i="2"/>
  <c r="P397" i="2"/>
  <c r="P398" i="2"/>
  <c r="P399" i="2"/>
  <c r="P400" i="2"/>
  <c r="P401" i="2"/>
  <c r="P402" i="2"/>
  <c r="P403" i="2"/>
  <c r="P404" i="2"/>
  <c r="P405" i="2"/>
  <c r="P406" i="2"/>
  <c r="P407" i="2"/>
  <c r="P408" i="2"/>
  <c r="P409" i="2"/>
  <c r="P410" i="2"/>
  <c r="P411" i="2"/>
  <c r="P412" i="2"/>
  <c r="P413" i="2"/>
  <c r="P414" i="2"/>
  <c r="P415" i="2"/>
  <c r="P416" i="2"/>
  <c r="P417" i="2"/>
  <c r="P418" i="2"/>
  <c r="P419" i="2"/>
  <c r="P420" i="2"/>
  <c r="P421" i="2"/>
  <c r="P422" i="2"/>
  <c r="P423" i="2"/>
  <c r="P424" i="2"/>
  <c r="P425" i="2"/>
  <c r="P426" i="2"/>
  <c r="P427" i="2"/>
  <c r="P428" i="2"/>
  <c r="P429" i="2"/>
  <c r="P430" i="2"/>
  <c r="P431" i="2"/>
  <c r="P432" i="2"/>
  <c r="P433" i="2"/>
  <c r="P434" i="2"/>
  <c r="P435" i="2"/>
  <c r="P436" i="2"/>
  <c r="P437" i="2"/>
  <c r="P438" i="2"/>
  <c r="P439" i="2"/>
  <c r="P440" i="2"/>
  <c r="P441" i="2"/>
  <c r="P442" i="2"/>
  <c r="P443" i="2"/>
  <c r="P444" i="2"/>
  <c r="P445" i="2"/>
  <c r="P446" i="2"/>
  <c r="P447" i="2"/>
  <c r="P448" i="2"/>
  <c r="P449" i="2"/>
  <c r="P450" i="2"/>
  <c r="P451" i="2"/>
  <c r="P452" i="2"/>
  <c r="P453" i="2"/>
  <c r="P454" i="2"/>
  <c r="P455" i="2"/>
  <c r="P456" i="2"/>
  <c r="P457" i="2"/>
  <c r="P458" i="2"/>
  <c r="P459" i="2"/>
  <c r="P460" i="2"/>
  <c r="P461" i="2"/>
  <c r="P462" i="2"/>
  <c r="P463" i="2"/>
  <c r="P464" i="2"/>
  <c r="P465" i="2"/>
  <c r="P466" i="2"/>
  <c r="P467" i="2"/>
  <c r="P468" i="2"/>
  <c r="P469" i="2"/>
  <c r="P470" i="2"/>
  <c r="P471" i="2"/>
  <c r="P472" i="2"/>
  <c r="P473" i="2"/>
  <c r="P474" i="2"/>
  <c r="P475" i="2"/>
  <c r="P476" i="2"/>
  <c r="P477" i="2"/>
  <c r="P478" i="2"/>
  <c r="P479" i="2"/>
  <c r="P480" i="2"/>
  <c r="P481" i="2"/>
  <c r="P482" i="2"/>
  <c r="P483" i="2"/>
  <c r="P484" i="2"/>
  <c r="P485" i="2"/>
  <c r="P486" i="2"/>
  <c r="P487" i="2"/>
  <c r="P488" i="2"/>
  <c r="P489" i="2"/>
  <c r="P490" i="2"/>
  <c r="P491" i="2"/>
  <c r="P492" i="2"/>
  <c r="P493" i="2"/>
  <c r="P494" i="2"/>
  <c r="P495" i="2"/>
  <c r="P496" i="2"/>
  <c r="P497" i="2"/>
  <c r="P498" i="2"/>
  <c r="P499" i="2"/>
  <c r="P500" i="2"/>
  <c r="P501" i="2"/>
  <c r="P502" i="2"/>
  <c r="P503" i="2"/>
  <c r="P504" i="2"/>
  <c r="P505" i="2"/>
  <c r="P506" i="2"/>
  <c r="P507" i="2"/>
  <c r="P508" i="2"/>
  <c r="P509" i="2"/>
  <c r="P510" i="2"/>
  <c r="P511" i="2"/>
  <c r="P512" i="2"/>
  <c r="P513" i="2"/>
  <c r="P514" i="2"/>
  <c r="P515" i="2"/>
  <c r="P516" i="2"/>
  <c r="P517" i="2"/>
  <c r="P518" i="2"/>
  <c r="P519" i="2"/>
  <c r="P520" i="2"/>
  <c r="P521" i="2"/>
  <c r="P522" i="2"/>
  <c r="P523" i="2"/>
  <c r="P524" i="2"/>
  <c r="P525" i="2"/>
  <c r="P526" i="2"/>
  <c r="P527" i="2"/>
  <c r="P528" i="2"/>
  <c r="P529" i="2"/>
  <c r="P530" i="2"/>
  <c r="P531" i="2"/>
  <c r="P532" i="2"/>
  <c r="P533" i="2"/>
  <c r="P534" i="2"/>
  <c r="P535" i="2"/>
  <c r="P536" i="2"/>
  <c r="P537" i="2"/>
  <c r="P538" i="2"/>
  <c r="P539" i="2"/>
  <c r="P540" i="2"/>
  <c r="P541" i="2"/>
  <c r="P542" i="2"/>
  <c r="P543" i="2"/>
  <c r="P544" i="2"/>
  <c r="P545" i="2"/>
  <c r="P546" i="2"/>
  <c r="P547" i="2"/>
  <c r="P548" i="2"/>
  <c r="P549" i="2"/>
  <c r="P550" i="2"/>
  <c r="P551" i="2"/>
  <c r="P552" i="2"/>
  <c r="P553" i="2"/>
  <c r="P554" i="2"/>
  <c r="P555" i="2"/>
  <c r="P556" i="2"/>
  <c r="P557" i="2"/>
  <c r="P558" i="2"/>
  <c r="P559" i="2"/>
  <c r="P560" i="2"/>
  <c r="P561" i="2"/>
  <c r="P562" i="2"/>
  <c r="P563" i="2"/>
  <c r="P564" i="2"/>
  <c r="P565" i="2"/>
  <c r="P566" i="2"/>
  <c r="P567" i="2"/>
  <c r="P568" i="2"/>
  <c r="P569" i="2"/>
  <c r="P570" i="2"/>
  <c r="P571" i="2"/>
  <c r="P572" i="2"/>
  <c r="P573" i="2"/>
  <c r="P574" i="2"/>
  <c r="P575" i="2"/>
  <c r="P576" i="2"/>
  <c r="P577" i="2"/>
  <c r="P578" i="2"/>
  <c r="P579" i="2"/>
  <c r="P580" i="2"/>
  <c r="P581" i="2"/>
  <c r="P582" i="2"/>
  <c r="P583" i="2"/>
  <c r="P584" i="2"/>
  <c r="P585" i="2"/>
  <c r="P586" i="2"/>
  <c r="P587" i="2"/>
  <c r="P588" i="2"/>
  <c r="P589" i="2"/>
  <c r="P590" i="2"/>
  <c r="P591" i="2"/>
  <c r="P592" i="2"/>
  <c r="P593" i="2"/>
  <c r="P594" i="2"/>
  <c r="P595" i="2"/>
  <c r="P596" i="2"/>
  <c r="P597" i="2"/>
  <c r="P598" i="2"/>
  <c r="P599" i="2"/>
  <c r="P600" i="2"/>
  <c r="P601" i="2"/>
  <c r="P602" i="2"/>
  <c r="P603" i="2"/>
  <c r="P604" i="2"/>
  <c r="P605" i="2"/>
  <c r="P606" i="2"/>
  <c r="P607" i="2"/>
  <c r="P608" i="2"/>
  <c r="P609" i="2"/>
  <c r="P610" i="2"/>
  <c r="P611" i="2"/>
  <c r="P612" i="2"/>
  <c r="P613" i="2"/>
  <c r="P614" i="2"/>
  <c r="P615" i="2"/>
  <c r="P616" i="2"/>
  <c r="P617" i="2"/>
  <c r="P618" i="2"/>
  <c r="P619" i="2"/>
  <c r="P620" i="2"/>
  <c r="P621" i="2"/>
  <c r="P622" i="2"/>
  <c r="P623" i="2"/>
  <c r="P624" i="2"/>
  <c r="P625" i="2"/>
  <c r="P626" i="2"/>
  <c r="P627" i="2"/>
  <c r="P628" i="2"/>
  <c r="P629" i="2"/>
  <c r="P630" i="2"/>
  <c r="P631" i="2"/>
  <c r="P632" i="2"/>
  <c r="P633" i="2"/>
  <c r="P634" i="2"/>
  <c r="P635" i="2"/>
  <c r="P636" i="2"/>
  <c r="P637" i="2"/>
  <c r="P638" i="2"/>
  <c r="P639" i="2"/>
  <c r="P640" i="2"/>
  <c r="P641" i="2"/>
  <c r="P642" i="2"/>
  <c r="P643" i="2"/>
  <c r="P644" i="2"/>
  <c r="P645" i="2"/>
  <c r="P646" i="2"/>
  <c r="P647" i="2"/>
  <c r="P648" i="2"/>
  <c r="P649" i="2"/>
  <c r="P650" i="2"/>
  <c r="P651" i="2"/>
  <c r="P652" i="2"/>
  <c r="P653" i="2"/>
  <c r="P654" i="2"/>
  <c r="P655" i="2"/>
  <c r="P656" i="2"/>
  <c r="P657" i="2"/>
  <c r="P658" i="2"/>
  <c r="P659" i="2"/>
  <c r="P660" i="2"/>
  <c r="P661" i="2"/>
  <c r="P662" i="2"/>
  <c r="P663" i="2"/>
  <c r="P664" i="2"/>
  <c r="P665" i="2"/>
  <c r="P666" i="2"/>
  <c r="P667" i="2"/>
  <c r="P668" i="2"/>
  <c r="P669" i="2"/>
  <c r="P670" i="2"/>
  <c r="P671" i="2"/>
  <c r="P672" i="2"/>
  <c r="P673" i="2"/>
  <c r="P674" i="2"/>
  <c r="P675" i="2"/>
  <c r="P676" i="2"/>
  <c r="P677" i="2"/>
  <c r="P678" i="2"/>
  <c r="P679" i="2"/>
  <c r="P680" i="2"/>
  <c r="P681" i="2"/>
  <c r="P682" i="2"/>
  <c r="P683" i="2"/>
  <c r="P684" i="2"/>
  <c r="P685" i="2"/>
  <c r="P686" i="2"/>
  <c r="P687" i="2"/>
  <c r="P688" i="2"/>
  <c r="P689" i="2"/>
  <c r="P690" i="2"/>
  <c r="P691" i="2"/>
  <c r="P692" i="2"/>
  <c r="P693" i="2"/>
  <c r="P694" i="2"/>
  <c r="P695" i="2"/>
  <c r="P696" i="2"/>
  <c r="P697" i="2"/>
  <c r="P698" i="2"/>
  <c r="P699" i="2"/>
  <c r="P700" i="2"/>
  <c r="P701" i="2"/>
  <c r="P702" i="2"/>
  <c r="P703" i="2"/>
  <c r="P704" i="2"/>
  <c r="P705" i="2"/>
  <c r="P706" i="2"/>
  <c r="P707" i="2"/>
  <c r="P708" i="2"/>
  <c r="P709" i="2"/>
  <c r="P710" i="2"/>
  <c r="P711" i="2"/>
  <c r="P712" i="2"/>
  <c r="P713" i="2"/>
  <c r="P714" i="2"/>
  <c r="P715" i="2"/>
  <c r="P716" i="2"/>
  <c r="P717" i="2"/>
  <c r="P718" i="2"/>
  <c r="P719" i="2"/>
  <c r="P720" i="2"/>
  <c r="P721" i="2"/>
  <c r="P722" i="2"/>
  <c r="P723" i="2"/>
  <c r="P724" i="2"/>
  <c r="P725" i="2"/>
  <c r="P726" i="2"/>
  <c r="P727" i="2"/>
  <c r="P728" i="2"/>
  <c r="P729" i="2"/>
  <c r="P730" i="2"/>
  <c r="P731" i="2"/>
  <c r="P732" i="2"/>
  <c r="P733" i="2"/>
  <c r="P734" i="2"/>
  <c r="P735" i="2"/>
  <c r="P736" i="2"/>
  <c r="P737" i="2"/>
  <c r="P738" i="2"/>
  <c r="P739" i="2"/>
  <c r="P740" i="2"/>
  <c r="P741" i="2"/>
  <c r="P742" i="2"/>
  <c r="P743" i="2"/>
  <c r="P744" i="2"/>
  <c r="P745" i="2"/>
  <c r="P746" i="2"/>
  <c r="P747" i="2"/>
  <c r="P748" i="2"/>
  <c r="P749" i="2"/>
  <c r="P750" i="2"/>
  <c r="P751" i="2"/>
  <c r="P752" i="2"/>
  <c r="P753" i="2"/>
  <c r="P754" i="2"/>
  <c r="P755" i="2"/>
  <c r="P756" i="2"/>
  <c r="P757" i="2"/>
  <c r="P758" i="2"/>
  <c r="P759" i="2"/>
  <c r="P760" i="2"/>
  <c r="P761" i="2"/>
  <c r="P762" i="2"/>
  <c r="P763" i="2"/>
  <c r="P764" i="2"/>
  <c r="P765" i="2"/>
  <c r="P766" i="2"/>
  <c r="P767" i="2"/>
  <c r="P768" i="2"/>
  <c r="P769" i="2"/>
  <c r="P770" i="2"/>
  <c r="P771" i="2"/>
  <c r="P772" i="2"/>
  <c r="P773" i="2"/>
  <c r="P774" i="2"/>
  <c r="P775" i="2"/>
  <c r="P776" i="2"/>
  <c r="P777" i="2"/>
  <c r="P778" i="2"/>
  <c r="P779" i="2"/>
  <c r="P780" i="2"/>
  <c r="P781" i="2"/>
  <c r="P782" i="2"/>
  <c r="P783" i="2"/>
  <c r="P784" i="2"/>
  <c r="P785" i="2"/>
  <c r="P786" i="2"/>
  <c r="P787" i="2"/>
  <c r="P788" i="2"/>
  <c r="P789" i="2"/>
  <c r="P790" i="2"/>
  <c r="P791" i="2"/>
  <c r="P792" i="2"/>
  <c r="P793" i="2"/>
  <c r="P794" i="2"/>
  <c r="P795" i="2"/>
  <c r="P796" i="2"/>
  <c r="P797" i="2"/>
  <c r="P798" i="2"/>
  <c r="P799" i="2"/>
  <c r="P800" i="2"/>
  <c r="P801" i="2"/>
  <c r="P802" i="2"/>
  <c r="P803" i="2"/>
  <c r="P804" i="2"/>
  <c r="P805" i="2"/>
  <c r="P806" i="2"/>
  <c r="P807" i="2"/>
  <c r="P808" i="2"/>
  <c r="P809" i="2"/>
  <c r="P810" i="2"/>
  <c r="P811" i="2"/>
  <c r="P812" i="2"/>
  <c r="P813" i="2"/>
  <c r="P814" i="2"/>
  <c r="P815" i="2"/>
  <c r="P816" i="2"/>
  <c r="P817" i="2"/>
  <c r="P818" i="2"/>
  <c r="P819" i="2"/>
  <c r="P820" i="2"/>
  <c r="P821" i="2"/>
  <c r="P822" i="2"/>
  <c r="P823" i="2"/>
  <c r="P824" i="2"/>
  <c r="P825" i="2"/>
  <c r="P826" i="2"/>
  <c r="P827" i="2"/>
  <c r="P828" i="2"/>
  <c r="P829" i="2"/>
  <c r="P830" i="2"/>
  <c r="P831" i="2"/>
  <c r="P832" i="2"/>
  <c r="P833" i="2"/>
  <c r="P834" i="2"/>
  <c r="P835" i="2"/>
  <c r="P836" i="2"/>
  <c r="P837" i="2"/>
  <c r="P838" i="2"/>
  <c r="P839" i="2"/>
  <c r="P840" i="2"/>
  <c r="P841" i="2"/>
  <c r="P842" i="2"/>
  <c r="P843" i="2"/>
  <c r="P844" i="2"/>
  <c r="P845" i="2"/>
  <c r="P846" i="2"/>
  <c r="P847" i="2"/>
  <c r="P848" i="2"/>
  <c r="P849" i="2"/>
  <c r="P850" i="2"/>
  <c r="P851" i="2"/>
  <c r="P852" i="2"/>
  <c r="P853" i="2"/>
  <c r="P854" i="2"/>
  <c r="P855" i="2"/>
  <c r="P856" i="2"/>
  <c r="P857" i="2"/>
  <c r="P858" i="2"/>
  <c r="P859" i="2"/>
  <c r="P860" i="2"/>
  <c r="P861" i="2"/>
  <c r="P862" i="2"/>
  <c r="P863" i="2"/>
  <c r="P864" i="2"/>
  <c r="P865" i="2"/>
  <c r="P866" i="2"/>
  <c r="P867" i="2"/>
  <c r="P868" i="2"/>
  <c r="P869" i="2"/>
  <c r="P870" i="2"/>
  <c r="P871" i="2"/>
  <c r="P872" i="2"/>
  <c r="P873" i="2"/>
  <c r="P874" i="2"/>
  <c r="P875" i="2"/>
  <c r="P876" i="2"/>
  <c r="P877" i="2"/>
  <c r="P878" i="2"/>
  <c r="P879" i="2"/>
  <c r="P880" i="2"/>
  <c r="P881" i="2"/>
  <c r="P882" i="2"/>
  <c r="P883" i="2"/>
  <c r="P884" i="2"/>
  <c r="P885" i="2"/>
  <c r="P886" i="2"/>
  <c r="P887" i="2"/>
  <c r="P888" i="2"/>
  <c r="P889" i="2"/>
  <c r="P890" i="2"/>
  <c r="P891" i="2"/>
  <c r="P892" i="2"/>
  <c r="P893" i="2"/>
  <c r="P894" i="2"/>
  <c r="P895" i="2"/>
  <c r="P896" i="2"/>
  <c r="P897" i="2"/>
  <c r="P898" i="2"/>
  <c r="P899" i="2"/>
  <c r="P900" i="2"/>
  <c r="P901" i="2"/>
  <c r="P902" i="2"/>
  <c r="P903" i="2"/>
  <c r="P904" i="2"/>
  <c r="P905" i="2"/>
  <c r="P906" i="2"/>
  <c r="P907" i="2"/>
  <c r="P908" i="2"/>
  <c r="P909" i="2"/>
  <c r="P910" i="2"/>
  <c r="P911" i="2"/>
  <c r="P912" i="2"/>
  <c r="P913" i="2"/>
  <c r="P914" i="2"/>
  <c r="P915" i="2"/>
  <c r="P916" i="2"/>
  <c r="P917" i="2"/>
  <c r="P918" i="2"/>
  <c r="P919" i="2"/>
  <c r="P920" i="2"/>
  <c r="P921" i="2"/>
  <c r="P922" i="2"/>
  <c r="P923" i="2"/>
  <c r="P924" i="2"/>
  <c r="P925" i="2"/>
  <c r="P926" i="2"/>
  <c r="P927" i="2"/>
  <c r="P928" i="2"/>
  <c r="P929" i="2"/>
  <c r="P930" i="2"/>
  <c r="P931" i="2"/>
  <c r="P932" i="2"/>
  <c r="P933" i="2"/>
  <c r="P934" i="2"/>
  <c r="P935" i="2"/>
  <c r="P936" i="2"/>
  <c r="P937" i="2"/>
  <c r="P938" i="2"/>
  <c r="P939" i="2"/>
  <c r="P940" i="2"/>
  <c r="P941" i="2"/>
  <c r="P942" i="2"/>
  <c r="P943" i="2"/>
  <c r="P944" i="2"/>
  <c r="P945" i="2"/>
  <c r="P946" i="2"/>
  <c r="P947" i="2"/>
  <c r="P948" i="2"/>
  <c r="P949" i="2"/>
  <c r="P950" i="2"/>
  <c r="P951" i="2"/>
  <c r="P952" i="2"/>
  <c r="P953" i="2"/>
  <c r="P954" i="2"/>
  <c r="P955" i="2"/>
  <c r="P956" i="2"/>
  <c r="P957" i="2"/>
  <c r="P958" i="2"/>
  <c r="P959" i="2"/>
  <c r="P960" i="2"/>
  <c r="P961" i="2"/>
  <c r="P962" i="2"/>
  <c r="P963" i="2"/>
  <c r="P964" i="2"/>
  <c r="P965" i="2"/>
  <c r="P966" i="2"/>
  <c r="P967" i="2"/>
  <c r="P968" i="2"/>
  <c r="P969" i="2"/>
  <c r="P970" i="2"/>
  <c r="P971" i="2"/>
  <c r="P972" i="2"/>
  <c r="P973" i="2"/>
  <c r="P974" i="2"/>
  <c r="P975" i="2"/>
  <c r="P976" i="2"/>
  <c r="P977" i="2"/>
  <c r="P978" i="2"/>
  <c r="P979" i="2"/>
  <c r="P980" i="2"/>
  <c r="P981" i="2"/>
  <c r="P982" i="2"/>
  <c r="P983" i="2"/>
  <c r="P984" i="2"/>
  <c r="P985" i="2"/>
  <c r="P986" i="2"/>
  <c r="P987" i="2"/>
  <c r="P988" i="2"/>
  <c r="P989" i="2"/>
  <c r="P990" i="2"/>
  <c r="P991" i="2"/>
  <c r="P992" i="2"/>
  <c r="P993" i="2"/>
  <c r="P994" i="2"/>
  <c r="P995" i="2"/>
  <c r="P996" i="2"/>
  <c r="P997" i="2"/>
  <c r="P998" i="2"/>
  <c r="P999" i="2"/>
  <c r="P1000" i="2"/>
  <c r="P1001" i="2"/>
  <c r="P1002" i="2"/>
  <c r="P1003" i="2"/>
  <c r="P1004" i="2"/>
  <c r="P1005" i="2"/>
  <c r="P1006" i="2"/>
  <c r="P1007" i="2"/>
  <c r="P1008" i="2"/>
  <c r="P1009" i="2"/>
  <c r="P1010" i="2"/>
  <c r="P1011" i="2"/>
  <c r="P1012" i="2"/>
  <c r="P1013" i="2"/>
  <c r="P1014" i="2"/>
  <c r="P1015" i="2"/>
  <c r="P1016" i="2"/>
  <c r="P1017" i="2"/>
  <c r="P1018" i="2"/>
  <c r="P1019" i="2"/>
  <c r="P1020" i="2"/>
  <c r="P1021" i="2"/>
  <c r="P1022" i="2"/>
  <c r="P1023" i="2"/>
  <c r="P1024" i="2"/>
  <c r="P1025" i="2"/>
  <c r="P1026" i="2"/>
  <c r="P1027" i="2"/>
  <c r="P1028" i="2"/>
  <c r="P1029" i="2"/>
  <c r="P1030" i="2"/>
  <c r="P1031" i="2"/>
  <c r="P1032" i="2"/>
  <c r="P1033" i="2"/>
  <c r="P1034" i="2"/>
  <c r="P1035" i="2"/>
  <c r="P1036" i="2"/>
  <c r="P1037" i="2"/>
  <c r="P1038" i="2"/>
  <c r="P1039" i="2"/>
  <c r="P1040" i="2"/>
  <c r="P1041" i="2"/>
  <c r="P1042" i="2"/>
  <c r="P1043" i="2"/>
  <c r="P1044" i="2"/>
  <c r="P1045" i="2"/>
  <c r="P1046" i="2"/>
  <c r="P1047" i="2"/>
  <c r="P1048" i="2"/>
  <c r="P1049" i="2"/>
  <c r="P1050" i="2"/>
  <c r="P1051" i="2"/>
  <c r="P1052" i="2"/>
  <c r="P1053" i="2"/>
  <c r="P1054" i="2"/>
  <c r="P1055" i="2"/>
  <c r="P1056" i="2"/>
  <c r="P1057" i="2"/>
  <c r="P1058" i="2"/>
  <c r="P1059" i="2"/>
  <c r="P1060" i="2"/>
  <c r="P1061" i="2"/>
  <c r="P1062" i="2"/>
  <c r="P1063" i="2"/>
  <c r="P1064" i="2"/>
  <c r="P1065" i="2"/>
  <c r="P1066" i="2"/>
  <c r="P1067" i="2"/>
  <c r="P1068" i="2"/>
  <c r="P1069" i="2"/>
  <c r="P1070" i="2"/>
  <c r="P1071" i="2"/>
  <c r="P1072" i="2"/>
  <c r="P1073" i="2"/>
  <c r="P1074" i="2"/>
  <c r="P1075" i="2"/>
  <c r="P1076" i="2"/>
  <c r="P1077" i="2"/>
  <c r="P1078" i="2"/>
  <c r="P1079" i="2"/>
  <c r="P1080" i="2"/>
  <c r="P1081" i="2"/>
  <c r="P1082" i="2"/>
  <c r="P1083" i="2"/>
  <c r="P1084" i="2"/>
  <c r="P1085" i="2"/>
  <c r="P1086" i="2"/>
  <c r="P1087" i="2"/>
  <c r="P1088" i="2"/>
  <c r="P1089" i="2"/>
  <c r="P1090" i="2"/>
  <c r="P1091" i="2"/>
  <c r="P1092" i="2"/>
  <c r="P1093" i="2"/>
  <c r="P1094" i="2"/>
  <c r="P1095" i="2"/>
  <c r="P1096" i="2"/>
  <c r="P1097" i="2"/>
  <c r="P1098" i="2"/>
  <c r="P1099" i="2"/>
  <c r="P1100" i="2"/>
  <c r="P1101" i="2"/>
  <c r="P1102" i="2"/>
  <c r="P1103" i="2"/>
  <c r="P1104" i="2"/>
  <c r="P1105" i="2"/>
  <c r="P1106" i="2"/>
  <c r="P1107" i="2"/>
  <c r="P1108" i="2"/>
  <c r="P1109" i="2"/>
  <c r="P1110" i="2"/>
  <c r="P1111" i="2"/>
  <c r="P1112" i="2"/>
  <c r="P1113" i="2"/>
  <c r="P1114" i="2"/>
  <c r="P1115" i="2"/>
  <c r="P1116" i="2"/>
  <c r="P1117" i="2"/>
  <c r="P1118" i="2"/>
  <c r="P1119" i="2"/>
  <c r="P1120" i="2"/>
  <c r="P1121" i="2"/>
  <c r="P1122" i="2"/>
  <c r="P1123" i="2"/>
  <c r="P1124" i="2"/>
  <c r="P1125" i="2"/>
  <c r="P1126" i="2"/>
  <c r="P1127" i="2"/>
  <c r="P1128" i="2"/>
  <c r="P1129" i="2"/>
  <c r="P1130" i="2"/>
  <c r="P1131" i="2"/>
  <c r="P1132" i="2"/>
  <c r="P1133" i="2"/>
  <c r="P1134" i="2"/>
  <c r="P1135" i="2"/>
  <c r="P1136" i="2"/>
  <c r="P1137" i="2"/>
  <c r="P1138" i="2"/>
  <c r="P1139" i="2"/>
  <c r="P1140" i="2"/>
  <c r="P1141" i="2"/>
  <c r="P1142" i="2"/>
  <c r="P1143" i="2"/>
  <c r="P1144" i="2"/>
  <c r="P1145" i="2"/>
  <c r="P1146" i="2"/>
  <c r="P1147" i="2"/>
  <c r="P1148" i="2"/>
  <c r="P1149" i="2"/>
  <c r="P1150" i="2"/>
  <c r="P1151" i="2"/>
  <c r="P1152" i="2"/>
  <c r="P1153" i="2"/>
  <c r="P1154" i="2"/>
  <c r="P1155" i="2"/>
  <c r="P1156" i="2"/>
  <c r="P1157" i="2"/>
  <c r="P1158" i="2"/>
  <c r="P1159" i="2"/>
  <c r="P1160" i="2"/>
  <c r="P1161" i="2"/>
  <c r="P1162" i="2"/>
  <c r="P1163" i="2"/>
  <c r="P1164" i="2"/>
  <c r="P1165" i="2"/>
  <c r="P1166" i="2"/>
  <c r="P1167" i="2"/>
  <c r="P1168" i="2"/>
  <c r="P1169" i="2"/>
  <c r="P1170" i="2"/>
  <c r="P1171" i="2"/>
  <c r="P1172" i="2"/>
  <c r="P1173" i="2"/>
  <c r="P1174" i="2"/>
  <c r="P1175" i="2"/>
  <c r="P1176" i="2"/>
  <c r="P1177" i="2"/>
  <c r="P1178" i="2"/>
  <c r="P1179" i="2"/>
  <c r="P1180" i="2"/>
  <c r="P1181" i="2"/>
  <c r="P1182" i="2"/>
  <c r="P1183" i="2"/>
  <c r="P1184" i="2"/>
  <c r="P1185" i="2"/>
  <c r="P1186" i="2"/>
  <c r="P1187" i="2"/>
  <c r="P1188" i="2"/>
  <c r="P1189" i="2"/>
  <c r="P1190" i="2"/>
  <c r="P1191" i="2"/>
  <c r="P1192" i="2"/>
  <c r="P1193" i="2"/>
  <c r="P1194" i="2"/>
  <c r="P1195" i="2"/>
  <c r="P1196" i="2"/>
  <c r="P1197" i="2"/>
  <c r="P1198" i="2"/>
  <c r="P1199" i="2"/>
  <c r="P1200" i="2"/>
  <c r="P1201" i="2"/>
  <c r="P1202" i="2"/>
  <c r="P1203" i="2"/>
  <c r="P1204" i="2"/>
  <c r="P1205" i="2"/>
  <c r="P1206" i="2"/>
  <c r="P1207" i="2"/>
  <c r="P1208" i="2"/>
  <c r="P1209" i="2"/>
  <c r="P1210" i="2"/>
  <c r="P1211" i="2"/>
  <c r="P1212" i="2"/>
  <c r="P1213" i="2"/>
  <c r="P1214" i="2"/>
  <c r="P1215" i="2"/>
  <c r="P1216" i="2"/>
  <c r="P1217" i="2"/>
  <c r="P1218" i="2"/>
  <c r="P1219" i="2"/>
  <c r="P1220" i="2"/>
  <c r="P1221" i="2"/>
  <c r="P1222" i="2"/>
  <c r="P1223" i="2"/>
  <c r="P1224" i="2"/>
  <c r="P1225" i="2"/>
  <c r="P1226" i="2"/>
  <c r="P1227" i="2"/>
  <c r="P1228" i="2"/>
  <c r="P1229" i="2"/>
  <c r="P1230" i="2"/>
  <c r="P1231" i="2"/>
  <c r="P1232" i="2"/>
  <c r="P1233" i="2"/>
  <c r="P1234" i="2"/>
  <c r="P1235" i="2"/>
  <c r="P1236" i="2"/>
  <c r="P1237" i="2"/>
  <c r="P1238" i="2"/>
  <c r="P1239" i="2"/>
  <c r="P1240" i="2"/>
  <c r="P1241" i="2"/>
  <c r="P1242" i="2"/>
  <c r="P1243" i="2"/>
  <c r="P1244" i="2"/>
  <c r="P1245" i="2"/>
  <c r="P1246" i="2"/>
  <c r="P1247" i="2"/>
  <c r="P1248" i="2"/>
  <c r="P1249" i="2"/>
  <c r="P1250" i="2"/>
  <c r="P1251" i="2"/>
  <c r="P1252" i="2"/>
  <c r="P1253" i="2"/>
  <c r="P1254" i="2"/>
  <c r="P1255" i="2"/>
  <c r="P1256" i="2"/>
  <c r="P1257" i="2"/>
  <c r="P1258" i="2"/>
  <c r="P1259" i="2"/>
  <c r="P1260" i="2"/>
  <c r="P1261" i="2"/>
  <c r="P1262" i="2"/>
  <c r="P1263" i="2"/>
  <c r="P1264" i="2"/>
  <c r="P1265" i="2"/>
  <c r="P1266" i="2"/>
  <c r="P1267" i="2"/>
  <c r="P1268" i="2"/>
  <c r="P1269" i="2"/>
  <c r="P1270" i="2"/>
  <c r="P1271" i="2"/>
  <c r="P1272" i="2"/>
  <c r="P1273" i="2"/>
  <c r="P1274" i="2"/>
  <c r="P1275" i="2"/>
  <c r="P1276" i="2"/>
  <c r="P1277" i="2"/>
  <c r="P1278" i="2"/>
  <c r="P1279" i="2"/>
  <c r="P1280" i="2"/>
  <c r="P1281" i="2"/>
  <c r="P1282" i="2"/>
  <c r="P1283" i="2"/>
  <c r="P1284" i="2"/>
  <c r="P1285" i="2"/>
  <c r="P1286" i="2"/>
  <c r="P1287" i="2"/>
  <c r="P1288" i="2"/>
  <c r="P1289" i="2"/>
  <c r="P1290" i="2"/>
  <c r="P1291" i="2"/>
  <c r="P1292" i="2"/>
  <c r="P1293" i="2"/>
  <c r="P1294" i="2"/>
  <c r="P1295" i="2"/>
  <c r="P1296" i="2"/>
  <c r="P1297" i="2"/>
  <c r="P1298" i="2"/>
  <c r="P1299" i="2"/>
  <c r="P1300" i="2"/>
  <c r="P1301" i="2"/>
  <c r="P1302" i="2"/>
  <c r="P1303" i="2"/>
  <c r="P1304" i="2"/>
  <c r="P1305" i="2"/>
  <c r="P1306" i="2"/>
  <c r="P1307" i="2"/>
  <c r="P1308" i="2"/>
  <c r="P1309" i="2"/>
  <c r="P1310" i="2"/>
  <c r="P1311" i="2"/>
  <c r="P1312" i="2"/>
  <c r="P1313" i="2"/>
  <c r="P1314" i="2"/>
  <c r="P1315" i="2"/>
  <c r="P1316" i="2"/>
  <c r="P1317" i="2"/>
  <c r="P1318" i="2"/>
  <c r="P1319" i="2"/>
  <c r="P1320" i="2"/>
  <c r="P1321" i="2"/>
  <c r="P1322" i="2"/>
  <c r="P1323" i="2"/>
  <c r="P1324" i="2"/>
  <c r="P1325" i="2"/>
  <c r="P1326" i="2"/>
  <c r="P1327" i="2"/>
  <c r="P1328" i="2"/>
  <c r="P1329" i="2"/>
  <c r="P1330" i="2"/>
  <c r="P1331" i="2"/>
  <c r="P1332" i="2"/>
  <c r="P1333" i="2"/>
  <c r="P1334" i="2"/>
  <c r="P1335" i="2"/>
  <c r="P1336" i="2"/>
  <c r="P1337" i="2"/>
  <c r="P1338" i="2"/>
  <c r="P1339" i="2"/>
  <c r="P1340" i="2"/>
  <c r="P1341" i="2"/>
  <c r="P1342" i="2"/>
  <c r="P1343" i="2"/>
  <c r="P1344" i="2"/>
  <c r="P1345" i="2"/>
  <c r="P1346" i="2"/>
  <c r="P1347" i="2"/>
  <c r="P1348" i="2"/>
  <c r="P1349" i="2"/>
  <c r="P1350" i="2"/>
  <c r="P1351" i="2"/>
  <c r="P1352" i="2"/>
  <c r="P1353" i="2"/>
  <c r="P1354" i="2"/>
  <c r="P1355" i="2"/>
  <c r="P1356" i="2"/>
  <c r="P1357" i="2"/>
  <c r="P1358" i="2"/>
  <c r="P1359" i="2"/>
  <c r="P1360" i="2"/>
  <c r="P1361" i="2"/>
  <c r="P1362" i="2"/>
  <c r="P1363" i="2"/>
  <c r="P1364" i="2"/>
  <c r="P1365" i="2"/>
  <c r="P1366" i="2"/>
  <c r="P1367" i="2"/>
  <c r="P1368" i="2"/>
  <c r="P1369" i="2"/>
  <c r="P1370" i="2"/>
  <c r="P1371" i="2"/>
  <c r="P1372" i="2"/>
  <c r="P1373" i="2"/>
  <c r="P1374" i="2"/>
  <c r="P1375" i="2"/>
  <c r="P1376" i="2"/>
  <c r="P1377" i="2"/>
  <c r="P1378" i="2"/>
  <c r="P1379" i="2"/>
  <c r="P1380" i="2"/>
  <c r="P1381" i="2"/>
  <c r="P1382" i="2"/>
  <c r="P1383" i="2"/>
  <c r="P1384" i="2"/>
  <c r="P1385" i="2"/>
  <c r="P1386" i="2"/>
  <c r="P1387" i="2"/>
  <c r="P1388" i="2"/>
  <c r="P1389" i="2"/>
  <c r="P1390" i="2"/>
  <c r="P1391" i="2"/>
  <c r="P1392" i="2"/>
  <c r="P1393" i="2"/>
  <c r="P1394" i="2"/>
  <c r="P1395" i="2"/>
  <c r="P1396" i="2"/>
  <c r="P1397" i="2"/>
  <c r="P1398" i="2"/>
  <c r="P1399" i="2"/>
  <c r="P1400" i="2"/>
  <c r="P1401" i="2"/>
  <c r="P1402" i="2"/>
  <c r="P1403" i="2"/>
  <c r="P1404" i="2"/>
  <c r="P1405" i="2"/>
  <c r="P1406" i="2"/>
  <c r="P1407" i="2"/>
  <c r="P1408" i="2"/>
  <c r="P1409" i="2"/>
  <c r="P1410" i="2"/>
  <c r="P1411" i="2"/>
  <c r="P1412" i="2"/>
  <c r="P1413" i="2"/>
  <c r="P1414" i="2"/>
  <c r="P1415" i="2"/>
  <c r="P1416" i="2"/>
  <c r="P1417" i="2"/>
  <c r="P1418" i="2"/>
  <c r="P1419" i="2"/>
  <c r="P1420" i="2"/>
  <c r="P1421" i="2"/>
  <c r="P1422" i="2"/>
  <c r="P1423" i="2"/>
  <c r="P1424" i="2"/>
  <c r="P1425" i="2"/>
  <c r="P1426" i="2"/>
  <c r="P1427" i="2"/>
  <c r="P1428" i="2"/>
  <c r="P1429" i="2"/>
  <c r="P1430" i="2"/>
  <c r="P1431" i="2"/>
  <c r="P1432" i="2"/>
  <c r="P1433" i="2"/>
  <c r="P1434" i="2"/>
  <c r="P1435" i="2"/>
  <c r="P1436" i="2"/>
  <c r="P1437" i="2"/>
  <c r="P1438" i="2"/>
  <c r="P1439" i="2"/>
  <c r="P1440" i="2"/>
  <c r="P1441" i="2"/>
  <c r="P1442" i="2"/>
  <c r="P1443" i="2"/>
  <c r="P1444" i="2"/>
  <c r="P1445" i="2"/>
  <c r="P1446" i="2"/>
  <c r="P1447" i="2"/>
  <c r="P1448" i="2"/>
  <c r="P1449" i="2"/>
  <c r="P1450" i="2"/>
  <c r="P1451" i="2"/>
  <c r="P1452" i="2"/>
  <c r="P1453" i="2"/>
  <c r="P1454" i="2"/>
  <c r="P1455" i="2"/>
  <c r="P1456" i="2"/>
  <c r="P1457" i="2"/>
  <c r="P1458" i="2"/>
  <c r="P1459" i="2"/>
  <c r="P1460" i="2"/>
  <c r="P1461" i="2"/>
  <c r="P1462" i="2"/>
  <c r="P1463" i="2"/>
  <c r="P1464" i="2"/>
  <c r="P1465" i="2"/>
  <c r="P1466" i="2"/>
  <c r="P1467" i="2"/>
  <c r="P1468" i="2"/>
  <c r="P1469" i="2"/>
  <c r="P1470" i="2"/>
  <c r="P1471" i="2"/>
  <c r="P1472" i="2"/>
  <c r="P1473" i="2"/>
  <c r="P1474" i="2"/>
  <c r="P1475" i="2"/>
  <c r="P1476" i="2"/>
  <c r="P1477" i="2"/>
  <c r="P1478" i="2"/>
  <c r="P1479" i="2"/>
  <c r="P1480" i="2"/>
  <c r="P1481" i="2"/>
  <c r="P1482" i="2"/>
  <c r="P1483" i="2"/>
  <c r="P1484" i="2"/>
  <c r="P1485" i="2"/>
  <c r="P1486" i="2"/>
  <c r="P1487" i="2"/>
  <c r="P1488" i="2"/>
  <c r="P1489" i="2"/>
  <c r="P1490" i="2"/>
  <c r="P1491" i="2"/>
  <c r="P1492" i="2"/>
  <c r="P1493" i="2"/>
  <c r="P1494" i="2"/>
  <c r="P1495" i="2"/>
  <c r="P1496" i="2"/>
  <c r="P1497" i="2"/>
  <c r="P1498" i="2"/>
  <c r="P1499" i="2"/>
  <c r="P1500" i="2"/>
  <c r="P1501" i="2"/>
  <c r="P1502" i="2"/>
  <c r="P1503" i="2"/>
  <c r="P1504" i="2"/>
  <c r="P1505" i="2"/>
  <c r="P1506" i="2"/>
  <c r="P1507" i="2"/>
  <c r="P1508" i="2"/>
  <c r="P1509" i="2"/>
  <c r="P1510" i="2"/>
  <c r="P1511" i="2"/>
  <c r="P1512" i="2"/>
  <c r="P1513" i="2"/>
  <c r="P1514" i="2"/>
  <c r="P1515" i="2"/>
  <c r="P1516" i="2"/>
  <c r="P1517" i="2"/>
  <c r="P1518" i="2"/>
  <c r="P1519" i="2"/>
  <c r="P1520" i="2"/>
  <c r="P1521" i="2"/>
  <c r="P1522" i="2"/>
  <c r="P1523" i="2"/>
  <c r="P1524" i="2"/>
  <c r="P1525" i="2"/>
  <c r="P1526" i="2"/>
  <c r="P1527" i="2"/>
  <c r="P1528" i="2"/>
  <c r="P1529" i="2"/>
  <c r="P1530" i="2"/>
  <c r="P1531" i="2"/>
  <c r="P1532" i="2"/>
  <c r="P1533" i="2"/>
  <c r="P1534" i="2"/>
  <c r="P1535" i="2"/>
  <c r="P1536" i="2"/>
  <c r="P1537" i="2"/>
  <c r="P1538" i="2"/>
  <c r="P1539" i="2"/>
  <c r="P1540" i="2"/>
  <c r="P1541" i="2"/>
  <c r="P1542" i="2"/>
  <c r="P1543" i="2"/>
  <c r="P1544" i="2"/>
  <c r="P1545" i="2"/>
  <c r="P1546" i="2"/>
  <c r="P1547" i="2"/>
  <c r="P1548" i="2"/>
  <c r="P1549" i="2"/>
  <c r="P1550" i="2"/>
  <c r="P1551" i="2"/>
  <c r="P1552" i="2"/>
  <c r="P1553" i="2"/>
  <c r="P1554" i="2"/>
  <c r="P1555" i="2"/>
  <c r="P1556" i="2"/>
  <c r="P1557" i="2"/>
  <c r="P1558" i="2"/>
  <c r="P1559" i="2"/>
  <c r="P1560" i="2"/>
  <c r="P1561" i="2"/>
  <c r="P1562" i="2"/>
  <c r="P1563" i="2"/>
  <c r="P1564" i="2"/>
  <c r="P1565" i="2"/>
  <c r="P1566" i="2"/>
  <c r="P1567" i="2"/>
  <c r="P1568" i="2"/>
  <c r="P1569" i="2"/>
  <c r="P1570" i="2"/>
  <c r="P1571" i="2"/>
  <c r="P1572" i="2"/>
  <c r="P1573" i="2"/>
  <c r="P1574" i="2"/>
  <c r="P1575" i="2"/>
  <c r="P1576" i="2"/>
  <c r="P1577" i="2"/>
  <c r="P1578" i="2"/>
  <c r="P1579" i="2"/>
  <c r="P1580" i="2"/>
  <c r="P1581" i="2"/>
  <c r="P1582" i="2"/>
  <c r="P1583" i="2"/>
  <c r="P1584" i="2"/>
  <c r="P1585" i="2"/>
  <c r="P1586" i="2"/>
  <c r="P1587" i="2"/>
  <c r="P1588" i="2"/>
  <c r="P1589" i="2"/>
  <c r="P1590" i="2"/>
  <c r="P1591" i="2"/>
  <c r="P1592" i="2"/>
  <c r="P1593" i="2"/>
  <c r="P1594" i="2"/>
  <c r="P1595" i="2"/>
  <c r="P1596" i="2"/>
  <c r="P1597" i="2"/>
  <c r="P1598" i="2"/>
  <c r="P1599" i="2"/>
  <c r="P1600" i="2"/>
  <c r="P1601" i="2"/>
  <c r="P1602" i="2"/>
  <c r="P1603" i="2"/>
  <c r="P1604" i="2"/>
  <c r="P1605" i="2"/>
  <c r="P1606" i="2"/>
  <c r="P1607" i="2"/>
  <c r="P1608" i="2"/>
  <c r="P1609" i="2"/>
  <c r="P1610" i="2"/>
  <c r="P1611" i="2"/>
  <c r="P1612" i="2"/>
  <c r="P1613" i="2"/>
  <c r="P1614" i="2"/>
  <c r="P1615" i="2"/>
  <c r="P1616" i="2"/>
  <c r="P1617" i="2"/>
  <c r="P1618" i="2"/>
  <c r="P1619" i="2"/>
  <c r="P1620" i="2"/>
  <c r="P1621" i="2"/>
  <c r="P1622" i="2"/>
  <c r="P1623" i="2"/>
  <c r="P1624" i="2"/>
  <c r="P1625" i="2"/>
  <c r="P1626" i="2"/>
  <c r="P1627" i="2"/>
  <c r="P1628" i="2"/>
  <c r="P1629" i="2"/>
  <c r="P1630" i="2"/>
  <c r="P1631" i="2"/>
  <c r="P1632" i="2"/>
  <c r="P1633" i="2"/>
  <c r="P1634" i="2"/>
  <c r="P1635" i="2"/>
  <c r="P1636" i="2"/>
  <c r="P1637" i="2"/>
  <c r="P1638" i="2"/>
  <c r="P1639" i="2"/>
  <c r="P1640" i="2"/>
  <c r="P1641" i="2"/>
  <c r="P1642" i="2"/>
  <c r="P1643" i="2"/>
  <c r="P1644" i="2"/>
  <c r="P1645" i="2"/>
  <c r="P1646" i="2"/>
  <c r="P1647" i="2"/>
  <c r="P1648" i="2"/>
  <c r="P1649" i="2"/>
  <c r="P1650" i="2"/>
  <c r="P1651" i="2"/>
  <c r="P1652" i="2"/>
  <c r="P1653" i="2"/>
  <c r="P1654" i="2"/>
  <c r="P1655" i="2"/>
  <c r="P1656" i="2"/>
  <c r="P1657" i="2"/>
  <c r="P1658" i="2"/>
  <c r="P1659" i="2"/>
  <c r="P1660" i="2"/>
  <c r="P1661" i="2"/>
  <c r="P1662" i="2"/>
  <c r="P1663" i="2"/>
  <c r="P1664" i="2"/>
  <c r="P1665" i="2"/>
  <c r="P1666" i="2"/>
  <c r="P1667" i="2"/>
  <c r="P1668" i="2"/>
  <c r="P1669" i="2"/>
  <c r="P1670" i="2"/>
  <c r="P1671" i="2"/>
  <c r="P1672" i="2"/>
  <c r="P1673" i="2"/>
  <c r="P1674" i="2"/>
  <c r="P1675" i="2"/>
  <c r="P1676" i="2"/>
  <c r="P1677" i="2"/>
  <c r="P1678" i="2"/>
  <c r="P1679" i="2"/>
  <c r="P1680" i="2"/>
  <c r="P1681" i="2"/>
  <c r="P1682" i="2"/>
  <c r="P1683" i="2"/>
  <c r="P1684" i="2"/>
  <c r="P1685" i="2"/>
  <c r="P1686" i="2"/>
  <c r="P1687" i="2"/>
  <c r="P1688" i="2"/>
  <c r="P1689" i="2"/>
  <c r="P1690" i="2"/>
  <c r="P1691" i="2"/>
  <c r="P1692" i="2"/>
  <c r="P1693" i="2"/>
  <c r="P1694" i="2"/>
  <c r="P1695" i="2"/>
  <c r="P1696" i="2"/>
  <c r="P1697" i="2"/>
  <c r="P1698" i="2"/>
  <c r="P1699" i="2"/>
  <c r="P1700" i="2"/>
  <c r="P1701" i="2"/>
  <c r="P1702" i="2"/>
  <c r="P1703" i="2"/>
  <c r="P1704" i="2"/>
  <c r="P1705" i="2"/>
  <c r="P1706" i="2"/>
  <c r="P1707" i="2"/>
  <c r="P1708" i="2"/>
  <c r="P1709" i="2"/>
  <c r="P1710" i="2"/>
  <c r="P1711" i="2"/>
  <c r="P1712" i="2"/>
  <c r="P1713" i="2"/>
  <c r="P1714" i="2"/>
  <c r="P1715" i="2"/>
  <c r="P1716" i="2"/>
  <c r="P1717" i="2"/>
  <c r="P1718" i="2"/>
  <c r="P1719" i="2"/>
  <c r="P1720" i="2"/>
  <c r="P1721" i="2"/>
  <c r="P1722" i="2"/>
  <c r="P1723" i="2"/>
  <c r="P1724" i="2"/>
  <c r="P1725" i="2"/>
  <c r="P1726" i="2"/>
  <c r="P1727" i="2"/>
  <c r="P1728" i="2"/>
  <c r="P1729" i="2"/>
  <c r="P1730" i="2"/>
  <c r="P1731" i="2"/>
  <c r="P1732" i="2"/>
  <c r="P1733" i="2"/>
  <c r="P1734" i="2"/>
  <c r="P1735" i="2"/>
  <c r="P1736" i="2"/>
  <c r="P1737" i="2"/>
  <c r="P1738" i="2"/>
  <c r="P1739" i="2"/>
  <c r="P1740" i="2"/>
  <c r="P1741" i="2"/>
  <c r="P1742" i="2"/>
  <c r="P1743" i="2"/>
  <c r="P1744" i="2"/>
  <c r="P1745" i="2"/>
  <c r="P1746" i="2"/>
  <c r="P1747" i="2"/>
  <c r="P1748" i="2"/>
  <c r="P1749" i="2"/>
  <c r="P1750" i="2"/>
  <c r="P1751" i="2"/>
  <c r="P1752" i="2"/>
  <c r="P1753" i="2"/>
  <c r="P1754" i="2"/>
  <c r="P1755" i="2"/>
  <c r="P1756" i="2"/>
  <c r="P1757" i="2"/>
  <c r="P1758" i="2"/>
  <c r="P1759" i="2"/>
  <c r="P1760" i="2"/>
  <c r="P1761" i="2"/>
  <c r="P1762" i="2"/>
  <c r="P1763" i="2"/>
  <c r="P1764" i="2"/>
  <c r="P1765" i="2"/>
  <c r="P1766" i="2"/>
  <c r="P1767" i="2"/>
  <c r="P1768" i="2"/>
  <c r="P1769" i="2"/>
  <c r="P1770" i="2"/>
  <c r="P1771" i="2"/>
  <c r="P1772" i="2"/>
  <c r="P1773" i="2"/>
  <c r="P1774" i="2"/>
  <c r="P1775" i="2"/>
  <c r="P1776" i="2"/>
  <c r="P1777" i="2"/>
  <c r="P1778" i="2"/>
  <c r="P1779" i="2"/>
  <c r="P1780" i="2"/>
  <c r="P1781" i="2"/>
  <c r="P1782" i="2"/>
  <c r="P1783" i="2"/>
  <c r="P1784" i="2"/>
  <c r="P1785" i="2"/>
  <c r="P1786" i="2"/>
  <c r="P1787" i="2"/>
  <c r="P1788" i="2"/>
  <c r="P1789" i="2"/>
  <c r="P1790" i="2"/>
  <c r="P1791" i="2"/>
  <c r="P1792" i="2"/>
  <c r="P1793" i="2"/>
  <c r="P1794" i="2"/>
  <c r="P1795" i="2"/>
  <c r="P1796" i="2"/>
  <c r="P1797" i="2"/>
  <c r="P1798" i="2"/>
  <c r="P1799" i="2"/>
  <c r="P1800" i="2"/>
  <c r="P1801" i="2"/>
  <c r="P1802" i="2"/>
  <c r="P1803" i="2"/>
  <c r="P1804" i="2"/>
  <c r="P1805" i="2"/>
  <c r="P1806" i="2"/>
  <c r="P1807" i="2"/>
  <c r="P1808" i="2"/>
  <c r="P1809" i="2"/>
  <c r="P1810" i="2"/>
  <c r="P1811" i="2"/>
  <c r="P1812" i="2"/>
  <c r="P1813" i="2"/>
  <c r="P1814" i="2"/>
  <c r="P1815" i="2"/>
  <c r="P1816" i="2"/>
  <c r="P1817" i="2"/>
  <c r="P1818" i="2"/>
  <c r="P1819" i="2"/>
  <c r="P1820" i="2"/>
  <c r="P1821" i="2"/>
  <c r="P1822" i="2"/>
  <c r="P1823" i="2"/>
  <c r="P1824" i="2"/>
  <c r="P1825" i="2"/>
  <c r="P1826" i="2"/>
  <c r="P1827" i="2"/>
  <c r="P1828" i="2"/>
  <c r="P1829" i="2"/>
  <c r="P1830" i="2"/>
  <c r="P1831" i="2"/>
  <c r="P1832" i="2"/>
  <c r="P1833" i="2"/>
  <c r="P1834" i="2"/>
  <c r="P1835" i="2"/>
  <c r="P1836" i="2"/>
  <c r="P1837" i="2"/>
  <c r="P1838" i="2"/>
  <c r="P1839" i="2"/>
  <c r="P1840" i="2"/>
  <c r="P1841" i="2"/>
  <c r="P1842" i="2"/>
  <c r="P1843" i="2"/>
  <c r="P1844" i="2"/>
  <c r="P1845" i="2"/>
  <c r="P1846" i="2"/>
  <c r="P1847" i="2"/>
  <c r="P1848" i="2"/>
  <c r="P1849" i="2"/>
  <c r="P1850" i="2"/>
  <c r="P1851" i="2"/>
  <c r="P1852" i="2"/>
  <c r="P1853" i="2"/>
  <c r="P1854" i="2"/>
  <c r="P1855" i="2"/>
  <c r="P1856" i="2"/>
  <c r="P1857" i="2"/>
  <c r="P1858" i="2"/>
  <c r="P1859" i="2"/>
  <c r="P1860" i="2"/>
  <c r="P1861" i="2"/>
  <c r="P1862" i="2"/>
  <c r="P1863" i="2"/>
  <c r="P1864" i="2"/>
  <c r="P1865" i="2"/>
  <c r="P1866" i="2"/>
  <c r="P1867" i="2"/>
  <c r="P1868" i="2"/>
  <c r="P1869" i="2"/>
  <c r="P1870" i="2"/>
  <c r="P1871" i="2"/>
  <c r="P1872" i="2"/>
  <c r="P1873" i="2"/>
  <c r="P1874" i="2"/>
  <c r="P1875" i="2"/>
  <c r="P1876" i="2"/>
  <c r="P1877" i="2"/>
  <c r="P1878" i="2"/>
  <c r="P1879" i="2"/>
  <c r="P1880" i="2"/>
  <c r="P1881" i="2"/>
  <c r="P1882" i="2"/>
  <c r="P1883" i="2"/>
  <c r="P1884" i="2"/>
  <c r="P1885" i="2"/>
  <c r="P1886" i="2"/>
  <c r="P1887" i="2"/>
  <c r="P1888" i="2"/>
  <c r="P1889" i="2"/>
  <c r="P1890" i="2"/>
  <c r="P1891" i="2"/>
  <c r="P1892" i="2"/>
  <c r="P1893" i="2"/>
  <c r="P1894" i="2"/>
  <c r="P1895" i="2"/>
  <c r="P1896" i="2"/>
  <c r="P1897" i="2"/>
  <c r="P1898" i="2"/>
  <c r="P1899" i="2"/>
  <c r="P1900" i="2"/>
  <c r="P1901" i="2"/>
  <c r="P1902" i="2"/>
  <c r="P1903" i="2"/>
  <c r="P1904" i="2"/>
  <c r="P1905" i="2"/>
  <c r="P1906" i="2"/>
  <c r="P1907" i="2"/>
  <c r="P1908" i="2"/>
  <c r="P1909" i="2"/>
  <c r="P1910" i="2"/>
  <c r="P1911" i="2"/>
  <c r="P1912" i="2"/>
  <c r="P1913" i="2"/>
  <c r="P1914" i="2"/>
  <c r="P1915" i="2"/>
  <c r="P1916" i="2"/>
  <c r="P1917" i="2"/>
  <c r="P1918" i="2"/>
  <c r="P1919" i="2"/>
  <c r="P1920" i="2"/>
  <c r="P1921" i="2"/>
  <c r="P1922" i="2"/>
  <c r="P1923" i="2"/>
  <c r="P1924" i="2"/>
  <c r="P1925" i="2"/>
  <c r="P1926" i="2"/>
  <c r="P1927" i="2"/>
  <c r="P1928" i="2"/>
  <c r="P1929" i="2"/>
  <c r="P1930" i="2"/>
  <c r="P1931" i="2"/>
  <c r="P1932" i="2"/>
  <c r="P1933" i="2"/>
  <c r="P1934" i="2"/>
  <c r="P1935" i="2"/>
  <c r="P1936" i="2"/>
  <c r="P1937" i="2"/>
  <c r="P1938" i="2"/>
  <c r="P1939" i="2"/>
  <c r="P1940" i="2"/>
  <c r="P1941" i="2"/>
  <c r="P1942" i="2"/>
  <c r="P1943" i="2"/>
  <c r="P1944" i="2"/>
  <c r="P1945" i="2"/>
  <c r="P1946" i="2"/>
  <c r="P1947" i="2"/>
  <c r="P1948" i="2"/>
  <c r="P1949" i="2"/>
  <c r="P1950" i="2"/>
  <c r="P1951" i="2"/>
  <c r="P1952" i="2"/>
  <c r="P1953" i="2"/>
  <c r="P1954" i="2"/>
  <c r="P1955" i="2"/>
  <c r="P1956" i="2"/>
  <c r="P1957" i="2"/>
  <c r="P1958" i="2"/>
  <c r="P1959" i="2"/>
  <c r="P1960" i="2"/>
  <c r="P1961" i="2"/>
  <c r="P1962" i="2"/>
  <c r="P1963" i="2"/>
  <c r="P1964" i="2"/>
  <c r="P1965" i="2"/>
  <c r="P1966" i="2"/>
  <c r="P1967" i="2"/>
  <c r="P1968" i="2"/>
  <c r="P1969" i="2"/>
  <c r="P1970" i="2"/>
  <c r="P1971" i="2"/>
  <c r="P1972" i="2"/>
  <c r="P1973" i="2"/>
  <c r="P1974" i="2"/>
  <c r="P1975" i="2"/>
  <c r="P1976" i="2"/>
  <c r="P1977" i="2"/>
  <c r="P1978" i="2"/>
  <c r="P1979" i="2"/>
  <c r="P1980" i="2"/>
  <c r="P1981" i="2"/>
  <c r="P1982" i="2"/>
  <c r="P1983" i="2"/>
  <c r="P1984" i="2"/>
  <c r="P1985" i="2"/>
  <c r="P1986" i="2"/>
  <c r="P1987" i="2"/>
  <c r="P1988" i="2"/>
  <c r="P1989" i="2"/>
  <c r="P1990" i="2"/>
  <c r="P1991" i="2"/>
  <c r="P1992" i="2"/>
  <c r="P1993" i="2"/>
  <c r="P1994" i="2"/>
  <c r="P1995" i="2"/>
  <c r="P1996" i="2"/>
  <c r="P1997" i="2"/>
  <c r="P1998" i="2"/>
  <c r="P1999" i="2"/>
  <c r="P2000" i="2"/>
  <c r="P2001" i="2"/>
  <c r="P2002" i="2"/>
  <c r="P2003" i="2"/>
  <c r="P2004" i="2"/>
  <c r="P2005" i="2"/>
  <c r="P2006" i="2"/>
  <c r="P2007" i="2"/>
  <c r="P2008" i="2"/>
  <c r="P2009" i="2"/>
  <c r="P2010" i="2"/>
  <c r="P2011" i="2"/>
  <c r="P2012" i="2"/>
  <c r="P2013" i="2"/>
  <c r="P2014" i="2"/>
  <c r="P2015" i="2"/>
  <c r="P2016" i="2"/>
  <c r="P2017" i="2"/>
  <c r="P2018" i="2"/>
  <c r="P2019" i="2"/>
  <c r="P2020" i="2"/>
  <c r="P2021" i="2"/>
  <c r="P2022" i="2"/>
  <c r="P2023" i="2"/>
  <c r="P2024" i="2"/>
  <c r="P2025" i="2"/>
  <c r="P2026" i="2"/>
  <c r="P2027" i="2"/>
  <c r="P2028" i="2"/>
  <c r="P2029" i="2"/>
  <c r="P2030" i="2"/>
  <c r="P2031" i="2"/>
  <c r="P2032" i="2"/>
  <c r="P2033" i="2"/>
  <c r="P2034" i="2"/>
  <c r="P2035" i="2"/>
  <c r="P2036" i="2"/>
  <c r="P2037" i="2"/>
  <c r="P2038" i="2"/>
  <c r="P2039" i="2"/>
  <c r="P2040" i="2"/>
  <c r="P2041" i="2"/>
  <c r="P2042" i="2"/>
  <c r="P2043" i="2"/>
  <c r="P2044" i="2"/>
  <c r="P2045" i="2"/>
  <c r="P2046" i="2"/>
  <c r="P2047" i="2"/>
  <c r="P2048" i="2"/>
  <c r="P2049" i="2"/>
  <c r="P2050" i="2"/>
  <c r="P2051" i="2"/>
  <c r="P2052" i="2"/>
  <c r="P2053" i="2"/>
  <c r="P2054" i="2"/>
  <c r="P2055" i="2"/>
  <c r="P2056" i="2"/>
  <c r="P2057" i="2"/>
  <c r="P2058" i="2"/>
  <c r="P2059" i="2"/>
  <c r="P2060" i="2"/>
  <c r="P2061" i="2"/>
  <c r="P2062" i="2"/>
  <c r="P2063" i="2"/>
  <c r="P2064" i="2"/>
  <c r="P2065" i="2"/>
  <c r="P2066" i="2"/>
  <c r="P2067" i="2"/>
  <c r="P2068" i="2"/>
  <c r="P2069" i="2"/>
  <c r="P2070" i="2"/>
  <c r="P2071" i="2"/>
  <c r="P2072" i="2"/>
  <c r="P2073" i="2"/>
  <c r="P2074" i="2"/>
  <c r="P2075" i="2"/>
  <c r="P2076" i="2"/>
  <c r="P2077" i="2"/>
  <c r="P2078" i="2"/>
  <c r="P2079" i="2"/>
  <c r="P2080" i="2"/>
  <c r="P2081" i="2"/>
  <c r="P2082" i="2"/>
  <c r="P2083" i="2"/>
  <c r="P2084" i="2"/>
  <c r="P2085" i="2"/>
  <c r="P2086" i="2"/>
  <c r="P2087" i="2"/>
  <c r="P2088" i="2"/>
  <c r="P2089" i="2"/>
  <c r="P2090" i="2"/>
  <c r="P2091" i="2"/>
  <c r="P2092" i="2"/>
  <c r="P2093" i="2"/>
  <c r="P2094" i="2"/>
  <c r="P2095" i="2"/>
  <c r="P2096" i="2"/>
  <c r="P2097" i="2"/>
  <c r="P2098" i="2"/>
  <c r="P2099" i="2"/>
  <c r="P2100" i="2"/>
  <c r="P2101" i="2"/>
  <c r="P2102" i="2"/>
  <c r="P2103" i="2"/>
  <c r="P2104" i="2"/>
  <c r="P2105" i="2"/>
  <c r="P2106" i="2"/>
  <c r="P2107" i="2"/>
  <c r="P2108" i="2"/>
  <c r="P2109" i="2"/>
  <c r="P2110" i="2"/>
  <c r="P2111" i="2"/>
  <c r="P2112" i="2"/>
  <c r="P2113" i="2"/>
  <c r="P2114" i="2"/>
  <c r="P2115" i="2"/>
  <c r="P2116" i="2"/>
  <c r="P2117" i="2"/>
  <c r="P2118" i="2"/>
  <c r="P2119" i="2"/>
  <c r="P2120" i="2"/>
  <c r="P2121" i="2"/>
  <c r="P2122" i="2"/>
  <c r="P2123" i="2"/>
  <c r="P2124" i="2"/>
  <c r="P2125" i="2"/>
  <c r="P2126" i="2"/>
  <c r="P2127" i="2"/>
  <c r="P2128" i="2"/>
  <c r="P2129" i="2"/>
  <c r="P2130" i="2"/>
  <c r="P2131" i="2"/>
  <c r="P2132" i="2"/>
  <c r="P2133" i="2"/>
  <c r="P2134" i="2"/>
  <c r="P2135" i="2"/>
  <c r="P2136" i="2"/>
  <c r="P2137" i="2"/>
  <c r="P2138" i="2"/>
  <c r="P2139" i="2"/>
  <c r="P2140" i="2"/>
  <c r="P2141" i="2"/>
  <c r="P2142" i="2"/>
  <c r="P2143" i="2"/>
  <c r="P2144" i="2"/>
  <c r="P2145" i="2"/>
  <c r="P2146" i="2"/>
  <c r="P2147" i="2"/>
  <c r="P2148" i="2"/>
  <c r="P2149" i="2"/>
  <c r="P2150" i="2"/>
  <c r="P2151" i="2"/>
  <c r="P2152" i="2"/>
  <c r="P2153" i="2"/>
  <c r="P2154" i="2"/>
  <c r="P2155" i="2"/>
  <c r="P2156" i="2"/>
  <c r="P2157" i="2"/>
  <c r="P2158" i="2"/>
  <c r="P2159" i="2"/>
  <c r="P2160" i="2"/>
  <c r="P3" i="2"/>
  <c r="Q3" i="2"/>
  <c r="O2" i="2"/>
  <c r="D10" i="2"/>
  <c r="B9" i="2"/>
  <c r="G2160" i="3" l="1"/>
  <c r="G2156" i="3"/>
  <c r="G2152" i="3"/>
  <c r="G2148" i="3"/>
  <c r="G2144" i="3"/>
  <c r="G2140" i="3"/>
  <c r="G2136" i="3"/>
  <c r="G2132" i="3"/>
  <c r="G2128" i="3"/>
  <c r="G2124" i="3"/>
  <c r="G2120" i="3"/>
  <c r="G2116" i="3"/>
  <c r="G2112" i="3"/>
  <c r="G2108" i="3"/>
  <c r="G2104" i="3"/>
  <c r="G2100" i="3"/>
  <c r="G2096" i="3"/>
  <c r="G2092" i="3"/>
  <c r="G2088" i="3"/>
  <c r="G2084" i="3"/>
  <c r="G2080" i="3"/>
  <c r="G2076" i="3"/>
  <c r="G2072" i="3"/>
  <c r="G2068" i="3"/>
  <c r="G2064" i="3"/>
  <c r="G2060" i="3"/>
  <c r="G2056" i="3"/>
  <c r="G2052" i="3"/>
  <c r="G2048" i="3"/>
  <c r="G2044" i="3"/>
  <c r="G2040" i="3"/>
  <c r="G2036" i="3"/>
  <c r="G2032" i="3"/>
  <c r="G2028" i="3"/>
  <c r="G2024" i="3"/>
  <c r="G2020" i="3"/>
  <c r="G2016" i="3"/>
  <c r="G2012" i="3"/>
  <c r="G2008" i="3"/>
  <c r="G2004" i="3"/>
  <c r="G2000" i="3"/>
  <c r="G1996" i="3"/>
  <c r="G1992" i="3"/>
  <c r="G1988" i="3"/>
  <c r="G1984" i="3"/>
  <c r="G1980" i="3"/>
  <c r="G1976" i="3"/>
  <c r="G1972" i="3"/>
  <c r="G1968" i="3"/>
  <c r="G1964" i="3"/>
  <c r="G1960" i="3"/>
  <c r="G1956" i="3"/>
  <c r="G1952" i="3"/>
  <c r="G1948" i="3"/>
  <c r="G1944" i="3"/>
  <c r="G1940" i="3"/>
  <c r="G1936" i="3"/>
  <c r="G1932" i="3"/>
  <c r="G1928" i="3"/>
  <c r="G1924" i="3"/>
  <c r="G1920" i="3"/>
  <c r="G1916" i="3"/>
  <c r="G1912" i="3"/>
  <c r="G1908" i="3"/>
  <c r="G1904" i="3"/>
  <c r="G1900" i="3"/>
  <c r="G1896" i="3"/>
  <c r="G1892" i="3"/>
  <c r="G1888" i="3"/>
  <c r="G1884" i="3"/>
  <c r="G1880" i="3"/>
  <c r="G1876" i="3"/>
  <c r="G1872" i="3"/>
  <c r="G1868" i="3"/>
  <c r="G1864" i="3"/>
  <c r="G1860" i="3"/>
  <c r="G1856" i="3"/>
  <c r="G1852" i="3"/>
  <c r="G1848" i="3"/>
  <c r="G1844" i="3"/>
  <c r="G1840" i="3"/>
  <c r="G1836" i="3"/>
  <c r="G1832" i="3"/>
  <c r="G1828" i="3"/>
  <c r="G1824" i="3"/>
  <c r="G1820" i="3"/>
  <c r="G1816" i="3"/>
  <c r="G1812" i="3"/>
  <c r="G1808" i="3"/>
  <c r="G1804" i="3"/>
  <c r="G1800" i="3"/>
  <c r="G1796" i="3"/>
  <c r="G1792" i="3"/>
  <c r="G1788" i="3"/>
  <c r="G1784" i="3"/>
  <c r="G1780" i="3"/>
  <c r="G1776" i="3"/>
  <c r="G1772" i="3"/>
  <c r="G1768" i="3"/>
  <c r="G1764" i="3"/>
  <c r="G1760" i="3"/>
  <c r="G1756" i="3"/>
  <c r="G1752" i="3"/>
  <c r="G1748" i="3"/>
  <c r="G1744" i="3"/>
  <c r="G1740" i="3"/>
  <c r="G1736" i="3"/>
  <c r="G1732" i="3"/>
  <c r="G1728" i="3"/>
  <c r="G1724" i="3"/>
  <c r="G1720" i="3"/>
  <c r="G1716" i="3"/>
  <c r="G1712" i="3"/>
  <c r="G1708" i="3"/>
  <c r="G1704" i="3"/>
  <c r="G1700" i="3"/>
  <c r="G1696" i="3"/>
  <c r="G1692" i="3"/>
  <c r="G1688" i="3"/>
  <c r="G1684" i="3"/>
  <c r="G1680" i="3"/>
  <c r="G1676" i="3"/>
  <c r="G1672" i="3"/>
  <c r="G1668" i="3"/>
  <c r="G1664" i="3"/>
  <c r="G1660" i="3"/>
  <c r="G1656" i="3"/>
  <c r="G1652" i="3"/>
  <c r="G1648" i="3"/>
  <c r="G1644" i="3"/>
  <c r="G1640" i="3"/>
  <c r="G1636" i="3"/>
  <c r="G1632" i="3"/>
  <c r="G1628" i="3"/>
  <c r="G1624" i="3"/>
  <c r="G1620" i="3"/>
  <c r="G1616" i="3"/>
  <c r="G1612" i="3"/>
  <c r="G1608" i="3"/>
  <c r="G1604" i="3"/>
  <c r="G1600" i="3"/>
  <c r="G1596" i="3"/>
  <c r="G1592" i="3"/>
  <c r="G1588" i="3"/>
  <c r="G1584" i="3"/>
  <c r="G1580" i="3"/>
  <c r="G1576" i="3"/>
  <c r="G1572" i="3"/>
  <c r="G1568" i="3"/>
  <c r="G1564" i="3"/>
  <c r="G1560" i="3"/>
  <c r="G1556" i="3"/>
  <c r="G1552" i="3"/>
  <c r="G1548" i="3"/>
  <c r="G1544" i="3"/>
  <c r="G1540" i="3"/>
  <c r="G1536" i="3"/>
  <c r="G1532" i="3"/>
  <c r="G1528" i="3"/>
  <c r="G1524" i="3"/>
  <c r="G1520" i="3"/>
  <c r="G1516" i="3"/>
  <c r="G1512" i="3"/>
  <c r="G1508" i="3"/>
  <c r="G1504" i="3"/>
  <c r="G1500" i="3"/>
  <c r="G1496" i="3"/>
  <c r="G1492" i="3"/>
  <c r="G1488" i="3"/>
  <c r="G1484" i="3"/>
  <c r="G1480" i="3"/>
  <c r="G1476" i="3"/>
  <c r="G1472" i="3"/>
  <c r="G1468" i="3"/>
  <c r="G1464" i="3"/>
  <c r="G1460" i="3"/>
  <c r="G1456" i="3"/>
  <c r="G1452" i="3"/>
  <c r="G1448" i="3"/>
  <c r="G1444" i="3"/>
  <c r="G1440" i="3"/>
  <c r="G1436" i="3"/>
  <c r="G1432" i="3"/>
  <c r="G1428" i="3"/>
  <c r="G1424" i="3"/>
  <c r="G1420" i="3"/>
  <c r="G1416" i="3"/>
  <c r="G1412" i="3"/>
  <c r="G1408" i="3"/>
  <c r="G1404" i="3"/>
  <c r="G1400" i="3"/>
  <c r="G1396" i="3"/>
  <c r="G1392" i="3"/>
  <c r="G1388" i="3"/>
  <c r="G1384" i="3"/>
  <c r="G1380" i="3"/>
  <c r="G1376" i="3"/>
  <c r="G1372" i="3"/>
  <c r="G1368" i="3"/>
  <c r="G1364" i="3"/>
  <c r="G1360" i="3"/>
  <c r="G1356" i="3"/>
  <c r="G1352" i="3"/>
  <c r="G1348" i="3"/>
  <c r="G1344" i="3"/>
  <c r="G1340" i="3"/>
  <c r="G1336" i="3"/>
  <c r="G1332" i="3"/>
  <c r="G1328" i="3"/>
  <c r="G1324" i="3"/>
  <c r="G1320" i="3"/>
  <c r="G1316" i="3"/>
  <c r="G1312" i="3"/>
  <c r="G1308" i="3"/>
  <c r="G1304" i="3"/>
  <c r="G1300" i="3"/>
  <c r="G1296" i="3"/>
  <c r="G1292" i="3"/>
  <c r="G1288" i="3"/>
  <c r="G1284" i="3"/>
  <c r="G1280" i="3"/>
  <c r="G1276" i="3"/>
  <c r="G1272" i="3"/>
  <c r="G1268" i="3"/>
  <c r="G1264" i="3"/>
  <c r="G1260" i="3"/>
  <c r="G1256" i="3"/>
  <c r="G1252" i="3"/>
  <c r="G1248" i="3"/>
  <c r="G1244" i="3"/>
  <c r="G1240" i="3"/>
  <c r="G1236" i="3"/>
  <c r="G1232" i="3"/>
  <c r="G1228" i="3"/>
  <c r="G1224" i="3"/>
  <c r="G1220" i="3"/>
  <c r="G1216" i="3"/>
  <c r="G1212" i="3"/>
  <c r="G1208" i="3"/>
  <c r="G1204" i="3"/>
  <c r="G1200" i="3"/>
  <c r="G1196" i="3"/>
  <c r="G1192" i="3"/>
  <c r="G1188" i="3"/>
  <c r="G1184" i="3"/>
  <c r="G1180" i="3"/>
  <c r="G1176" i="3"/>
  <c r="G1172" i="3"/>
  <c r="G1168" i="3"/>
  <c r="G1164" i="3"/>
  <c r="G1160" i="3"/>
  <c r="G1156" i="3"/>
  <c r="G1152" i="3"/>
  <c r="G1148" i="3"/>
  <c r="G1144" i="3"/>
  <c r="G1140" i="3"/>
  <c r="G1136" i="3"/>
  <c r="G1132" i="3"/>
  <c r="G1128" i="3"/>
  <c r="G1124" i="3"/>
  <c r="G1120" i="3"/>
  <c r="G1116" i="3"/>
  <c r="G1112" i="3"/>
  <c r="G1108" i="3"/>
  <c r="G1104" i="3"/>
  <c r="G1100" i="3"/>
  <c r="G1096" i="3"/>
  <c r="G1092" i="3"/>
  <c r="G1088" i="3"/>
  <c r="G1084" i="3"/>
  <c r="G1080" i="3"/>
  <c r="G1076" i="3"/>
  <c r="G1072" i="3"/>
  <c r="G1068" i="3"/>
  <c r="G1064" i="3"/>
  <c r="G1060" i="3"/>
  <c r="G1056" i="3"/>
  <c r="G1052" i="3"/>
  <c r="G1048" i="3"/>
  <c r="G1044" i="3"/>
  <c r="G1040" i="3"/>
  <c r="G1036" i="3"/>
  <c r="G1032" i="3"/>
  <c r="G1028" i="3"/>
  <c r="G1024" i="3"/>
  <c r="G1020" i="3"/>
  <c r="G1016" i="3"/>
  <c r="G1012" i="3"/>
  <c r="G1008" i="3"/>
  <c r="G1004" i="3"/>
  <c r="G1000" i="3"/>
  <c r="G996" i="3"/>
  <c r="G992" i="3"/>
  <c r="G988" i="3"/>
  <c r="G984" i="3"/>
  <c r="G980" i="3"/>
  <c r="G976" i="3"/>
  <c r="G972" i="3"/>
  <c r="G968" i="3"/>
  <c r="G964" i="3"/>
  <c r="G960" i="3"/>
  <c r="G956" i="3"/>
  <c r="G952" i="3"/>
  <c r="G948" i="3"/>
  <c r="G944" i="3"/>
  <c r="G940" i="3"/>
  <c r="G936" i="3"/>
  <c r="G932" i="3"/>
  <c r="G928" i="3"/>
  <c r="G924" i="3"/>
  <c r="G920" i="3"/>
  <c r="G916" i="3"/>
  <c r="G912" i="3"/>
  <c r="G908" i="3"/>
  <c r="G904" i="3"/>
  <c r="G900" i="3"/>
  <c r="G896" i="3"/>
  <c r="G892" i="3"/>
  <c r="G888" i="3"/>
  <c r="G884" i="3"/>
  <c r="G880" i="3"/>
  <c r="G876" i="3"/>
  <c r="G872" i="3"/>
  <c r="G868" i="3"/>
  <c r="G864" i="3"/>
  <c r="G860" i="3"/>
  <c r="G856" i="3"/>
  <c r="G852" i="3"/>
  <c r="G848" i="3"/>
  <c r="G844" i="3"/>
  <c r="G840" i="3"/>
  <c r="G836" i="3"/>
  <c r="G832" i="3"/>
  <c r="G828" i="3"/>
  <c r="G824" i="3"/>
  <c r="G820" i="3"/>
  <c r="G816" i="3"/>
  <c r="G812" i="3"/>
  <c r="G808" i="3"/>
  <c r="G804" i="3"/>
  <c r="G800" i="3"/>
  <c r="G796" i="3"/>
  <c r="G792" i="3"/>
  <c r="G788" i="3"/>
  <c r="G784" i="3"/>
  <c r="G780" i="3"/>
  <c r="G776" i="3"/>
  <c r="G772" i="3"/>
  <c r="G768" i="3"/>
  <c r="G764" i="3"/>
  <c r="G760" i="3"/>
  <c r="G756" i="3"/>
  <c r="G752" i="3"/>
  <c r="G748" i="3"/>
  <c r="G744" i="3"/>
  <c r="G740" i="3"/>
  <c r="G736" i="3"/>
  <c r="G732" i="3"/>
  <c r="G728" i="3"/>
  <c r="G724" i="3"/>
  <c r="G720" i="3"/>
  <c r="G716" i="3"/>
  <c r="G712" i="3"/>
  <c r="G708" i="3"/>
  <c r="G704" i="3"/>
  <c r="G700" i="3"/>
  <c r="G696" i="3"/>
  <c r="G692" i="3"/>
  <c r="G688" i="3"/>
  <c r="G684" i="3"/>
  <c r="G680" i="3"/>
  <c r="G676" i="3"/>
  <c r="G672" i="3"/>
  <c r="G668" i="3"/>
  <c r="G664" i="3"/>
  <c r="G660" i="3"/>
  <c r="G656" i="3"/>
  <c r="G652" i="3"/>
  <c r="G648" i="3"/>
  <c r="G644" i="3"/>
  <c r="G640" i="3"/>
  <c r="G636" i="3"/>
  <c r="G632" i="3"/>
  <c r="G628" i="3"/>
  <c r="G624" i="3"/>
  <c r="G620" i="3"/>
  <c r="G616" i="3"/>
  <c r="G612" i="3"/>
  <c r="G608" i="3"/>
  <c r="G604" i="3"/>
  <c r="G600" i="3"/>
  <c r="G596" i="3"/>
  <c r="G592" i="3"/>
  <c r="G588" i="3"/>
  <c r="G584" i="3"/>
  <c r="G580" i="3"/>
  <c r="G576" i="3"/>
  <c r="G572" i="3"/>
  <c r="G568" i="3"/>
  <c r="G564" i="3"/>
  <c r="G560" i="3"/>
  <c r="G556" i="3"/>
  <c r="G552" i="3"/>
  <c r="G548" i="3"/>
  <c r="G544" i="3"/>
  <c r="G540" i="3"/>
  <c r="G536" i="3"/>
  <c r="G532" i="3"/>
  <c r="G528" i="3"/>
  <c r="G524" i="3"/>
  <c r="G520" i="3"/>
  <c r="G516" i="3"/>
  <c r="G512" i="3"/>
  <c r="G508" i="3"/>
  <c r="G504" i="3"/>
  <c r="G500" i="3"/>
  <c r="G496" i="3"/>
  <c r="G492" i="3"/>
  <c r="G488" i="3"/>
  <c r="G484" i="3"/>
  <c r="G480" i="3"/>
  <c r="G476" i="3"/>
  <c r="G472" i="3"/>
  <c r="G468" i="3"/>
  <c r="G464" i="3"/>
  <c r="G460" i="3"/>
  <c r="G456" i="3"/>
  <c r="G452" i="3"/>
  <c r="G448" i="3"/>
  <c r="G444" i="3"/>
  <c r="G440" i="3"/>
  <c r="G436" i="3"/>
  <c r="G432" i="3"/>
  <c r="G428" i="3"/>
  <c r="G424" i="3"/>
  <c r="G420" i="3"/>
  <c r="G416" i="3"/>
  <c r="G412" i="3"/>
  <c r="G408" i="3"/>
  <c r="G404" i="3"/>
  <c r="G400" i="3"/>
  <c r="G396" i="3"/>
  <c r="G392" i="3"/>
  <c r="G388" i="3"/>
  <c r="G384" i="3"/>
  <c r="G380" i="3"/>
  <c r="G376" i="3"/>
  <c r="G372" i="3"/>
  <c r="G368" i="3"/>
  <c r="G364" i="3"/>
  <c r="G360" i="3"/>
  <c r="G356" i="3"/>
  <c r="G352" i="3"/>
  <c r="G348" i="3"/>
  <c r="G344" i="3"/>
  <c r="G340" i="3"/>
  <c r="G336" i="3"/>
  <c r="G332" i="3"/>
  <c r="G328" i="3"/>
  <c r="G324" i="3"/>
  <c r="G320" i="3"/>
  <c r="G316" i="3"/>
  <c r="G312" i="3"/>
  <c r="G308" i="3"/>
  <c r="G304" i="3"/>
  <c r="G300" i="3"/>
  <c r="G296" i="3"/>
  <c r="G292" i="3"/>
  <c r="G288" i="3"/>
  <c r="G284" i="3"/>
  <c r="G280" i="3"/>
  <c r="G276" i="3"/>
  <c r="G272" i="3"/>
  <c r="G268" i="3"/>
  <c r="G264" i="3"/>
  <c r="G260" i="3"/>
  <c r="G256" i="3"/>
  <c r="G252" i="3"/>
  <c r="G248" i="3"/>
  <c r="G244" i="3"/>
  <c r="G240" i="3"/>
  <c r="G236" i="3"/>
  <c r="G232" i="3"/>
  <c r="G228" i="3"/>
  <c r="G224" i="3"/>
  <c r="G220" i="3"/>
  <c r="G216" i="3"/>
  <c r="G212" i="3"/>
  <c r="G208" i="3"/>
  <c r="G204" i="3"/>
  <c r="G200" i="3"/>
  <c r="G196" i="3"/>
  <c r="G192" i="3"/>
  <c r="G188" i="3"/>
  <c r="G184" i="3"/>
  <c r="G180" i="3"/>
  <c r="G176" i="3"/>
  <c r="G172" i="3"/>
  <c r="G168" i="3"/>
  <c r="G164" i="3"/>
  <c r="G160" i="3"/>
  <c r="G156" i="3"/>
  <c r="G152" i="3"/>
  <c r="G148" i="3"/>
  <c r="G144" i="3"/>
  <c r="G140" i="3"/>
  <c r="G136" i="3"/>
  <c r="G132" i="3"/>
  <c r="G128" i="3"/>
  <c r="G124" i="3"/>
  <c r="G120" i="3"/>
  <c r="G116" i="3"/>
  <c r="G112" i="3"/>
  <c r="G108" i="3"/>
  <c r="G104" i="3"/>
  <c r="G100" i="3"/>
  <c r="G96" i="3"/>
  <c r="G92" i="3"/>
  <c r="G88" i="3"/>
  <c r="G84" i="3"/>
  <c r="G80" i="3"/>
  <c r="G76" i="3"/>
  <c r="G72" i="3"/>
  <c r="G68" i="3"/>
  <c r="G64" i="3"/>
  <c r="G60" i="3"/>
  <c r="G56" i="3"/>
  <c r="G52" i="3"/>
  <c r="G48" i="3"/>
  <c r="G44" i="3"/>
  <c r="G40" i="3"/>
  <c r="G36" i="3"/>
  <c r="G32" i="3"/>
  <c r="G28" i="3"/>
  <c r="G24" i="3"/>
  <c r="G20" i="3"/>
  <c r="G16" i="3"/>
  <c r="G12" i="3"/>
  <c r="G8" i="3"/>
  <c r="G4" i="3"/>
  <c r="G3" i="3"/>
  <c r="G2159" i="3"/>
  <c r="G2155" i="3"/>
  <c r="G2151" i="3"/>
  <c r="G2147" i="3"/>
  <c r="G2143" i="3"/>
  <c r="G2139" i="3"/>
  <c r="G2135" i="3"/>
  <c r="G2131" i="3"/>
  <c r="G2127" i="3"/>
  <c r="G2123" i="3"/>
  <c r="G2119" i="3"/>
  <c r="G2115" i="3"/>
  <c r="G2111" i="3"/>
  <c r="G2107" i="3"/>
  <c r="G2103" i="3"/>
  <c r="G2099" i="3"/>
  <c r="G2095" i="3"/>
  <c r="G2091" i="3"/>
  <c r="G2087" i="3"/>
  <c r="G2083" i="3"/>
  <c r="G2079" i="3"/>
  <c r="G2075" i="3"/>
  <c r="G2071" i="3"/>
  <c r="G2067" i="3"/>
  <c r="G2063" i="3"/>
  <c r="G2059" i="3"/>
  <c r="G2055" i="3"/>
  <c r="G2051" i="3"/>
  <c r="G2047" i="3"/>
  <c r="G2043" i="3"/>
  <c r="G2039" i="3"/>
  <c r="G2035" i="3"/>
  <c r="G2031" i="3"/>
  <c r="G2027" i="3"/>
  <c r="G2023" i="3"/>
  <c r="G2019" i="3"/>
  <c r="G2015" i="3"/>
  <c r="G2011" i="3"/>
  <c r="G2007" i="3"/>
  <c r="G2003" i="3"/>
  <c r="G1999" i="3"/>
  <c r="G1995" i="3"/>
  <c r="G1991" i="3"/>
  <c r="G1987" i="3"/>
  <c r="G1983" i="3"/>
  <c r="G1979" i="3"/>
  <c r="G1975" i="3"/>
  <c r="G1971" i="3"/>
  <c r="G1967" i="3"/>
  <c r="G1963" i="3"/>
  <c r="G1959" i="3"/>
  <c r="G1955" i="3"/>
  <c r="G1951" i="3"/>
  <c r="G1947" i="3"/>
  <c r="G1943" i="3"/>
  <c r="G1939" i="3"/>
  <c r="G1935" i="3"/>
  <c r="G1931" i="3"/>
  <c r="G1927" i="3"/>
  <c r="G1923" i="3"/>
  <c r="G1919" i="3"/>
  <c r="G1915" i="3"/>
  <c r="G1911" i="3"/>
  <c r="G1907" i="3"/>
  <c r="G1903" i="3"/>
  <c r="G1899" i="3"/>
  <c r="G1895" i="3"/>
  <c r="G1891" i="3"/>
  <c r="G1887" i="3"/>
  <c r="G1883" i="3"/>
  <c r="G1879" i="3"/>
  <c r="G1875" i="3"/>
  <c r="G1871" i="3"/>
  <c r="G1867" i="3"/>
  <c r="G1863" i="3"/>
  <c r="G1859" i="3"/>
  <c r="G1855" i="3"/>
  <c r="G1851" i="3"/>
  <c r="G1847" i="3"/>
  <c r="G1843" i="3"/>
  <c r="G1839" i="3"/>
  <c r="G1835" i="3"/>
  <c r="G1831" i="3"/>
  <c r="G1827" i="3"/>
  <c r="G1823" i="3"/>
  <c r="G1819" i="3"/>
  <c r="G1815" i="3"/>
  <c r="G1811" i="3"/>
  <c r="G1807" i="3"/>
  <c r="G1803" i="3"/>
  <c r="G1799" i="3"/>
  <c r="G1795" i="3"/>
  <c r="G1791" i="3"/>
  <c r="G1787" i="3"/>
  <c r="G1783" i="3"/>
  <c r="G1779" i="3"/>
  <c r="G1775" i="3"/>
  <c r="G1771" i="3"/>
  <c r="G1767" i="3"/>
  <c r="G1763" i="3"/>
  <c r="G1759" i="3"/>
  <c r="G1755" i="3"/>
  <c r="G1751" i="3"/>
  <c r="G1747" i="3"/>
  <c r="G1743" i="3"/>
  <c r="G1739" i="3"/>
  <c r="G1735" i="3"/>
  <c r="G1731" i="3"/>
  <c r="G1727" i="3"/>
  <c r="G1723" i="3"/>
  <c r="G1719" i="3"/>
  <c r="G1715" i="3"/>
  <c r="G1711" i="3"/>
  <c r="G1707" i="3"/>
  <c r="G1703" i="3"/>
  <c r="G1699" i="3"/>
  <c r="G1695" i="3"/>
  <c r="G1691" i="3"/>
  <c r="G1687" i="3"/>
  <c r="G1683" i="3"/>
  <c r="G1679" i="3"/>
  <c r="G1675" i="3"/>
  <c r="G1671" i="3"/>
  <c r="G1667" i="3"/>
  <c r="G1663" i="3"/>
  <c r="G1659" i="3"/>
  <c r="G1655" i="3"/>
  <c r="G1651" i="3"/>
  <c r="G1647" i="3"/>
  <c r="G1643" i="3"/>
  <c r="G1639" i="3"/>
  <c r="G1635" i="3"/>
  <c r="G1631" i="3"/>
  <c r="G1627" i="3"/>
  <c r="G1623" i="3"/>
  <c r="G1619" i="3"/>
  <c r="G1615" i="3"/>
  <c r="G1611" i="3"/>
  <c r="G1607" i="3"/>
  <c r="G1603" i="3"/>
  <c r="G1599" i="3"/>
  <c r="G1595" i="3"/>
  <c r="G1591" i="3"/>
  <c r="G1587" i="3"/>
  <c r="G1583" i="3"/>
  <c r="G1579" i="3"/>
  <c r="G1575" i="3"/>
  <c r="G1571" i="3"/>
  <c r="G1567" i="3"/>
  <c r="G1563" i="3"/>
  <c r="G1559" i="3"/>
  <c r="G1555" i="3"/>
  <c r="G1551" i="3"/>
  <c r="G1547" i="3"/>
  <c r="G1543" i="3"/>
  <c r="G1539" i="3"/>
  <c r="G1535" i="3"/>
  <c r="G1531" i="3"/>
  <c r="G1527" i="3"/>
  <c r="G1523" i="3"/>
  <c r="G1519" i="3"/>
  <c r="G1515" i="3"/>
  <c r="G1511" i="3"/>
  <c r="G1507" i="3"/>
  <c r="G1503" i="3"/>
  <c r="G1499" i="3"/>
  <c r="G1495" i="3"/>
  <c r="G1491" i="3"/>
  <c r="G1487" i="3"/>
  <c r="G1483" i="3"/>
  <c r="G1479" i="3"/>
  <c r="G1475" i="3"/>
  <c r="G1471" i="3"/>
  <c r="G1467" i="3"/>
  <c r="G1463" i="3"/>
  <c r="G1459" i="3"/>
  <c r="G1455" i="3"/>
  <c r="G1451" i="3"/>
  <c r="G1447" i="3"/>
  <c r="G1443" i="3"/>
  <c r="G1439" i="3"/>
  <c r="G1435" i="3"/>
  <c r="G1431" i="3"/>
  <c r="G1427" i="3"/>
  <c r="G1423" i="3"/>
  <c r="G1419" i="3"/>
  <c r="G1415" i="3"/>
  <c r="G1411" i="3"/>
  <c r="G1407" i="3"/>
  <c r="G1403" i="3"/>
  <c r="G1399" i="3"/>
  <c r="G1395" i="3"/>
  <c r="G1391" i="3"/>
  <c r="G1387" i="3"/>
  <c r="G1383" i="3"/>
  <c r="G1379" i="3"/>
  <c r="G1375" i="3"/>
  <c r="G1371" i="3"/>
  <c r="G1367" i="3"/>
  <c r="G1363" i="3"/>
  <c r="G1359" i="3"/>
  <c r="G1355" i="3"/>
  <c r="G1351" i="3"/>
  <c r="G1347" i="3"/>
  <c r="G1343" i="3"/>
  <c r="G1339" i="3"/>
  <c r="G1335" i="3"/>
  <c r="G1331" i="3"/>
  <c r="G1327" i="3"/>
  <c r="G1323" i="3"/>
  <c r="G1319" i="3"/>
  <c r="G1315" i="3"/>
  <c r="G1311" i="3"/>
  <c r="G1307" i="3"/>
  <c r="G1303" i="3"/>
  <c r="G1299" i="3"/>
  <c r="G1295" i="3"/>
  <c r="G1291" i="3"/>
  <c r="G1287" i="3"/>
  <c r="G1283" i="3"/>
  <c r="G1279" i="3"/>
  <c r="G1275" i="3"/>
  <c r="G1271" i="3"/>
  <c r="G1267" i="3"/>
  <c r="G1263" i="3"/>
  <c r="G1259" i="3"/>
  <c r="G1255" i="3"/>
  <c r="G1251" i="3"/>
  <c r="G1247" i="3"/>
  <c r="G1243" i="3"/>
  <c r="G1239" i="3"/>
  <c r="G1235" i="3"/>
  <c r="G1231" i="3"/>
  <c r="G1227" i="3"/>
  <c r="G1223" i="3"/>
  <c r="G1219" i="3"/>
  <c r="G1215" i="3"/>
  <c r="G1211" i="3"/>
  <c r="G1207" i="3"/>
  <c r="G1203" i="3"/>
  <c r="G1199" i="3"/>
  <c r="G1195" i="3"/>
  <c r="G1191" i="3"/>
  <c r="G1187" i="3"/>
  <c r="G1183" i="3"/>
  <c r="G1179" i="3"/>
  <c r="G1175" i="3"/>
  <c r="G1171" i="3"/>
  <c r="G1167" i="3"/>
  <c r="G1163" i="3"/>
  <c r="G1159" i="3"/>
  <c r="G1155" i="3"/>
  <c r="G1151" i="3"/>
  <c r="G1147" i="3"/>
  <c r="G1143" i="3"/>
  <c r="G1139" i="3"/>
  <c r="G1135" i="3"/>
  <c r="G1131" i="3"/>
  <c r="G1127" i="3"/>
  <c r="G1123" i="3"/>
  <c r="G1119" i="3"/>
  <c r="G1115" i="3"/>
  <c r="G1111" i="3"/>
  <c r="G1107" i="3"/>
  <c r="G1103" i="3"/>
  <c r="G1099" i="3"/>
  <c r="G1095" i="3"/>
  <c r="G1091" i="3"/>
  <c r="G1087" i="3"/>
  <c r="G1083" i="3"/>
  <c r="G1079" i="3"/>
  <c r="G1075" i="3"/>
  <c r="G1071" i="3"/>
  <c r="G1067" i="3"/>
  <c r="G1063" i="3"/>
  <c r="G1059" i="3"/>
  <c r="G1055" i="3"/>
  <c r="G1051" i="3"/>
  <c r="G1047" i="3"/>
  <c r="G1043" i="3"/>
  <c r="G1039" i="3"/>
  <c r="G1035" i="3"/>
  <c r="G1031" i="3"/>
  <c r="G1027" i="3"/>
  <c r="G1023" i="3"/>
  <c r="G1019" i="3"/>
  <c r="G1015" i="3"/>
  <c r="G1011" i="3"/>
  <c r="G1007" i="3"/>
  <c r="G1003" i="3"/>
  <c r="G999" i="3"/>
  <c r="G995" i="3"/>
  <c r="G991" i="3"/>
  <c r="G987" i="3"/>
  <c r="G983" i="3"/>
  <c r="G979" i="3"/>
  <c r="G975" i="3"/>
  <c r="G971" i="3"/>
  <c r="G967" i="3"/>
  <c r="G963" i="3"/>
  <c r="G959" i="3"/>
  <c r="G955" i="3"/>
  <c r="G951" i="3"/>
  <c r="G947" i="3"/>
  <c r="G943" i="3"/>
  <c r="G939" i="3"/>
  <c r="G935" i="3"/>
  <c r="G931" i="3"/>
  <c r="G927" i="3"/>
  <c r="G923" i="3"/>
  <c r="G919" i="3"/>
  <c r="G915" i="3"/>
  <c r="G911" i="3"/>
  <c r="G907" i="3"/>
  <c r="G903" i="3"/>
  <c r="G899" i="3"/>
  <c r="G895" i="3"/>
  <c r="G891" i="3"/>
  <c r="G887" i="3"/>
  <c r="G883" i="3"/>
  <c r="G879" i="3"/>
  <c r="G875" i="3"/>
  <c r="G871" i="3"/>
  <c r="G867" i="3"/>
  <c r="G863" i="3"/>
  <c r="G859" i="3"/>
  <c r="G855" i="3"/>
  <c r="G851" i="3"/>
  <c r="G847" i="3"/>
  <c r="G843" i="3"/>
  <c r="G839" i="3"/>
  <c r="G835" i="3"/>
  <c r="G831" i="3"/>
  <c r="G827" i="3"/>
  <c r="G823" i="3"/>
  <c r="G819" i="3"/>
  <c r="G815" i="3"/>
  <c r="G811" i="3"/>
  <c r="G807" i="3"/>
  <c r="G803" i="3"/>
  <c r="G799" i="3"/>
  <c r="G795" i="3"/>
  <c r="G791" i="3"/>
  <c r="G787" i="3"/>
  <c r="G783" i="3"/>
  <c r="G779" i="3"/>
  <c r="G775" i="3"/>
  <c r="G771" i="3"/>
  <c r="G767" i="3"/>
  <c r="G763" i="3"/>
  <c r="G759" i="3"/>
  <c r="G755" i="3"/>
  <c r="G751" i="3"/>
  <c r="G747" i="3"/>
  <c r="G743" i="3"/>
  <c r="G739" i="3"/>
  <c r="G735" i="3"/>
  <c r="G731" i="3"/>
  <c r="G727" i="3"/>
  <c r="G723" i="3"/>
  <c r="G719" i="3"/>
  <c r="G715" i="3"/>
  <c r="G711" i="3"/>
  <c r="G707" i="3"/>
  <c r="G703" i="3"/>
  <c r="G699" i="3"/>
  <c r="G695" i="3"/>
  <c r="G691" i="3"/>
  <c r="G687" i="3"/>
  <c r="G683" i="3"/>
  <c r="G679" i="3"/>
  <c r="G675" i="3"/>
  <c r="G671" i="3"/>
  <c r="G667" i="3"/>
  <c r="G663" i="3"/>
  <c r="G659" i="3"/>
  <c r="G655" i="3"/>
  <c r="G651" i="3"/>
  <c r="G647" i="3"/>
  <c r="G643" i="3"/>
  <c r="G639" i="3"/>
  <c r="G635" i="3"/>
  <c r="G631" i="3"/>
  <c r="G627" i="3"/>
  <c r="G623" i="3"/>
  <c r="G619" i="3"/>
  <c r="G615" i="3"/>
  <c r="G611" i="3"/>
  <c r="G607" i="3"/>
  <c r="G603" i="3"/>
  <c r="G599" i="3"/>
  <c r="G595" i="3"/>
  <c r="G591" i="3"/>
  <c r="G587" i="3"/>
  <c r="G583" i="3"/>
  <c r="G579" i="3"/>
  <c r="G575" i="3"/>
  <c r="G571" i="3"/>
  <c r="G567" i="3"/>
  <c r="G563" i="3"/>
  <c r="G559" i="3"/>
  <c r="G555" i="3"/>
  <c r="G551" i="3"/>
  <c r="G547" i="3"/>
  <c r="G543" i="3"/>
  <c r="G539" i="3"/>
  <c r="G535" i="3"/>
  <c r="G531" i="3"/>
  <c r="G527" i="3"/>
  <c r="G523" i="3"/>
  <c r="G519" i="3"/>
  <c r="G515" i="3"/>
  <c r="G511" i="3"/>
  <c r="G507" i="3"/>
  <c r="G503" i="3"/>
  <c r="G499" i="3"/>
  <c r="G495" i="3"/>
  <c r="G491" i="3"/>
  <c r="G487" i="3"/>
  <c r="G483" i="3"/>
  <c r="G479" i="3"/>
  <c r="G475" i="3"/>
  <c r="G471" i="3"/>
  <c r="G467" i="3"/>
  <c r="G463" i="3"/>
  <c r="G459" i="3"/>
  <c r="G455" i="3"/>
  <c r="G451" i="3"/>
  <c r="G447" i="3"/>
  <c r="G443" i="3"/>
  <c r="G439" i="3"/>
  <c r="G435" i="3"/>
  <c r="G431" i="3"/>
  <c r="G427" i="3"/>
  <c r="G423" i="3"/>
  <c r="G419" i="3"/>
  <c r="G415" i="3"/>
  <c r="G411" i="3"/>
  <c r="G407" i="3"/>
  <c r="G403" i="3"/>
  <c r="G399" i="3"/>
  <c r="G395" i="3"/>
  <c r="G391" i="3"/>
  <c r="G387" i="3"/>
  <c r="G383" i="3"/>
  <c r="G379" i="3"/>
  <c r="G375" i="3"/>
  <c r="G371" i="3"/>
  <c r="G367" i="3"/>
  <c r="G363" i="3"/>
  <c r="G359" i="3"/>
  <c r="G355" i="3"/>
  <c r="G351" i="3"/>
  <c r="G347" i="3"/>
  <c r="G343" i="3"/>
  <c r="G339" i="3"/>
  <c r="G335" i="3"/>
  <c r="G331" i="3"/>
  <c r="G327" i="3"/>
  <c r="G323" i="3"/>
  <c r="G319" i="3"/>
  <c r="G315" i="3"/>
  <c r="G311" i="3"/>
  <c r="G307" i="3"/>
  <c r="G303" i="3"/>
  <c r="G299" i="3"/>
  <c r="G295" i="3"/>
  <c r="G291" i="3"/>
  <c r="G287" i="3"/>
  <c r="G283" i="3"/>
  <c r="G279" i="3"/>
  <c r="G275" i="3"/>
  <c r="G271" i="3"/>
  <c r="G267" i="3"/>
  <c r="G263" i="3"/>
  <c r="G259" i="3"/>
  <c r="G255" i="3"/>
  <c r="G251" i="3"/>
  <c r="G247" i="3"/>
  <c r="G243" i="3"/>
  <c r="G239" i="3"/>
  <c r="G235" i="3"/>
  <c r="G231" i="3"/>
  <c r="G227" i="3"/>
  <c r="G223" i="3"/>
  <c r="G219" i="3"/>
  <c r="G215" i="3"/>
  <c r="G211" i="3"/>
  <c r="G207" i="3"/>
  <c r="G203" i="3"/>
  <c r="G199" i="3"/>
  <c r="G195" i="3"/>
  <c r="G191" i="3"/>
  <c r="G187" i="3"/>
  <c r="G183" i="3"/>
  <c r="G179" i="3"/>
  <c r="G175" i="3"/>
  <c r="G171" i="3"/>
  <c r="G167" i="3"/>
  <c r="G163" i="3"/>
  <c r="G159" i="3"/>
  <c r="G155" i="3"/>
  <c r="G151" i="3"/>
  <c r="G147" i="3"/>
  <c r="G143" i="3"/>
  <c r="G139" i="3"/>
  <c r="G135" i="3"/>
  <c r="G131" i="3"/>
  <c r="G127" i="3"/>
  <c r="G123" i="3"/>
  <c r="G119" i="3"/>
  <c r="G115" i="3"/>
  <c r="G111" i="3"/>
  <c r="G107" i="3"/>
  <c r="G103" i="3"/>
  <c r="G99" i="3"/>
  <c r="G95" i="3"/>
  <c r="G91" i="3"/>
  <c r="G87" i="3"/>
  <c r="G83" i="3"/>
  <c r="G79" i="3"/>
  <c r="G75" i="3"/>
  <c r="G71" i="3"/>
  <c r="G67" i="3"/>
  <c r="G63" i="3"/>
  <c r="G59" i="3"/>
  <c r="G55" i="3"/>
  <c r="G51" i="3"/>
  <c r="G47" i="3"/>
  <c r="G43" i="3"/>
  <c r="G39" i="3"/>
  <c r="G35" i="3"/>
  <c r="G31" i="3"/>
  <c r="G27" i="3"/>
  <c r="G23" i="3"/>
  <c r="G19" i="3"/>
  <c r="G15" i="3"/>
  <c r="G11" i="3"/>
  <c r="G7" i="3"/>
  <c r="D82" i="2"/>
  <c r="D13" i="2"/>
  <c r="R3" i="2"/>
  <c r="D166" i="2"/>
  <c r="D146" i="2"/>
  <c r="R62" i="2"/>
  <c r="R50" i="2"/>
  <c r="R41" i="2"/>
  <c r="R9" i="2"/>
  <c r="R414" i="2"/>
  <c r="R410" i="2"/>
  <c r="R402" i="2"/>
  <c r="R398" i="2"/>
  <c r="R394" i="2"/>
  <c r="R386" i="2"/>
  <c r="R382" i="2"/>
  <c r="R378" i="2"/>
  <c r="R374" i="2"/>
  <c r="R370" i="2"/>
  <c r="R366" i="2"/>
  <c r="R362" i="2"/>
  <c r="R358" i="2"/>
  <c r="R354" i="2"/>
  <c r="R350" i="2"/>
  <c r="R346" i="2"/>
  <c r="R342" i="2"/>
  <c r="R337" i="2"/>
  <c r="R331" i="2"/>
  <c r="R321" i="2"/>
  <c r="R315" i="2"/>
  <c r="R310" i="2"/>
  <c r="R305" i="2"/>
  <c r="R299" i="2"/>
  <c r="R294" i="2"/>
  <c r="R289" i="2"/>
  <c r="R283" i="2"/>
  <c r="R278" i="2"/>
  <c r="R273" i="2"/>
  <c r="R267" i="2"/>
  <c r="R262" i="2"/>
  <c r="R257" i="2"/>
  <c r="R251" i="2"/>
  <c r="R246" i="2"/>
  <c r="R241" i="2"/>
  <c r="R230" i="2"/>
  <c r="R225" i="2"/>
  <c r="R219" i="2"/>
  <c r="R209" i="2"/>
  <c r="R203" i="2"/>
  <c r="R198" i="2"/>
  <c r="R187" i="2"/>
  <c r="R182" i="2"/>
  <c r="R177" i="2"/>
  <c r="R171" i="2"/>
  <c r="R165" i="2"/>
  <c r="R157" i="2"/>
  <c r="R149" i="2"/>
  <c r="R141" i="2"/>
  <c r="R133" i="2"/>
  <c r="R125" i="2"/>
  <c r="R117" i="2"/>
  <c r="R109" i="2"/>
  <c r="R101" i="2"/>
  <c r="R93" i="2"/>
  <c r="R85" i="2"/>
  <c r="R77" i="2"/>
  <c r="R69" i="2"/>
  <c r="R61" i="2"/>
  <c r="R53" i="2"/>
  <c r="R45" i="2"/>
  <c r="R37" i="2"/>
  <c r="R29" i="2"/>
  <c r="R21" i="2"/>
  <c r="R13" i="2"/>
  <c r="R5" i="2"/>
  <c r="R34" i="2"/>
  <c r="R26" i="2"/>
  <c r="R7" i="2"/>
  <c r="R11" i="2"/>
  <c r="R15" i="2"/>
  <c r="R19" i="2"/>
  <c r="R23" i="2"/>
  <c r="R27" i="2"/>
  <c r="R31" i="2"/>
  <c r="R35" i="2"/>
  <c r="R39" i="2"/>
  <c r="R43" i="2"/>
  <c r="R47" i="2"/>
  <c r="R51" i="2"/>
  <c r="R55" i="2"/>
  <c r="R59" i="2"/>
  <c r="R63" i="2"/>
  <c r="R71" i="2"/>
  <c r="R75" i="2"/>
  <c r="R79" i="2"/>
  <c r="R83" i="2"/>
  <c r="R87" i="2"/>
  <c r="R91" i="2"/>
  <c r="R95" i="2"/>
  <c r="R99" i="2"/>
  <c r="R103" i="2"/>
  <c r="R107" i="2"/>
  <c r="R111" i="2"/>
  <c r="R119" i="2"/>
  <c r="R123" i="2"/>
  <c r="R127" i="2"/>
  <c r="R131" i="2"/>
  <c r="R135" i="2"/>
  <c r="R139" i="2"/>
  <c r="R143" i="2"/>
  <c r="R147" i="2"/>
  <c r="R151" i="2"/>
  <c r="R155" i="2"/>
  <c r="R159" i="2"/>
  <c r="R163" i="2"/>
  <c r="R167" i="2"/>
  <c r="R4" i="2"/>
  <c r="R8" i="2"/>
  <c r="R16" i="2"/>
  <c r="R20" i="2"/>
  <c r="R24" i="2"/>
  <c r="R28" i="2"/>
  <c r="R32" i="2"/>
  <c r="R36" i="2"/>
  <c r="R40" i="2"/>
  <c r="R44" i="2"/>
  <c r="R48" i="2"/>
  <c r="R52" i="2"/>
  <c r="R56" i="2"/>
  <c r="R60" i="2"/>
  <c r="R64" i="2"/>
  <c r="R68" i="2"/>
  <c r="R72" i="2"/>
  <c r="R76" i="2"/>
  <c r="R80" i="2"/>
  <c r="R84" i="2"/>
  <c r="R88" i="2"/>
  <c r="R92" i="2"/>
  <c r="R96" i="2"/>
  <c r="R100" i="2"/>
  <c r="R104" i="2"/>
  <c r="R112" i="2"/>
  <c r="R116" i="2"/>
  <c r="R120" i="2"/>
  <c r="R124" i="2"/>
  <c r="R128" i="2"/>
  <c r="R132" i="2"/>
  <c r="R136" i="2"/>
  <c r="R140" i="2"/>
  <c r="R144" i="2"/>
  <c r="R148" i="2"/>
  <c r="R152" i="2"/>
  <c r="R156" i="2"/>
  <c r="R160" i="2"/>
  <c r="R164" i="2"/>
  <c r="R168" i="2"/>
  <c r="R172" i="2"/>
  <c r="R176" i="2"/>
  <c r="R180" i="2"/>
  <c r="R184" i="2"/>
  <c r="R192" i="2"/>
  <c r="R196" i="2"/>
  <c r="R200" i="2"/>
  <c r="R204" i="2"/>
  <c r="R208" i="2"/>
  <c r="R212" i="2"/>
  <c r="R216" i="2"/>
  <c r="R220" i="2"/>
  <c r="R224" i="2"/>
  <c r="R228" i="2"/>
  <c r="R232" i="2"/>
  <c r="R236" i="2"/>
  <c r="R240" i="2"/>
  <c r="R244" i="2"/>
  <c r="R248" i="2"/>
  <c r="R252" i="2"/>
  <c r="R256" i="2"/>
  <c r="R260" i="2"/>
  <c r="R264" i="2"/>
  <c r="R268" i="2"/>
  <c r="R272" i="2"/>
  <c r="R276" i="2"/>
  <c r="R280" i="2"/>
  <c r="R288" i="2"/>
  <c r="R292" i="2"/>
  <c r="R296" i="2"/>
  <c r="R300" i="2"/>
  <c r="R304" i="2"/>
  <c r="R308" i="2"/>
  <c r="R312" i="2"/>
  <c r="R316" i="2"/>
  <c r="R320" i="2"/>
  <c r="R324" i="2"/>
  <c r="R328" i="2"/>
  <c r="R332" i="2"/>
  <c r="R336" i="2"/>
  <c r="R340" i="2"/>
  <c r="D125" i="2"/>
  <c r="D167" i="2"/>
  <c r="D103" i="2"/>
  <c r="R1818" i="2"/>
  <c r="R1814" i="2"/>
  <c r="R1810" i="2"/>
  <c r="R1806" i="2"/>
  <c r="R1802" i="2"/>
  <c r="R1798" i="2"/>
  <c r="R1794" i="2"/>
  <c r="R1790" i="2"/>
  <c r="R1786" i="2"/>
  <c r="R1782" i="2"/>
  <c r="R1778" i="2"/>
  <c r="R1774" i="2"/>
  <c r="R1770" i="2"/>
  <c r="R1766" i="2"/>
  <c r="R1762" i="2"/>
  <c r="R1758" i="2"/>
  <c r="R1754" i="2"/>
  <c r="R1750" i="2"/>
  <c r="R1746" i="2"/>
  <c r="R1742" i="2"/>
  <c r="R1738" i="2"/>
  <c r="R1734" i="2"/>
  <c r="R1730" i="2"/>
  <c r="R1726" i="2"/>
  <c r="R1722" i="2"/>
  <c r="R1718" i="2"/>
  <c r="R1714" i="2"/>
  <c r="R1710" i="2"/>
  <c r="R1706" i="2"/>
  <c r="R1702" i="2"/>
  <c r="R1698" i="2"/>
  <c r="R1694" i="2"/>
  <c r="R1690" i="2"/>
  <c r="R1686" i="2"/>
  <c r="R1682" i="2"/>
  <c r="R1678" i="2"/>
  <c r="R1674" i="2"/>
  <c r="R1670" i="2"/>
  <c r="R1666" i="2"/>
  <c r="R1662" i="2"/>
  <c r="R1658" i="2"/>
  <c r="R1654" i="2"/>
  <c r="R1650" i="2"/>
  <c r="R1646" i="2"/>
  <c r="R1642" i="2"/>
  <c r="R1638" i="2"/>
  <c r="R1634" i="2"/>
  <c r="R1630" i="2"/>
  <c r="R1626" i="2"/>
  <c r="R1622" i="2"/>
  <c r="R1618" i="2"/>
  <c r="R1614" i="2"/>
  <c r="R1610" i="2"/>
  <c r="R1606" i="2"/>
  <c r="R1602" i="2"/>
  <c r="R1598" i="2"/>
  <c r="R1594" i="2"/>
  <c r="R1590" i="2"/>
  <c r="R1586" i="2"/>
  <c r="R1582" i="2"/>
  <c r="R1578" i="2"/>
  <c r="R1574" i="2"/>
  <c r="R1570" i="2"/>
  <c r="R1566" i="2"/>
  <c r="R1562" i="2"/>
  <c r="R1558" i="2"/>
  <c r="R1554" i="2"/>
  <c r="R1550" i="2"/>
  <c r="R1546" i="2"/>
  <c r="R1542" i="2"/>
  <c r="R1538" i="2"/>
  <c r="R1534" i="2"/>
  <c r="R1530" i="2"/>
  <c r="R1526" i="2"/>
  <c r="R1522" i="2"/>
  <c r="R1518" i="2"/>
  <c r="R1514" i="2"/>
  <c r="R1510" i="2"/>
  <c r="R1506" i="2"/>
  <c r="R1502" i="2"/>
  <c r="R1498" i="2"/>
  <c r="R1494" i="2"/>
  <c r="R1490" i="2"/>
  <c r="R1486" i="2"/>
  <c r="R1482" i="2"/>
  <c r="R1478" i="2"/>
  <c r="R1474" i="2"/>
  <c r="R1470" i="2"/>
  <c r="R1466" i="2"/>
  <c r="R1462" i="2"/>
  <c r="R1458" i="2"/>
  <c r="R1454" i="2"/>
  <c r="R1450" i="2"/>
  <c r="R1446" i="2"/>
  <c r="R1442" i="2"/>
  <c r="R1438" i="2"/>
  <c r="R1434" i="2"/>
  <c r="R1430" i="2"/>
  <c r="R1426" i="2"/>
  <c r="R1422" i="2"/>
  <c r="R1418" i="2"/>
  <c r="R1414" i="2"/>
  <c r="R1410" i="2"/>
  <c r="R1406" i="2"/>
  <c r="R1402" i="2"/>
  <c r="R1398" i="2"/>
  <c r="R1394" i="2"/>
  <c r="R1390" i="2"/>
  <c r="R1386" i="2"/>
  <c r="R1382" i="2"/>
  <c r="R1378" i="2"/>
  <c r="R1374" i="2"/>
  <c r="R1370" i="2"/>
  <c r="R1366" i="2"/>
  <c r="R1362" i="2"/>
  <c r="R1358" i="2"/>
  <c r="R1354" i="2"/>
  <c r="R1350" i="2"/>
  <c r="R1346" i="2"/>
  <c r="R1342" i="2"/>
  <c r="R1338" i="2"/>
  <c r="R1334" i="2"/>
  <c r="R1330" i="2"/>
  <c r="R1326" i="2"/>
  <c r="R1322" i="2"/>
  <c r="R1318" i="2"/>
  <c r="R1314" i="2"/>
  <c r="R1310" i="2"/>
  <c r="R1306" i="2"/>
  <c r="R1302" i="2"/>
  <c r="R1298" i="2"/>
  <c r="R1294" i="2"/>
  <c r="R1290" i="2"/>
  <c r="R1286" i="2"/>
  <c r="R1282" i="2"/>
  <c r="R1278" i="2"/>
  <c r="R1274" i="2"/>
  <c r="R1270" i="2"/>
  <c r="R1266" i="2"/>
  <c r="R1262" i="2"/>
  <c r="R1258" i="2"/>
  <c r="R1254" i="2"/>
  <c r="R1250" i="2"/>
  <c r="R1246" i="2"/>
  <c r="R1242" i="2"/>
  <c r="R1238" i="2"/>
  <c r="R1234" i="2"/>
  <c r="R1230" i="2"/>
  <c r="R1226" i="2"/>
  <c r="R1222" i="2"/>
  <c r="R1218" i="2"/>
  <c r="R1214" i="2"/>
  <c r="R1210" i="2"/>
  <c r="R1206" i="2"/>
  <c r="R1202" i="2"/>
  <c r="R1198" i="2"/>
  <c r="R1194" i="2"/>
  <c r="R1190" i="2"/>
  <c r="R1186" i="2"/>
  <c r="R1182" i="2"/>
  <c r="R1178" i="2"/>
  <c r="R1174" i="2"/>
  <c r="R1170" i="2"/>
  <c r="R1166" i="2"/>
  <c r="R1162" i="2"/>
  <c r="R1158" i="2"/>
  <c r="R1154" i="2"/>
  <c r="R1150" i="2"/>
  <c r="R1146" i="2"/>
  <c r="R1142" i="2"/>
  <c r="R1138" i="2"/>
  <c r="R1134" i="2"/>
  <c r="R1130" i="2"/>
  <c r="R1126" i="2"/>
  <c r="R1122" i="2"/>
  <c r="R1118" i="2"/>
  <c r="R1114" i="2"/>
  <c r="R1110" i="2"/>
  <c r="R1106" i="2"/>
  <c r="R1102" i="2"/>
  <c r="R1098" i="2"/>
  <c r="R1094" i="2"/>
  <c r="R1090" i="2"/>
  <c r="R1086" i="2"/>
  <c r="R1082" i="2"/>
  <c r="R1078" i="2"/>
  <c r="R1074" i="2"/>
  <c r="R1070" i="2"/>
  <c r="R1066" i="2"/>
  <c r="R1062" i="2"/>
  <c r="R1058" i="2"/>
  <c r="R1054" i="2"/>
  <c r="R1050" i="2"/>
  <c r="R1046" i="2"/>
  <c r="R1042" i="2"/>
  <c r="R1034" i="2"/>
  <c r="R1030" i="2"/>
  <c r="R1026" i="2"/>
  <c r="R1022" i="2"/>
  <c r="R1018" i="2"/>
  <c r="R1014" i="2"/>
  <c r="R1010" i="2"/>
  <c r="R1006" i="2"/>
  <c r="R1002" i="2"/>
  <c r="R998" i="2"/>
  <c r="R994" i="2"/>
  <c r="R990" i="2"/>
  <c r="R986" i="2"/>
  <c r="R982" i="2"/>
  <c r="R978" i="2"/>
  <c r="R974" i="2"/>
  <c r="R970" i="2"/>
  <c r="R966" i="2"/>
  <c r="R962" i="2"/>
  <c r="R958" i="2"/>
  <c r="R954" i="2"/>
  <c r="R950" i="2"/>
  <c r="R946" i="2"/>
  <c r="R942" i="2"/>
  <c r="R938" i="2"/>
  <c r="R934" i="2"/>
  <c r="R930" i="2"/>
  <c r="R926" i="2"/>
  <c r="R922" i="2"/>
  <c r="R918" i="2"/>
  <c r="R914" i="2"/>
  <c r="R910" i="2"/>
  <c r="R906" i="2"/>
  <c r="R902" i="2"/>
  <c r="R898" i="2"/>
  <c r="R894" i="2"/>
  <c r="R890" i="2"/>
  <c r="R886" i="2"/>
  <c r="R882" i="2"/>
  <c r="R878" i="2"/>
  <c r="R874" i="2"/>
  <c r="R870" i="2"/>
  <c r="R866" i="2"/>
  <c r="R862" i="2"/>
  <c r="R858" i="2"/>
  <c r="R854" i="2"/>
  <c r="R850" i="2"/>
  <c r="R846" i="2"/>
  <c r="R842" i="2"/>
  <c r="R838" i="2"/>
  <c r="R834" i="2"/>
  <c r="R830" i="2"/>
  <c r="R826" i="2"/>
  <c r="R822" i="2"/>
  <c r="R818" i="2"/>
  <c r="R810" i="2"/>
  <c r="R806" i="2"/>
  <c r="R802" i="2"/>
  <c r="R798" i="2"/>
  <c r="R794" i="2"/>
  <c r="R790" i="2"/>
  <c r="R786" i="2"/>
  <c r="R782" i="2"/>
  <c r="R778" i="2"/>
  <c r="R774" i="2"/>
  <c r="R770" i="2"/>
  <c r="R766" i="2"/>
  <c r="R762" i="2"/>
  <c r="R758" i="2"/>
  <c r="R754" i="2"/>
  <c r="R746" i="2"/>
  <c r="R742" i="2"/>
  <c r="R738" i="2"/>
  <c r="R734" i="2"/>
  <c r="R730" i="2"/>
  <c r="R726" i="2"/>
  <c r="R722" i="2"/>
  <c r="R718" i="2"/>
  <c r="R714" i="2"/>
  <c r="R710" i="2"/>
  <c r="R706" i="2"/>
  <c r="R702" i="2"/>
  <c r="R698" i="2"/>
  <c r="R694" i="2"/>
  <c r="R690" i="2"/>
  <c r="R682" i="2"/>
  <c r="R678" i="2"/>
  <c r="R674" i="2"/>
  <c r="R670" i="2"/>
  <c r="R666" i="2"/>
  <c r="R662" i="2"/>
  <c r="R658" i="2"/>
  <c r="R654" i="2"/>
  <c r="R650" i="2"/>
  <c r="R646" i="2"/>
  <c r="R642" i="2"/>
  <c r="R638" i="2"/>
  <c r="R634" i="2"/>
  <c r="R630" i="2"/>
  <c r="R626" i="2"/>
  <c r="R618" i="2"/>
  <c r="R614" i="2"/>
  <c r="R610" i="2"/>
  <c r="R606" i="2"/>
  <c r="R602" i="2"/>
  <c r="R598" i="2"/>
  <c r="R594" i="2"/>
  <c r="R590" i="2"/>
  <c r="R586" i="2"/>
  <c r="R582" i="2"/>
  <c r="R578" i="2"/>
  <c r="R574" i="2"/>
  <c r="R570" i="2"/>
  <c r="R566" i="2"/>
  <c r="R562" i="2"/>
  <c r="R558" i="2"/>
  <c r="R554" i="2"/>
  <c r="R550" i="2"/>
  <c r="R546" i="2"/>
  <c r="R542" i="2"/>
  <c r="R538" i="2"/>
  <c r="R534" i="2"/>
  <c r="R530" i="2"/>
  <c r="R526" i="2"/>
  <c r="R522" i="2"/>
  <c r="R518" i="2"/>
  <c r="R514" i="2"/>
  <c r="R510" i="2"/>
  <c r="R506" i="2"/>
  <c r="R502" i="2"/>
  <c r="R498" i="2"/>
  <c r="R494" i="2"/>
  <c r="R490" i="2"/>
  <c r="R486" i="2"/>
  <c r="R482" i="2"/>
  <c r="R478" i="2"/>
  <c r="R474" i="2"/>
  <c r="R470" i="2"/>
  <c r="R466" i="2"/>
  <c r="R462" i="2"/>
  <c r="R458" i="2"/>
  <c r="R454" i="2"/>
  <c r="R450" i="2"/>
  <c r="R446" i="2"/>
  <c r="R442" i="2"/>
  <c r="R438" i="2"/>
  <c r="R434" i="2"/>
  <c r="R430" i="2"/>
  <c r="R426" i="2"/>
  <c r="R422" i="2"/>
  <c r="R418" i="2"/>
  <c r="R406" i="2"/>
  <c r="R390" i="2"/>
  <c r="R2158" i="2"/>
  <c r="R2154" i="2"/>
  <c r="R2150" i="2"/>
  <c r="R2146" i="2"/>
  <c r="R2142" i="2"/>
  <c r="R2138" i="2"/>
  <c r="R2134" i="2"/>
  <c r="R2130" i="2"/>
  <c r="R2126" i="2"/>
  <c r="R2122" i="2"/>
  <c r="R2118" i="2"/>
  <c r="R2114" i="2"/>
  <c r="R2110" i="2"/>
  <c r="R2106" i="2"/>
  <c r="R2102" i="2"/>
  <c r="R2098" i="2"/>
  <c r="R2094" i="2"/>
  <c r="R2090" i="2"/>
  <c r="R2086" i="2"/>
  <c r="R2082" i="2"/>
  <c r="R2078" i="2"/>
  <c r="R2074" i="2"/>
  <c r="R2070" i="2"/>
  <c r="R2066" i="2"/>
  <c r="R2062" i="2"/>
  <c r="R2058" i="2"/>
  <c r="R2054" i="2"/>
  <c r="R2050" i="2"/>
  <c r="R2046" i="2"/>
  <c r="R2042" i="2"/>
  <c r="R2038" i="2"/>
  <c r="R2034" i="2"/>
  <c r="R2030" i="2"/>
  <c r="R2026" i="2"/>
  <c r="R2022" i="2"/>
  <c r="R2018" i="2"/>
  <c r="R2014" i="2"/>
  <c r="R2010" i="2"/>
  <c r="R2006" i="2"/>
  <c r="R2002" i="2"/>
  <c r="R1998" i="2"/>
  <c r="R1994" i="2"/>
  <c r="R1990" i="2"/>
  <c r="R1986" i="2"/>
  <c r="R1982" i="2"/>
  <c r="R1978" i="2"/>
  <c r="R1974" i="2"/>
  <c r="R1970" i="2"/>
  <c r="R1966" i="2"/>
  <c r="R1962" i="2"/>
  <c r="R1958" i="2"/>
  <c r="R1954" i="2"/>
  <c r="R1950" i="2"/>
  <c r="R1946" i="2"/>
  <c r="R1942" i="2"/>
  <c r="R1938" i="2"/>
  <c r="R1934" i="2"/>
  <c r="R1930" i="2"/>
  <c r="R1926" i="2"/>
  <c r="R1922" i="2"/>
  <c r="R1918" i="2"/>
  <c r="R1914" i="2"/>
  <c r="R1910" i="2"/>
  <c r="R1906" i="2"/>
  <c r="R1902" i="2"/>
  <c r="R1898" i="2"/>
  <c r="R1894" i="2"/>
  <c r="R1890" i="2"/>
  <c r="R1886" i="2"/>
  <c r="R1882" i="2"/>
  <c r="R1878" i="2"/>
  <c r="R1874" i="2"/>
  <c r="R1870" i="2"/>
  <c r="R1866" i="2"/>
  <c r="R1862" i="2"/>
  <c r="R1858" i="2"/>
  <c r="R1854" i="2"/>
  <c r="R1850" i="2"/>
  <c r="R1846" i="2"/>
  <c r="R1842" i="2"/>
  <c r="R1838" i="2"/>
  <c r="R1834" i="2"/>
  <c r="R1830" i="2"/>
  <c r="R1826" i="2"/>
  <c r="R1822" i="2"/>
  <c r="R1038" i="2"/>
  <c r="R2157" i="2"/>
  <c r="R2153" i="2"/>
  <c r="R2149" i="2"/>
  <c r="R2145" i="2"/>
  <c r="R2141" i="2"/>
  <c r="R2137" i="2"/>
  <c r="R2133" i="2"/>
  <c r="R2129" i="2"/>
  <c r="R2125" i="2"/>
  <c r="R2121" i="2"/>
  <c r="R2117" i="2"/>
  <c r="R2113" i="2"/>
  <c r="R2109" i="2"/>
  <c r="R2105" i="2"/>
  <c r="R2101" i="2"/>
  <c r="R2097" i="2"/>
  <c r="R2093" i="2"/>
  <c r="R2089" i="2"/>
  <c r="R2085" i="2"/>
  <c r="R2081" i="2"/>
  <c r="R2077" i="2"/>
  <c r="R2073" i="2"/>
  <c r="R2069" i="2"/>
  <c r="R2065" i="2"/>
  <c r="R2061" i="2"/>
  <c r="R2057" i="2"/>
  <c r="R2053" i="2"/>
  <c r="R2049" i="2"/>
  <c r="R2045" i="2"/>
  <c r="R2041" i="2"/>
  <c r="R2037" i="2"/>
  <c r="R2033" i="2"/>
  <c r="R2029" i="2"/>
  <c r="R2025" i="2"/>
  <c r="R2021" i="2"/>
  <c r="R2017" i="2"/>
  <c r="R2013" i="2"/>
  <c r="R2009" i="2"/>
  <c r="R2005" i="2"/>
  <c r="R2001" i="2"/>
  <c r="R1997" i="2"/>
  <c r="R1993" i="2"/>
  <c r="R1989" i="2"/>
  <c r="R1985" i="2"/>
  <c r="R1981" i="2"/>
  <c r="R1977" i="2"/>
  <c r="R1973" i="2"/>
  <c r="R1969" i="2"/>
  <c r="R1965" i="2"/>
  <c r="R1961" i="2"/>
  <c r="R1957" i="2"/>
  <c r="R1953" i="2"/>
  <c r="R1949" i="2"/>
  <c r="R1945" i="2"/>
  <c r="R1941" i="2"/>
  <c r="R1937" i="2"/>
  <c r="R1933" i="2"/>
  <c r="R1929" i="2"/>
  <c r="R1925" i="2"/>
  <c r="R1921" i="2"/>
  <c r="R1917" i="2"/>
  <c r="R1913" i="2"/>
  <c r="R1909" i="2"/>
  <c r="R1905" i="2"/>
  <c r="R1901" i="2"/>
  <c r="R1897" i="2"/>
  <c r="R1893" i="2"/>
  <c r="R1889" i="2"/>
  <c r="R1885" i="2"/>
  <c r="R1881" i="2"/>
  <c r="R1877" i="2"/>
  <c r="R1873" i="2"/>
  <c r="R1869" i="2"/>
  <c r="R1865" i="2"/>
  <c r="R1861" i="2"/>
  <c r="R1857" i="2"/>
  <c r="R1853" i="2"/>
  <c r="R1849" i="2"/>
  <c r="R1845" i="2"/>
  <c r="R1841" i="2"/>
  <c r="R1837" i="2"/>
  <c r="R1833" i="2"/>
  <c r="R1829" i="2"/>
  <c r="R1825" i="2"/>
  <c r="R1821" i="2"/>
  <c r="R1817" i="2"/>
  <c r="R1813" i="2"/>
  <c r="R1809" i="2"/>
  <c r="R1805" i="2"/>
  <c r="R1801" i="2"/>
  <c r="R1797" i="2"/>
  <c r="R1793" i="2"/>
  <c r="R1789" i="2"/>
  <c r="R1785" i="2"/>
  <c r="R1781" i="2"/>
  <c r="R1777" i="2"/>
  <c r="R1773" i="2"/>
  <c r="R1769" i="2"/>
  <c r="R1765" i="2"/>
  <c r="R1761" i="2"/>
  <c r="R1757" i="2"/>
  <c r="R1753" i="2"/>
  <c r="R1749" i="2"/>
  <c r="R1745" i="2"/>
  <c r="R1741" i="2"/>
  <c r="R1737" i="2"/>
  <c r="R1733" i="2"/>
  <c r="R1729" i="2"/>
  <c r="R1725" i="2"/>
  <c r="R1721" i="2"/>
  <c r="R1717" i="2"/>
  <c r="R1713" i="2"/>
  <c r="R1709" i="2"/>
  <c r="R1705" i="2"/>
  <c r="R1701" i="2"/>
  <c r="R1697" i="2"/>
  <c r="R1693" i="2"/>
  <c r="R1689" i="2"/>
  <c r="R1685" i="2"/>
  <c r="R1681" i="2"/>
  <c r="R1677" i="2"/>
  <c r="R1673" i="2"/>
  <c r="R1669" i="2"/>
  <c r="R1665" i="2"/>
  <c r="R1661" i="2"/>
  <c r="R1657" i="2"/>
  <c r="R1653" i="2"/>
  <c r="R1649" i="2"/>
  <c r="R1645" i="2"/>
  <c r="R1641" i="2"/>
  <c r="R1637" i="2"/>
  <c r="R1633" i="2"/>
  <c r="R1629" i="2"/>
  <c r="R1625" i="2"/>
  <c r="R1621" i="2"/>
  <c r="R1617" i="2"/>
  <c r="R1613" i="2"/>
  <c r="R1609" i="2"/>
  <c r="R1605" i="2"/>
  <c r="R1601" i="2"/>
  <c r="R1597" i="2"/>
  <c r="R1593" i="2"/>
  <c r="R1589" i="2"/>
  <c r="R1585" i="2"/>
  <c r="R1581" i="2"/>
  <c r="R1577" i="2"/>
  <c r="R1573" i="2"/>
  <c r="R1569" i="2"/>
  <c r="R1565" i="2"/>
  <c r="R1561" i="2"/>
  <c r="R1557" i="2"/>
  <c r="R1553" i="2"/>
  <c r="R1549" i="2"/>
  <c r="R1545" i="2"/>
  <c r="R1541" i="2"/>
  <c r="R1537" i="2"/>
  <c r="R1533" i="2"/>
  <c r="R1529" i="2"/>
  <c r="R1525" i="2"/>
  <c r="R1521" i="2"/>
  <c r="R1517" i="2"/>
  <c r="R1513" i="2"/>
  <c r="R1509" i="2"/>
  <c r="R1505" i="2"/>
  <c r="R1501" i="2"/>
  <c r="R1497" i="2"/>
  <c r="R1493" i="2"/>
  <c r="R1489" i="2"/>
  <c r="R1485" i="2"/>
  <c r="R1481" i="2"/>
  <c r="R1477" i="2"/>
  <c r="R1473" i="2"/>
  <c r="R1469" i="2"/>
  <c r="R1465" i="2"/>
  <c r="R1461" i="2"/>
  <c r="R1457" i="2"/>
  <c r="R1453" i="2"/>
  <c r="R1449" i="2"/>
  <c r="R1445" i="2"/>
  <c r="R1441" i="2"/>
  <c r="R1437" i="2"/>
  <c r="R1433" i="2"/>
  <c r="R1429" i="2"/>
  <c r="R1425" i="2"/>
  <c r="R1421" i="2"/>
  <c r="R1417" i="2"/>
  <c r="R1413" i="2"/>
  <c r="R1409" i="2"/>
  <c r="R1405" i="2"/>
  <c r="R1401" i="2"/>
  <c r="R1397" i="2"/>
  <c r="R1393" i="2"/>
  <c r="R1389" i="2"/>
  <c r="R1385" i="2"/>
  <c r="R1381" i="2"/>
  <c r="R1377" i="2"/>
  <c r="R1373" i="2"/>
  <c r="R1369" i="2"/>
  <c r="R1365" i="2"/>
  <c r="R1361" i="2"/>
  <c r="R1357" i="2"/>
  <c r="R1353" i="2"/>
  <c r="R1349" i="2"/>
  <c r="R1345" i="2"/>
  <c r="R338" i="2"/>
  <c r="R334" i="2"/>
  <c r="R330" i="2"/>
  <c r="R326" i="2"/>
  <c r="R322" i="2"/>
  <c r="R318" i="2"/>
  <c r="R314" i="2"/>
  <c r="R306" i="2"/>
  <c r="R302" i="2"/>
  <c r="R298" i="2"/>
  <c r="R290" i="2"/>
  <c r="R286" i="2"/>
  <c r="R282" i="2"/>
  <c r="R274" i="2"/>
  <c r="R270" i="2"/>
  <c r="R266" i="2"/>
  <c r="R258" i="2"/>
  <c r="R254" i="2"/>
  <c r="R250" i="2"/>
  <c r="R242" i="2"/>
  <c r="R238" i="2"/>
  <c r="R234" i="2"/>
  <c r="R226" i="2"/>
  <c r="R222" i="2"/>
  <c r="R218" i="2"/>
  <c r="R214" i="2"/>
  <c r="R210" i="2"/>
  <c r="R206" i="2"/>
  <c r="R202" i="2"/>
  <c r="R194" i="2"/>
  <c r="R190" i="2"/>
  <c r="R186" i="2"/>
  <c r="R178" i="2"/>
  <c r="R174" i="2"/>
  <c r="R170" i="2"/>
  <c r="R166" i="2"/>
  <c r="R162" i="2"/>
  <c r="R158" i="2"/>
  <c r="R154" i="2"/>
  <c r="R150" i="2"/>
  <c r="R146" i="2"/>
  <c r="R142" i="2"/>
  <c r="R138" i="2"/>
  <c r="R134" i="2"/>
  <c r="R130" i="2"/>
  <c r="R126" i="2"/>
  <c r="R122" i="2"/>
  <c r="R118" i="2"/>
  <c r="R114" i="2"/>
  <c r="R110" i="2"/>
  <c r="R106" i="2"/>
  <c r="R102" i="2"/>
  <c r="R98" i="2"/>
  <c r="R94" i="2"/>
  <c r="R90" i="2"/>
  <c r="R86" i="2"/>
  <c r="R82" i="2"/>
  <c r="R78" i="2"/>
  <c r="R74" i="2"/>
  <c r="R70" i="2"/>
  <c r="R66" i="2"/>
  <c r="R58" i="2"/>
  <c r="R54" i="2"/>
  <c r="R46" i="2"/>
  <c r="R42" i="2"/>
  <c r="R38" i="2"/>
  <c r="R30" i="2"/>
  <c r="R22" i="2"/>
  <c r="R18" i="2"/>
  <c r="R14" i="2"/>
  <c r="R10" i="2"/>
  <c r="R6" i="2"/>
  <c r="R1341" i="2"/>
  <c r="R1337" i="2"/>
  <c r="R1333" i="2"/>
  <c r="R1329" i="2"/>
  <c r="R1325" i="2"/>
  <c r="R1321" i="2"/>
  <c r="R1317" i="2"/>
  <c r="R1313" i="2"/>
  <c r="R1309" i="2"/>
  <c r="R1305" i="2"/>
  <c r="R1301" i="2"/>
  <c r="R1297" i="2"/>
  <c r="R1293" i="2"/>
  <c r="R1289" i="2"/>
  <c r="R1285" i="2"/>
  <c r="R1281" i="2"/>
  <c r="R1277" i="2"/>
  <c r="R1273" i="2"/>
  <c r="R1269" i="2"/>
  <c r="R1265" i="2"/>
  <c r="R1261" i="2"/>
  <c r="R1257" i="2"/>
  <c r="R1253" i="2"/>
  <c r="R1249" i="2"/>
  <c r="R1245" i="2"/>
  <c r="R1241" i="2"/>
  <c r="R1237" i="2"/>
  <c r="R1233" i="2"/>
  <c r="R1229" i="2"/>
  <c r="R1225" i="2"/>
  <c r="R1221" i="2"/>
  <c r="R1217" i="2"/>
  <c r="R1213" i="2"/>
  <c r="R1209" i="2"/>
  <c r="R1205" i="2"/>
  <c r="R1201" i="2"/>
  <c r="R1197" i="2"/>
  <c r="R1193" i="2"/>
  <c r="R1189" i="2"/>
  <c r="R1185" i="2"/>
  <c r="R1181" i="2"/>
  <c r="R1177" i="2"/>
  <c r="R1173" i="2"/>
  <c r="R1169" i="2"/>
  <c r="R1165" i="2"/>
  <c r="R1161" i="2"/>
  <c r="R1157" i="2"/>
  <c r="R1153" i="2"/>
  <c r="R1149" i="2"/>
  <c r="R1145" i="2"/>
  <c r="R1141" i="2"/>
  <c r="R1137" i="2"/>
  <c r="R1133" i="2"/>
  <c r="R1129" i="2"/>
  <c r="R1125" i="2"/>
  <c r="R1121" i="2"/>
  <c r="R1117" i="2"/>
  <c r="R1113" i="2"/>
  <c r="R1109" i="2"/>
  <c r="R1105" i="2"/>
  <c r="R1101" i="2"/>
  <c r="R1097" i="2"/>
  <c r="R1093" i="2"/>
  <c r="R1089" i="2"/>
  <c r="R1085" i="2"/>
  <c r="R1081" i="2"/>
  <c r="R1077" i="2"/>
  <c r="R1073" i="2"/>
  <c r="R1069" i="2"/>
  <c r="R1065" i="2"/>
  <c r="R1061" i="2"/>
  <c r="R1057" i="2"/>
  <c r="R1053" i="2"/>
  <c r="R1049" i="2"/>
  <c r="R1045" i="2"/>
  <c r="R1041" i="2"/>
  <c r="R1037" i="2"/>
  <c r="R1033" i="2"/>
  <c r="R1029" i="2"/>
  <c r="R1025" i="2"/>
  <c r="R1021" i="2"/>
  <c r="R1017" i="2"/>
  <c r="R1013" i="2"/>
  <c r="R1009" i="2"/>
  <c r="R1005" i="2"/>
  <c r="R1001" i="2"/>
  <c r="R997" i="2"/>
  <c r="R993" i="2"/>
  <c r="R989" i="2"/>
  <c r="R985" i="2"/>
  <c r="R981" i="2"/>
  <c r="R977" i="2"/>
  <c r="R973" i="2"/>
  <c r="R969" i="2"/>
  <c r="R965" i="2"/>
  <c r="R621" i="2"/>
  <c r="R617" i="2"/>
  <c r="R613" i="2"/>
  <c r="R609" i="2"/>
  <c r="R605" i="2"/>
  <c r="R601" i="2"/>
  <c r="R597" i="2"/>
  <c r="R593" i="2"/>
  <c r="R589" i="2"/>
  <c r="R585" i="2"/>
  <c r="R581" i="2"/>
  <c r="R577" i="2"/>
  <c r="R573" i="2"/>
  <c r="R569" i="2"/>
  <c r="R565" i="2"/>
  <c r="R561" i="2"/>
  <c r="R557" i="2"/>
  <c r="R553" i="2"/>
  <c r="R549" i="2"/>
  <c r="R545" i="2"/>
  <c r="R541" i="2"/>
  <c r="R537" i="2"/>
  <c r="R533" i="2"/>
  <c r="R529" i="2"/>
  <c r="R525" i="2"/>
  <c r="R521" i="2"/>
  <c r="R517" i="2"/>
  <c r="R513" i="2"/>
  <c r="R509" i="2"/>
  <c r="R505" i="2"/>
  <c r="R501" i="2"/>
  <c r="R497" i="2"/>
  <c r="R493" i="2"/>
  <c r="R489" i="2"/>
  <c r="R485" i="2"/>
  <c r="R481" i="2"/>
  <c r="R477" i="2"/>
  <c r="R473" i="2"/>
  <c r="R469" i="2"/>
  <c r="R465" i="2"/>
  <c r="R461" i="2"/>
  <c r="R457" i="2"/>
  <c r="R453" i="2"/>
  <c r="R449" i="2"/>
  <c r="R445" i="2"/>
  <c r="R441" i="2"/>
  <c r="R437" i="2"/>
  <c r="R433" i="2"/>
  <c r="R429" i="2"/>
  <c r="R425" i="2"/>
  <c r="R421" i="2"/>
  <c r="R417" i="2"/>
  <c r="R413" i="2"/>
  <c r="R409" i="2"/>
  <c r="R405" i="2"/>
  <c r="R401" i="2"/>
  <c r="R397" i="2"/>
  <c r="R393" i="2"/>
  <c r="R389" i="2"/>
  <c r="R385" i="2"/>
  <c r="R381" i="2"/>
  <c r="R377" i="2"/>
  <c r="R373" i="2"/>
  <c r="R369" i="2"/>
  <c r="R365" i="2"/>
  <c r="R361" i="2"/>
  <c r="R357" i="2"/>
  <c r="R353" i="2"/>
  <c r="R349" i="2"/>
  <c r="R345" i="2"/>
  <c r="R341" i="2"/>
  <c r="R2160" i="2"/>
  <c r="R2156" i="2"/>
  <c r="R2152" i="2"/>
  <c r="R2148" i="2"/>
  <c r="R2144" i="2"/>
  <c r="R2140" i="2"/>
  <c r="R2136" i="2"/>
  <c r="R2132" i="2"/>
  <c r="R2128" i="2"/>
  <c r="R2124" i="2"/>
  <c r="R2120" i="2"/>
  <c r="R2116" i="2"/>
  <c r="R2112" i="2"/>
  <c r="R2108" i="2"/>
  <c r="R2104" i="2"/>
  <c r="R2100" i="2"/>
  <c r="R2096" i="2"/>
  <c r="R2092" i="2"/>
  <c r="R2088" i="2"/>
  <c r="R2084" i="2"/>
  <c r="R2080" i="2"/>
  <c r="R2076" i="2"/>
  <c r="R2072" i="2"/>
  <c r="R2068" i="2"/>
  <c r="R2064" i="2"/>
  <c r="R2060" i="2"/>
  <c r="R2056" i="2"/>
  <c r="R2052" i="2"/>
  <c r="R2048" i="2"/>
  <c r="R2044" i="2"/>
  <c r="R2040" i="2"/>
  <c r="R2036" i="2"/>
  <c r="R2032" i="2"/>
  <c r="R2028" i="2"/>
  <c r="R2024" i="2"/>
  <c r="R2020" i="2"/>
  <c r="R2016" i="2"/>
  <c r="R2012" i="2"/>
  <c r="R2008" i="2"/>
  <c r="R2004" i="2"/>
  <c r="R2000" i="2"/>
  <c r="R1996" i="2"/>
  <c r="R1992" i="2"/>
  <c r="R1988" i="2"/>
  <c r="R1984" i="2"/>
  <c r="R1980" i="2"/>
  <c r="R1976" i="2"/>
  <c r="R1972" i="2"/>
  <c r="R1968" i="2"/>
  <c r="R1964" i="2"/>
  <c r="R1960" i="2"/>
  <c r="R1956" i="2"/>
  <c r="R1952" i="2"/>
  <c r="R1948" i="2"/>
  <c r="R1944" i="2"/>
  <c r="R1940" i="2"/>
  <c r="R1936" i="2"/>
  <c r="R1932" i="2"/>
  <c r="R1928" i="2"/>
  <c r="R1924" i="2"/>
  <c r="R1920" i="2"/>
  <c r="R1916" i="2"/>
  <c r="R1912" i="2"/>
  <c r="R1908" i="2"/>
  <c r="R1904" i="2"/>
  <c r="R1900" i="2"/>
  <c r="R1896" i="2"/>
  <c r="R1892" i="2"/>
  <c r="R1888" i="2"/>
  <c r="R1884" i="2"/>
  <c r="R1880" i="2"/>
  <c r="R1876" i="2"/>
  <c r="R1872" i="2"/>
  <c r="R1868" i="2"/>
  <c r="R1864" i="2"/>
  <c r="R1860" i="2"/>
  <c r="R1856" i="2"/>
  <c r="R1852" i="2"/>
  <c r="R1848" i="2"/>
  <c r="R1844" i="2"/>
  <c r="R1840" i="2"/>
  <c r="R1836" i="2"/>
  <c r="R1832" i="2"/>
  <c r="R1828" i="2"/>
  <c r="R1824" i="2"/>
  <c r="R1820" i="2"/>
  <c r="R1816" i="2"/>
  <c r="R1812" i="2"/>
  <c r="R1808" i="2"/>
  <c r="R1804" i="2"/>
  <c r="R1800" i="2"/>
  <c r="R1796" i="2"/>
  <c r="R1792" i="2"/>
  <c r="R1788" i="2"/>
  <c r="R1784" i="2"/>
  <c r="R1780" i="2"/>
  <c r="R1776" i="2"/>
  <c r="R1772" i="2"/>
  <c r="R1768" i="2"/>
  <c r="R1764" i="2"/>
  <c r="R1760" i="2"/>
  <c r="R1756" i="2"/>
  <c r="R1752" i="2"/>
  <c r="R1748" i="2"/>
  <c r="R1744" i="2"/>
  <c r="R1740" i="2"/>
  <c r="R1736" i="2"/>
  <c r="R1732" i="2"/>
  <c r="R1728" i="2"/>
  <c r="R1724" i="2"/>
  <c r="R1720" i="2"/>
  <c r="R1716" i="2"/>
  <c r="R1712" i="2"/>
  <c r="R1708" i="2"/>
  <c r="R1704" i="2"/>
  <c r="R1700" i="2"/>
  <c r="R1696" i="2"/>
  <c r="R1692" i="2"/>
  <c r="R1688" i="2"/>
  <c r="R1684" i="2"/>
  <c r="R1680" i="2"/>
  <c r="R1676" i="2"/>
  <c r="R1672" i="2"/>
  <c r="R1668" i="2"/>
  <c r="R1664" i="2"/>
  <c r="R1660" i="2"/>
  <c r="R1656" i="2"/>
  <c r="R1652" i="2"/>
  <c r="R1648" i="2"/>
  <c r="R1644" i="2"/>
  <c r="R1640" i="2"/>
  <c r="R1636" i="2"/>
  <c r="R1632" i="2"/>
  <c r="R1628" i="2"/>
  <c r="R1624" i="2"/>
  <c r="R1620" i="2"/>
  <c r="R1616" i="2"/>
  <c r="R1612" i="2"/>
  <c r="R1608" i="2"/>
  <c r="R1604" i="2"/>
  <c r="R1600" i="2"/>
  <c r="R1596" i="2"/>
  <c r="R1592" i="2"/>
  <c r="R1588" i="2"/>
  <c r="R1584" i="2"/>
  <c r="R1580" i="2"/>
  <c r="R1576" i="2"/>
  <c r="R1572" i="2"/>
  <c r="R1568" i="2"/>
  <c r="R1564" i="2"/>
  <c r="R1560" i="2"/>
  <c r="R1556" i="2"/>
  <c r="R1552" i="2"/>
  <c r="R1548" i="2"/>
  <c r="R1544" i="2"/>
  <c r="R1540" i="2"/>
  <c r="R1536" i="2"/>
  <c r="R1532" i="2"/>
  <c r="R1528" i="2"/>
  <c r="R1524" i="2"/>
  <c r="R1520" i="2"/>
  <c r="R1516" i="2"/>
  <c r="R1512" i="2"/>
  <c r="R1508" i="2"/>
  <c r="R1504" i="2"/>
  <c r="R1500" i="2"/>
  <c r="R1496" i="2"/>
  <c r="R1492" i="2"/>
  <c r="R1488" i="2"/>
  <c r="R1484" i="2"/>
  <c r="R1480" i="2"/>
  <c r="R1476" i="2"/>
  <c r="R1472" i="2"/>
  <c r="R1468" i="2"/>
  <c r="R1464" i="2"/>
  <c r="R1460" i="2"/>
  <c r="R1456" i="2"/>
  <c r="R1452" i="2"/>
  <c r="R1448" i="2"/>
  <c r="R1444" i="2"/>
  <c r="R1440" i="2"/>
  <c r="R1436" i="2"/>
  <c r="R1432" i="2"/>
  <c r="R1428" i="2"/>
  <c r="R1424" i="2"/>
  <c r="R1420" i="2"/>
  <c r="R1416" i="2"/>
  <c r="R1412" i="2"/>
  <c r="R1408" i="2"/>
  <c r="R1404" i="2"/>
  <c r="R1400" i="2"/>
  <c r="R1396" i="2"/>
  <c r="R1392" i="2"/>
  <c r="R1388" i="2"/>
  <c r="R1384" i="2"/>
  <c r="R1380" i="2"/>
  <c r="R1376" i="2"/>
  <c r="R1372" i="2"/>
  <c r="R1368" i="2"/>
  <c r="R1364" i="2"/>
  <c r="R1360" i="2"/>
  <c r="R1356" i="2"/>
  <c r="R1352" i="2"/>
  <c r="R1348" i="2"/>
  <c r="R1344" i="2"/>
  <c r="R1340" i="2"/>
  <c r="R1336" i="2"/>
  <c r="R1332" i="2"/>
  <c r="R1328" i="2"/>
  <c r="R1324" i="2"/>
  <c r="R1320" i="2"/>
  <c r="R1316" i="2"/>
  <c r="R1312" i="2"/>
  <c r="R1308" i="2"/>
  <c r="R1304" i="2"/>
  <c r="R1300" i="2"/>
  <c r="R1296" i="2"/>
  <c r="R1292" i="2"/>
  <c r="R1288" i="2"/>
  <c r="R1284" i="2"/>
  <c r="R1280" i="2"/>
  <c r="R1276" i="2"/>
  <c r="R1272" i="2"/>
  <c r="R1268" i="2"/>
  <c r="R1264" i="2"/>
  <c r="R1260" i="2"/>
  <c r="R1256" i="2"/>
  <c r="R1252" i="2"/>
  <c r="R1248" i="2"/>
  <c r="R1244" i="2"/>
  <c r="R1240" i="2"/>
  <c r="R1236" i="2"/>
  <c r="R1232" i="2"/>
  <c r="R1228" i="2"/>
  <c r="R1224" i="2"/>
  <c r="R1220" i="2"/>
  <c r="R1216" i="2"/>
  <c r="R1212" i="2"/>
  <c r="R1208" i="2"/>
  <c r="R1204" i="2"/>
  <c r="R1200" i="2"/>
  <c r="R1196" i="2"/>
  <c r="R1192" i="2"/>
  <c r="R1188" i="2"/>
  <c r="R1184" i="2"/>
  <c r="R1180" i="2"/>
  <c r="R1176" i="2"/>
  <c r="R1172" i="2"/>
  <c r="R1168" i="2"/>
  <c r="R1164" i="2"/>
  <c r="R1160" i="2"/>
  <c r="R1156" i="2"/>
  <c r="R1152" i="2"/>
  <c r="R1148" i="2"/>
  <c r="R1144" i="2"/>
  <c r="R1140" i="2"/>
  <c r="R1136" i="2"/>
  <c r="R1132" i="2"/>
  <c r="R1128" i="2"/>
  <c r="R1124" i="2"/>
  <c r="R1120" i="2"/>
  <c r="R1116" i="2"/>
  <c r="R1112" i="2"/>
  <c r="R1108" i="2"/>
  <c r="R1104" i="2"/>
  <c r="R1100" i="2"/>
  <c r="R1096" i="2"/>
  <c r="R1092" i="2"/>
  <c r="R1088" i="2"/>
  <c r="R1084" i="2"/>
  <c r="R1080" i="2"/>
  <c r="R1076" i="2"/>
  <c r="R1072" i="2"/>
  <c r="R1068" i="2"/>
  <c r="R1064" i="2"/>
  <c r="R1060" i="2"/>
  <c r="R1056" i="2"/>
  <c r="R1052" i="2"/>
  <c r="R1048" i="2"/>
  <c r="R1044" i="2"/>
  <c r="R1040" i="2"/>
  <c r="R1036" i="2"/>
  <c r="R1028" i="2"/>
  <c r="R1024" i="2"/>
  <c r="R1020" i="2"/>
  <c r="R1016" i="2"/>
  <c r="R1012" i="2"/>
  <c r="R1008" i="2"/>
  <c r="R1004" i="2"/>
  <c r="R996" i="2"/>
  <c r="R992" i="2"/>
  <c r="R988" i="2"/>
  <c r="R984" i="2"/>
  <c r="R980" i="2"/>
  <c r="R976" i="2"/>
  <c r="R972" i="2"/>
  <c r="R964" i="2"/>
  <c r="R960" i="2"/>
  <c r="R956" i="2"/>
  <c r="R952" i="2"/>
  <c r="R948" i="2"/>
  <c r="R944" i="2"/>
  <c r="R940" i="2"/>
  <c r="R936" i="2"/>
  <c r="R932" i="2"/>
  <c r="R928" i="2"/>
  <c r="R924" i="2"/>
  <c r="R920" i="2"/>
  <c r="R916" i="2"/>
  <c r="R912" i="2"/>
  <c r="R908" i="2"/>
  <c r="R904" i="2"/>
  <c r="R900" i="2"/>
  <c r="R896" i="2"/>
  <c r="R892" i="2"/>
  <c r="R888" i="2"/>
  <c r="R884" i="2"/>
  <c r="R880" i="2"/>
  <c r="R876" i="2"/>
  <c r="R872" i="2"/>
  <c r="R868" i="2"/>
  <c r="R864" i="2"/>
  <c r="R860" i="2"/>
  <c r="R856" i="2"/>
  <c r="R852" i="2"/>
  <c r="R848" i="2"/>
  <c r="R844" i="2"/>
  <c r="R840" i="2"/>
  <c r="R832" i="2"/>
  <c r="R828" i="2"/>
  <c r="R824" i="2"/>
  <c r="R820" i="2"/>
  <c r="R816" i="2"/>
  <c r="R812" i="2"/>
  <c r="R808" i="2"/>
  <c r="R804" i="2"/>
  <c r="R800" i="2"/>
  <c r="R796" i="2"/>
  <c r="R792" i="2"/>
  <c r="R788" i="2"/>
  <c r="R784" i="2"/>
  <c r="R780" i="2"/>
  <c r="R776" i="2"/>
  <c r="R768" i="2"/>
  <c r="R764" i="2"/>
  <c r="R760" i="2"/>
  <c r="R756" i="2"/>
  <c r="R752" i="2"/>
  <c r="R748" i="2"/>
  <c r="R744" i="2"/>
  <c r="R740" i="2"/>
  <c r="R736" i="2"/>
  <c r="R732" i="2"/>
  <c r="R728" i="2"/>
  <c r="R724" i="2"/>
  <c r="R720" i="2"/>
  <c r="R716" i="2"/>
  <c r="R712" i="2"/>
  <c r="R704" i="2"/>
  <c r="R700" i="2"/>
  <c r="R696" i="2"/>
  <c r="R692" i="2"/>
  <c r="R688" i="2"/>
  <c r="R684" i="2"/>
  <c r="R680" i="2"/>
  <c r="R676" i="2"/>
  <c r="R672" i="2"/>
  <c r="R668" i="2"/>
  <c r="R664" i="2"/>
  <c r="R660" i="2"/>
  <c r="R656" i="2"/>
  <c r="R652" i="2"/>
  <c r="R648" i="2"/>
  <c r="R640" i="2"/>
  <c r="R636" i="2"/>
  <c r="R632" i="2"/>
  <c r="R628" i="2"/>
  <c r="R624" i="2"/>
  <c r="R620" i="2"/>
  <c r="R616" i="2"/>
  <c r="R612" i="2"/>
  <c r="R608" i="2"/>
  <c r="R604" i="2"/>
  <c r="R600" i="2"/>
  <c r="R596" i="2"/>
  <c r="R592" i="2"/>
  <c r="R588" i="2"/>
  <c r="R584" i="2"/>
  <c r="R580" i="2"/>
  <c r="R576" i="2"/>
  <c r="R572" i="2"/>
  <c r="R568" i="2"/>
  <c r="R564" i="2"/>
  <c r="R560" i="2"/>
  <c r="R556" i="2"/>
  <c r="R552" i="2"/>
  <c r="R548" i="2"/>
  <c r="R544" i="2"/>
  <c r="R540" i="2"/>
  <c r="R536" i="2"/>
  <c r="R532" i="2"/>
  <c r="R528" i="2"/>
  <c r="R524" i="2"/>
  <c r="R520" i="2"/>
  <c r="R516" i="2"/>
  <c r="R512" i="2"/>
  <c r="R508" i="2"/>
  <c r="R504" i="2"/>
  <c r="R500" i="2"/>
  <c r="R496" i="2"/>
  <c r="R492" i="2"/>
  <c r="R488" i="2"/>
  <c r="R484" i="2"/>
  <c r="R480" i="2"/>
  <c r="R476" i="2"/>
  <c r="R472" i="2"/>
  <c r="R468" i="2"/>
  <c r="R464" i="2"/>
  <c r="R460" i="2"/>
  <c r="R456" i="2"/>
  <c r="R452" i="2"/>
  <c r="R448" i="2"/>
  <c r="R444" i="2"/>
  <c r="R440" i="2"/>
  <c r="R436" i="2"/>
  <c r="R432" i="2"/>
  <c r="R428" i="2"/>
  <c r="R424" i="2"/>
  <c r="R420" i="2"/>
  <c r="R416" i="2"/>
  <c r="R412" i="2"/>
  <c r="R408" i="2"/>
  <c r="R404" i="2"/>
  <c r="R400" i="2"/>
  <c r="R396" i="2"/>
  <c r="R392" i="2"/>
  <c r="R388" i="2"/>
  <c r="R384" i="2"/>
  <c r="R380" i="2"/>
  <c r="R376" i="2"/>
  <c r="R372" i="2"/>
  <c r="R368" i="2"/>
  <c r="R364" i="2"/>
  <c r="R360" i="2"/>
  <c r="R356" i="2"/>
  <c r="R352" i="2"/>
  <c r="R348" i="2"/>
  <c r="R344" i="2"/>
  <c r="R333" i="2"/>
  <c r="R329" i="2"/>
  <c r="R325" i="2"/>
  <c r="R317" i="2"/>
  <c r="R313" i="2"/>
  <c r="R309" i="2"/>
  <c r="R301" i="2"/>
  <c r="R297" i="2"/>
  <c r="R293" i="2"/>
  <c r="R285" i="2"/>
  <c r="R281" i="2"/>
  <c r="R277" i="2"/>
  <c r="R269" i="2"/>
  <c r="R265" i="2"/>
  <c r="R261" i="2"/>
  <c r="R253" i="2"/>
  <c r="R249" i="2"/>
  <c r="R245" i="2"/>
  <c r="R237" i="2"/>
  <c r="R233" i="2"/>
  <c r="R229" i="2"/>
  <c r="R221" i="2"/>
  <c r="R217" i="2"/>
  <c r="R213" i="2"/>
  <c r="R205" i="2"/>
  <c r="R201" i="2"/>
  <c r="R197" i="2"/>
  <c r="R193" i="2"/>
  <c r="R189" i="2"/>
  <c r="R185" i="2"/>
  <c r="R181" i="2"/>
  <c r="R173" i="2"/>
  <c r="R169" i="2"/>
  <c r="R161" i="2"/>
  <c r="R153" i="2"/>
  <c r="R145" i="2"/>
  <c r="R137" i="2"/>
  <c r="R129" i="2"/>
  <c r="R121" i="2"/>
  <c r="R113" i="2"/>
  <c r="R105" i="2"/>
  <c r="R97" i="2"/>
  <c r="R89" i="2"/>
  <c r="R81" i="2"/>
  <c r="R73" i="2"/>
  <c r="R65" i="2"/>
  <c r="R57" i="2"/>
  <c r="R49" i="2"/>
  <c r="R33" i="2"/>
  <c r="R25" i="2"/>
  <c r="R17" i="2"/>
  <c r="R961" i="2"/>
  <c r="R957" i="2"/>
  <c r="R953" i="2"/>
  <c r="R949" i="2"/>
  <c r="R945" i="2"/>
  <c r="R941" i="2"/>
  <c r="R937" i="2"/>
  <c r="R933" i="2"/>
  <c r="R929" i="2"/>
  <c r="R925" i="2"/>
  <c r="R921" i="2"/>
  <c r="R917" i="2"/>
  <c r="R913" i="2"/>
  <c r="R909" i="2"/>
  <c r="R905" i="2"/>
  <c r="R901" i="2"/>
  <c r="R897" i="2"/>
  <c r="R893" i="2"/>
  <c r="R889" i="2"/>
  <c r="R885" i="2"/>
  <c r="R881" i="2"/>
  <c r="R877" i="2"/>
  <c r="R873" i="2"/>
  <c r="R869" i="2"/>
  <c r="R865" i="2"/>
  <c r="R861" i="2"/>
  <c r="R857" i="2"/>
  <c r="R853" i="2"/>
  <c r="R849" i="2"/>
  <c r="R845" i="2"/>
  <c r="R841" i="2"/>
  <c r="R837" i="2"/>
  <c r="R833" i="2"/>
  <c r="R829" i="2"/>
  <c r="R825" i="2"/>
  <c r="R821" i="2"/>
  <c r="R817" i="2"/>
  <c r="R813" i="2"/>
  <c r="R809" i="2"/>
  <c r="R805" i="2"/>
  <c r="R801" i="2"/>
  <c r="R797" i="2"/>
  <c r="R793" i="2"/>
  <c r="R789" i="2"/>
  <c r="R785" i="2"/>
  <c r="R781" i="2"/>
  <c r="R777" i="2"/>
  <c r="R773" i="2"/>
  <c r="R769" i="2"/>
  <c r="R765" i="2"/>
  <c r="R761" i="2"/>
  <c r="R757" i="2"/>
  <c r="R753" i="2"/>
  <c r="R749" i="2"/>
  <c r="R745" i="2"/>
  <c r="R741" i="2"/>
  <c r="R737" i="2"/>
  <c r="R733" i="2"/>
  <c r="R729" i="2"/>
  <c r="R725" i="2"/>
  <c r="R721" i="2"/>
  <c r="R717" i="2"/>
  <c r="R713" i="2"/>
  <c r="R709" i="2"/>
  <c r="R705" i="2"/>
  <c r="R701" i="2"/>
  <c r="R697" i="2"/>
  <c r="R693" i="2"/>
  <c r="R689" i="2"/>
  <c r="R685" i="2"/>
  <c r="R681" i="2"/>
  <c r="R677" i="2"/>
  <c r="R673" i="2"/>
  <c r="R669" i="2"/>
  <c r="R665" i="2"/>
  <c r="R661" i="2"/>
  <c r="R657" i="2"/>
  <c r="R653" i="2"/>
  <c r="R649" i="2"/>
  <c r="R645" i="2"/>
  <c r="R641" i="2"/>
  <c r="R637" i="2"/>
  <c r="R633" i="2"/>
  <c r="R629" i="2"/>
  <c r="R625" i="2"/>
  <c r="R284" i="2"/>
  <c r="R188" i="2"/>
  <c r="R108" i="2"/>
  <c r="R12" i="2"/>
  <c r="D145" i="2"/>
  <c r="D61" i="2"/>
  <c r="D135" i="2"/>
  <c r="D39" i="2"/>
  <c r="D123" i="2"/>
  <c r="D102" i="2"/>
  <c r="D81" i="2"/>
  <c r="D50" i="2"/>
  <c r="D157" i="2"/>
  <c r="D114" i="2"/>
  <c r="D93" i="2"/>
  <c r="D71" i="2"/>
  <c r="D155" i="2"/>
  <c r="D134" i="2"/>
  <c r="D113" i="2"/>
  <c r="D91" i="2"/>
  <c r="D70" i="2"/>
  <c r="D29" i="2"/>
  <c r="D49" i="2"/>
  <c r="D27" i="2"/>
  <c r="D162" i="2"/>
  <c r="D109" i="2"/>
  <c r="D34" i="2"/>
  <c r="D59" i="2"/>
  <c r="D38" i="2"/>
  <c r="D151" i="2"/>
  <c r="D141" i="2"/>
  <c r="D130" i="2"/>
  <c r="D119" i="2"/>
  <c r="D98" i="2"/>
  <c r="D87" i="2"/>
  <c r="D77" i="2"/>
  <c r="D66" i="2"/>
  <c r="D55" i="2"/>
  <c r="D45" i="2"/>
  <c r="D23" i="2"/>
  <c r="D161" i="2"/>
  <c r="D150" i="2"/>
  <c r="D139" i="2"/>
  <c r="D129" i="2"/>
  <c r="D118" i="2"/>
  <c r="D107" i="2"/>
  <c r="D97" i="2"/>
  <c r="D86" i="2"/>
  <c r="D75" i="2"/>
  <c r="D65" i="2"/>
  <c r="D54" i="2"/>
  <c r="D43" i="2"/>
  <c r="D33" i="2"/>
  <c r="D18" i="2"/>
  <c r="D22" i="2"/>
  <c r="D17" i="2"/>
  <c r="D9" i="2"/>
  <c r="E9" i="2" s="1"/>
  <c r="B10" i="2" s="1"/>
  <c r="D165" i="2"/>
  <c r="D159" i="2"/>
  <c r="D154" i="2"/>
  <c r="D149" i="2"/>
  <c r="D143" i="2"/>
  <c r="D138" i="2"/>
  <c r="D133" i="2"/>
  <c r="D127" i="2"/>
  <c r="D122" i="2"/>
  <c r="D117" i="2"/>
  <c r="D111" i="2"/>
  <c r="D106" i="2"/>
  <c r="D101" i="2"/>
  <c r="D95" i="2"/>
  <c r="D90" i="2"/>
  <c r="D85" i="2"/>
  <c r="D79" i="2"/>
  <c r="D74" i="2"/>
  <c r="D69" i="2"/>
  <c r="D63" i="2"/>
  <c r="D58" i="2"/>
  <c r="D53" i="2"/>
  <c r="D47" i="2"/>
  <c r="D42" i="2"/>
  <c r="D37" i="2"/>
  <c r="D31" i="2"/>
  <c r="D26" i="2"/>
  <c r="D21" i="2"/>
  <c r="D15" i="2"/>
  <c r="D169" i="2"/>
  <c r="D163" i="2"/>
  <c r="D158" i="2"/>
  <c r="D153" i="2"/>
  <c r="D147" i="2"/>
  <c r="D142" i="2"/>
  <c r="D137" i="2"/>
  <c r="D131" i="2"/>
  <c r="D126" i="2"/>
  <c r="D121" i="2"/>
  <c r="D115" i="2"/>
  <c r="D110" i="2"/>
  <c r="D105" i="2"/>
  <c r="D99" i="2"/>
  <c r="D94" i="2"/>
  <c r="D89" i="2"/>
  <c r="D83" i="2"/>
  <c r="D78" i="2"/>
  <c r="D73" i="2"/>
  <c r="D67" i="2"/>
  <c r="D62" i="2"/>
  <c r="D57" i="2"/>
  <c r="D51" i="2"/>
  <c r="D46" i="2"/>
  <c r="D41" i="2"/>
  <c r="D35" i="2"/>
  <c r="D30" i="2"/>
  <c r="D25" i="2"/>
  <c r="D19" i="2"/>
  <c r="D14" i="2"/>
  <c r="R2159" i="2"/>
  <c r="R2155" i="2"/>
  <c r="R2151" i="2"/>
  <c r="R2147" i="2"/>
  <c r="R2143" i="2"/>
  <c r="R2139" i="2"/>
  <c r="R2135" i="2"/>
  <c r="R2131" i="2"/>
  <c r="R2127" i="2"/>
  <c r="R2123" i="2"/>
  <c r="R2119" i="2"/>
  <c r="R2115" i="2"/>
  <c r="R2111" i="2"/>
  <c r="R2107" i="2"/>
  <c r="R2103" i="2"/>
  <c r="R2099" i="2"/>
  <c r="R2095" i="2"/>
  <c r="R2091" i="2"/>
  <c r="R2087" i="2"/>
  <c r="R2083" i="2"/>
  <c r="R2079" i="2"/>
  <c r="R2075" i="2"/>
  <c r="R2071" i="2"/>
  <c r="R2067" i="2"/>
  <c r="R2063" i="2"/>
  <c r="R2059" i="2"/>
  <c r="R2055" i="2"/>
  <c r="R2051" i="2"/>
  <c r="R2047" i="2"/>
  <c r="R2043" i="2"/>
  <c r="R2039" i="2"/>
  <c r="R2035" i="2"/>
  <c r="R2031" i="2"/>
  <c r="R2027" i="2"/>
  <c r="R2023" i="2"/>
  <c r="R2019" i="2"/>
  <c r="R2015" i="2"/>
  <c r="R2011" i="2"/>
  <c r="R2007" i="2"/>
  <c r="R2003" i="2"/>
  <c r="R1999" i="2"/>
  <c r="R1995" i="2"/>
  <c r="R1991" i="2"/>
  <c r="R1987" i="2"/>
  <c r="R1983" i="2"/>
  <c r="R1979" i="2"/>
  <c r="R1975" i="2"/>
  <c r="R1971" i="2"/>
  <c r="R1967" i="2"/>
  <c r="R1963" i="2"/>
  <c r="R1959" i="2"/>
  <c r="R1955" i="2"/>
  <c r="R1951" i="2"/>
  <c r="R1947" i="2"/>
  <c r="R1943" i="2"/>
  <c r="R1939" i="2"/>
  <c r="R1935" i="2"/>
  <c r="R1931" i="2"/>
  <c r="R1927" i="2"/>
  <c r="R1919" i="2"/>
  <c r="R1911" i="2"/>
  <c r="R1903" i="2"/>
  <c r="R1895" i="2"/>
  <c r="R1887" i="2"/>
  <c r="R1879" i="2"/>
  <c r="R1871" i="2"/>
  <c r="R1863" i="2"/>
  <c r="R1855" i="2"/>
  <c r="R1847" i="2"/>
  <c r="R1839" i="2"/>
  <c r="R1831" i="2"/>
  <c r="R1823" i="2"/>
  <c r="R1815" i="2"/>
  <c r="R1807" i="2"/>
  <c r="R1799" i="2"/>
  <c r="R1791" i="2"/>
  <c r="R1783" i="2"/>
  <c r="R1775" i="2"/>
  <c r="R1767" i="2"/>
  <c r="R1759" i="2"/>
  <c r="R1751" i="2"/>
  <c r="R1743" i="2"/>
  <c r="R1735" i="2"/>
  <c r="R1727" i="2"/>
  <c r="R1719" i="2"/>
  <c r="R1711" i="2"/>
  <c r="R1703" i="2"/>
  <c r="R1695" i="2"/>
  <c r="R1687" i="2"/>
  <c r="R1679" i="2"/>
  <c r="R1671" i="2"/>
  <c r="R1663" i="2"/>
  <c r="R1655" i="2"/>
  <c r="R1647" i="2"/>
  <c r="R1639" i="2"/>
  <c r="R1631" i="2"/>
  <c r="R1623" i="2"/>
  <c r="R1615" i="2"/>
  <c r="R1611" i="2"/>
  <c r="R1607" i="2"/>
  <c r="R1603" i="2"/>
  <c r="R1599" i="2"/>
  <c r="R1595" i="2"/>
  <c r="R1591" i="2"/>
  <c r="R1587" i="2"/>
  <c r="R1583" i="2"/>
  <c r="R1579" i="2"/>
  <c r="R1575" i="2"/>
  <c r="R1571" i="2"/>
  <c r="R1567" i="2"/>
  <c r="R1563" i="2"/>
  <c r="R1559" i="2"/>
  <c r="R1555" i="2"/>
  <c r="R1551" i="2"/>
  <c r="R1547" i="2"/>
  <c r="R1543" i="2"/>
  <c r="R1539" i="2"/>
  <c r="R1535" i="2"/>
  <c r="R1531" i="2"/>
  <c r="R1527" i="2"/>
  <c r="R1523" i="2"/>
  <c r="R1519" i="2"/>
  <c r="R1515" i="2"/>
  <c r="R1511" i="2"/>
  <c r="R1507" i="2"/>
  <c r="R1503" i="2"/>
  <c r="R1499" i="2"/>
  <c r="R1495" i="2"/>
  <c r="R1491" i="2"/>
  <c r="R1487" i="2"/>
  <c r="R1483" i="2"/>
  <c r="R1479" i="2"/>
  <c r="R1475" i="2"/>
  <c r="R1471" i="2"/>
  <c r="R1467" i="2"/>
  <c r="R1463" i="2"/>
  <c r="R1459" i="2"/>
  <c r="R1455" i="2"/>
  <c r="R1451" i="2"/>
  <c r="R1447" i="2"/>
  <c r="R1443" i="2"/>
  <c r="R1439" i="2"/>
  <c r="R1435" i="2"/>
  <c r="R1431" i="2"/>
  <c r="R1427" i="2"/>
  <c r="R1419" i="2"/>
  <c r="R1415" i="2"/>
  <c r="R1411" i="2"/>
  <c r="R1403" i="2"/>
  <c r="R1399" i="2"/>
  <c r="R1395" i="2"/>
  <c r="R1387" i="2"/>
  <c r="R1383" i="2"/>
  <c r="R1379" i="2"/>
  <c r="R1371" i="2"/>
  <c r="R1367" i="2"/>
  <c r="R1363" i="2"/>
  <c r="R1355" i="2"/>
  <c r="R1351" i="2"/>
  <c r="R1347" i="2"/>
  <c r="R1339" i="2"/>
  <c r="R1335" i="2"/>
  <c r="R1331" i="2"/>
  <c r="R1323" i="2"/>
  <c r="R1319" i="2"/>
  <c r="R1315" i="2"/>
  <c r="R1307" i="2"/>
  <c r="R1303" i="2"/>
  <c r="R1299" i="2"/>
  <c r="R1291" i="2"/>
  <c r="R1287" i="2"/>
  <c r="R1283" i="2"/>
  <c r="R1275" i="2"/>
  <c r="R1271" i="2"/>
  <c r="R1267" i="2"/>
  <c r="R1259" i="2"/>
  <c r="R1255" i="2"/>
  <c r="R1251" i="2"/>
  <c r="R1243" i="2"/>
  <c r="R1239" i="2"/>
  <c r="R1235" i="2"/>
  <c r="R1227" i="2"/>
  <c r="R1223" i="2"/>
  <c r="R1219" i="2"/>
  <c r="R1211" i="2"/>
  <c r="R1207" i="2"/>
  <c r="R1203" i="2"/>
  <c r="R1195" i="2"/>
  <c r="R1191" i="2"/>
  <c r="R1187" i="2"/>
  <c r="R1179" i="2"/>
  <c r="R1175" i="2"/>
  <c r="R1171" i="2"/>
  <c r="R1163" i="2"/>
  <c r="R1159" i="2"/>
  <c r="R1155" i="2"/>
  <c r="R1147" i="2"/>
  <c r="R1143" i="2"/>
  <c r="R1139" i="2"/>
  <c r="R1131" i="2"/>
  <c r="R1127" i="2"/>
  <c r="R1123" i="2"/>
  <c r="R1115" i="2"/>
  <c r="R1111" i="2"/>
  <c r="R1107" i="2"/>
  <c r="R1099" i="2"/>
  <c r="R1095" i="2"/>
  <c r="R1091" i="2"/>
  <c r="R1083" i="2"/>
  <c r="R1079" i="2"/>
  <c r="R1075" i="2"/>
  <c r="R1067" i="2"/>
  <c r="R1063" i="2"/>
  <c r="R1059" i="2"/>
  <c r="R1051" i="2"/>
  <c r="R1047" i="2"/>
  <c r="R1043" i="2"/>
  <c r="R1039" i="2"/>
  <c r="R1035" i="2"/>
  <c r="R1031" i="2"/>
  <c r="R1027" i="2"/>
  <c r="R1023" i="2"/>
  <c r="R1019" i="2"/>
  <c r="R1015" i="2"/>
  <c r="R1011" i="2"/>
  <c r="R1007" i="2"/>
  <c r="R1003" i="2"/>
  <c r="R999" i="2"/>
  <c r="R995" i="2"/>
  <c r="R991" i="2"/>
  <c r="R987" i="2"/>
  <c r="R983" i="2"/>
  <c r="R979" i="2"/>
  <c r="R975" i="2"/>
  <c r="R971" i="2"/>
  <c r="R967" i="2"/>
  <c r="R963" i="2"/>
  <c r="R959" i="2"/>
  <c r="R955" i="2"/>
  <c r="R951" i="2"/>
  <c r="R947" i="2"/>
  <c r="R943" i="2"/>
  <c r="R939" i="2"/>
  <c r="R935" i="2"/>
  <c r="R931" i="2"/>
  <c r="R927" i="2"/>
  <c r="R923" i="2"/>
  <c r="R919" i="2"/>
  <c r="R915" i="2"/>
  <c r="R911" i="2"/>
  <c r="R907" i="2"/>
  <c r="R903" i="2"/>
  <c r="R899" i="2"/>
  <c r="R895" i="2"/>
  <c r="R891" i="2"/>
  <c r="R887" i="2"/>
  <c r="R883" i="2"/>
  <c r="R879" i="2"/>
  <c r="R875" i="2"/>
  <c r="R871" i="2"/>
  <c r="R867" i="2"/>
  <c r="R863" i="2"/>
  <c r="R859" i="2"/>
  <c r="R855" i="2"/>
  <c r="R851" i="2"/>
  <c r="R847" i="2"/>
  <c r="R843" i="2"/>
  <c r="R839" i="2"/>
  <c r="R835" i="2"/>
  <c r="R831" i="2"/>
  <c r="R827" i="2"/>
  <c r="R823" i="2"/>
  <c r="R819" i="2"/>
  <c r="R815" i="2"/>
  <c r="R811" i="2"/>
  <c r="R807" i="2"/>
  <c r="R803" i="2"/>
  <c r="R799" i="2"/>
  <c r="R795" i="2"/>
  <c r="R791" i="2"/>
  <c r="R787" i="2"/>
  <c r="R783" i="2"/>
  <c r="R779" i="2"/>
  <c r="R775" i="2"/>
  <c r="R771" i="2"/>
  <c r="R767" i="2"/>
  <c r="R763" i="2"/>
  <c r="R759" i="2"/>
  <c r="R755" i="2"/>
  <c r="R751" i="2"/>
  <c r="R747" i="2"/>
  <c r="R743" i="2"/>
  <c r="R739" i="2"/>
  <c r="R735" i="2"/>
  <c r="R731" i="2"/>
  <c r="R727" i="2"/>
  <c r="R723" i="2"/>
  <c r="R719" i="2"/>
  <c r="R715" i="2"/>
  <c r="R711" i="2"/>
  <c r="R707" i="2"/>
  <c r="R703" i="2"/>
  <c r="R699" i="2"/>
  <c r="R695" i="2"/>
  <c r="R691" i="2"/>
  <c r="R687" i="2"/>
  <c r="R683" i="2"/>
  <c r="R679" i="2"/>
  <c r="R675" i="2"/>
  <c r="R671" i="2"/>
  <c r="R667" i="2"/>
  <c r="R663" i="2"/>
  <c r="R659" i="2"/>
  <c r="R655" i="2"/>
  <c r="R651" i="2"/>
  <c r="R647" i="2"/>
  <c r="R643" i="2"/>
  <c r="R639" i="2"/>
  <c r="R635" i="2"/>
  <c r="R631" i="2"/>
  <c r="R627" i="2"/>
  <c r="R623" i="2"/>
  <c r="R619" i="2"/>
  <c r="R615" i="2"/>
  <c r="R611" i="2"/>
  <c r="R607" i="2"/>
  <c r="R603" i="2"/>
  <c r="R599" i="2"/>
  <c r="R595" i="2"/>
  <c r="R591" i="2"/>
  <c r="R587" i="2"/>
  <c r="R583" i="2"/>
  <c r="R579" i="2"/>
  <c r="R575" i="2"/>
  <c r="R571" i="2"/>
  <c r="R567" i="2"/>
  <c r="R563" i="2"/>
  <c r="R559" i="2"/>
  <c r="R555" i="2"/>
  <c r="R551" i="2"/>
  <c r="R547" i="2"/>
  <c r="R543" i="2"/>
  <c r="R539" i="2"/>
  <c r="R535" i="2"/>
  <c r="R531" i="2"/>
  <c r="R527" i="2"/>
  <c r="R523" i="2"/>
  <c r="R519" i="2"/>
  <c r="R515" i="2"/>
  <c r="R511" i="2"/>
  <c r="R507" i="2"/>
  <c r="R503" i="2"/>
  <c r="R499" i="2"/>
  <c r="R495" i="2"/>
  <c r="R491" i="2"/>
  <c r="R487" i="2"/>
  <c r="R483" i="2"/>
  <c r="R479" i="2"/>
  <c r="R475" i="2"/>
  <c r="R471" i="2"/>
  <c r="R467" i="2"/>
  <c r="R463" i="2"/>
  <c r="R459" i="2"/>
  <c r="R455" i="2"/>
  <c r="R451" i="2"/>
  <c r="R447" i="2"/>
  <c r="R443" i="2"/>
  <c r="R439" i="2"/>
  <c r="R435" i="2"/>
  <c r="R431" i="2"/>
  <c r="R427" i="2"/>
  <c r="R423" i="2"/>
  <c r="R419" i="2"/>
  <c r="R415" i="2"/>
  <c r="R411" i="2"/>
  <c r="R407" i="2"/>
  <c r="R403" i="2"/>
  <c r="R399" i="2"/>
  <c r="R395" i="2"/>
  <c r="R391" i="2"/>
  <c r="R387" i="2"/>
  <c r="R383" i="2"/>
  <c r="R379" i="2"/>
  <c r="R375" i="2"/>
  <c r="R371" i="2"/>
  <c r="R367" i="2"/>
  <c r="R363" i="2"/>
  <c r="R359" i="2"/>
  <c r="R355" i="2"/>
  <c r="R351" i="2"/>
  <c r="R347" i="2"/>
  <c r="R343" i="2"/>
  <c r="R339" i="2"/>
  <c r="R335" i="2"/>
  <c r="R327" i="2"/>
  <c r="R323" i="2"/>
  <c r="R319" i="2"/>
  <c r="R311" i="2"/>
  <c r="R307" i="2"/>
  <c r="R303" i="2"/>
  <c r="R295" i="2"/>
  <c r="R291" i="2"/>
  <c r="R287" i="2"/>
  <c r="R279" i="2"/>
  <c r="R275" i="2"/>
  <c r="R271" i="2"/>
  <c r="R263" i="2"/>
  <c r="R259" i="2"/>
  <c r="R255" i="2"/>
  <c r="R247" i="2"/>
  <c r="R243" i="2"/>
  <c r="R239" i="2"/>
  <c r="R235" i="2"/>
  <c r="R231" i="2"/>
  <c r="R227" i="2"/>
  <c r="R223" i="2"/>
  <c r="R215" i="2"/>
  <c r="R211" i="2"/>
  <c r="R207" i="2"/>
  <c r="R199" i="2"/>
  <c r="R195" i="2"/>
  <c r="R191" i="2"/>
  <c r="R183" i="2"/>
  <c r="R179" i="2"/>
  <c r="R175" i="2"/>
  <c r="R115" i="2"/>
  <c r="R67" i="2"/>
  <c r="R644" i="2"/>
  <c r="R708" i="2"/>
  <c r="R1923" i="2"/>
  <c r="R1915" i="2"/>
  <c r="R1907" i="2"/>
  <c r="R1899" i="2"/>
  <c r="R1891" i="2"/>
  <c r="R1883" i="2"/>
  <c r="R1875" i="2"/>
  <c r="R1867" i="2"/>
  <c r="R1859" i="2"/>
  <c r="R1851" i="2"/>
  <c r="R1843" i="2"/>
  <c r="R1835" i="2"/>
  <c r="R1827" i="2"/>
  <c r="R1819" i="2"/>
  <c r="R1811" i="2"/>
  <c r="R1803" i="2"/>
  <c r="R1795" i="2"/>
  <c r="R1787" i="2"/>
  <c r="R1779" i="2"/>
  <c r="R1771" i="2"/>
  <c r="R1763" i="2"/>
  <c r="R1755" i="2"/>
  <c r="R1747" i="2"/>
  <c r="R1739" i="2"/>
  <c r="R1731" i="2"/>
  <c r="R1723" i="2"/>
  <c r="R1715" i="2"/>
  <c r="R1707" i="2"/>
  <c r="R1699" i="2"/>
  <c r="R1691" i="2"/>
  <c r="R1683" i="2"/>
  <c r="R1675" i="2"/>
  <c r="R1667" i="2"/>
  <c r="R1659" i="2"/>
  <c r="R1651" i="2"/>
  <c r="R1643" i="2"/>
  <c r="R1635" i="2"/>
  <c r="R1627" i="2"/>
  <c r="R1619" i="2"/>
  <c r="R1423" i="2"/>
  <c r="R1407" i="2"/>
  <c r="R1391" i="2"/>
  <c r="R1375" i="2"/>
  <c r="R1359" i="2"/>
  <c r="R1343" i="2"/>
  <c r="R1327" i="2"/>
  <c r="R1311" i="2"/>
  <c r="R1295" i="2"/>
  <c r="R1279" i="2"/>
  <c r="R1263" i="2"/>
  <c r="R1247" i="2"/>
  <c r="R1231" i="2"/>
  <c r="R1215" i="2"/>
  <c r="R1199" i="2"/>
  <c r="R1183" i="2"/>
  <c r="R1167" i="2"/>
  <c r="R1151" i="2"/>
  <c r="R1135" i="2"/>
  <c r="R1119" i="2"/>
  <c r="R1103" i="2"/>
  <c r="R1087" i="2"/>
  <c r="R1071" i="2"/>
  <c r="R1055" i="2"/>
  <c r="R1032" i="2"/>
  <c r="R1000" i="2"/>
  <c r="R968" i="2"/>
  <c r="R836" i="2"/>
  <c r="R772" i="2"/>
  <c r="R814" i="2"/>
  <c r="R750" i="2"/>
  <c r="R686" i="2"/>
  <c r="R622" i="2"/>
  <c r="D168" i="2"/>
  <c r="D164" i="2"/>
  <c r="D160" i="2"/>
  <c r="D156" i="2"/>
  <c r="D152" i="2"/>
  <c r="D148" i="2"/>
  <c r="D144" i="2"/>
  <c r="D140" i="2"/>
  <c r="D136" i="2"/>
  <c r="D132" i="2"/>
  <c r="D128" i="2"/>
  <c r="D124" i="2"/>
  <c r="D120" i="2"/>
  <c r="D116" i="2"/>
  <c r="D112" i="2"/>
  <c r="D108" i="2"/>
  <c r="D104" i="2"/>
  <c r="D100" i="2"/>
  <c r="D96" i="2"/>
  <c r="D92" i="2"/>
  <c r="D88" i="2"/>
  <c r="D84" i="2"/>
  <c r="D80" i="2"/>
  <c r="D76" i="2"/>
  <c r="D72" i="2"/>
  <c r="D68" i="2"/>
  <c r="D64" i="2"/>
  <c r="D60" i="2"/>
  <c r="D56" i="2"/>
  <c r="D52" i="2"/>
  <c r="D48" i="2"/>
  <c r="D44" i="2"/>
  <c r="D40" i="2"/>
  <c r="D36" i="2"/>
  <c r="D32" i="2"/>
  <c r="D28" i="2"/>
  <c r="D24" i="2"/>
  <c r="D20" i="2"/>
  <c r="D16" i="2"/>
  <c r="D11" i="2"/>
  <c r="D12" i="2"/>
  <c r="J13" i="3" l="1"/>
  <c r="J6" i="3"/>
  <c r="J4" i="3"/>
  <c r="J12" i="3"/>
  <c r="J5" i="3"/>
  <c r="J14" i="3"/>
  <c r="J11" i="3"/>
  <c r="J3" i="3"/>
  <c r="J8" i="3"/>
  <c r="E10" i="2"/>
  <c r="U8" i="2"/>
  <c r="U6" i="2"/>
  <c r="U5" i="2"/>
  <c r="U4" i="2"/>
  <c r="U3" i="2"/>
  <c r="U13" i="2"/>
  <c r="U14" i="2"/>
  <c r="U12" i="2"/>
  <c r="U11" i="2"/>
  <c r="B11" i="2"/>
  <c r="E11" i="2"/>
  <c r="J18" i="3" l="1"/>
  <c r="J19" i="3"/>
  <c r="J20" i="3"/>
  <c r="J7" i="3" s="1"/>
  <c r="U19" i="2"/>
  <c r="U20" i="2"/>
  <c r="U7" i="2" s="1"/>
  <c r="U18" i="2"/>
  <c r="B12" i="2"/>
  <c r="E12" i="2"/>
  <c r="E13" i="2" l="1"/>
  <c r="B13" i="2"/>
  <c r="E14" i="2" l="1"/>
  <c r="B14" i="2"/>
  <c r="B15" i="2" l="1"/>
  <c r="E15" i="2"/>
  <c r="B16" i="2" l="1"/>
  <c r="E16" i="2"/>
  <c r="E17" i="2" l="1"/>
  <c r="B17" i="2"/>
  <c r="E18" i="2" l="1"/>
  <c r="B18" i="2"/>
  <c r="B19" i="2" l="1"/>
  <c r="E19" i="2"/>
  <c r="B20" i="2" l="1"/>
  <c r="E20" i="2"/>
  <c r="E21" i="2" l="1"/>
  <c r="B21" i="2"/>
  <c r="E22" i="2" l="1"/>
  <c r="B22" i="2"/>
  <c r="B23" i="2" l="1"/>
  <c r="E23" i="2"/>
  <c r="B24" i="2" l="1"/>
  <c r="E24" i="2"/>
  <c r="E25" i="2" l="1"/>
  <c r="B25" i="2"/>
  <c r="E26" i="2" l="1"/>
  <c r="B26" i="2"/>
  <c r="B27" i="2" l="1"/>
  <c r="E27" i="2"/>
  <c r="B28" i="2" l="1"/>
  <c r="E28" i="2"/>
  <c r="E29" i="2" l="1"/>
  <c r="B29" i="2"/>
  <c r="E30" i="2" l="1"/>
  <c r="B30" i="2"/>
  <c r="B31" i="2" l="1"/>
  <c r="E31" i="2"/>
  <c r="B32" i="2" l="1"/>
  <c r="E32" i="2"/>
  <c r="E33" i="2" l="1"/>
  <c r="B33" i="2"/>
  <c r="E34" i="2" l="1"/>
  <c r="B34" i="2"/>
  <c r="B35" i="2" l="1"/>
  <c r="E35" i="2"/>
  <c r="B36" i="2" l="1"/>
  <c r="E36" i="2"/>
  <c r="E37" i="2" l="1"/>
  <c r="B37" i="2"/>
  <c r="E38" i="2" l="1"/>
  <c r="B38" i="2"/>
  <c r="B39" i="2" l="1"/>
  <c r="E39" i="2"/>
  <c r="B40" i="2" l="1"/>
  <c r="E40" i="2"/>
  <c r="E41" i="2" l="1"/>
  <c r="B41" i="2"/>
  <c r="E42" i="2" l="1"/>
  <c r="B42" i="2"/>
  <c r="B43" i="2" l="1"/>
  <c r="E43" i="2"/>
  <c r="B44" i="2" l="1"/>
  <c r="E44" i="2"/>
  <c r="E45" i="2" l="1"/>
  <c r="B45" i="2"/>
  <c r="E46" i="2" l="1"/>
  <c r="B46" i="2"/>
  <c r="B47" i="2" l="1"/>
  <c r="E47" i="2"/>
  <c r="B48" i="2" l="1"/>
  <c r="E48" i="2"/>
  <c r="E49" i="2" l="1"/>
  <c r="B49" i="2"/>
  <c r="E50" i="2" l="1"/>
  <c r="B50" i="2"/>
  <c r="B51" i="2" l="1"/>
  <c r="E51" i="2"/>
  <c r="B52" i="2" l="1"/>
  <c r="E52" i="2"/>
  <c r="E53" i="2" l="1"/>
  <c r="B53" i="2"/>
  <c r="E54" i="2" l="1"/>
  <c r="B54" i="2"/>
  <c r="B55" i="2" l="1"/>
  <c r="E55" i="2"/>
  <c r="B56" i="2" l="1"/>
  <c r="E56" i="2"/>
  <c r="E57" i="2" l="1"/>
  <c r="B57" i="2"/>
  <c r="E58" i="2" l="1"/>
  <c r="B58" i="2"/>
  <c r="B59" i="2" l="1"/>
  <c r="E59" i="2"/>
  <c r="B60" i="2" l="1"/>
  <c r="E60" i="2"/>
  <c r="E61" i="2" l="1"/>
  <c r="B61" i="2"/>
  <c r="E62" i="2" l="1"/>
  <c r="B62" i="2"/>
  <c r="B63" i="2" l="1"/>
  <c r="E63" i="2"/>
  <c r="B64" i="2" l="1"/>
  <c r="E64" i="2"/>
  <c r="E65" i="2" l="1"/>
  <c r="B65" i="2"/>
  <c r="E66" i="2" l="1"/>
  <c r="B66" i="2"/>
  <c r="B67" i="2" l="1"/>
  <c r="E67" i="2"/>
  <c r="B68" i="2" l="1"/>
  <c r="E68" i="2"/>
  <c r="E69" i="2" l="1"/>
  <c r="B69" i="2"/>
  <c r="E70" i="2" l="1"/>
  <c r="B70" i="2"/>
  <c r="B71" i="2" l="1"/>
  <c r="E71" i="2"/>
  <c r="B72" i="2" l="1"/>
  <c r="E72" i="2"/>
  <c r="E73" i="2" l="1"/>
  <c r="B73" i="2"/>
  <c r="E74" i="2" l="1"/>
  <c r="B74" i="2"/>
  <c r="B75" i="2" l="1"/>
  <c r="E75" i="2"/>
  <c r="B76" i="2" l="1"/>
  <c r="E76" i="2"/>
  <c r="E77" i="2" l="1"/>
  <c r="B77" i="2"/>
  <c r="E78" i="2" l="1"/>
  <c r="B78" i="2"/>
  <c r="B79" i="2" l="1"/>
  <c r="E79" i="2"/>
  <c r="B80" i="2" l="1"/>
  <c r="E80" i="2"/>
  <c r="E81" i="2" l="1"/>
  <c r="B81" i="2"/>
  <c r="E82" i="2" l="1"/>
  <c r="B82" i="2"/>
  <c r="B83" i="2" l="1"/>
  <c r="E83" i="2"/>
  <c r="B84" i="2" l="1"/>
  <c r="E84" i="2"/>
  <c r="E85" i="2" l="1"/>
  <c r="B85" i="2"/>
  <c r="E86" i="2" l="1"/>
  <c r="B86" i="2"/>
  <c r="B87" i="2" l="1"/>
  <c r="E87" i="2"/>
  <c r="B88" i="2" l="1"/>
  <c r="E88" i="2"/>
  <c r="E89" i="2" l="1"/>
  <c r="B89" i="2"/>
  <c r="H674" i="2" l="1"/>
  <c r="H2118" i="2"/>
  <c r="H2070" i="2"/>
  <c r="H2026" i="2"/>
  <c r="H1974" i="2"/>
  <c r="H1930" i="2"/>
  <c r="H1882" i="2"/>
  <c r="H1838" i="2"/>
  <c r="I1838" i="2" s="1"/>
  <c r="H1790" i="2"/>
  <c r="H1746" i="2"/>
  <c r="H1694" i="2"/>
  <c r="H1646" i="2"/>
  <c r="I1646" i="2" s="1"/>
  <c r="H1598" i="2"/>
  <c r="H1554" i="2"/>
  <c r="H1506" i="2"/>
  <c r="H1458" i="2"/>
  <c r="I1458" i="2" s="1"/>
  <c r="H1414" i="2"/>
  <c r="H1378" i="2"/>
  <c r="H1338" i="2"/>
  <c r="H1290" i="2"/>
  <c r="I1290" i="2" s="1"/>
  <c r="H1250" i="2"/>
  <c r="H1198" i="2"/>
  <c r="H1150" i="2"/>
  <c r="H1102" i="2"/>
  <c r="I1102" i="2" s="1"/>
  <c r="H1058" i="2"/>
  <c r="H1014" i="2"/>
  <c r="H970" i="2"/>
  <c r="H922" i="2"/>
  <c r="I922" i="2" s="1"/>
  <c r="H2150" i="2"/>
  <c r="H2102" i="2"/>
  <c r="H2062" i="2"/>
  <c r="H2010" i="2"/>
  <c r="H1966" i="2"/>
  <c r="H1914" i="2"/>
  <c r="H1866" i="2"/>
  <c r="H1818" i="2"/>
  <c r="I1818" i="2" s="1"/>
  <c r="H1774" i="2"/>
  <c r="H1726" i="2"/>
  <c r="H1686" i="2"/>
  <c r="H1634" i="2"/>
  <c r="I1634" i="2" s="1"/>
  <c r="H1590" i="2"/>
  <c r="H1542" i="2"/>
  <c r="H1494" i="2"/>
  <c r="H1454" i="2"/>
  <c r="I1454" i="2" s="1"/>
  <c r="H1406" i="2"/>
  <c r="H1314" i="2"/>
  <c r="H1274" i="2"/>
  <c r="H1222" i="2"/>
  <c r="I1222" i="2" s="1"/>
  <c r="H1178" i="2"/>
  <c r="H1130" i="2"/>
  <c r="H1086" i="2"/>
  <c r="H1034" i="2"/>
  <c r="I1034" i="2" s="1"/>
  <c r="H986" i="2"/>
  <c r="H938" i="2"/>
  <c r="H894" i="2"/>
  <c r="H846" i="2"/>
  <c r="I846" i="2" s="1"/>
  <c r="H818" i="2"/>
  <c r="H786" i="2"/>
  <c r="H754" i="2"/>
  <c r="H726" i="2"/>
  <c r="I726" i="2" s="1"/>
  <c r="H694" i="2"/>
  <c r="H2146" i="2"/>
  <c r="H2098" i="2"/>
  <c r="H2042" i="2"/>
  <c r="H1994" i="2"/>
  <c r="H1946" i="2"/>
  <c r="H1898" i="2"/>
  <c r="H1846" i="2"/>
  <c r="H1794" i="2"/>
  <c r="H1742" i="2"/>
  <c r="H1690" i="2"/>
  <c r="H1642" i="2"/>
  <c r="I1642" i="2" s="1"/>
  <c r="H1594" i="2"/>
  <c r="H1538" i="2"/>
  <c r="H1490" i="2"/>
  <c r="H1438" i="2"/>
  <c r="I1438" i="2" s="1"/>
  <c r="H1390" i="2"/>
  <c r="H1350" i="2"/>
  <c r="H1310" i="2"/>
  <c r="H1254" i="2"/>
  <c r="I1254" i="2" s="1"/>
  <c r="H1206" i="2"/>
  <c r="H1162" i="2"/>
  <c r="H1110" i="2"/>
  <c r="H1054" i="2"/>
  <c r="I1054" i="2" s="1"/>
  <c r="H1006" i="2"/>
  <c r="H954" i="2"/>
  <c r="H906" i="2"/>
  <c r="H870" i="2"/>
  <c r="I870" i="2" s="1"/>
  <c r="H850" i="2"/>
  <c r="H814" i="2"/>
  <c r="H782" i="2"/>
  <c r="H746" i="2"/>
  <c r="I746" i="2" s="1"/>
  <c r="H714" i="2"/>
  <c r="H682" i="2"/>
  <c r="H646" i="2"/>
  <c r="H614" i="2"/>
  <c r="H590" i="2"/>
  <c r="H574" i="2"/>
  <c r="H558" i="2"/>
  <c r="H542" i="2"/>
  <c r="I542" i="2" s="1"/>
  <c r="H526" i="2"/>
  <c r="H510" i="2"/>
  <c r="H494" i="2"/>
  <c r="H478" i="2"/>
  <c r="I478" i="2" s="1"/>
  <c r="H462" i="2"/>
  <c r="H446" i="2"/>
  <c r="H430" i="2"/>
  <c r="H414" i="2"/>
  <c r="I414" i="2" s="1"/>
  <c r="H398" i="2"/>
  <c r="H382" i="2"/>
  <c r="H3" i="2"/>
  <c r="I3" i="2" s="1"/>
  <c r="H2145" i="2"/>
  <c r="H2129" i="2"/>
  <c r="H2113" i="2"/>
  <c r="H2097" i="2"/>
  <c r="H2081" i="2"/>
  <c r="H2065" i="2"/>
  <c r="H2049" i="2"/>
  <c r="H2033" i="2"/>
  <c r="H2017" i="2"/>
  <c r="H2001" i="2"/>
  <c r="H1985" i="2"/>
  <c r="H1969" i="2"/>
  <c r="H1953" i="2"/>
  <c r="H1937" i="2"/>
  <c r="H1921" i="2"/>
  <c r="H1905" i="2"/>
  <c r="H598" i="2"/>
  <c r="I598" i="2" s="1"/>
  <c r="H2136" i="2"/>
  <c r="H2104" i="2"/>
  <c r="H2068" i="2"/>
  <c r="H2036" i="2"/>
  <c r="I2036" i="2" s="1"/>
  <c r="H2004" i="2"/>
  <c r="H1972" i="2"/>
  <c r="H1940" i="2"/>
  <c r="H1908" i="2"/>
  <c r="I1908" i="2" s="1"/>
  <c r="H1872" i="2"/>
  <c r="H1844" i="2"/>
  <c r="H1824" i="2"/>
  <c r="H1808" i="2"/>
  <c r="I1808" i="2" s="1"/>
  <c r="H1792" i="2"/>
  <c r="H1776" i="2"/>
  <c r="H1760" i="2"/>
  <c r="H1744" i="2"/>
  <c r="I1744" i="2" s="1"/>
  <c r="H1728" i="2"/>
  <c r="H1712" i="2"/>
  <c r="H1696" i="2"/>
  <c r="H1680" i="2"/>
  <c r="I1680" i="2" s="1"/>
  <c r="H1664" i="2"/>
  <c r="H1648" i="2"/>
  <c r="H1632" i="2"/>
  <c r="H1616" i="2"/>
  <c r="I1616" i="2" s="1"/>
  <c r="H1600" i="2"/>
  <c r="H1584" i="2"/>
  <c r="H1568" i="2"/>
  <c r="H1552" i="2"/>
  <c r="I1552" i="2" s="1"/>
  <c r="H1536" i="2"/>
  <c r="H1520" i="2"/>
  <c r="H1504" i="2"/>
  <c r="H1488" i="2"/>
  <c r="I1488" i="2" s="1"/>
  <c r="H1472" i="2"/>
  <c r="H1456" i="2"/>
  <c r="H1440" i="2"/>
  <c r="H1424" i="2"/>
  <c r="I1424" i="2" s="1"/>
  <c r="H1408" i="2"/>
  <c r="H1392" i="2"/>
  <c r="H1376" i="2"/>
  <c r="H1360" i="2"/>
  <c r="H1344" i="2"/>
  <c r="H1328" i="2"/>
  <c r="H650" i="2"/>
  <c r="H2156" i="2"/>
  <c r="I2156" i="2" s="1"/>
  <c r="H2124" i="2"/>
  <c r="H2096" i="2"/>
  <c r="H2064" i="2"/>
  <c r="H2032" i="2"/>
  <c r="H2000" i="2"/>
  <c r="H1968" i="2"/>
  <c r="H1936" i="2"/>
  <c r="H1904" i="2"/>
  <c r="I1904" i="2" s="1"/>
  <c r="H1876" i="2"/>
  <c r="H1840" i="2"/>
  <c r="H2147" i="2"/>
  <c r="H2131" i="2"/>
  <c r="H2115" i="2"/>
  <c r="H2099" i="2"/>
  <c r="H2083" i="2"/>
  <c r="H2067" i="2"/>
  <c r="H2051" i="2"/>
  <c r="H2035" i="2"/>
  <c r="H2019" i="2"/>
  <c r="H2003" i="2"/>
  <c r="H1987" i="2"/>
  <c r="H1971" i="2"/>
  <c r="H1955" i="2"/>
  <c r="H1939" i="2"/>
  <c r="H1923" i="2"/>
  <c r="H1907" i="2"/>
  <c r="H1891" i="2"/>
  <c r="H1875" i="2"/>
  <c r="H1859" i="2"/>
  <c r="H1843" i="2"/>
  <c r="H1827" i="2"/>
  <c r="H1811" i="2"/>
  <c r="H1795" i="2"/>
  <c r="H1779" i="2"/>
  <c r="H1763" i="2"/>
  <c r="H1747" i="2"/>
  <c r="H2154" i="2"/>
  <c r="H2106" i="2"/>
  <c r="H2058" i="2"/>
  <c r="H2014" i="2"/>
  <c r="I2014" i="2" s="1"/>
  <c r="H1962" i="2"/>
  <c r="H1918" i="2"/>
  <c r="H1870" i="2"/>
  <c r="H1826" i="2"/>
  <c r="I1826" i="2" s="1"/>
  <c r="H1778" i="2"/>
  <c r="H1734" i="2"/>
  <c r="H1682" i="2"/>
  <c r="H1638" i="2"/>
  <c r="H1586" i="2"/>
  <c r="H1546" i="2"/>
  <c r="H1498" i="2"/>
  <c r="H1446" i="2"/>
  <c r="H1402" i="2"/>
  <c r="H1370" i="2"/>
  <c r="H1326" i="2"/>
  <c r="H1278" i="2"/>
  <c r="I1278" i="2" s="1"/>
  <c r="H1238" i="2"/>
  <c r="H1182" i="2"/>
  <c r="H1138" i="2"/>
  <c r="H1090" i="2"/>
  <c r="H1046" i="2"/>
  <c r="H1002" i="2"/>
  <c r="H958" i="2"/>
  <c r="H910" i="2"/>
  <c r="I910" i="2" s="1"/>
  <c r="H2138" i="2"/>
  <c r="H2094" i="2"/>
  <c r="H2050" i="2"/>
  <c r="H1998" i="2"/>
  <c r="I1998" i="2" s="1"/>
  <c r="H1954" i="2"/>
  <c r="H1902" i="2"/>
  <c r="H1854" i="2"/>
  <c r="H1810" i="2"/>
  <c r="I1810" i="2" s="1"/>
  <c r="H1762" i="2"/>
  <c r="H1714" i="2"/>
  <c r="H1670" i="2"/>
  <c r="H1626" i="2"/>
  <c r="I1626" i="2" s="1"/>
  <c r="H1582" i="2"/>
  <c r="H1534" i="2"/>
  <c r="H1486" i="2"/>
  <c r="H1442" i="2"/>
  <c r="I1442" i="2" s="1"/>
  <c r="H1354" i="2"/>
  <c r="H1302" i="2"/>
  <c r="H1258" i="2"/>
  <c r="H1214" i="2"/>
  <c r="I1214" i="2" s="1"/>
  <c r="H1166" i="2"/>
  <c r="H1118" i="2"/>
  <c r="H1074" i="2"/>
  <c r="H1022" i="2"/>
  <c r="I1022" i="2" s="1"/>
  <c r="H974" i="2"/>
  <c r="H926" i="2"/>
  <c r="H882" i="2"/>
  <c r="H838" i="2"/>
  <c r="I838" i="2" s="1"/>
  <c r="H810" i="2"/>
  <c r="H778" i="2"/>
  <c r="H750" i="2"/>
  <c r="H718" i="2"/>
  <c r="I718" i="2" s="1"/>
  <c r="H686" i="2"/>
  <c r="H2134" i="2"/>
  <c r="H2086" i="2"/>
  <c r="H2030" i="2"/>
  <c r="I2030" i="2" s="1"/>
  <c r="H1982" i="2"/>
  <c r="H1934" i="2"/>
  <c r="H1886" i="2"/>
  <c r="H1834" i="2"/>
  <c r="I1834" i="2" s="1"/>
  <c r="H1782" i="2"/>
  <c r="H1730" i="2"/>
  <c r="H1678" i="2"/>
  <c r="H1630" i="2"/>
  <c r="I1630" i="2" s="1"/>
  <c r="H1578" i="2"/>
  <c r="H1526" i="2"/>
  <c r="H1478" i="2"/>
  <c r="H1422" i="2"/>
  <c r="I1422" i="2" s="1"/>
  <c r="H1382" i="2"/>
  <c r="H1346" i="2"/>
  <c r="H1298" i="2"/>
  <c r="H1246" i="2"/>
  <c r="I1246" i="2" s="1"/>
  <c r="H1194" i="2"/>
  <c r="H1146" i="2"/>
  <c r="H1094" i="2"/>
  <c r="H1042" i="2"/>
  <c r="H994" i="2"/>
  <c r="H942" i="2"/>
  <c r="H898" i="2"/>
  <c r="H862" i="2"/>
  <c r="I862" i="2" s="1"/>
  <c r="H842" i="2"/>
  <c r="H806" i="2"/>
  <c r="H774" i="2"/>
  <c r="H738" i="2"/>
  <c r="I738" i="2" s="1"/>
  <c r="H706" i="2"/>
  <c r="H678" i="2"/>
  <c r="H634" i="2"/>
  <c r="H610" i="2"/>
  <c r="I610" i="2" s="1"/>
  <c r="H586" i="2"/>
  <c r="H570" i="2"/>
  <c r="H554" i="2"/>
  <c r="H538" i="2"/>
  <c r="H522" i="2"/>
  <c r="H506" i="2"/>
  <c r="H490" i="2"/>
  <c r="H474" i="2"/>
  <c r="H458" i="2"/>
  <c r="H442" i="2"/>
  <c r="H426" i="2"/>
  <c r="H410" i="2"/>
  <c r="H394" i="2"/>
  <c r="H378" i="2"/>
  <c r="H2157" i="2"/>
  <c r="H2141" i="2"/>
  <c r="I2141" i="2" s="1"/>
  <c r="H2125" i="2"/>
  <c r="H2109" i="2"/>
  <c r="H2093" i="2"/>
  <c r="H2077" i="2"/>
  <c r="I2077" i="2" s="1"/>
  <c r="H2061" i="2"/>
  <c r="H2045" i="2"/>
  <c r="H2029" i="2"/>
  <c r="H2013" i="2"/>
  <c r="I2013" i="2" s="1"/>
  <c r="H1997" i="2"/>
  <c r="H1981" i="2"/>
  <c r="H1965" i="2"/>
  <c r="H1949" i="2"/>
  <c r="I1949" i="2" s="1"/>
  <c r="H1933" i="2"/>
  <c r="H1917" i="2"/>
  <c r="H654" i="2"/>
  <c r="H2160" i="2"/>
  <c r="I2160" i="2" s="1"/>
  <c r="H2128" i="2"/>
  <c r="H2092" i="2"/>
  <c r="H2060" i="2"/>
  <c r="H2028" i="2"/>
  <c r="I2028" i="2" s="1"/>
  <c r="H1996" i="2"/>
  <c r="H1964" i="2"/>
  <c r="H1932" i="2"/>
  <c r="H1896" i="2"/>
  <c r="H1864" i="2"/>
  <c r="H1836" i="2"/>
  <c r="H1820" i="2"/>
  <c r="H1804" i="2"/>
  <c r="H1788" i="2"/>
  <c r="H1772" i="2"/>
  <c r="H1756" i="2"/>
  <c r="H1740" i="2"/>
  <c r="H1724" i="2"/>
  <c r="H1708" i="2"/>
  <c r="H1692" i="2"/>
  <c r="H1676" i="2"/>
  <c r="I1676" i="2" s="1"/>
  <c r="H1660" i="2"/>
  <c r="H1644" i="2"/>
  <c r="H1628" i="2"/>
  <c r="H1612" i="2"/>
  <c r="I1612" i="2" s="1"/>
  <c r="H1596" i="2"/>
  <c r="H1580" i="2"/>
  <c r="H1564" i="2"/>
  <c r="H1548" i="2"/>
  <c r="I1548" i="2" s="1"/>
  <c r="H1532" i="2"/>
  <c r="H1516" i="2"/>
  <c r="H1500" i="2"/>
  <c r="H1484" i="2"/>
  <c r="H1468" i="2"/>
  <c r="H1452" i="2"/>
  <c r="H1436" i="2"/>
  <c r="H1420" i="2"/>
  <c r="I1420" i="2" s="1"/>
  <c r="H1404" i="2"/>
  <c r="H1388" i="2"/>
  <c r="H1372" i="2"/>
  <c r="H1356" i="2"/>
  <c r="I1356" i="2" s="1"/>
  <c r="H1340" i="2"/>
  <c r="H1324" i="2"/>
  <c r="H638" i="2"/>
  <c r="H2148" i="2"/>
  <c r="I2148" i="2" s="1"/>
  <c r="H2116" i="2"/>
  <c r="H2088" i="2"/>
  <c r="H2056" i="2"/>
  <c r="H2024" i="2"/>
  <c r="H1992" i="2"/>
  <c r="H1960" i="2"/>
  <c r="H1928" i="2"/>
  <c r="H1900" i="2"/>
  <c r="I1900" i="2" s="1"/>
  <c r="H1868" i="2"/>
  <c r="H2159" i="2"/>
  <c r="H2143" i="2"/>
  <c r="H2127" i="2"/>
  <c r="I2127" i="2" s="1"/>
  <c r="H2111" i="2"/>
  <c r="H2095" i="2"/>
  <c r="H2079" i="2"/>
  <c r="H2063" i="2"/>
  <c r="I2063" i="2" s="1"/>
  <c r="H2047" i="2"/>
  <c r="H2031" i="2"/>
  <c r="H2015" i="2"/>
  <c r="H1999" i="2"/>
  <c r="I1999" i="2" s="1"/>
  <c r="H1983" i="2"/>
  <c r="H1967" i="2"/>
  <c r="H1951" i="2"/>
  <c r="H1935" i="2"/>
  <c r="I1935" i="2" s="1"/>
  <c r="H1919" i="2"/>
  <c r="H1903" i="2"/>
  <c r="H2142" i="2"/>
  <c r="H2090" i="2"/>
  <c r="H2046" i="2"/>
  <c r="H2002" i="2"/>
  <c r="H1950" i="2"/>
  <c r="H1906" i="2"/>
  <c r="I1906" i="2" s="1"/>
  <c r="H1862" i="2"/>
  <c r="H1814" i="2"/>
  <c r="H1766" i="2"/>
  <c r="H1722" i="2"/>
  <c r="I1722" i="2" s="1"/>
  <c r="H1674" i="2"/>
  <c r="H1622" i="2"/>
  <c r="H1574" i="2"/>
  <c r="H1530" i="2"/>
  <c r="I1530" i="2" s="1"/>
  <c r="H1482" i="2"/>
  <c r="H1434" i="2"/>
  <c r="H1394" i="2"/>
  <c r="H1366" i="2"/>
  <c r="I1366" i="2" s="1"/>
  <c r="H1318" i="2"/>
  <c r="H1270" i="2"/>
  <c r="H1226" i="2"/>
  <c r="H1170" i="2"/>
  <c r="H1126" i="2"/>
  <c r="H1078" i="2"/>
  <c r="H1038" i="2"/>
  <c r="H990" i="2"/>
  <c r="I990" i="2" s="1"/>
  <c r="H946" i="2"/>
  <c r="H890" i="2"/>
  <c r="H2130" i="2"/>
  <c r="H2082" i="2"/>
  <c r="I2082" i="2" s="1"/>
  <c r="H2038" i="2"/>
  <c r="H1986" i="2"/>
  <c r="H1938" i="2"/>
  <c r="H1890" i="2"/>
  <c r="I1890" i="2" s="1"/>
  <c r="H1842" i="2"/>
  <c r="H1798" i="2"/>
  <c r="H1750" i="2"/>
  <c r="H1706" i="2"/>
  <c r="I1706" i="2" s="1"/>
  <c r="H1658" i="2"/>
  <c r="H1614" i="2"/>
  <c r="H1570" i="2"/>
  <c r="H1522" i="2"/>
  <c r="I1522" i="2" s="1"/>
  <c r="H1474" i="2"/>
  <c r="H1430" i="2"/>
  <c r="H1342" i="2"/>
  <c r="H1294" i="2"/>
  <c r="I1294" i="2" s="1"/>
  <c r="H1242" i="2"/>
  <c r="H1202" i="2"/>
  <c r="H1154" i="2"/>
  <c r="H1106" i="2"/>
  <c r="H1062" i="2"/>
  <c r="H1010" i="2"/>
  <c r="H962" i="2"/>
  <c r="H914" i="2"/>
  <c r="H874" i="2"/>
  <c r="H830" i="2"/>
  <c r="H802" i="2"/>
  <c r="H770" i="2"/>
  <c r="H742" i="2"/>
  <c r="H710" i="2"/>
  <c r="H666" i="2"/>
  <c r="H2122" i="2"/>
  <c r="H2074" i="2"/>
  <c r="H2018" i="2"/>
  <c r="H1970" i="2"/>
  <c r="H1922" i="2"/>
  <c r="I1922" i="2" s="1"/>
  <c r="H1874" i="2"/>
  <c r="H1822" i="2"/>
  <c r="H1770" i="2"/>
  <c r="H1718" i="2"/>
  <c r="H1666" i="2"/>
  <c r="H1618" i="2"/>
  <c r="H1566" i="2"/>
  <c r="H1514" i="2"/>
  <c r="I1514" i="2" s="1"/>
  <c r="H1462" i="2"/>
  <c r="H1410" i="2"/>
  <c r="H1374" i="2"/>
  <c r="H1334" i="2"/>
  <c r="I1334" i="2" s="1"/>
  <c r="H1286" i="2"/>
  <c r="H1234" i="2"/>
  <c r="H1186" i="2"/>
  <c r="H1134" i="2"/>
  <c r="I1134" i="2" s="1"/>
  <c r="H1082" i="2"/>
  <c r="H1030" i="2"/>
  <c r="H978" i="2"/>
  <c r="H930" i="2"/>
  <c r="H886" i="2"/>
  <c r="H858" i="2"/>
  <c r="H834" i="2"/>
  <c r="H798" i="2"/>
  <c r="I798" i="2" s="1"/>
  <c r="H766" i="2"/>
  <c r="H730" i="2"/>
  <c r="H698" i="2"/>
  <c r="H662" i="2"/>
  <c r="I662" i="2" s="1"/>
  <c r="H622" i="2"/>
  <c r="H606" i="2"/>
  <c r="H582" i="2"/>
  <c r="H566" i="2"/>
  <c r="I566" i="2" s="1"/>
  <c r="H550" i="2"/>
  <c r="H534" i="2"/>
  <c r="H518" i="2"/>
  <c r="H502" i="2"/>
  <c r="I502" i="2" s="1"/>
  <c r="H486" i="2"/>
  <c r="H470" i="2"/>
  <c r="H454" i="2"/>
  <c r="H438" i="2"/>
  <c r="I438" i="2" s="1"/>
  <c r="H422" i="2"/>
  <c r="H406" i="2"/>
  <c r="H390" i="2"/>
  <c r="H374" i="2"/>
  <c r="I374" i="2" s="1"/>
  <c r="H2153" i="2"/>
  <c r="H2137" i="2"/>
  <c r="H2121" i="2"/>
  <c r="H2105" i="2"/>
  <c r="I2105" i="2" s="1"/>
  <c r="H2089" i="2"/>
  <c r="H2073" i="2"/>
  <c r="H2057" i="2"/>
  <c r="H2041" i="2"/>
  <c r="I2041" i="2" s="1"/>
  <c r="H2025" i="2"/>
  <c r="H2009" i="2"/>
  <c r="H1993" i="2"/>
  <c r="H1977" i="2"/>
  <c r="I1977" i="2" s="1"/>
  <c r="H1961" i="2"/>
  <c r="H1945" i="2"/>
  <c r="H1929" i="2"/>
  <c r="H1913" i="2"/>
  <c r="I1913" i="2" s="1"/>
  <c r="H642" i="2"/>
  <c r="H2152" i="2"/>
  <c r="H2120" i="2"/>
  <c r="H2084" i="2"/>
  <c r="I2084" i="2" s="1"/>
  <c r="H2052" i="2"/>
  <c r="H2020" i="2"/>
  <c r="H1988" i="2"/>
  <c r="H1956" i="2"/>
  <c r="I1956" i="2" s="1"/>
  <c r="H1924" i="2"/>
  <c r="H1888" i="2"/>
  <c r="H1856" i="2"/>
  <c r="H1832" i="2"/>
  <c r="I1832" i="2" s="1"/>
  <c r="H1816" i="2"/>
  <c r="H1800" i="2"/>
  <c r="H1784" i="2"/>
  <c r="H1768" i="2"/>
  <c r="I1768" i="2" s="1"/>
  <c r="H1752" i="2"/>
  <c r="H1736" i="2"/>
  <c r="H1720" i="2"/>
  <c r="H1704" i="2"/>
  <c r="I1704" i="2" s="1"/>
  <c r="H1688" i="2"/>
  <c r="H1672" i="2"/>
  <c r="H1656" i="2"/>
  <c r="H1640" i="2"/>
  <c r="I1640" i="2" s="1"/>
  <c r="H1624" i="2"/>
  <c r="H1608" i="2"/>
  <c r="H1592" i="2"/>
  <c r="H1576" i="2"/>
  <c r="I1576" i="2" s="1"/>
  <c r="H1560" i="2"/>
  <c r="H1544" i="2"/>
  <c r="H1528" i="2"/>
  <c r="H1512" i="2"/>
  <c r="I1512" i="2" s="1"/>
  <c r="H1496" i="2"/>
  <c r="H1480" i="2"/>
  <c r="H1464" i="2"/>
  <c r="H1448" i="2"/>
  <c r="I1448" i="2" s="1"/>
  <c r="H1432" i="2"/>
  <c r="H1416" i="2"/>
  <c r="H1400" i="2"/>
  <c r="H1384" i="2"/>
  <c r="I1384" i="2" s="1"/>
  <c r="H1368" i="2"/>
  <c r="H1352" i="2"/>
  <c r="H1336" i="2"/>
  <c r="H1320" i="2"/>
  <c r="I1320" i="2" s="1"/>
  <c r="H2126" i="2"/>
  <c r="H1942" i="2"/>
  <c r="H1754" i="2"/>
  <c r="H1562" i="2"/>
  <c r="I1562" i="2" s="1"/>
  <c r="H1386" i="2"/>
  <c r="H1210" i="2"/>
  <c r="H1026" i="2"/>
  <c r="H2114" i="2"/>
  <c r="I2114" i="2" s="1"/>
  <c r="H1926" i="2"/>
  <c r="H1738" i="2"/>
  <c r="H1558" i="2"/>
  <c r="H1330" i="2"/>
  <c r="H1142" i="2"/>
  <c r="H950" i="2"/>
  <c r="H794" i="2"/>
  <c r="H2158" i="2"/>
  <c r="I2158" i="2" s="1"/>
  <c r="H1958" i="2"/>
  <c r="H1758" i="2"/>
  <c r="H1550" i="2"/>
  <c r="H1362" i="2"/>
  <c r="I1362" i="2" s="1"/>
  <c r="H1174" i="2"/>
  <c r="H966" i="2"/>
  <c r="H822" i="2"/>
  <c r="H690" i="2"/>
  <c r="I690" i="2" s="1"/>
  <c r="H578" i="2"/>
  <c r="H514" i="2"/>
  <c r="H450" i="2"/>
  <c r="H386" i="2"/>
  <c r="I386" i="2" s="1"/>
  <c r="H2117" i="2"/>
  <c r="H2053" i="2"/>
  <c r="H1989" i="2"/>
  <c r="H1925" i="2"/>
  <c r="I1925" i="2" s="1"/>
  <c r="H2112" i="2"/>
  <c r="H1980" i="2"/>
  <c r="H1848" i="2"/>
  <c r="H1780" i="2"/>
  <c r="I1780" i="2" s="1"/>
  <c r="H1716" i="2"/>
  <c r="H1652" i="2"/>
  <c r="H1588" i="2"/>
  <c r="H1524" i="2"/>
  <c r="I1524" i="2" s="1"/>
  <c r="H1460" i="2"/>
  <c r="H1396" i="2"/>
  <c r="H1332" i="2"/>
  <c r="H2140" i="2"/>
  <c r="I2140" i="2" s="1"/>
  <c r="H2080" i="2"/>
  <c r="H2016" i="2"/>
  <c r="H1952" i="2"/>
  <c r="H1892" i="2"/>
  <c r="I1892" i="2" s="1"/>
  <c r="H2155" i="2"/>
  <c r="H2123" i="2"/>
  <c r="H2091" i="2"/>
  <c r="H2059" i="2"/>
  <c r="I2059" i="2" s="1"/>
  <c r="H2027" i="2"/>
  <c r="H1995" i="2"/>
  <c r="H1963" i="2"/>
  <c r="H1931" i="2"/>
  <c r="I1931" i="2" s="1"/>
  <c r="H1899" i="2"/>
  <c r="H1879" i="2"/>
  <c r="H1855" i="2"/>
  <c r="H1835" i="2"/>
  <c r="I1835" i="2" s="1"/>
  <c r="H1815" i="2"/>
  <c r="H1791" i="2"/>
  <c r="H1771" i="2"/>
  <c r="H1751" i="2"/>
  <c r="I1751" i="2" s="1"/>
  <c r="H1731" i="2"/>
  <c r="H1715" i="2"/>
  <c r="H1699" i="2"/>
  <c r="H1683" i="2"/>
  <c r="H1667" i="2"/>
  <c r="H1893" i="2"/>
  <c r="H1877" i="2"/>
  <c r="H1861" i="2"/>
  <c r="I1861" i="2" s="1"/>
  <c r="H1845" i="2"/>
  <c r="H1829" i="2"/>
  <c r="H1813" i="2"/>
  <c r="H1797" i="2"/>
  <c r="I1797" i="2" s="1"/>
  <c r="H1781" i="2"/>
  <c r="H1765" i="2"/>
  <c r="H1749" i="2"/>
  <c r="H1733" i="2"/>
  <c r="I1733" i="2" s="1"/>
  <c r="H1717" i="2"/>
  <c r="H1701" i="2"/>
  <c r="H1685" i="2"/>
  <c r="H1669" i="2"/>
  <c r="I1669" i="2" s="1"/>
  <c r="H1653" i="2"/>
  <c r="H1637" i="2"/>
  <c r="H1621" i="2"/>
  <c r="H1605" i="2"/>
  <c r="I1605" i="2" s="1"/>
  <c r="H1589" i="2"/>
  <c r="H1573" i="2"/>
  <c r="H1557" i="2"/>
  <c r="H1541" i="2"/>
  <c r="I1541" i="2" s="1"/>
  <c r="H1525" i="2"/>
  <c r="H1509" i="2"/>
  <c r="H1493" i="2"/>
  <c r="H1477" i="2"/>
  <c r="I1477" i="2" s="1"/>
  <c r="H1461" i="2"/>
  <c r="H1445" i="2"/>
  <c r="H1429" i="2"/>
  <c r="H1413" i="2"/>
  <c r="I1413" i="2" s="1"/>
  <c r="H1397" i="2"/>
  <c r="H1381" i="2"/>
  <c r="H1365" i="2"/>
  <c r="H1349" i="2"/>
  <c r="I1349" i="2" s="1"/>
  <c r="H1333" i="2"/>
  <c r="H1317" i="2"/>
  <c r="H1301" i="2"/>
  <c r="H1285" i="2"/>
  <c r="I1285" i="2" s="1"/>
  <c r="H1269" i="2"/>
  <c r="H1308" i="2"/>
  <c r="H1292" i="2"/>
  <c r="H1276" i="2"/>
  <c r="I1276" i="2" s="1"/>
  <c r="H1260" i="2"/>
  <c r="H1244" i="2"/>
  <c r="H1228" i="2"/>
  <c r="H1212" i="2"/>
  <c r="I1212" i="2" s="1"/>
  <c r="H1196" i="2"/>
  <c r="H1180" i="2"/>
  <c r="H1164" i="2"/>
  <c r="H1148" i="2"/>
  <c r="I1148" i="2" s="1"/>
  <c r="H1132" i="2"/>
  <c r="H1116" i="2"/>
  <c r="H1100" i="2"/>
  <c r="H1084" i="2"/>
  <c r="I1084" i="2" s="1"/>
  <c r="H1068" i="2"/>
  <c r="H1052" i="2"/>
  <c r="H1036" i="2"/>
  <c r="H1020" i="2"/>
  <c r="I1020" i="2" s="1"/>
  <c r="H1004" i="2"/>
  <c r="H988" i="2"/>
  <c r="H972" i="2"/>
  <c r="H956" i="2"/>
  <c r="I956" i="2" s="1"/>
  <c r="H940" i="2"/>
  <c r="H924" i="2"/>
  <c r="H908" i="2"/>
  <c r="H892" i="2"/>
  <c r="I892" i="2" s="1"/>
  <c r="H876" i="2"/>
  <c r="H860" i="2"/>
  <c r="H844" i="2"/>
  <c r="H828" i="2"/>
  <c r="I828" i="2" s="1"/>
  <c r="H812" i="2"/>
  <c r="H796" i="2"/>
  <c r="H780" i="2"/>
  <c r="H764" i="2"/>
  <c r="I764" i="2" s="1"/>
  <c r="H748" i="2"/>
  <c r="H732" i="2"/>
  <c r="H716" i="2"/>
  <c r="H700" i="2"/>
  <c r="H684" i="2"/>
  <c r="H668" i="2"/>
  <c r="H652" i="2"/>
  <c r="H636" i="2"/>
  <c r="H1647" i="2"/>
  <c r="H1631" i="2"/>
  <c r="H1615" i="2"/>
  <c r="H1599" i="2"/>
  <c r="I1599" i="2" s="1"/>
  <c r="H1583" i="2"/>
  <c r="H1567" i="2"/>
  <c r="H1551" i="2"/>
  <c r="H1535" i="2"/>
  <c r="I1535" i="2" s="1"/>
  <c r="H1519" i="2"/>
  <c r="H1503" i="2"/>
  <c r="H1487" i="2"/>
  <c r="H1471" i="2"/>
  <c r="I1471" i="2" s="1"/>
  <c r="H1455" i="2"/>
  <c r="H1439" i="2"/>
  <c r="H1423" i="2"/>
  <c r="H1407" i="2"/>
  <c r="I1407" i="2" s="1"/>
  <c r="H1391" i="2"/>
  <c r="H1375" i="2"/>
  <c r="H1359" i="2"/>
  <c r="H1343" i="2"/>
  <c r="I1343" i="2" s="1"/>
  <c r="H1327" i="2"/>
  <c r="H1311" i="2"/>
  <c r="H1295" i="2"/>
  <c r="H1279" i="2"/>
  <c r="I1279" i="2" s="1"/>
  <c r="H1263" i="2"/>
  <c r="H1247" i="2"/>
  <c r="H1231" i="2"/>
  <c r="H1215" i="2"/>
  <c r="I1215" i="2" s="1"/>
  <c r="H1199" i="2"/>
  <c r="H1183" i="2"/>
  <c r="H1167" i="2"/>
  <c r="H1151" i="2"/>
  <c r="I1151" i="2" s="1"/>
  <c r="H1135" i="2"/>
  <c r="H1119" i="2"/>
  <c r="H1103" i="2"/>
  <c r="H1087" i="2"/>
  <c r="I1087" i="2" s="1"/>
  <c r="H1071" i="2"/>
  <c r="H1055" i="2"/>
  <c r="H1039" i="2"/>
  <c r="H1023" i="2"/>
  <c r="I1023" i="2" s="1"/>
  <c r="H1245" i="2"/>
  <c r="H1229" i="2"/>
  <c r="H1213" i="2"/>
  <c r="H1197" i="2"/>
  <c r="I1197" i="2" s="1"/>
  <c r="H1181" i="2"/>
  <c r="H1165" i="2"/>
  <c r="H1149" i="2"/>
  <c r="H1133" i="2"/>
  <c r="I1133" i="2" s="1"/>
  <c r="H1117" i="2"/>
  <c r="H1101" i="2"/>
  <c r="H1085" i="2"/>
  <c r="H1069" i="2"/>
  <c r="I1069" i="2" s="1"/>
  <c r="H1053" i="2"/>
  <c r="H1037" i="2"/>
  <c r="H1021" i="2"/>
  <c r="H1005" i="2"/>
  <c r="I1005" i="2" s="1"/>
  <c r="H989" i="2"/>
  <c r="H973" i="2"/>
  <c r="H957" i="2"/>
  <c r="H941" i="2"/>
  <c r="I941" i="2" s="1"/>
  <c r="H925" i="2"/>
  <c r="H909" i="2"/>
  <c r="H893" i="2"/>
  <c r="H877" i="2"/>
  <c r="I877" i="2" s="1"/>
  <c r="H861" i="2"/>
  <c r="H845" i="2"/>
  <c r="H829" i="2"/>
  <c r="H813" i="2"/>
  <c r="I813" i="2" s="1"/>
  <c r="H797" i="2"/>
  <c r="H781" i="2"/>
  <c r="H765" i="2"/>
  <c r="H749" i="2"/>
  <c r="I749" i="2" s="1"/>
  <c r="H733" i="2"/>
  <c r="H717" i="2"/>
  <c r="H701" i="2"/>
  <c r="H685" i="2"/>
  <c r="I685" i="2" s="1"/>
  <c r="H669" i="2"/>
  <c r="H653" i="2"/>
  <c r="H637" i="2"/>
  <c r="H620" i="2"/>
  <c r="H604" i="2"/>
  <c r="H588" i="2"/>
  <c r="H572" i="2"/>
  <c r="H556" i="2"/>
  <c r="H540" i="2"/>
  <c r="H524" i="2"/>
  <c r="H508" i="2"/>
  <c r="H492" i="2"/>
  <c r="I492" i="2" s="1"/>
  <c r="H476" i="2"/>
  <c r="H460" i="2"/>
  <c r="H444" i="2"/>
  <c r="H428" i="2"/>
  <c r="I428" i="2" s="1"/>
  <c r="H412" i="2"/>
  <c r="H396" i="2"/>
  <c r="H380" i="2"/>
  <c r="H364" i="2"/>
  <c r="I364" i="2" s="1"/>
  <c r="H348" i="2"/>
  <c r="H332" i="2"/>
  <c r="H316" i="2"/>
  <c r="H300" i="2"/>
  <c r="I300" i="2" s="1"/>
  <c r="H1011" i="2"/>
  <c r="H995" i="2"/>
  <c r="H979" i="2"/>
  <c r="H963" i="2"/>
  <c r="I963" i="2" s="1"/>
  <c r="H947" i="2"/>
  <c r="H931" i="2"/>
  <c r="H915" i="2"/>
  <c r="H899" i="2"/>
  <c r="I899" i="2" s="1"/>
  <c r="H883" i="2"/>
  <c r="H867" i="2"/>
  <c r="H851" i="2"/>
  <c r="H835" i="2"/>
  <c r="I835" i="2" s="1"/>
  <c r="H819" i="2"/>
  <c r="H803" i="2"/>
  <c r="H787" i="2"/>
  <c r="H771" i="2"/>
  <c r="H755" i="2"/>
  <c r="H739" i="2"/>
  <c r="H723" i="2"/>
  <c r="H707" i="2"/>
  <c r="I707" i="2" s="1"/>
  <c r="H691" i="2"/>
  <c r="H675" i="2"/>
  <c r="H659" i="2"/>
  <c r="H643" i="2"/>
  <c r="I643" i="2" s="1"/>
  <c r="H627" i="2"/>
  <c r="H611" i="2"/>
  <c r="H595" i="2"/>
  <c r="H579" i="2"/>
  <c r="I579" i="2" s="1"/>
  <c r="H563" i="2"/>
  <c r="H547" i="2"/>
  <c r="H531" i="2"/>
  <c r="H515" i="2"/>
  <c r="I515" i="2" s="1"/>
  <c r="H499" i="2"/>
  <c r="H483" i="2"/>
  <c r="H467" i="2"/>
  <c r="H451" i="2"/>
  <c r="H435" i="2"/>
  <c r="H419" i="2"/>
  <c r="H403" i="2"/>
  <c r="H387" i="2"/>
  <c r="H371" i="2"/>
  <c r="H2078" i="2"/>
  <c r="H1894" i="2"/>
  <c r="H1710" i="2"/>
  <c r="I1710" i="2" s="1"/>
  <c r="H1518" i="2"/>
  <c r="H1358" i="2"/>
  <c r="H1158" i="2"/>
  <c r="H982" i="2"/>
  <c r="I982" i="2" s="1"/>
  <c r="H2066" i="2"/>
  <c r="H1878" i="2"/>
  <c r="H1698" i="2"/>
  <c r="H1510" i="2"/>
  <c r="H1282" i="2"/>
  <c r="H1098" i="2"/>
  <c r="H902" i="2"/>
  <c r="H762" i="2"/>
  <c r="I762" i="2" s="1"/>
  <c r="H2110" i="2"/>
  <c r="H1910" i="2"/>
  <c r="H1702" i="2"/>
  <c r="H1502" i="2"/>
  <c r="I1502" i="2" s="1"/>
  <c r="H1322" i="2"/>
  <c r="H1122" i="2"/>
  <c r="H918" i="2"/>
  <c r="H790" i="2"/>
  <c r="I790" i="2" s="1"/>
  <c r="H658" i="2"/>
  <c r="H562" i="2"/>
  <c r="H498" i="2"/>
  <c r="H434" i="2"/>
  <c r="I434" i="2" s="1"/>
  <c r="H370" i="2"/>
  <c r="H2101" i="2"/>
  <c r="H2037" i="2"/>
  <c r="H1973" i="2"/>
  <c r="I1973" i="2" s="1"/>
  <c r="H1909" i="2"/>
  <c r="H2076" i="2"/>
  <c r="H1948" i="2"/>
  <c r="H1828" i="2"/>
  <c r="I1828" i="2" s="1"/>
  <c r="H1764" i="2"/>
  <c r="H1700" i="2"/>
  <c r="H1636" i="2"/>
  <c r="H1572" i="2"/>
  <c r="I1572" i="2" s="1"/>
  <c r="H1508" i="2"/>
  <c r="H1444" i="2"/>
  <c r="H1380" i="2"/>
  <c r="H1316" i="2"/>
  <c r="I1316" i="2" s="1"/>
  <c r="H2132" i="2"/>
  <c r="H2072" i="2"/>
  <c r="H2008" i="2"/>
  <c r="H1944" i="2"/>
  <c r="H1884" i="2"/>
  <c r="H2151" i="2"/>
  <c r="H2119" i="2"/>
  <c r="H2087" i="2"/>
  <c r="I2087" i="2" s="1"/>
  <c r="H2055" i="2"/>
  <c r="H2023" i="2"/>
  <c r="H1991" i="2"/>
  <c r="H1959" i="2"/>
  <c r="I1959" i="2" s="1"/>
  <c r="H1927" i="2"/>
  <c r="H1895" i="2"/>
  <c r="H1871" i="2"/>
  <c r="H1851" i="2"/>
  <c r="I1851" i="2" s="1"/>
  <c r="H1831" i="2"/>
  <c r="H1807" i="2"/>
  <c r="H1787" i="2"/>
  <c r="H1767" i="2"/>
  <c r="I1767" i="2" s="1"/>
  <c r="H1743" i="2"/>
  <c r="H1727" i="2"/>
  <c r="H1711" i="2"/>
  <c r="H1695" i="2"/>
  <c r="I1695" i="2" s="1"/>
  <c r="H1679" i="2"/>
  <c r="H1663" i="2"/>
  <c r="H1889" i="2"/>
  <c r="H1873" i="2"/>
  <c r="I1873" i="2" s="1"/>
  <c r="H1857" i="2"/>
  <c r="H1841" i="2"/>
  <c r="H1825" i="2"/>
  <c r="H1809" i="2"/>
  <c r="I1809" i="2" s="1"/>
  <c r="H1793" i="2"/>
  <c r="H1777" i="2"/>
  <c r="H1761" i="2"/>
  <c r="H1745" i="2"/>
  <c r="I1745" i="2" s="1"/>
  <c r="H1729" i="2"/>
  <c r="H1713" i="2"/>
  <c r="H1697" i="2"/>
  <c r="H1681" i="2"/>
  <c r="I1681" i="2" s="1"/>
  <c r="H1665" i="2"/>
  <c r="H1649" i="2"/>
  <c r="H1633" i="2"/>
  <c r="H1617" i="2"/>
  <c r="I1617" i="2" s="1"/>
  <c r="H1601" i="2"/>
  <c r="H1585" i="2"/>
  <c r="H1569" i="2"/>
  <c r="H1553" i="2"/>
  <c r="I1553" i="2" s="1"/>
  <c r="H1537" i="2"/>
  <c r="H1521" i="2"/>
  <c r="H1505" i="2"/>
  <c r="H1489" i="2"/>
  <c r="I1489" i="2" s="1"/>
  <c r="H1473" i="2"/>
  <c r="H1457" i="2"/>
  <c r="H1441" i="2"/>
  <c r="H1425" i="2"/>
  <c r="I1425" i="2" s="1"/>
  <c r="H1409" i="2"/>
  <c r="H1393" i="2"/>
  <c r="H1377" i="2"/>
  <c r="H1361" i="2"/>
  <c r="H1345" i="2"/>
  <c r="H1329" i="2"/>
  <c r="H1313" i="2"/>
  <c r="H1297" i="2"/>
  <c r="H1281" i="2"/>
  <c r="H1265" i="2"/>
  <c r="H1304" i="2"/>
  <c r="H1288" i="2"/>
  <c r="I1288" i="2" s="1"/>
  <c r="H1272" i="2"/>
  <c r="H1256" i="2"/>
  <c r="H1240" i="2"/>
  <c r="H1224" i="2"/>
  <c r="I1224" i="2" s="1"/>
  <c r="H1208" i="2"/>
  <c r="H1192" i="2"/>
  <c r="H1176" i="2"/>
  <c r="H1160" i="2"/>
  <c r="I1160" i="2" s="1"/>
  <c r="H1144" i="2"/>
  <c r="H1128" i="2"/>
  <c r="H1112" i="2"/>
  <c r="H1096" i="2"/>
  <c r="I1096" i="2" s="1"/>
  <c r="H1080" i="2"/>
  <c r="H1064" i="2"/>
  <c r="H1048" i="2"/>
  <c r="H1032" i="2"/>
  <c r="I1032" i="2" s="1"/>
  <c r="H1016" i="2"/>
  <c r="H1000" i="2"/>
  <c r="H984" i="2"/>
  <c r="H968" i="2"/>
  <c r="I968" i="2" s="1"/>
  <c r="H952" i="2"/>
  <c r="H936" i="2"/>
  <c r="H920" i="2"/>
  <c r="H904" i="2"/>
  <c r="I904" i="2" s="1"/>
  <c r="H888" i="2"/>
  <c r="H872" i="2"/>
  <c r="H856" i="2"/>
  <c r="H840" i="2"/>
  <c r="I840" i="2" s="1"/>
  <c r="H824" i="2"/>
  <c r="H808" i="2"/>
  <c r="H792" i="2"/>
  <c r="H776" i="2"/>
  <c r="I776" i="2" s="1"/>
  <c r="H760" i="2"/>
  <c r="H744" i="2"/>
  <c r="H728" i="2"/>
  <c r="H712" i="2"/>
  <c r="I712" i="2" s="1"/>
  <c r="H696" i="2"/>
  <c r="H680" i="2"/>
  <c r="H664" i="2"/>
  <c r="H648" i="2"/>
  <c r="I648" i="2" s="1"/>
  <c r="H1659" i="2"/>
  <c r="H1643" i="2"/>
  <c r="H1627" i="2"/>
  <c r="H1611" i="2"/>
  <c r="I1611" i="2" s="1"/>
  <c r="H1595" i="2"/>
  <c r="H1579" i="2"/>
  <c r="H1563" i="2"/>
  <c r="H1547" i="2"/>
  <c r="I1547" i="2" s="1"/>
  <c r="H1531" i="2"/>
  <c r="H1515" i="2"/>
  <c r="H1499" i="2"/>
  <c r="H1483" i="2"/>
  <c r="I1483" i="2" s="1"/>
  <c r="H1467" i="2"/>
  <c r="H1451" i="2"/>
  <c r="H1435" i="2"/>
  <c r="H1419" i="2"/>
  <c r="I1419" i="2" s="1"/>
  <c r="H1403" i="2"/>
  <c r="H1387" i="2"/>
  <c r="H1371" i="2"/>
  <c r="H1355" i="2"/>
  <c r="I1355" i="2" s="1"/>
  <c r="H1339" i="2"/>
  <c r="H1323" i="2"/>
  <c r="H1307" i="2"/>
  <c r="H1291" i="2"/>
  <c r="I1291" i="2" s="1"/>
  <c r="H1275" i="2"/>
  <c r="H1259" i="2"/>
  <c r="H1243" i="2"/>
  <c r="H1227" i="2"/>
  <c r="I1227" i="2" s="1"/>
  <c r="H1211" i="2"/>
  <c r="H1195" i="2"/>
  <c r="H1179" i="2"/>
  <c r="H1163" i="2"/>
  <c r="I1163" i="2" s="1"/>
  <c r="H1147" i="2"/>
  <c r="H1131" i="2"/>
  <c r="H1115" i="2"/>
  <c r="H1099" i="2"/>
  <c r="I1099" i="2" s="1"/>
  <c r="H1083" i="2"/>
  <c r="H1067" i="2"/>
  <c r="H1051" i="2"/>
  <c r="H1035" i="2"/>
  <c r="I1035" i="2" s="1"/>
  <c r="H1257" i="2"/>
  <c r="H1241" i="2"/>
  <c r="H1225" i="2"/>
  <c r="H1209" i="2"/>
  <c r="H1193" i="2"/>
  <c r="H1177" i="2"/>
  <c r="H1161" i="2"/>
  <c r="H1145" i="2"/>
  <c r="H1129" i="2"/>
  <c r="H1113" i="2"/>
  <c r="H1097" i="2"/>
  <c r="H1081" i="2"/>
  <c r="H1065" i="2"/>
  <c r="H1049" i="2"/>
  <c r="H1033" i="2"/>
  <c r="H1017" i="2"/>
  <c r="H1001" i="2"/>
  <c r="H985" i="2"/>
  <c r="H969" i="2"/>
  <c r="H953" i="2"/>
  <c r="H937" i="2"/>
  <c r="H921" i="2"/>
  <c r="H905" i="2"/>
  <c r="H889" i="2"/>
  <c r="H873" i="2"/>
  <c r="H857" i="2"/>
  <c r="H841" i="2"/>
  <c r="H825" i="2"/>
  <c r="H809" i="2"/>
  <c r="H793" i="2"/>
  <c r="H777" i="2"/>
  <c r="H761" i="2"/>
  <c r="H745" i="2"/>
  <c r="H729" i="2"/>
  <c r="H713" i="2"/>
  <c r="H697" i="2"/>
  <c r="H681" i="2"/>
  <c r="H665" i="2"/>
  <c r="H649" i="2"/>
  <c r="H632" i="2"/>
  <c r="I632" i="2" s="1"/>
  <c r="H616" i="2"/>
  <c r="H600" i="2"/>
  <c r="H584" i="2"/>
  <c r="H568" i="2"/>
  <c r="I568" i="2" s="1"/>
  <c r="H552" i="2"/>
  <c r="H536" i="2"/>
  <c r="H520" i="2"/>
  <c r="H504" i="2"/>
  <c r="I504" i="2" s="1"/>
  <c r="H488" i="2"/>
  <c r="H472" i="2"/>
  <c r="H456" i="2"/>
  <c r="H440" i="2"/>
  <c r="I440" i="2" s="1"/>
  <c r="H424" i="2"/>
  <c r="H408" i="2"/>
  <c r="H392" i="2"/>
  <c r="H376" i="2"/>
  <c r="I376" i="2" s="1"/>
  <c r="H360" i="2"/>
  <c r="H344" i="2"/>
  <c r="H328" i="2"/>
  <c r="H312" i="2"/>
  <c r="H296" i="2"/>
  <c r="H1007" i="2"/>
  <c r="H991" i="2"/>
  <c r="H975" i="2"/>
  <c r="I975" i="2" s="1"/>
  <c r="H959" i="2"/>
  <c r="H943" i="2"/>
  <c r="H927" i="2"/>
  <c r="H911" i="2"/>
  <c r="I911" i="2" s="1"/>
  <c r="H895" i="2"/>
  <c r="H879" i="2"/>
  <c r="H863" i="2"/>
  <c r="H847" i="2"/>
  <c r="I847" i="2" s="1"/>
  <c r="H831" i="2"/>
  <c r="H815" i="2"/>
  <c r="H799" i="2"/>
  <c r="H783" i="2"/>
  <c r="I783" i="2" s="1"/>
  <c r="H767" i="2"/>
  <c r="H751" i="2"/>
  <c r="H735" i="2"/>
  <c r="H719" i="2"/>
  <c r="H703" i="2"/>
  <c r="H687" i="2"/>
  <c r="H671" i="2"/>
  <c r="H655" i="2"/>
  <c r="H639" i="2"/>
  <c r="H623" i="2"/>
  <c r="H607" i="2"/>
  <c r="H591" i="2"/>
  <c r="H575" i="2"/>
  <c r="H559" i="2"/>
  <c r="H543" i="2"/>
  <c r="H527" i="2"/>
  <c r="H511" i="2"/>
  <c r="H495" i="2"/>
  <c r="H479" i="2"/>
  <c r="H463" i="2"/>
  <c r="H447" i="2"/>
  <c r="H431" i="2"/>
  <c r="H415" i="2"/>
  <c r="H399" i="2"/>
  <c r="H383" i="2"/>
  <c r="H367" i="2"/>
  <c r="H351" i="2"/>
  <c r="H335" i="2"/>
  <c r="I335" i="2" s="1"/>
  <c r="H319" i="2"/>
  <c r="H303" i="2"/>
  <c r="H287" i="2"/>
  <c r="H271" i="2"/>
  <c r="I271" i="2" s="1"/>
  <c r="H255" i="2"/>
  <c r="H239" i="2"/>
  <c r="H223" i="2"/>
  <c r="H207" i="2"/>
  <c r="I207" i="2" s="1"/>
  <c r="H191" i="2"/>
  <c r="H175" i="2"/>
  <c r="H159" i="2"/>
  <c r="H143" i="2"/>
  <c r="I143" i="2" s="1"/>
  <c r="H127" i="2"/>
  <c r="H111" i="2"/>
  <c r="H95" i="2"/>
  <c r="H79" i="2"/>
  <c r="I79" i="2" s="1"/>
  <c r="H63" i="2"/>
  <c r="H47" i="2"/>
  <c r="H31" i="2"/>
  <c r="H15" i="2"/>
  <c r="I15" i="2" s="1"/>
  <c r="H362" i="2"/>
  <c r="H346" i="2"/>
  <c r="H629" i="2"/>
  <c r="H613" i="2"/>
  <c r="I613" i="2" s="1"/>
  <c r="H597" i="2"/>
  <c r="H581" i="2"/>
  <c r="H565" i="2"/>
  <c r="H549" i="2"/>
  <c r="I549" i="2" s="1"/>
  <c r="H533" i="2"/>
  <c r="H517" i="2"/>
  <c r="H501" i="2"/>
  <c r="H485" i="2"/>
  <c r="H469" i="2"/>
  <c r="H453" i="2"/>
  <c r="H437" i="2"/>
  <c r="H421" i="2"/>
  <c r="H405" i="2"/>
  <c r="H389" i="2"/>
  <c r="H373" i="2"/>
  <c r="H357" i="2"/>
  <c r="H341" i="2"/>
  <c r="H325" i="2"/>
  <c r="H309" i="2"/>
  <c r="H334" i="2"/>
  <c r="H318" i="2"/>
  <c r="H302" i="2"/>
  <c r="H2034" i="2"/>
  <c r="H1850" i="2"/>
  <c r="I1850" i="2" s="1"/>
  <c r="H1662" i="2"/>
  <c r="H1470" i="2"/>
  <c r="H1306" i="2"/>
  <c r="H1114" i="2"/>
  <c r="I1114" i="2" s="1"/>
  <c r="H934" i="2"/>
  <c r="H2022" i="2"/>
  <c r="H1830" i="2"/>
  <c r="H1650" i="2"/>
  <c r="I1650" i="2" s="1"/>
  <c r="H1466" i="2"/>
  <c r="H1230" i="2"/>
  <c r="H1050" i="2"/>
  <c r="H866" i="2"/>
  <c r="H734" i="2"/>
  <c r="H2054" i="2"/>
  <c r="H1858" i="2"/>
  <c r="H1654" i="2"/>
  <c r="H1450" i="2"/>
  <c r="H1266" i="2"/>
  <c r="H1066" i="2"/>
  <c r="H878" i="2"/>
  <c r="I878" i="2" s="1"/>
  <c r="H758" i="2"/>
  <c r="H618" i="2"/>
  <c r="H546" i="2"/>
  <c r="H482" i="2"/>
  <c r="I482" i="2" s="1"/>
  <c r="H418" i="2"/>
  <c r="H2149" i="2"/>
  <c r="H2085" i="2"/>
  <c r="H2021" i="2"/>
  <c r="I2021" i="2" s="1"/>
  <c r="H1957" i="2"/>
  <c r="H626" i="2"/>
  <c r="H2044" i="2"/>
  <c r="H1916" i="2"/>
  <c r="I1916" i="2" s="1"/>
  <c r="H1812" i="2"/>
  <c r="H1748" i="2"/>
  <c r="H1684" i="2"/>
  <c r="H1620" i="2"/>
  <c r="H1556" i="2"/>
  <c r="H1492" i="2"/>
  <c r="H1428" i="2"/>
  <c r="H1364" i="2"/>
  <c r="I1364" i="2" s="1"/>
  <c r="H630" i="2"/>
  <c r="H2108" i="2"/>
  <c r="H2048" i="2"/>
  <c r="H1984" i="2"/>
  <c r="H1920" i="2"/>
  <c r="H1860" i="2"/>
  <c r="H2139" i="2"/>
  <c r="H2107" i="2"/>
  <c r="I2107" i="2" s="1"/>
  <c r="H2075" i="2"/>
  <c r="H2043" i="2"/>
  <c r="H2011" i="2"/>
  <c r="H1979" i="2"/>
  <c r="I1979" i="2" s="1"/>
  <c r="H1947" i="2"/>
  <c r="H1915" i="2"/>
  <c r="H1887" i="2"/>
  <c r="H1867" i="2"/>
  <c r="I1867" i="2" s="1"/>
  <c r="H1847" i="2"/>
  <c r="H1823" i="2"/>
  <c r="H1803" i="2"/>
  <c r="H1783" i="2"/>
  <c r="I1783" i="2" s="1"/>
  <c r="H1759" i="2"/>
  <c r="H1739" i="2"/>
  <c r="H1723" i="2"/>
  <c r="H1707" i="2"/>
  <c r="I1707" i="2" s="1"/>
  <c r="H1691" i="2"/>
  <c r="H1675" i="2"/>
  <c r="H1901" i="2"/>
  <c r="H1885" i="2"/>
  <c r="I1885" i="2" s="1"/>
  <c r="H1869" i="2"/>
  <c r="H1853" i="2"/>
  <c r="H1837" i="2"/>
  <c r="H1821" i="2"/>
  <c r="H1805" i="2"/>
  <c r="H1789" i="2"/>
  <c r="H1773" i="2"/>
  <c r="H1757" i="2"/>
  <c r="H1741" i="2"/>
  <c r="H1725" i="2"/>
  <c r="H1709" i="2"/>
  <c r="H1693" i="2"/>
  <c r="H1677" i="2"/>
  <c r="H1661" i="2"/>
  <c r="H1645" i="2"/>
  <c r="H1629" i="2"/>
  <c r="H1613" i="2"/>
  <c r="H1597" i="2"/>
  <c r="H1581" i="2"/>
  <c r="H1565" i="2"/>
  <c r="H1549" i="2"/>
  <c r="H1533" i="2"/>
  <c r="H1517" i="2"/>
  <c r="H1501" i="2"/>
  <c r="H1485" i="2"/>
  <c r="H1469" i="2"/>
  <c r="H1453" i="2"/>
  <c r="H1437" i="2"/>
  <c r="H1421" i="2"/>
  <c r="H1405" i="2"/>
  <c r="H1389" i="2"/>
  <c r="H1373" i="2"/>
  <c r="H1357" i="2"/>
  <c r="H1341" i="2"/>
  <c r="H1325" i="2"/>
  <c r="H1309" i="2"/>
  <c r="H1293" i="2"/>
  <c r="H1277" i="2"/>
  <c r="H1261" i="2"/>
  <c r="H1300" i="2"/>
  <c r="I1300" i="2" s="1"/>
  <c r="H1284" i="2"/>
  <c r="H1268" i="2"/>
  <c r="H1252" i="2"/>
  <c r="H1236" i="2"/>
  <c r="I1236" i="2" s="1"/>
  <c r="H1220" i="2"/>
  <c r="H1204" i="2"/>
  <c r="H1188" i="2"/>
  <c r="H1172" i="2"/>
  <c r="I1172" i="2" s="1"/>
  <c r="H1156" i="2"/>
  <c r="H1140" i="2"/>
  <c r="H1124" i="2"/>
  <c r="H1108" i="2"/>
  <c r="I1108" i="2" s="1"/>
  <c r="H1092" i="2"/>
  <c r="H1076" i="2"/>
  <c r="H1060" i="2"/>
  <c r="H1044" i="2"/>
  <c r="I1044" i="2" s="1"/>
  <c r="H1028" i="2"/>
  <c r="H1012" i="2"/>
  <c r="H996" i="2"/>
  <c r="H980" i="2"/>
  <c r="I980" i="2" s="1"/>
  <c r="H964" i="2"/>
  <c r="H948" i="2"/>
  <c r="H932" i="2"/>
  <c r="H916" i="2"/>
  <c r="I916" i="2" s="1"/>
  <c r="H900" i="2"/>
  <c r="H884" i="2"/>
  <c r="H868" i="2"/>
  <c r="H852" i="2"/>
  <c r="I852" i="2" s="1"/>
  <c r="H836" i="2"/>
  <c r="H820" i="2"/>
  <c r="H804" i="2"/>
  <c r="H788" i="2"/>
  <c r="I788" i="2" s="1"/>
  <c r="H772" i="2"/>
  <c r="H756" i="2"/>
  <c r="H740" i="2"/>
  <c r="H724" i="2"/>
  <c r="I724" i="2" s="1"/>
  <c r="H708" i="2"/>
  <c r="H692" i="2"/>
  <c r="H676" i="2"/>
  <c r="H660" i="2"/>
  <c r="I660" i="2" s="1"/>
  <c r="H644" i="2"/>
  <c r="H1655" i="2"/>
  <c r="H1639" i="2"/>
  <c r="H1623" i="2"/>
  <c r="I1623" i="2" s="1"/>
  <c r="H1607" i="2"/>
  <c r="H1591" i="2"/>
  <c r="H1575" i="2"/>
  <c r="H1559" i="2"/>
  <c r="I1559" i="2" s="1"/>
  <c r="H1543" i="2"/>
  <c r="H1527" i="2"/>
  <c r="H1511" i="2"/>
  <c r="H1495" i="2"/>
  <c r="I1495" i="2" s="1"/>
  <c r="H1479" i="2"/>
  <c r="H1463" i="2"/>
  <c r="H1447" i="2"/>
  <c r="H1431" i="2"/>
  <c r="I1431" i="2" s="1"/>
  <c r="H1415" i="2"/>
  <c r="H1399" i="2"/>
  <c r="H1383" i="2"/>
  <c r="H1367" i="2"/>
  <c r="I1367" i="2" s="1"/>
  <c r="H1351" i="2"/>
  <c r="H1335" i="2"/>
  <c r="H1319" i="2"/>
  <c r="H1303" i="2"/>
  <c r="H1287" i="2"/>
  <c r="H1271" i="2"/>
  <c r="H1255" i="2"/>
  <c r="H1239" i="2"/>
  <c r="H1223" i="2"/>
  <c r="H1207" i="2"/>
  <c r="H1191" i="2"/>
  <c r="H1175" i="2"/>
  <c r="H1159" i="2"/>
  <c r="H1143" i="2"/>
  <c r="H1127" i="2"/>
  <c r="H1111" i="2"/>
  <c r="H1095" i="2"/>
  <c r="H1079" i="2"/>
  <c r="H1063" i="2"/>
  <c r="H1047" i="2"/>
  <c r="H1031" i="2"/>
  <c r="H1253" i="2"/>
  <c r="H1237" i="2"/>
  <c r="H1221" i="2"/>
  <c r="H1205" i="2"/>
  <c r="H1189" i="2"/>
  <c r="H1173" i="2"/>
  <c r="H1157" i="2"/>
  <c r="I1157" i="2" s="1"/>
  <c r="H1141" i="2"/>
  <c r="H1125" i="2"/>
  <c r="H1109" i="2"/>
  <c r="H1093" i="2"/>
  <c r="I1093" i="2" s="1"/>
  <c r="H1077" i="2"/>
  <c r="H1061" i="2"/>
  <c r="H1045" i="2"/>
  <c r="H1029" i="2"/>
  <c r="I1029" i="2" s="1"/>
  <c r="H1013" i="2"/>
  <c r="H997" i="2"/>
  <c r="H981" i="2"/>
  <c r="H965" i="2"/>
  <c r="H949" i="2"/>
  <c r="H933" i="2"/>
  <c r="H917" i="2"/>
  <c r="H901" i="2"/>
  <c r="I901" i="2" s="1"/>
  <c r="H885" i="2"/>
  <c r="H869" i="2"/>
  <c r="H853" i="2"/>
  <c r="H837" i="2"/>
  <c r="I837" i="2" s="1"/>
  <c r="H821" i="2"/>
  <c r="H805" i="2"/>
  <c r="H789" i="2"/>
  <c r="H773" i="2"/>
  <c r="I773" i="2" s="1"/>
  <c r="H757" i="2"/>
  <c r="H741" i="2"/>
  <c r="H725" i="2"/>
  <c r="H709" i="2"/>
  <c r="I709" i="2" s="1"/>
  <c r="H693" i="2"/>
  <c r="H677" i="2"/>
  <c r="H661" i="2"/>
  <c r="H645" i="2"/>
  <c r="I645" i="2" s="1"/>
  <c r="H628" i="2"/>
  <c r="H612" i="2"/>
  <c r="H596" i="2"/>
  <c r="H580" i="2"/>
  <c r="I580" i="2" s="1"/>
  <c r="H564" i="2"/>
  <c r="H548" i="2"/>
  <c r="H532" i="2"/>
  <c r="H516" i="2"/>
  <c r="I516" i="2" s="1"/>
  <c r="H500" i="2"/>
  <c r="H484" i="2"/>
  <c r="H468" i="2"/>
  <c r="H452" i="2"/>
  <c r="I452" i="2" s="1"/>
  <c r="H436" i="2"/>
  <c r="H420" i="2"/>
  <c r="H404" i="2"/>
  <c r="H388" i="2"/>
  <c r="I388" i="2" s="1"/>
  <c r="H372" i="2"/>
  <c r="H356" i="2"/>
  <c r="H340" i="2"/>
  <c r="H324" i="2"/>
  <c r="I324" i="2" s="1"/>
  <c r="H308" i="2"/>
  <c r="H1019" i="2"/>
  <c r="H1003" i="2"/>
  <c r="H987" i="2"/>
  <c r="I987" i="2" s="1"/>
  <c r="H971" i="2"/>
  <c r="H955" i="2"/>
  <c r="H939" i="2"/>
  <c r="H923" i="2"/>
  <c r="I923" i="2" s="1"/>
  <c r="H907" i="2"/>
  <c r="H891" i="2"/>
  <c r="H875" i="2"/>
  <c r="H859" i="2"/>
  <c r="I859" i="2" s="1"/>
  <c r="H843" i="2"/>
  <c r="H827" i="2"/>
  <c r="H811" i="2"/>
  <c r="H795" i="2"/>
  <c r="I795" i="2" s="1"/>
  <c r="H779" i="2"/>
  <c r="H763" i="2"/>
  <c r="H747" i="2"/>
  <c r="H731" i="2"/>
  <c r="I731" i="2" s="1"/>
  <c r="H715" i="2"/>
  <c r="H699" i="2"/>
  <c r="H683" i="2"/>
  <c r="H667" i="2"/>
  <c r="I667" i="2" s="1"/>
  <c r="H651" i="2"/>
  <c r="H635" i="2"/>
  <c r="H619" i="2"/>
  <c r="H603" i="2"/>
  <c r="I603" i="2" s="1"/>
  <c r="H587" i="2"/>
  <c r="H571" i="2"/>
  <c r="H555" i="2"/>
  <c r="H539" i="2"/>
  <c r="I539" i="2" s="1"/>
  <c r="H523" i="2"/>
  <c r="H507" i="2"/>
  <c r="H491" i="2"/>
  <c r="H475" i="2"/>
  <c r="I475" i="2" s="1"/>
  <c r="H459" i="2"/>
  <c r="H443" i="2"/>
  <c r="H427" i="2"/>
  <c r="H411" i="2"/>
  <c r="I411" i="2" s="1"/>
  <c r="H395" i="2"/>
  <c r="H379" i="2"/>
  <c r="H363" i="2"/>
  <c r="H347" i="2"/>
  <c r="H331" i="2"/>
  <c r="H315" i="2"/>
  <c r="H299" i="2"/>
  <c r="H283" i="2"/>
  <c r="H267" i="2"/>
  <c r="H251" i="2"/>
  <c r="H235" i="2"/>
  <c r="H219" i="2"/>
  <c r="I219" i="2" s="1"/>
  <c r="H203" i="2"/>
  <c r="H187" i="2"/>
  <c r="H171" i="2"/>
  <c r="H155" i="2"/>
  <c r="H139" i="2"/>
  <c r="H123" i="2"/>
  <c r="H107" i="2"/>
  <c r="H91" i="2"/>
  <c r="I91" i="2" s="1"/>
  <c r="H75" i="2"/>
  <c r="H59" i="2"/>
  <c r="H43" i="2"/>
  <c r="H27" i="2"/>
  <c r="H11" i="2"/>
  <c r="H358" i="2"/>
  <c r="H342" i="2"/>
  <c r="H625" i="2"/>
  <c r="I625" i="2" s="1"/>
  <c r="H609" i="2"/>
  <c r="H593" i="2"/>
  <c r="H577" i="2"/>
  <c r="H561" i="2"/>
  <c r="I561" i="2" s="1"/>
  <c r="H545" i="2"/>
  <c r="H529" i="2"/>
  <c r="H513" i="2"/>
  <c r="H497" i="2"/>
  <c r="I497" i="2" s="1"/>
  <c r="H481" i="2"/>
  <c r="H465" i="2"/>
  <c r="H449" i="2"/>
  <c r="H433" i="2"/>
  <c r="I433" i="2" s="1"/>
  <c r="H417" i="2"/>
  <c r="H401" i="2"/>
  <c r="H385" i="2"/>
  <c r="H369" i="2"/>
  <c r="I369" i="2" s="1"/>
  <c r="H353" i="2"/>
  <c r="H337" i="2"/>
  <c r="H321" i="2"/>
  <c r="H305" i="2"/>
  <c r="I305" i="2" s="1"/>
  <c r="H330" i="2"/>
  <c r="H314" i="2"/>
  <c r="H298" i="2"/>
  <c r="H1990" i="2"/>
  <c r="I1990" i="2" s="1"/>
  <c r="H1262" i="2"/>
  <c r="H1786" i="2"/>
  <c r="H998" i="2"/>
  <c r="H1806" i="2"/>
  <c r="I1806" i="2" s="1"/>
  <c r="H1018" i="2"/>
  <c r="H530" i="2"/>
  <c r="H2069" i="2"/>
  <c r="H2012" i="2"/>
  <c r="I2012" i="2" s="1"/>
  <c r="H1668" i="2"/>
  <c r="H1412" i="2"/>
  <c r="H2040" i="2"/>
  <c r="H2135" i="2"/>
  <c r="I2135" i="2" s="1"/>
  <c r="H2007" i="2"/>
  <c r="H1883" i="2"/>
  <c r="H1799" i="2"/>
  <c r="H1719" i="2"/>
  <c r="I1719" i="2" s="1"/>
  <c r="H1897" i="2"/>
  <c r="H1833" i="2"/>
  <c r="H1769" i="2"/>
  <c r="H1705" i="2"/>
  <c r="I1705" i="2" s="1"/>
  <c r="H1641" i="2"/>
  <c r="H1577" i="2"/>
  <c r="H1513" i="2"/>
  <c r="H1449" i="2"/>
  <c r="I1449" i="2" s="1"/>
  <c r="H1385" i="2"/>
  <c r="H1321" i="2"/>
  <c r="H1312" i="2"/>
  <c r="H1248" i="2"/>
  <c r="H1184" i="2"/>
  <c r="H1120" i="2"/>
  <c r="H1056" i="2"/>
  <c r="H992" i="2"/>
  <c r="H928" i="2"/>
  <c r="H864" i="2"/>
  <c r="H800" i="2"/>
  <c r="H736" i="2"/>
  <c r="I736" i="2" s="1"/>
  <c r="H672" i="2"/>
  <c r="H1635" i="2"/>
  <c r="H1571" i="2"/>
  <c r="H1507" i="2"/>
  <c r="H1443" i="2"/>
  <c r="H1379" i="2"/>
  <c r="H1315" i="2"/>
  <c r="H1251" i="2"/>
  <c r="I1251" i="2" s="1"/>
  <c r="H1187" i="2"/>
  <c r="H1123" i="2"/>
  <c r="H1059" i="2"/>
  <c r="H1233" i="2"/>
  <c r="H1169" i="2"/>
  <c r="H1105" i="2"/>
  <c r="H1041" i="2"/>
  <c r="H977" i="2"/>
  <c r="H913" i="2"/>
  <c r="H849" i="2"/>
  <c r="H785" i="2"/>
  <c r="H721" i="2"/>
  <c r="I721" i="2" s="1"/>
  <c r="H657" i="2"/>
  <c r="H592" i="2"/>
  <c r="H528" i="2"/>
  <c r="H464" i="2"/>
  <c r="H400" i="2"/>
  <c r="H336" i="2"/>
  <c r="H999" i="2"/>
  <c r="H935" i="2"/>
  <c r="H871" i="2"/>
  <c r="H807" i="2"/>
  <c r="H743" i="2"/>
  <c r="H679" i="2"/>
  <c r="I679" i="2" s="1"/>
  <c r="H615" i="2"/>
  <c r="H551" i="2"/>
  <c r="H487" i="2"/>
  <c r="H423" i="2"/>
  <c r="I423" i="2" s="1"/>
  <c r="H359" i="2"/>
  <c r="H327" i="2"/>
  <c r="H295" i="2"/>
  <c r="H263" i="2"/>
  <c r="I263" i="2" s="1"/>
  <c r="H231" i="2"/>
  <c r="H199" i="2"/>
  <c r="H167" i="2"/>
  <c r="H135" i="2"/>
  <c r="I135" i="2" s="1"/>
  <c r="H103" i="2"/>
  <c r="H71" i="2"/>
  <c r="H39" i="2"/>
  <c r="H7" i="2"/>
  <c r="I7" i="2" s="1"/>
  <c r="H338" i="2"/>
  <c r="H605" i="2"/>
  <c r="H573" i="2"/>
  <c r="H541" i="2"/>
  <c r="I541" i="2" s="1"/>
  <c r="H509" i="2"/>
  <c r="H477" i="2"/>
  <c r="H445" i="2"/>
  <c r="H413" i="2"/>
  <c r="I413" i="2" s="1"/>
  <c r="H381" i="2"/>
  <c r="H349" i="2"/>
  <c r="H317" i="2"/>
  <c r="H326" i="2"/>
  <c r="I326" i="2" s="1"/>
  <c r="H294" i="2"/>
  <c r="H278" i="2"/>
  <c r="H262" i="2"/>
  <c r="H246" i="2"/>
  <c r="I246" i="2" s="1"/>
  <c r="H230" i="2"/>
  <c r="H214" i="2"/>
  <c r="H198" i="2"/>
  <c r="H182" i="2"/>
  <c r="I182" i="2" s="1"/>
  <c r="H166" i="2"/>
  <c r="H150" i="2"/>
  <c r="H134" i="2"/>
  <c r="H118" i="2"/>
  <c r="I118" i="2" s="1"/>
  <c r="H102" i="2"/>
  <c r="H86" i="2"/>
  <c r="H70" i="2"/>
  <c r="H54" i="2"/>
  <c r="I54" i="2" s="1"/>
  <c r="H38" i="2"/>
  <c r="H22" i="2"/>
  <c r="H6" i="2"/>
  <c r="H281" i="2"/>
  <c r="I281" i="2" s="1"/>
  <c r="H265" i="2"/>
  <c r="H249" i="2"/>
  <c r="H233" i="2"/>
  <c r="H217" i="2"/>
  <c r="I217" i="2" s="1"/>
  <c r="H201" i="2"/>
  <c r="H185" i="2"/>
  <c r="H169" i="2"/>
  <c r="H153" i="2"/>
  <c r="I153" i="2" s="1"/>
  <c r="H137" i="2"/>
  <c r="H121" i="2"/>
  <c r="H105" i="2"/>
  <c r="H89" i="2"/>
  <c r="I89" i="2" s="1"/>
  <c r="H73" i="2"/>
  <c r="H57" i="2"/>
  <c r="H41" i="2"/>
  <c r="H25" i="2"/>
  <c r="I25" i="2" s="1"/>
  <c r="H9" i="2"/>
  <c r="H284" i="2"/>
  <c r="H268" i="2"/>
  <c r="H252" i="2"/>
  <c r="I252" i="2" s="1"/>
  <c r="H236" i="2"/>
  <c r="H220" i="2"/>
  <c r="H204" i="2"/>
  <c r="H188" i="2"/>
  <c r="I188" i="2" s="1"/>
  <c r="H172" i="2"/>
  <c r="H156" i="2"/>
  <c r="H140" i="2"/>
  <c r="H124" i="2"/>
  <c r="I124" i="2" s="1"/>
  <c r="H108" i="2"/>
  <c r="H92" i="2"/>
  <c r="H76" i="2"/>
  <c r="H60" i="2"/>
  <c r="I60" i="2" s="1"/>
  <c r="H44" i="2"/>
  <c r="H28" i="2"/>
  <c r="H12" i="2"/>
  <c r="H1802" i="2"/>
  <c r="I1802" i="2" s="1"/>
  <c r="H1070" i="2"/>
  <c r="H1602" i="2"/>
  <c r="H826" i="2"/>
  <c r="H1606" i="2"/>
  <c r="H854" i="2"/>
  <c r="H466" i="2"/>
  <c r="H2005" i="2"/>
  <c r="H1880" i="2"/>
  <c r="H1604" i="2"/>
  <c r="H1348" i="2"/>
  <c r="H1976" i="2"/>
  <c r="H2103" i="2"/>
  <c r="I2103" i="2" s="1"/>
  <c r="H1975" i="2"/>
  <c r="H1863" i="2"/>
  <c r="H1775" i="2"/>
  <c r="H1703" i="2"/>
  <c r="I1703" i="2" s="1"/>
  <c r="H1881" i="2"/>
  <c r="H1817" i="2"/>
  <c r="H1753" i="2"/>
  <c r="H1689" i="2"/>
  <c r="I1689" i="2" s="1"/>
  <c r="H1625" i="2"/>
  <c r="H1561" i="2"/>
  <c r="H1497" i="2"/>
  <c r="H1433" i="2"/>
  <c r="I1433" i="2" s="1"/>
  <c r="H1369" i="2"/>
  <c r="H1305" i="2"/>
  <c r="H1296" i="2"/>
  <c r="H1232" i="2"/>
  <c r="H1168" i="2"/>
  <c r="H1104" i="2"/>
  <c r="H1040" i="2"/>
  <c r="H976" i="2"/>
  <c r="H912" i="2"/>
  <c r="H848" i="2"/>
  <c r="H784" i="2"/>
  <c r="H720" i="2"/>
  <c r="I720" i="2" s="1"/>
  <c r="H656" i="2"/>
  <c r="H1619" i="2"/>
  <c r="H1555" i="2"/>
  <c r="H1491" i="2"/>
  <c r="H1427" i="2"/>
  <c r="H1363" i="2"/>
  <c r="H1299" i="2"/>
  <c r="H1235" i="2"/>
  <c r="I1235" i="2" s="1"/>
  <c r="H1171" i="2"/>
  <c r="H1107" i="2"/>
  <c r="H1043" i="2"/>
  <c r="H1217" i="2"/>
  <c r="I1217" i="2" s="1"/>
  <c r="H1153" i="2"/>
  <c r="H1089" i="2"/>
  <c r="H1025" i="2"/>
  <c r="H961" i="2"/>
  <c r="I961" i="2" s="1"/>
  <c r="H897" i="2"/>
  <c r="H833" i="2"/>
  <c r="H769" i="2"/>
  <c r="H705" i="2"/>
  <c r="I705" i="2" s="1"/>
  <c r="H641" i="2"/>
  <c r="H576" i="2"/>
  <c r="H512" i="2"/>
  <c r="H448" i="2"/>
  <c r="H384" i="2"/>
  <c r="H320" i="2"/>
  <c r="H983" i="2"/>
  <c r="H919" i="2"/>
  <c r="H855" i="2"/>
  <c r="H791" i="2"/>
  <c r="H727" i="2"/>
  <c r="H663" i="2"/>
  <c r="I663" i="2" s="1"/>
  <c r="H599" i="2"/>
  <c r="H535" i="2"/>
  <c r="H471" i="2"/>
  <c r="H407" i="2"/>
  <c r="I407" i="2" s="1"/>
  <c r="H355" i="2"/>
  <c r="H323" i="2"/>
  <c r="H291" i="2"/>
  <c r="H259" i="2"/>
  <c r="I259" i="2" s="1"/>
  <c r="H227" i="2"/>
  <c r="H195" i="2"/>
  <c r="H163" i="2"/>
  <c r="H131" i="2"/>
  <c r="H99" i="2"/>
  <c r="H67" i="2"/>
  <c r="H35" i="2"/>
  <c r="H366" i="2"/>
  <c r="I366" i="2" s="1"/>
  <c r="H633" i="2"/>
  <c r="H601" i="2"/>
  <c r="H569" i="2"/>
  <c r="H537" i="2"/>
  <c r="H505" i="2"/>
  <c r="H473" i="2"/>
  <c r="H441" i="2"/>
  <c r="H409" i="2"/>
  <c r="I409" i="2" s="1"/>
  <c r="H377" i="2"/>
  <c r="H345" i="2"/>
  <c r="H313" i="2"/>
  <c r="H322" i="2"/>
  <c r="H290" i="2"/>
  <c r="H274" i="2"/>
  <c r="H258" i="2"/>
  <c r="H242" i="2"/>
  <c r="I242" i="2" s="1"/>
  <c r="H226" i="2"/>
  <c r="H210" i="2"/>
  <c r="H194" i="2"/>
  <c r="H178" i="2"/>
  <c r="I178" i="2" s="1"/>
  <c r="H162" i="2"/>
  <c r="H146" i="2"/>
  <c r="H130" i="2"/>
  <c r="H114" i="2"/>
  <c r="I114" i="2" s="1"/>
  <c r="H98" i="2"/>
  <c r="H82" i="2"/>
  <c r="H66" i="2"/>
  <c r="H50" i="2"/>
  <c r="I50" i="2" s="1"/>
  <c r="H34" i="2"/>
  <c r="H18" i="2"/>
  <c r="H293" i="2"/>
  <c r="H277" i="2"/>
  <c r="I277" i="2" s="1"/>
  <c r="H261" i="2"/>
  <c r="H245" i="2"/>
  <c r="H229" i="2"/>
  <c r="H213" i="2"/>
  <c r="I213" i="2" s="1"/>
  <c r="H197" i="2"/>
  <c r="H181" i="2"/>
  <c r="H165" i="2"/>
  <c r="H149" i="2"/>
  <c r="I149" i="2" s="1"/>
  <c r="H133" i="2"/>
  <c r="H117" i="2"/>
  <c r="H101" i="2"/>
  <c r="H85" i="2"/>
  <c r="I85" i="2" s="1"/>
  <c r="H69" i="2"/>
  <c r="H53" i="2"/>
  <c r="H37" i="2"/>
  <c r="H21" i="2"/>
  <c r="I21" i="2" s="1"/>
  <c r="H5" i="2"/>
  <c r="H280" i="2"/>
  <c r="H264" i="2"/>
  <c r="H248" i="2"/>
  <c r="H232" i="2"/>
  <c r="H216" i="2"/>
  <c r="H200" i="2"/>
  <c r="H184" i="2"/>
  <c r="H168" i="2"/>
  <c r="H152" i="2"/>
  <c r="H136" i="2"/>
  <c r="H120" i="2"/>
  <c r="H104" i="2"/>
  <c r="H88" i="2"/>
  <c r="H72" i="2"/>
  <c r="H56" i="2"/>
  <c r="H40" i="2"/>
  <c r="H24" i="2"/>
  <c r="H8" i="2"/>
  <c r="H1610" i="2"/>
  <c r="I1610" i="2" s="1"/>
  <c r="H670" i="2"/>
  <c r="H1418" i="2"/>
  <c r="H702" i="2"/>
  <c r="H1398" i="2"/>
  <c r="H722" i="2"/>
  <c r="H402" i="2"/>
  <c r="H1941" i="2"/>
  <c r="H1796" i="2"/>
  <c r="I1796" i="2" s="1"/>
  <c r="H1540" i="2"/>
  <c r="H594" i="2"/>
  <c r="H1912" i="2"/>
  <c r="H2071" i="2"/>
  <c r="I2071" i="2" s="1"/>
  <c r="H1943" i="2"/>
  <c r="H1839" i="2"/>
  <c r="H1755" i="2"/>
  <c r="H1687" i="2"/>
  <c r="I1687" i="2" s="1"/>
  <c r="H1865" i="2"/>
  <c r="H1801" i="2"/>
  <c r="H1737" i="2"/>
  <c r="H1673" i="2"/>
  <c r="I1673" i="2" s="1"/>
  <c r="H1609" i="2"/>
  <c r="H1545" i="2"/>
  <c r="H1481" i="2"/>
  <c r="H1417" i="2"/>
  <c r="I1417" i="2" s="1"/>
  <c r="H1353" i="2"/>
  <c r="H1289" i="2"/>
  <c r="H1280" i="2"/>
  <c r="H1216" i="2"/>
  <c r="H1152" i="2"/>
  <c r="H1088" i="2"/>
  <c r="H1024" i="2"/>
  <c r="H960" i="2"/>
  <c r="H896" i="2"/>
  <c r="H832" i="2"/>
  <c r="H768" i="2"/>
  <c r="H704" i="2"/>
  <c r="I704" i="2" s="1"/>
  <c r="H640" i="2"/>
  <c r="H1603" i="2"/>
  <c r="H1539" i="2"/>
  <c r="H1475" i="2"/>
  <c r="H1411" i="2"/>
  <c r="H1347" i="2"/>
  <c r="H1283" i="2"/>
  <c r="H1219" i="2"/>
  <c r="I1219" i="2" s="1"/>
  <c r="H1155" i="2"/>
  <c r="H1091" i="2"/>
  <c r="H1027" i="2"/>
  <c r="H1201" i="2"/>
  <c r="I1201" i="2" s="1"/>
  <c r="H1137" i="2"/>
  <c r="H1073" i="2"/>
  <c r="H1009" i="2"/>
  <c r="H945" i="2"/>
  <c r="I945" i="2" s="1"/>
  <c r="H881" i="2"/>
  <c r="H817" i="2"/>
  <c r="H753" i="2"/>
  <c r="H689" i="2"/>
  <c r="I689" i="2" s="1"/>
  <c r="H624" i="2"/>
  <c r="H560" i="2"/>
  <c r="H496" i="2"/>
  <c r="H432" i="2"/>
  <c r="H368" i="2"/>
  <c r="H304" i="2"/>
  <c r="H967" i="2"/>
  <c r="H903" i="2"/>
  <c r="H839" i="2"/>
  <c r="H775" i="2"/>
  <c r="H711" i="2"/>
  <c r="H647" i="2"/>
  <c r="I647" i="2" s="1"/>
  <c r="H583" i="2"/>
  <c r="H519" i="2"/>
  <c r="H455" i="2"/>
  <c r="H391" i="2"/>
  <c r="I391" i="2" s="1"/>
  <c r="H343" i="2"/>
  <c r="H311" i="2"/>
  <c r="H279" i="2"/>
  <c r="H247" i="2"/>
  <c r="H215" i="2"/>
  <c r="H183" i="2"/>
  <c r="H151" i="2"/>
  <c r="H119" i="2"/>
  <c r="H87" i="2"/>
  <c r="H55" i="2"/>
  <c r="H23" i="2"/>
  <c r="H354" i="2"/>
  <c r="I354" i="2" s="1"/>
  <c r="H621" i="2"/>
  <c r="H589" i="2"/>
  <c r="H557" i="2"/>
  <c r="H525" i="2"/>
  <c r="I525" i="2" s="1"/>
  <c r="H493" i="2"/>
  <c r="H461" i="2"/>
  <c r="H429" i="2"/>
  <c r="H397" i="2"/>
  <c r="I397" i="2" s="1"/>
  <c r="H365" i="2"/>
  <c r="H333" i="2"/>
  <c r="H301" i="2"/>
  <c r="H310" i="2"/>
  <c r="I310" i="2" s="1"/>
  <c r="H286" i="2"/>
  <c r="H270" i="2"/>
  <c r="H254" i="2"/>
  <c r="H238" i="2"/>
  <c r="H222" i="2"/>
  <c r="H206" i="2"/>
  <c r="H190" i="2"/>
  <c r="H174" i="2"/>
  <c r="H158" i="2"/>
  <c r="H142" i="2"/>
  <c r="H126" i="2"/>
  <c r="H110" i="2"/>
  <c r="H94" i="2"/>
  <c r="H78" i="2"/>
  <c r="H62" i="2"/>
  <c r="H46" i="2"/>
  <c r="H30" i="2"/>
  <c r="H14" i="2"/>
  <c r="H289" i="2"/>
  <c r="H273" i="2"/>
  <c r="I273" i="2" s="1"/>
  <c r="H257" i="2"/>
  <c r="H241" i="2"/>
  <c r="H225" i="2"/>
  <c r="H209" i="2"/>
  <c r="I209" i="2" s="1"/>
  <c r="H193" i="2"/>
  <c r="H177" i="2"/>
  <c r="H161" i="2"/>
  <c r="H145" i="2"/>
  <c r="I145" i="2" s="1"/>
  <c r="H129" i="2"/>
  <c r="H113" i="2"/>
  <c r="H97" i="2"/>
  <c r="H81" i="2"/>
  <c r="I81" i="2" s="1"/>
  <c r="H65" i="2"/>
  <c r="H49" i="2"/>
  <c r="H33" i="2"/>
  <c r="H17" i="2"/>
  <c r="I17" i="2" s="1"/>
  <c r="H292" i="2"/>
  <c r="H276" i="2"/>
  <c r="H260" i="2"/>
  <c r="H244" i="2"/>
  <c r="I244" i="2" s="1"/>
  <c r="H228" i="2"/>
  <c r="H212" i="2"/>
  <c r="H196" i="2"/>
  <c r="H180" i="2"/>
  <c r="I180" i="2" s="1"/>
  <c r="H164" i="2"/>
  <c r="H148" i="2"/>
  <c r="H132" i="2"/>
  <c r="H116" i="2"/>
  <c r="I116" i="2" s="1"/>
  <c r="H100" i="2"/>
  <c r="H84" i="2"/>
  <c r="H68" i="2"/>
  <c r="H52" i="2"/>
  <c r="I52" i="2" s="1"/>
  <c r="H36" i="2"/>
  <c r="H20" i="2"/>
  <c r="H4" i="2"/>
  <c r="H1426" i="2"/>
  <c r="I1426" i="2" s="1"/>
  <c r="H1218" i="2"/>
  <c r="H1732" i="2"/>
  <c r="H2039" i="2"/>
  <c r="H1671" i="2"/>
  <c r="I1671" i="2" s="1"/>
  <c r="H1657" i="2"/>
  <c r="H1401" i="2"/>
  <c r="H1200" i="2"/>
  <c r="H944" i="2"/>
  <c r="H688" i="2"/>
  <c r="H1459" i="2"/>
  <c r="H1203" i="2"/>
  <c r="H1185" i="2"/>
  <c r="I1185" i="2" s="1"/>
  <c r="H929" i="2"/>
  <c r="H673" i="2"/>
  <c r="H416" i="2"/>
  <c r="H887" i="2"/>
  <c r="H631" i="2"/>
  <c r="H375" i="2"/>
  <c r="H243" i="2"/>
  <c r="H115" i="2"/>
  <c r="I115" i="2" s="1"/>
  <c r="H350" i="2"/>
  <c r="H521" i="2"/>
  <c r="H393" i="2"/>
  <c r="H306" i="2"/>
  <c r="I306" i="2" s="1"/>
  <c r="H234" i="2"/>
  <c r="H170" i="2"/>
  <c r="H106" i="2"/>
  <c r="H42" i="2"/>
  <c r="I42" i="2" s="1"/>
  <c r="H269" i="2"/>
  <c r="H205" i="2"/>
  <c r="H141" i="2"/>
  <c r="H77" i="2"/>
  <c r="H13" i="2"/>
  <c r="H240" i="2"/>
  <c r="H176" i="2"/>
  <c r="I176" i="2" s="1"/>
  <c r="H112" i="2"/>
  <c r="I112" i="2" s="1"/>
  <c r="H48" i="2"/>
  <c r="I48" i="2" s="1"/>
  <c r="H1978" i="2"/>
  <c r="H602" i="2"/>
  <c r="H1476" i="2"/>
  <c r="I1476" i="2" s="1"/>
  <c r="H1911" i="2"/>
  <c r="H1849" i="2"/>
  <c r="H1593" i="2"/>
  <c r="H1337" i="2"/>
  <c r="H1136" i="2"/>
  <c r="H880" i="2"/>
  <c r="H1651" i="2"/>
  <c r="H1395" i="2"/>
  <c r="H1139" i="2"/>
  <c r="H1121" i="2"/>
  <c r="H865" i="2"/>
  <c r="H608" i="2"/>
  <c r="I608" i="2" s="1"/>
  <c r="H352" i="2"/>
  <c r="H823" i="2"/>
  <c r="H567" i="2"/>
  <c r="H339" i="2"/>
  <c r="I339" i="2" s="1"/>
  <c r="H211" i="2"/>
  <c r="H83" i="2"/>
  <c r="H617" i="2"/>
  <c r="H489" i="2"/>
  <c r="I489" i="2" s="1"/>
  <c r="H361" i="2"/>
  <c r="H282" i="2"/>
  <c r="H218" i="2"/>
  <c r="H154" i="2"/>
  <c r="I154" i="2" s="1"/>
  <c r="H90" i="2"/>
  <c r="H26" i="2"/>
  <c r="H253" i="2"/>
  <c r="H189" i="2"/>
  <c r="H125" i="2"/>
  <c r="H61" i="2"/>
  <c r="H288" i="2"/>
  <c r="I288" i="2" s="1"/>
  <c r="H224" i="2"/>
  <c r="I224" i="2" s="1"/>
  <c r="H160" i="2"/>
  <c r="I160" i="2" s="1"/>
  <c r="H96" i="2"/>
  <c r="H32" i="2"/>
  <c r="I32" i="2" s="1"/>
  <c r="H2006" i="2"/>
  <c r="I2006" i="2" s="1"/>
  <c r="H1852" i="2"/>
  <c r="H1465" i="2"/>
  <c r="H1008" i="2"/>
  <c r="H1523" i="2"/>
  <c r="H993" i="2"/>
  <c r="H480" i="2"/>
  <c r="H695" i="2"/>
  <c r="H275" i="2"/>
  <c r="I275" i="2" s="1"/>
  <c r="H553" i="2"/>
  <c r="H297" i="2"/>
  <c r="H186" i="2"/>
  <c r="H58" i="2"/>
  <c r="I58" i="2" s="1"/>
  <c r="H221" i="2"/>
  <c r="H93" i="2"/>
  <c r="H192" i="2"/>
  <c r="I192" i="2" s="1"/>
  <c r="H64" i="2"/>
  <c r="I64" i="2" s="1"/>
  <c r="H1190" i="2"/>
  <c r="H2133" i="2"/>
  <c r="H2100" i="2"/>
  <c r="H1819" i="2"/>
  <c r="I1819" i="2" s="1"/>
  <c r="H1785" i="2"/>
  <c r="H1529" i="2"/>
  <c r="H1273" i="2"/>
  <c r="H1072" i="2"/>
  <c r="H816" i="2"/>
  <c r="H1587" i="2"/>
  <c r="H1331" i="2"/>
  <c r="H1075" i="2"/>
  <c r="I1075" i="2" s="1"/>
  <c r="H1057" i="2"/>
  <c r="H801" i="2"/>
  <c r="H544" i="2"/>
  <c r="H1015" i="2"/>
  <c r="H759" i="2"/>
  <c r="H503" i="2"/>
  <c r="H307" i="2"/>
  <c r="H179" i="2"/>
  <c r="H51" i="2"/>
  <c r="H585" i="2"/>
  <c r="H457" i="2"/>
  <c r="H329" i="2"/>
  <c r="I329" i="2" s="1"/>
  <c r="H266" i="2"/>
  <c r="H202" i="2"/>
  <c r="H138" i="2"/>
  <c r="H74" i="2"/>
  <c r="I74" i="2" s="1"/>
  <c r="H10" i="2"/>
  <c r="H237" i="2"/>
  <c r="H173" i="2"/>
  <c r="H109" i="2"/>
  <c r="H45" i="2"/>
  <c r="H272" i="2"/>
  <c r="H208" i="2"/>
  <c r="I208" i="2" s="1"/>
  <c r="H144" i="2"/>
  <c r="I144" i="2" s="1"/>
  <c r="H80" i="2"/>
  <c r="I80" i="2" s="1"/>
  <c r="H16" i="2"/>
  <c r="H2144" i="2"/>
  <c r="H1735" i="2"/>
  <c r="I1735" i="2" s="1"/>
  <c r="H1721" i="2"/>
  <c r="H1264" i="2"/>
  <c r="H752" i="2"/>
  <c r="H1267" i="2"/>
  <c r="I1267" i="2" s="1"/>
  <c r="H1249" i="2"/>
  <c r="H737" i="2"/>
  <c r="H951" i="2"/>
  <c r="H439" i="2"/>
  <c r="H147" i="2"/>
  <c r="H19" i="2"/>
  <c r="H425" i="2"/>
  <c r="H250" i="2"/>
  <c r="I250" i="2" s="1"/>
  <c r="H122" i="2"/>
  <c r="H285" i="2"/>
  <c r="H157" i="2"/>
  <c r="H29" i="2"/>
  <c r="H256" i="2"/>
  <c r="I256" i="2" s="1"/>
  <c r="H128" i="2"/>
  <c r="I4" i="2"/>
  <c r="I8" i="2"/>
  <c r="I12" i="2"/>
  <c r="I16" i="2"/>
  <c r="I20" i="2"/>
  <c r="I24" i="2"/>
  <c r="I28" i="2"/>
  <c r="I36" i="2"/>
  <c r="I40" i="2"/>
  <c r="I44" i="2"/>
  <c r="I56" i="2"/>
  <c r="I68" i="2"/>
  <c r="I72" i="2"/>
  <c r="I76" i="2"/>
  <c r="I84" i="2"/>
  <c r="I88" i="2"/>
  <c r="I92" i="2"/>
  <c r="I96" i="2"/>
  <c r="I100" i="2"/>
  <c r="I104" i="2"/>
  <c r="I108" i="2"/>
  <c r="I120" i="2"/>
  <c r="I128" i="2"/>
  <c r="I132" i="2"/>
  <c r="I136" i="2"/>
  <c r="I140" i="2"/>
  <c r="I148" i="2"/>
  <c r="I152" i="2"/>
  <c r="I156" i="2"/>
  <c r="I164" i="2"/>
  <c r="I168" i="2"/>
  <c r="I172" i="2"/>
  <c r="I184" i="2"/>
  <c r="I196" i="2"/>
  <c r="I200" i="2"/>
  <c r="I204" i="2"/>
  <c r="I212" i="2"/>
  <c r="I216" i="2"/>
  <c r="I220" i="2"/>
  <c r="I228" i="2"/>
  <c r="I232" i="2"/>
  <c r="I236" i="2"/>
  <c r="I240" i="2"/>
  <c r="I248" i="2"/>
  <c r="I260" i="2"/>
  <c r="I264" i="2"/>
  <c r="I268" i="2"/>
  <c r="I272" i="2"/>
  <c r="I276" i="2"/>
  <c r="I280" i="2"/>
  <c r="I284" i="2"/>
  <c r="I292" i="2"/>
  <c r="I296" i="2"/>
  <c r="I304" i="2"/>
  <c r="I308" i="2"/>
  <c r="I312" i="2"/>
  <c r="I316" i="2"/>
  <c r="I320" i="2"/>
  <c r="I328" i="2"/>
  <c r="I332" i="2"/>
  <c r="I5" i="2"/>
  <c r="I9" i="2"/>
  <c r="I13" i="2"/>
  <c r="I29" i="2"/>
  <c r="I33" i="2"/>
  <c r="I37" i="2"/>
  <c r="I41" i="2"/>
  <c r="I45" i="2"/>
  <c r="I49" i="2"/>
  <c r="I53" i="2"/>
  <c r="I57" i="2"/>
  <c r="I61" i="2"/>
  <c r="I65" i="2"/>
  <c r="I69" i="2"/>
  <c r="I73" i="2"/>
  <c r="I77" i="2"/>
  <c r="I93" i="2"/>
  <c r="I97" i="2"/>
  <c r="I101" i="2"/>
  <c r="I105" i="2"/>
  <c r="I109" i="2"/>
  <c r="I113" i="2"/>
  <c r="I117" i="2"/>
  <c r="I121" i="2"/>
  <c r="I125" i="2"/>
  <c r="I129" i="2"/>
  <c r="I133" i="2"/>
  <c r="I137" i="2"/>
  <c r="I141" i="2"/>
  <c r="I157" i="2"/>
  <c r="I161" i="2"/>
  <c r="I165" i="2"/>
  <c r="I169" i="2"/>
  <c r="I173" i="2"/>
  <c r="I177" i="2"/>
  <c r="I181" i="2"/>
  <c r="I185" i="2"/>
  <c r="I189" i="2"/>
  <c r="I193" i="2"/>
  <c r="I197" i="2"/>
  <c r="I201" i="2"/>
  <c r="I205" i="2"/>
  <c r="I221" i="2"/>
  <c r="I225" i="2"/>
  <c r="I229" i="2"/>
  <c r="I233" i="2"/>
  <c r="I237" i="2"/>
  <c r="I241" i="2"/>
  <c r="I245" i="2"/>
  <c r="I249" i="2"/>
  <c r="I253" i="2"/>
  <c r="I257" i="2"/>
  <c r="I261" i="2"/>
  <c r="I265" i="2"/>
  <c r="I269" i="2"/>
  <c r="I285" i="2"/>
  <c r="I289" i="2"/>
  <c r="I293" i="2"/>
  <c r="I297" i="2"/>
  <c r="I301" i="2"/>
  <c r="I309" i="2"/>
  <c r="I313" i="2"/>
  <c r="I317" i="2"/>
  <c r="I321" i="2"/>
  <c r="I325" i="2"/>
  <c r="I333" i="2"/>
  <c r="I337" i="2"/>
  <c r="I341" i="2"/>
  <c r="I6" i="2"/>
  <c r="I14" i="2"/>
  <c r="I22" i="2"/>
  <c r="I30" i="2"/>
  <c r="I38" i="2"/>
  <c r="I46" i="2"/>
  <c r="I62" i="2"/>
  <c r="I70" i="2"/>
  <c r="I78" i="2"/>
  <c r="I86" i="2"/>
  <c r="I94" i="2"/>
  <c r="I102" i="2"/>
  <c r="I110" i="2"/>
  <c r="I126" i="2"/>
  <c r="I134" i="2"/>
  <c r="I142" i="2"/>
  <c r="I150" i="2"/>
  <c r="I158" i="2"/>
  <c r="I166" i="2"/>
  <c r="I174" i="2"/>
  <c r="I190" i="2"/>
  <c r="I198" i="2"/>
  <c r="I206" i="2"/>
  <c r="I214" i="2"/>
  <c r="I222" i="2"/>
  <c r="I230" i="2"/>
  <c r="I238" i="2"/>
  <c r="I254" i="2"/>
  <c r="I262" i="2"/>
  <c r="I270" i="2"/>
  <c r="I278" i="2"/>
  <c r="I286" i="2"/>
  <c r="I294" i="2"/>
  <c r="I302" i="2"/>
  <c r="I318" i="2"/>
  <c r="I334" i="2"/>
  <c r="I344" i="2"/>
  <c r="I348" i="2"/>
  <c r="I352" i="2"/>
  <c r="I356" i="2"/>
  <c r="I360" i="2"/>
  <c r="I368" i="2"/>
  <c r="I372" i="2"/>
  <c r="I380" i="2"/>
  <c r="I384" i="2"/>
  <c r="I392" i="2"/>
  <c r="I396" i="2"/>
  <c r="I400" i="2"/>
  <c r="I404" i="2"/>
  <c r="I408" i="2"/>
  <c r="I412" i="2"/>
  <c r="I416" i="2"/>
  <c r="I420" i="2"/>
  <c r="I424" i="2"/>
  <c r="I432" i="2"/>
  <c r="I436" i="2"/>
  <c r="I444" i="2"/>
  <c r="I448" i="2"/>
  <c r="I456" i="2"/>
  <c r="I460" i="2"/>
  <c r="I464" i="2"/>
  <c r="I468" i="2"/>
  <c r="I472" i="2"/>
  <c r="I476" i="2"/>
  <c r="I480" i="2"/>
  <c r="I484" i="2"/>
  <c r="I488" i="2"/>
  <c r="I496" i="2"/>
  <c r="I500" i="2"/>
  <c r="I23" i="2"/>
  <c r="I31" i="2"/>
  <c r="I39" i="2"/>
  <c r="I47" i="2"/>
  <c r="I55" i="2"/>
  <c r="I63" i="2"/>
  <c r="I71" i="2"/>
  <c r="I87" i="2"/>
  <c r="I95" i="2"/>
  <c r="I103" i="2"/>
  <c r="I111" i="2"/>
  <c r="I119" i="2"/>
  <c r="I127" i="2"/>
  <c r="I151" i="2"/>
  <c r="I159" i="2"/>
  <c r="I167" i="2"/>
  <c r="I175" i="2"/>
  <c r="I183" i="2"/>
  <c r="I191" i="2"/>
  <c r="I199" i="2"/>
  <c r="I215" i="2"/>
  <c r="I223" i="2"/>
  <c r="I231" i="2"/>
  <c r="I239" i="2"/>
  <c r="I247" i="2"/>
  <c r="I255" i="2"/>
  <c r="I279" i="2"/>
  <c r="I287" i="2"/>
  <c r="I295" i="2"/>
  <c r="I303" i="2"/>
  <c r="I311" i="2"/>
  <c r="I319" i="2"/>
  <c r="I327" i="2"/>
  <c r="I340" i="2"/>
  <c r="I345" i="2"/>
  <c r="I349" i="2"/>
  <c r="I353" i="2"/>
  <c r="I357" i="2"/>
  <c r="I361" i="2"/>
  <c r="I365" i="2"/>
  <c r="I373" i="2"/>
  <c r="I377" i="2"/>
  <c r="I381" i="2"/>
  <c r="I385" i="2"/>
  <c r="I389" i="2"/>
  <c r="I393" i="2"/>
  <c r="I401" i="2"/>
  <c r="I405" i="2"/>
  <c r="I417" i="2"/>
  <c r="I421" i="2"/>
  <c r="I425" i="2"/>
  <c r="I429" i="2"/>
  <c r="I437" i="2"/>
  <c r="I441" i="2"/>
  <c r="I445" i="2"/>
  <c r="I449" i="2"/>
  <c r="I453" i="2"/>
  <c r="I457" i="2"/>
  <c r="I461" i="2"/>
  <c r="I465" i="2"/>
  <c r="I469" i="2"/>
  <c r="I473" i="2"/>
  <c r="I477" i="2"/>
  <c r="I481" i="2"/>
  <c r="I485" i="2"/>
  <c r="I493" i="2"/>
  <c r="I501" i="2"/>
  <c r="I10" i="2"/>
  <c r="I18" i="2"/>
  <c r="I26" i="2"/>
  <c r="I34" i="2"/>
  <c r="I66" i="2"/>
  <c r="I82" i="2"/>
  <c r="I90" i="2"/>
  <c r="I98" i="2"/>
  <c r="I106" i="2"/>
  <c r="I122" i="2"/>
  <c r="I130" i="2"/>
  <c r="I138" i="2"/>
  <c r="I146" i="2"/>
  <c r="I162" i="2"/>
  <c r="I170" i="2"/>
  <c r="I186" i="2"/>
  <c r="I194" i="2"/>
  <c r="I202" i="2"/>
  <c r="I210" i="2"/>
  <c r="I218" i="2"/>
  <c r="I226" i="2"/>
  <c r="I234" i="2"/>
  <c r="I258" i="2"/>
  <c r="I266" i="2"/>
  <c r="I274" i="2"/>
  <c r="I282" i="2"/>
  <c r="I290" i="2"/>
  <c r="I298" i="2"/>
  <c r="I314" i="2"/>
  <c r="I322" i="2"/>
  <c r="I330" i="2"/>
  <c r="I336" i="2"/>
  <c r="I342" i="2"/>
  <c r="I346" i="2"/>
  <c r="I350" i="2"/>
  <c r="I358" i="2"/>
  <c r="I362" i="2"/>
  <c r="I370" i="2"/>
  <c r="I378" i="2"/>
  <c r="I382" i="2"/>
  <c r="I390" i="2"/>
  <c r="I394" i="2"/>
  <c r="I398" i="2"/>
  <c r="I402" i="2"/>
  <c r="I406" i="2"/>
  <c r="I410" i="2"/>
  <c r="I418" i="2"/>
  <c r="I422" i="2"/>
  <c r="I426" i="2"/>
  <c r="I430" i="2"/>
  <c r="I442" i="2"/>
  <c r="I446" i="2"/>
  <c r="I450" i="2"/>
  <c r="I454" i="2"/>
  <c r="I458" i="2"/>
  <c r="I462" i="2"/>
  <c r="I466" i="2"/>
  <c r="I470" i="2"/>
  <c r="I474" i="2"/>
  <c r="I486" i="2"/>
  <c r="I490" i="2"/>
  <c r="I494" i="2"/>
  <c r="I498" i="2"/>
  <c r="I506" i="2"/>
  <c r="I510" i="2"/>
  <c r="I11" i="2"/>
  <c r="I43" i="2"/>
  <c r="I75" i="2"/>
  <c r="I107" i="2"/>
  <c r="I139" i="2"/>
  <c r="I171" i="2"/>
  <c r="I203" i="2"/>
  <c r="I235" i="2"/>
  <c r="I267" i="2"/>
  <c r="I299" i="2"/>
  <c r="I331" i="2"/>
  <c r="I351" i="2"/>
  <c r="I367" i="2"/>
  <c r="I383" i="2"/>
  <c r="I399" i="2"/>
  <c r="I415" i="2"/>
  <c r="I431" i="2"/>
  <c r="I447" i="2"/>
  <c r="I463" i="2"/>
  <c r="I479" i="2"/>
  <c r="I495" i="2"/>
  <c r="I505" i="2"/>
  <c r="I511" i="2"/>
  <c r="I519" i="2"/>
  <c r="I523" i="2"/>
  <c r="I527" i="2"/>
  <c r="I531" i="2"/>
  <c r="I535" i="2"/>
  <c r="I543" i="2"/>
  <c r="I547" i="2"/>
  <c r="I551" i="2"/>
  <c r="I555" i="2"/>
  <c r="I559" i="2"/>
  <c r="I563" i="2"/>
  <c r="I567" i="2"/>
  <c r="I571" i="2"/>
  <c r="I575" i="2"/>
  <c r="I583" i="2"/>
  <c r="I587" i="2"/>
  <c r="I591" i="2"/>
  <c r="I595" i="2"/>
  <c r="I599" i="2"/>
  <c r="I607" i="2"/>
  <c r="I611" i="2"/>
  <c r="I615" i="2"/>
  <c r="I619" i="2"/>
  <c r="I623" i="2"/>
  <c r="I627" i="2"/>
  <c r="I631" i="2"/>
  <c r="I635" i="2"/>
  <c r="I639" i="2"/>
  <c r="I651" i="2"/>
  <c r="I655" i="2"/>
  <c r="I659" i="2"/>
  <c r="I671" i="2"/>
  <c r="I675" i="2"/>
  <c r="I683" i="2"/>
  <c r="I687" i="2"/>
  <c r="I691" i="2"/>
  <c r="I695" i="2"/>
  <c r="I699" i="2"/>
  <c r="I703" i="2"/>
  <c r="I711" i="2"/>
  <c r="I715" i="2"/>
  <c r="I719" i="2"/>
  <c r="I723" i="2"/>
  <c r="I727" i="2"/>
  <c r="I735" i="2"/>
  <c r="I739" i="2"/>
  <c r="I743" i="2"/>
  <c r="I747" i="2"/>
  <c r="I751" i="2"/>
  <c r="I755" i="2"/>
  <c r="I759" i="2"/>
  <c r="I19" i="2"/>
  <c r="I51" i="2"/>
  <c r="I83" i="2"/>
  <c r="I147" i="2"/>
  <c r="I179" i="2"/>
  <c r="I211" i="2"/>
  <c r="I243" i="2"/>
  <c r="I307" i="2"/>
  <c r="I338" i="2"/>
  <c r="I355" i="2"/>
  <c r="I371" i="2"/>
  <c r="I387" i="2"/>
  <c r="I403" i="2"/>
  <c r="I419" i="2"/>
  <c r="I435" i="2"/>
  <c r="I451" i="2"/>
  <c r="I467" i="2"/>
  <c r="I483" i="2"/>
  <c r="I499" i="2"/>
  <c r="I507" i="2"/>
  <c r="I512" i="2"/>
  <c r="I520" i="2"/>
  <c r="I524" i="2"/>
  <c r="I528" i="2"/>
  <c r="I532" i="2"/>
  <c r="I536" i="2"/>
  <c r="I540" i="2"/>
  <c r="I544" i="2"/>
  <c r="I548" i="2"/>
  <c r="I552" i="2"/>
  <c r="I556" i="2"/>
  <c r="I560" i="2"/>
  <c r="I564" i="2"/>
  <c r="I572" i="2"/>
  <c r="I576" i="2"/>
  <c r="I584" i="2"/>
  <c r="I588" i="2"/>
  <c r="I592" i="2"/>
  <c r="I596" i="2"/>
  <c r="I600" i="2"/>
  <c r="I604" i="2"/>
  <c r="I612" i="2"/>
  <c r="I616" i="2"/>
  <c r="I620" i="2"/>
  <c r="I624" i="2"/>
  <c r="I628" i="2"/>
  <c r="I636" i="2"/>
  <c r="I640" i="2"/>
  <c r="I644" i="2"/>
  <c r="I652" i="2"/>
  <c r="I656" i="2"/>
  <c r="I664" i="2"/>
  <c r="I668" i="2"/>
  <c r="I672" i="2"/>
  <c r="I676" i="2"/>
  <c r="I680" i="2"/>
  <c r="I684" i="2"/>
  <c r="I688" i="2"/>
  <c r="I692" i="2"/>
  <c r="I696" i="2"/>
  <c r="I700" i="2"/>
  <c r="I708" i="2"/>
  <c r="I716" i="2"/>
  <c r="I728" i="2"/>
  <c r="I732" i="2"/>
  <c r="I740" i="2"/>
  <c r="I744" i="2"/>
  <c r="I748" i="2"/>
  <c r="I752" i="2"/>
  <c r="I756" i="2"/>
  <c r="I760" i="2"/>
  <c r="I27" i="2"/>
  <c r="I59" i="2"/>
  <c r="I123" i="2"/>
  <c r="I155" i="2"/>
  <c r="I187" i="2"/>
  <c r="I251" i="2"/>
  <c r="I283" i="2"/>
  <c r="I315" i="2"/>
  <c r="I343" i="2"/>
  <c r="I359" i="2"/>
  <c r="I375" i="2"/>
  <c r="I439" i="2"/>
  <c r="I455" i="2"/>
  <c r="I471" i="2"/>
  <c r="I487" i="2"/>
  <c r="I503" i="2"/>
  <c r="I508" i="2"/>
  <c r="I513" i="2"/>
  <c r="I517" i="2"/>
  <c r="I521" i="2"/>
  <c r="I529" i="2"/>
  <c r="I533" i="2"/>
  <c r="I537" i="2"/>
  <c r="I545" i="2"/>
  <c r="I553" i="2"/>
  <c r="I557" i="2"/>
  <c r="I565" i="2"/>
  <c r="I569" i="2"/>
  <c r="I573" i="2"/>
  <c r="I577" i="2"/>
  <c r="I581" i="2"/>
  <c r="I585" i="2"/>
  <c r="I589" i="2"/>
  <c r="I593" i="2"/>
  <c r="I597" i="2"/>
  <c r="I601" i="2"/>
  <c r="I605" i="2"/>
  <c r="I609" i="2"/>
  <c r="I617" i="2"/>
  <c r="I621" i="2"/>
  <c r="I629" i="2"/>
  <c r="I633" i="2"/>
  <c r="I637" i="2"/>
  <c r="I641" i="2"/>
  <c r="I649" i="2"/>
  <c r="I653" i="2"/>
  <c r="I657" i="2"/>
  <c r="I661" i="2"/>
  <c r="I665" i="2"/>
  <c r="I669" i="2"/>
  <c r="I673" i="2"/>
  <c r="I677" i="2"/>
  <c r="I681" i="2"/>
  <c r="I693" i="2"/>
  <c r="I697" i="2"/>
  <c r="I701" i="2"/>
  <c r="I713" i="2"/>
  <c r="I717" i="2"/>
  <c r="I725" i="2"/>
  <c r="I729" i="2"/>
  <c r="I733" i="2"/>
  <c r="I737" i="2"/>
  <c r="I741" i="2"/>
  <c r="I745" i="2"/>
  <c r="I753" i="2"/>
  <c r="I757" i="2"/>
  <c r="I761" i="2"/>
  <c r="I765" i="2"/>
  <c r="I769" i="2"/>
  <c r="I777" i="2"/>
  <c r="I781" i="2"/>
  <c r="I785" i="2"/>
  <c r="I789" i="2"/>
  <c r="I793" i="2"/>
  <c r="I797" i="2"/>
  <c r="I801" i="2"/>
  <c r="I805" i="2"/>
  <c r="I809" i="2"/>
  <c r="I817" i="2"/>
  <c r="I821" i="2"/>
  <c r="I825" i="2"/>
  <c r="I35" i="2"/>
  <c r="I163" i="2"/>
  <c r="I291" i="2"/>
  <c r="I379" i="2"/>
  <c r="I443" i="2"/>
  <c r="I522" i="2"/>
  <c r="I538" i="2"/>
  <c r="I554" i="2"/>
  <c r="I570" i="2"/>
  <c r="I586" i="2"/>
  <c r="I602" i="2"/>
  <c r="I618" i="2"/>
  <c r="I634" i="2"/>
  <c r="I650" i="2"/>
  <c r="I666" i="2"/>
  <c r="I682" i="2"/>
  <c r="I698" i="2"/>
  <c r="I714" i="2"/>
  <c r="I730" i="2"/>
  <c r="I767" i="2"/>
  <c r="I772" i="2"/>
  <c r="I778" i="2"/>
  <c r="I794" i="2"/>
  <c r="I799" i="2"/>
  <c r="I804" i="2"/>
  <c r="I810" i="2"/>
  <c r="I815" i="2"/>
  <c r="I820" i="2"/>
  <c r="I826" i="2"/>
  <c r="I830" i="2"/>
  <c r="I834" i="2"/>
  <c r="I842" i="2"/>
  <c r="I850" i="2"/>
  <c r="I854" i="2"/>
  <c r="I858" i="2"/>
  <c r="I866" i="2"/>
  <c r="I874" i="2"/>
  <c r="I882" i="2"/>
  <c r="I886" i="2"/>
  <c r="I890" i="2"/>
  <c r="I894" i="2"/>
  <c r="I898" i="2"/>
  <c r="I902" i="2"/>
  <c r="I906" i="2"/>
  <c r="I914" i="2"/>
  <c r="I918" i="2"/>
  <c r="I926" i="2"/>
  <c r="I930" i="2"/>
  <c r="I934" i="2"/>
  <c r="I938" i="2"/>
  <c r="I942" i="2"/>
  <c r="I946" i="2"/>
  <c r="I950" i="2"/>
  <c r="I954" i="2"/>
  <c r="I958" i="2"/>
  <c r="I962" i="2"/>
  <c r="I966" i="2"/>
  <c r="I970" i="2"/>
  <c r="I974" i="2"/>
  <c r="I978" i="2"/>
  <c r="I986" i="2"/>
  <c r="I994" i="2"/>
  <c r="I998" i="2"/>
  <c r="I1002" i="2"/>
  <c r="I1006" i="2"/>
  <c r="I1010" i="2"/>
  <c r="I1014" i="2"/>
  <c r="I1018" i="2"/>
  <c r="I1026" i="2"/>
  <c r="I1030" i="2"/>
  <c r="I1038" i="2"/>
  <c r="I1042" i="2"/>
  <c r="I1046" i="2"/>
  <c r="I1050" i="2"/>
  <c r="I1058" i="2"/>
  <c r="I1062" i="2"/>
  <c r="I1066" i="2"/>
  <c r="I1070" i="2"/>
  <c r="I1074" i="2"/>
  <c r="I1078" i="2"/>
  <c r="I1082" i="2"/>
  <c r="I1086" i="2"/>
  <c r="I1090" i="2"/>
  <c r="I1094" i="2"/>
  <c r="I1098" i="2"/>
  <c r="I1106" i="2"/>
  <c r="I1110" i="2"/>
  <c r="I1118" i="2"/>
  <c r="I1122" i="2"/>
  <c r="I1126" i="2"/>
  <c r="I1130" i="2"/>
  <c r="I1138" i="2"/>
  <c r="I1142" i="2"/>
  <c r="I1146" i="2"/>
  <c r="I1150" i="2"/>
  <c r="I1154" i="2"/>
  <c r="I1158" i="2"/>
  <c r="I1162" i="2"/>
  <c r="I1166" i="2"/>
  <c r="I1170" i="2"/>
  <c r="I1174" i="2"/>
  <c r="I1178" i="2"/>
  <c r="I1182" i="2"/>
  <c r="I1186" i="2"/>
  <c r="I1190" i="2"/>
  <c r="I1194" i="2"/>
  <c r="I1198" i="2"/>
  <c r="I1202" i="2"/>
  <c r="I1206" i="2"/>
  <c r="I1210" i="2"/>
  <c r="I1218" i="2"/>
  <c r="I1226" i="2"/>
  <c r="I1230" i="2"/>
  <c r="I1234" i="2"/>
  <c r="I1238" i="2"/>
  <c r="I1242" i="2"/>
  <c r="I1250" i="2"/>
  <c r="I1258" i="2"/>
  <c r="I1262" i="2"/>
  <c r="I1266" i="2"/>
  <c r="I1270" i="2"/>
  <c r="I1274" i="2"/>
  <c r="I1282" i="2"/>
  <c r="I1286" i="2"/>
  <c r="I1298" i="2"/>
  <c r="I1302" i="2"/>
  <c r="I1306" i="2"/>
  <c r="I1310" i="2"/>
  <c r="I1314" i="2"/>
  <c r="I1318" i="2"/>
  <c r="I1322" i="2"/>
  <c r="I1326" i="2"/>
  <c r="I1330" i="2"/>
  <c r="I1338" i="2"/>
  <c r="I1342" i="2"/>
  <c r="I1346" i="2"/>
  <c r="I1350" i="2"/>
  <c r="I1354" i="2"/>
  <c r="I1358" i="2"/>
  <c r="I67" i="2"/>
  <c r="I195" i="2"/>
  <c r="I323" i="2"/>
  <c r="I395" i="2"/>
  <c r="I459" i="2"/>
  <c r="I509" i="2"/>
  <c r="I526" i="2"/>
  <c r="I558" i="2"/>
  <c r="I574" i="2"/>
  <c r="I590" i="2"/>
  <c r="I606" i="2"/>
  <c r="I622" i="2"/>
  <c r="I638" i="2"/>
  <c r="I654" i="2"/>
  <c r="I670" i="2"/>
  <c r="I686" i="2"/>
  <c r="I702" i="2"/>
  <c r="I734" i="2"/>
  <c r="I750" i="2"/>
  <c r="I763" i="2"/>
  <c r="I768" i="2"/>
  <c r="I774" i="2"/>
  <c r="I779" i="2"/>
  <c r="I784" i="2"/>
  <c r="I800" i="2"/>
  <c r="I806" i="2"/>
  <c r="I811" i="2"/>
  <c r="I816" i="2"/>
  <c r="I822" i="2"/>
  <c r="I827" i="2"/>
  <c r="I831" i="2"/>
  <c r="I839" i="2"/>
  <c r="I843" i="2"/>
  <c r="I851" i="2"/>
  <c r="I855" i="2"/>
  <c r="I863" i="2"/>
  <c r="I867" i="2"/>
  <c r="I871" i="2"/>
  <c r="I875" i="2"/>
  <c r="I879" i="2"/>
  <c r="I883" i="2"/>
  <c r="I887" i="2"/>
  <c r="I891" i="2"/>
  <c r="I895" i="2"/>
  <c r="I903" i="2"/>
  <c r="I907" i="2"/>
  <c r="I915" i="2"/>
  <c r="I919" i="2"/>
  <c r="I927" i="2"/>
  <c r="I931" i="2"/>
  <c r="I935" i="2"/>
  <c r="I939" i="2"/>
  <c r="I943" i="2"/>
  <c r="I947" i="2"/>
  <c r="I951" i="2"/>
  <c r="I955" i="2"/>
  <c r="I959" i="2"/>
  <c r="I967" i="2"/>
  <c r="I971" i="2"/>
  <c r="I979" i="2"/>
  <c r="I983" i="2"/>
  <c r="I991" i="2"/>
  <c r="I995" i="2"/>
  <c r="I999" i="2"/>
  <c r="I1003" i="2"/>
  <c r="I1007" i="2"/>
  <c r="I1011" i="2"/>
  <c r="I1015" i="2"/>
  <c r="I1019" i="2"/>
  <c r="I1027" i="2"/>
  <c r="I1031" i="2"/>
  <c r="I1039" i="2"/>
  <c r="I1043" i="2"/>
  <c r="I1047" i="2"/>
  <c r="I1051" i="2"/>
  <c r="I1055" i="2"/>
  <c r="I1059" i="2"/>
  <c r="I1063" i="2"/>
  <c r="I1067" i="2"/>
  <c r="I1071" i="2"/>
  <c r="I1079" i="2"/>
  <c r="I1083" i="2"/>
  <c r="I1091" i="2"/>
  <c r="I1095" i="2"/>
  <c r="I1103" i="2"/>
  <c r="I1107" i="2"/>
  <c r="I1111" i="2"/>
  <c r="I1115" i="2"/>
  <c r="I1119" i="2"/>
  <c r="I1123" i="2"/>
  <c r="I1127" i="2"/>
  <c r="I1131" i="2"/>
  <c r="I1135" i="2"/>
  <c r="I1139" i="2"/>
  <c r="I1143" i="2"/>
  <c r="I1147" i="2"/>
  <c r="I1155" i="2"/>
  <c r="I1159" i="2"/>
  <c r="I1167" i="2"/>
  <c r="I1171" i="2"/>
  <c r="I1175" i="2"/>
  <c r="I1179" i="2"/>
  <c r="I1183" i="2"/>
  <c r="I1187" i="2"/>
  <c r="I1191" i="2"/>
  <c r="I1195" i="2"/>
  <c r="I1199" i="2"/>
  <c r="I1203" i="2"/>
  <c r="I1207" i="2"/>
  <c r="I1211" i="2"/>
  <c r="I1223" i="2"/>
  <c r="I1231" i="2"/>
  <c r="I1239" i="2"/>
  <c r="I1243" i="2"/>
  <c r="I1247" i="2"/>
  <c r="I1255" i="2"/>
  <c r="I1259" i="2"/>
  <c r="I1263" i="2"/>
  <c r="I1271" i="2"/>
  <c r="I1275" i="2"/>
  <c r="I1283" i="2"/>
  <c r="I1287" i="2"/>
  <c r="I1295" i="2"/>
  <c r="I1299" i="2"/>
  <c r="I1303" i="2"/>
  <c r="I1307" i="2"/>
  <c r="I1311" i="2"/>
  <c r="I1315" i="2"/>
  <c r="I1319" i="2"/>
  <c r="I1323" i="2"/>
  <c r="I1327" i="2"/>
  <c r="I1331" i="2"/>
  <c r="I1335" i="2"/>
  <c r="I1339" i="2"/>
  <c r="I1347" i="2"/>
  <c r="I1351" i="2"/>
  <c r="I99" i="2"/>
  <c r="I227" i="2"/>
  <c r="I347" i="2"/>
  <c r="I514" i="2"/>
  <c r="I530" i="2"/>
  <c r="I546" i="2"/>
  <c r="I562" i="2"/>
  <c r="I578" i="2"/>
  <c r="I594" i="2"/>
  <c r="I626" i="2"/>
  <c r="I642" i="2"/>
  <c r="I658" i="2"/>
  <c r="I674" i="2"/>
  <c r="I706" i="2"/>
  <c r="I722" i="2"/>
  <c r="I754" i="2"/>
  <c r="I770" i="2"/>
  <c r="I775" i="2"/>
  <c r="I780" i="2"/>
  <c r="I786" i="2"/>
  <c r="I791" i="2"/>
  <c r="I796" i="2"/>
  <c r="I802" i="2"/>
  <c r="I807" i="2"/>
  <c r="I812" i="2"/>
  <c r="I818" i="2"/>
  <c r="I823" i="2"/>
  <c r="I832" i="2"/>
  <c r="I836" i="2"/>
  <c r="I844" i="2"/>
  <c r="I848" i="2"/>
  <c r="I856" i="2"/>
  <c r="I860" i="2"/>
  <c r="I864" i="2"/>
  <c r="I868" i="2"/>
  <c r="I872" i="2"/>
  <c r="I876" i="2"/>
  <c r="I880" i="2"/>
  <c r="I884" i="2"/>
  <c r="I888" i="2"/>
  <c r="I896" i="2"/>
  <c r="I900" i="2"/>
  <c r="I908" i="2"/>
  <c r="I912" i="2"/>
  <c r="I920" i="2"/>
  <c r="I924" i="2"/>
  <c r="I928" i="2"/>
  <c r="I932" i="2"/>
  <c r="I936" i="2"/>
  <c r="I940" i="2"/>
  <c r="I944" i="2"/>
  <c r="I948" i="2"/>
  <c r="I952" i="2"/>
  <c r="I960" i="2"/>
  <c r="I964" i="2"/>
  <c r="I972" i="2"/>
  <c r="I976" i="2"/>
  <c r="I984" i="2"/>
  <c r="I988" i="2"/>
  <c r="I992" i="2"/>
  <c r="I996" i="2"/>
  <c r="I1000" i="2"/>
  <c r="I1004" i="2"/>
  <c r="I1008" i="2"/>
  <c r="I1012" i="2"/>
  <c r="I1016" i="2"/>
  <c r="I1024" i="2"/>
  <c r="I1028" i="2"/>
  <c r="I1036" i="2"/>
  <c r="I1040" i="2"/>
  <c r="I1048" i="2"/>
  <c r="I1052" i="2"/>
  <c r="I1056" i="2"/>
  <c r="I1060" i="2"/>
  <c r="I1064" i="2"/>
  <c r="I1068" i="2"/>
  <c r="I1072" i="2"/>
  <c r="I1076" i="2"/>
  <c r="I1080" i="2"/>
  <c r="I1088" i="2"/>
  <c r="I1092" i="2"/>
  <c r="I1100" i="2"/>
  <c r="I1104" i="2"/>
  <c r="I1112" i="2"/>
  <c r="I1116" i="2"/>
  <c r="I1120" i="2"/>
  <c r="I1124" i="2"/>
  <c r="I1128" i="2"/>
  <c r="I1132" i="2"/>
  <c r="I1136" i="2"/>
  <c r="I1140" i="2"/>
  <c r="I1144" i="2"/>
  <c r="I1152" i="2"/>
  <c r="I1156" i="2"/>
  <c r="I1164" i="2"/>
  <c r="I1168" i="2"/>
  <c r="I1176" i="2"/>
  <c r="I1180" i="2"/>
  <c r="I1184" i="2"/>
  <c r="I1188" i="2"/>
  <c r="I1192" i="2"/>
  <c r="I1196" i="2"/>
  <c r="I1200" i="2"/>
  <c r="I1204" i="2"/>
  <c r="I1208" i="2"/>
  <c r="I1216" i="2"/>
  <c r="I1220" i="2"/>
  <c r="I1228" i="2"/>
  <c r="I1232" i="2"/>
  <c r="I1240" i="2"/>
  <c r="I1244" i="2"/>
  <c r="I1248" i="2"/>
  <c r="I1252" i="2"/>
  <c r="I1256" i="2"/>
  <c r="I1260" i="2"/>
  <c r="I1264" i="2"/>
  <c r="I1268" i="2"/>
  <c r="I1272" i="2"/>
  <c r="I1280" i="2"/>
  <c r="I1284" i="2"/>
  <c r="I1292" i="2"/>
  <c r="I1296" i="2"/>
  <c r="I1304" i="2"/>
  <c r="I1308" i="2"/>
  <c r="I1312" i="2"/>
  <c r="I1324" i="2"/>
  <c r="I1328" i="2"/>
  <c r="I1332" i="2"/>
  <c r="I1336" i="2"/>
  <c r="I1340" i="2"/>
  <c r="I1344" i="2"/>
  <c r="I1348" i="2"/>
  <c r="I1352" i="2"/>
  <c r="I1360" i="2"/>
  <c r="I1368" i="2"/>
  <c r="I1372" i="2"/>
  <c r="I131" i="2"/>
  <c r="I491" i="2"/>
  <c r="I630" i="2"/>
  <c r="I694" i="2"/>
  <c r="I758" i="2"/>
  <c r="I782" i="2"/>
  <c r="I803" i="2"/>
  <c r="I824" i="2"/>
  <c r="I841" i="2"/>
  <c r="I857" i="2"/>
  <c r="I873" i="2"/>
  <c r="I889" i="2"/>
  <c r="I905" i="2"/>
  <c r="I921" i="2"/>
  <c r="I937" i="2"/>
  <c r="I953" i="2"/>
  <c r="I969" i="2"/>
  <c r="I985" i="2"/>
  <c r="I1001" i="2"/>
  <c r="I1017" i="2"/>
  <c r="I1033" i="2"/>
  <c r="I1049" i="2"/>
  <c r="I1065" i="2"/>
  <c r="I1081" i="2"/>
  <c r="I1097" i="2"/>
  <c r="I1113" i="2"/>
  <c r="I1129" i="2"/>
  <c r="I1145" i="2"/>
  <c r="I1161" i="2"/>
  <c r="I1177" i="2"/>
  <c r="I1193" i="2"/>
  <c r="I1209" i="2"/>
  <c r="I1225" i="2"/>
  <c r="I1241" i="2"/>
  <c r="I1257" i="2"/>
  <c r="I1273" i="2"/>
  <c r="I1289" i="2"/>
  <c r="I1305" i="2"/>
  <c r="I1321" i="2"/>
  <c r="I1337" i="2"/>
  <c r="I1353" i="2"/>
  <c r="I1373" i="2"/>
  <c r="I1377" i="2"/>
  <c r="I1381" i="2"/>
  <c r="I1385" i="2"/>
  <c r="I1389" i="2"/>
  <c r="I1393" i="2"/>
  <c r="I1397" i="2"/>
  <c r="I1401" i="2"/>
  <c r="I1405" i="2"/>
  <c r="I1409" i="2"/>
  <c r="I1421" i="2"/>
  <c r="I1429" i="2"/>
  <c r="I1437" i="2"/>
  <c r="I1441" i="2"/>
  <c r="I1445" i="2"/>
  <c r="I1453" i="2"/>
  <c r="I1457" i="2"/>
  <c r="I1461" i="2"/>
  <c r="I1465" i="2"/>
  <c r="I1469" i="2"/>
  <c r="I1473" i="2"/>
  <c r="I1481" i="2"/>
  <c r="I1485" i="2"/>
  <c r="I1493" i="2"/>
  <c r="I1497" i="2"/>
  <c r="I1501" i="2"/>
  <c r="I1505" i="2"/>
  <c r="I1509" i="2"/>
  <c r="I1513" i="2"/>
  <c r="I1517" i="2"/>
  <c r="I1521" i="2"/>
  <c r="I1525" i="2"/>
  <c r="I1529" i="2"/>
  <c r="I1533" i="2"/>
  <c r="I1537" i="2"/>
  <c r="I1545" i="2"/>
  <c r="I1549" i="2"/>
  <c r="I1557" i="2"/>
  <c r="I1561" i="2"/>
  <c r="I1565" i="2"/>
  <c r="I1569" i="2"/>
  <c r="I1573" i="2"/>
  <c r="I1577" i="2"/>
  <c r="I1581" i="2"/>
  <c r="I1585" i="2"/>
  <c r="I1589" i="2"/>
  <c r="I1593" i="2"/>
  <c r="I1597" i="2"/>
  <c r="I1601" i="2"/>
  <c r="I1609" i="2"/>
  <c r="I1613" i="2"/>
  <c r="I1621" i="2"/>
  <c r="I1625" i="2"/>
  <c r="I1629" i="2"/>
  <c r="I1633" i="2"/>
  <c r="I1637" i="2"/>
  <c r="I1641" i="2"/>
  <c r="I1645" i="2"/>
  <c r="I1649" i="2"/>
  <c r="I1653" i="2"/>
  <c r="I1657" i="2"/>
  <c r="I1661" i="2"/>
  <c r="I1665" i="2"/>
  <c r="I1677" i="2"/>
  <c r="I1685" i="2"/>
  <c r="I1693" i="2"/>
  <c r="I1697" i="2"/>
  <c r="I1701" i="2"/>
  <c r="I1709" i="2"/>
  <c r="I1713" i="2"/>
  <c r="I1717" i="2"/>
  <c r="I1721" i="2"/>
  <c r="I1725" i="2"/>
  <c r="I1729" i="2"/>
  <c r="I1737" i="2"/>
  <c r="I1741" i="2"/>
  <c r="I1749" i="2"/>
  <c r="I1753" i="2"/>
  <c r="I1757" i="2"/>
  <c r="I1761" i="2"/>
  <c r="I1765" i="2"/>
  <c r="I1769" i="2"/>
  <c r="I1773" i="2"/>
  <c r="I1777" i="2"/>
  <c r="I1781" i="2"/>
  <c r="I1785" i="2"/>
  <c r="I1789" i="2"/>
  <c r="I1793" i="2"/>
  <c r="I1801" i="2"/>
  <c r="I1805" i="2"/>
  <c r="I1813" i="2"/>
  <c r="I1817" i="2"/>
  <c r="I1821" i="2"/>
  <c r="I1825" i="2"/>
  <c r="I1829" i="2"/>
  <c r="I1833" i="2"/>
  <c r="I1837" i="2"/>
  <c r="I1841" i="2"/>
  <c r="I1845" i="2"/>
  <c r="I1849" i="2"/>
  <c r="I1853" i="2"/>
  <c r="I1857" i="2"/>
  <c r="I1865" i="2"/>
  <c r="I1869" i="2"/>
  <c r="I518" i="2"/>
  <c r="I582" i="2"/>
  <c r="I646" i="2"/>
  <c r="I710" i="2"/>
  <c r="I766" i="2"/>
  <c r="I787" i="2"/>
  <c r="I808" i="2"/>
  <c r="I829" i="2"/>
  <c r="I845" i="2"/>
  <c r="I861" i="2"/>
  <c r="I893" i="2"/>
  <c r="I909" i="2"/>
  <c r="I925" i="2"/>
  <c r="I957" i="2"/>
  <c r="I973" i="2"/>
  <c r="I989" i="2"/>
  <c r="I1021" i="2"/>
  <c r="I1037" i="2"/>
  <c r="I1053" i="2"/>
  <c r="I1085" i="2"/>
  <c r="I1101" i="2"/>
  <c r="I1117" i="2"/>
  <c r="I1149" i="2"/>
  <c r="I1165" i="2"/>
  <c r="I1181" i="2"/>
  <c r="I1213" i="2"/>
  <c r="I1229" i="2"/>
  <c r="I1245" i="2"/>
  <c r="I1261" i="2"/>
  <c r="I1277" i="2"/>
  <c r="I1293" i="2"/>
  <c r="I1309" i="2"/>
  <c r="I1325" i="2"/>
  <c r="I1341" i="2"/>
  <c r="I1357" i="2"/>
  <c r="I1363" i="2"/>
  <c r="I1369" i="2"/>
  <c r="I1374" i="2"/>
  <c r="I1378" i="2"/>
  <c r="I1382" i="2"/>
  <c r="I1386" i="2"/>
  <c r="I1390" i="2"/>
  <c r="I1394" i="2"/>
  <c r="I1398" i="2"/>
  <c r="I1402" i="2"/>
  <c r="I1406" i="2"/>
  <c r="I1410" i="2"/>
  <c r="I1414" i="2"/>
  <c r="I1418" i="2"/>
  <c r="I1430" i="2"/>
  <c r="I1434" i="2"/>
  <c r="I1446" i="2"/>
  <c r="I1450" i="2"/>
  <c r="I1462" i="2"/>
  <c r="I1466" i="2"/>
  <c r="I1470" i="2"/>
  <c r="I1474" i="2"/>
  <c r="I1478" i="2"/>
  <c r="I1482" i="2"/>
  <c r="I1486" i="2"/>
  <c r="I1490" i="2"/>
  <c r="I1494" i="2"/>
  <c r="I1498" i="2"/>
  <c r="I1506" i="2"/>
  <c r="I1510" i="2"/>
  <c r="I1518" i="2"/>
  <c r="I1526" i="2"/>
  <c r="I1534" i="2"/>
  <c r="I1538" i="2"/>
  <c r="I1542" i="2"/>
  <c r="I1546" i="2"/>
  <c r="I1550" i="2"/>
  <c r="I1554" i="2"/>
  <c r="I1558" i="2"/>
  <c r="I1566" i="2"/>
  <c r="I1570" i="2"/>
  <c r="I1574" i="2"/>
  <c r="I1578" i="2"/>
  <c r="I1582" i="2"/>
  <c r="I1586" i="2"/>
  <c r="I1590" i="2"/>
  <c r="I1594" i="2"/>
  <c r="I1598" i="2"/>
  <c r="I1602" i="2"/>
  <c r="I1606" i="2"/>
  <c r="I1614" i="2"/>
  <c r="I1618" i="2"/>
  <c r="I1622" i="2"/>
  <c r="I1638" i="2"/>
  <c r="I1654" i="2"/>
  <c r="I1658" i="2"/>
  <c r="I1662" i="2"/>
  <c r="I1666" i="2"/>
  <c r="I1670" i="2"/>
  <c r="I1674" i="2"/>
  <c r="I1678" i="2"/>
  <c r="I1682" i="2"/>
  <c r="I1686" i="2"/>
  <c r="I1690" i="2"/>
  <c r="I1694" i="2"/>
  <c r="I1698" i="2"/>
  <c r="I1702" i="2"/>
  <c r="I1714" i="2"/>
  <c r="I1718" i="2"/>
  <c r="I1726" i="2"/>
  <c r="I1730" i="2"/>
  <c r="I1734" i="2"/>
  <c r="I1738" i="2"/>
  <c r="I1742" i="2"/>
  <c r="I1746" i="2"/>
  <c r="I1750" i="2"/>
  <c r="I1754" i="2"/>
  <c r="I1758" i="2"/>
  <c r="I1762" i="2"/>
  <c r="I1766" i="2"/>
  <c r="I1770" i="2"/>
  <c r="I1774" i="2"/>
  <c r="I1778" i="2"/>
  <c r="I1782" i="2"/>
  <c r="I1786" i="2"/>
  <c r="I1790" i="2"/>
  <c r="I1794" i="2"/>
  <c r="I1798" i="2"/>
  <c r="I1814" i="2"/>
  <c r="I1822" i="2"/>
  <c r="I1830" i="2"/>
  <c r="I1842" i="2"/>
  <c r="I1846" i="2"/>
  <c r="I1854" i="2"/>
  <c r="I1858" i="2"/>
  <c r="I1862" i="2"/>
  <c r="I1866" i="2"/>
  <c r="I1870" i="2"/>
  <c r="I363" i="2"/>
  <c r="I534" i="2"/>
  <c r="I771" i="2"/>
  <c r="I792" i="2"/>
  <c r="I814" i="2"/>
  <c r="I833" i="2"/>
  <c r="I849" i="2"/>
  <c r="I865" i="2"/>
  <c r="I881" i="2"/>
  <c r="I897" i="2"/>
  <c r="I913" i="2"/>
  <c r="I929" i="2"/>
  <c r="I977" i="2"/>
  <c r="I993" i="2"/>
  <c r="I1009" i="2"/>
  <c r="I1025" i="2"/>
  <c r="I1041" i="2"/>
  <c r="I1057" i="2"/>
  <c r="I1073" i="2"/>
  <c r="I1089" i="2"/>
  <c r="I1105" i="2"/>
  <c r="I1121" i="2"/>
  <c r="I1137" i="2"/>
  <c r="I1153" i="2"/>
  <c r="I1169" i="2"/>
  <c r="I1233" i="2"/>
  <c r="I1249" i="2"/>
  <c r="I1265" i="2"/>
  <c r="I1281" i="2"/>
  <c r="I1297" i="2"/>
  <c r="I1313" i="2"/>
  <c r="I1329" i="2"/>
  <c r="I1345" i="2"/>
  <c r="I1359" i="2"/>
  <c r="I1365" i="2"/>
  <c r="I1370" i="2"/>
  <c r="I1375" i="2"/>
  <c r="I1379" i="2"/>
  <c r="I1383" i="2"/>
  <c r="I1387" i="2"/>
  <c r="I1391" i="2"/>
  <c r="I1395" i="2"/>
  <c r="I1399" i="2"/>
  <c r="I1403" i="2"/>
  <c r="I1411" i="2"/>
  <c r="I1415" i="2"/>
  <c r="I1423" i="2"/>
  <c r="I1427" i="2"/>
  <c r="I1435" i="2"/>
  <c r="I1439" i="2"/>
  <c r="I1443" i="2"/>
  <c r="I1447" i="2"/>
  <c r="I1451" i="2"/>
  <c r="I1455" i="2"/>
  <c r="I1459" i="2"/>
  <c r="I1463" i="2"/>
  <c r="I1467" i="2"/>
  <c r="I1475" i="2"/>
  <c r="I1479" i="2"/>
  <c r="I1487" i="2"/>
  <c r="I1491" i="2"/>
  <c r="I1499" i="2"/>
  <c r="I1503" i="2"/>
  <c r="I1507" i="2"/>
  <c r="I1511" i="2"/>
  <c r="I1515" i="2"/>
  <c r="I1519" i="2"/>
  <c r="I1523" i="2"/>
  <c r="I1527" i="2"/>
  <c r="I1531" i="2"/>
  <c r="I1539" i="2"/>
  <c r="I1543" i="2"/>
  <c r="I1551" i="2"/>
  <c r="I1555" i="2"/>
  <c r="I1563" i="2"/>
  <c r="I1567" i="2"/>
  <c r="I1571" i="2"/>
  <c r="I1575" i="2"/>
  <c r="I1579" i="2"/>
  <c r="I1583" i="2"/>
  <c r="I1587" i="2"/>
  <c r="I1591" i="2"/>
  <c r="I1595" i="2"/>
  <c r="I1603" i="2"/>
  <c r="I1607" i="2"/>
  <c r="I1615" i="2"/>
  <c r="I1619" i="2"/>
  <c r="I1627" i="2"/>
  <c r="I1631" i="2"/>
  <c r="I1635" i="2"/>
  <c r="I1639" i="2"/>
  <c r="I1643" i="2"/>
  <c r="I1647" i="2"/>
  <c r="I1651" i="2"/>
  <c r="I1655" i="2"/>
  <c r="I1659" i="2"/>
  <c r="I1663" i="2"/>
  <c r="I1667" i="2"/>
  <c r="I1675" i="2"/>
  <c r="I1679" i="2"/>
  <c r="I1683" i="2"/>
  <c r="I1691" i="2"/>
  <c r="I1699" i="2"/>
  <c r="I1711" i="2"/>
  <c r="I1715" i="2"/>
  <c r="I1723" i="2"/>
  <c r="I1727" i="2"/>
  <c r="I1731" i="2"/>
  <c r="I1739" i="2"/>
  <c r="I1743" i="2"/>
  <c r="I1747" i="2"/>
  <c r="I1755" i="2"/>
  <c r="I1759" i="2"/>
  <c r="I1763" i="2"/>
  <c r="I1771" i="2"/>
  <c r="I1775" i="2"/>
  <c r="I1779" i="2"/>
  <c r="I1787" i="2"/>
  <c r="I1791" i="2"/>
  <c r="I1795" i="2"/>
  <c r="I1799" i="2"/>
  <c r="I1803" i="2"/>
  <c r="I1807" i="2"/>
  <c r="I1811" i="2"/>
  <c r="I1815" i="2"/>
  <c r="I1823" i="2"/>
  <c r="I1827" i="2"/>
  <c r="I1831" i="2"/>
  <c r="I1839" i="2"/>
  <c r="I427" i="2"/>
  <c r="I742" i="2"/>
  <c r="I965" i="2"/>
  <c r="I1221" i="2"/>
  <c r="I1376" i="2"/>
  <c r="I1392" i="2"/>
  <c r="I1408" i="2"/>
  <c r="I1440" i="2"/>
  <c r="I1456" i="2"/>
  <c r="I1472" i="2"/>
  <c r="I1504" i="2"/>
  <c r="I1520" i="2"/>
  <c r="I1536" i="2"/>
  <c r="I1568" i="2"/>
  <c r="I1584" i="2"/>
  <c r="I1600" i="2"/>
  <c r="I1632" i="2"/>
  <c r="I1648" i="2"/>
  <c r="I1664" i="2"/>
  <c r="I1696" i="2"/>
  <c r="I1712" i="2"/>
  <c r="I1728" i="2"/>
  <c r="I1760" i="2"/>
  <c r="I1776" i="2"/>
  <c r="I1792" i="2"/>
  <c r="I1824" i="2"/>
  <c r="I1840" i="2"/>
  <c r="I1848" i="2"/>
  <c r="I1856" i="2"/>
  <c r="I1864" i="2"/>
  <c r="I1872" i="2"/>
  <c r="I1877" i="2"/>
  <c r="I1881" i="2"/>
  <c r="I1889" i="2"/>
  <c r="I1893" i="2"/>
  <c r="I1897" i="2"/>
  <c r="I1901" i="2"/>
  <c r="I1905" i="2"/>
  <c r="I1909" i="2"/>
  <c r="I1917" i="2"/>
  <c r="I1921" i="2"/>
  <c r="I1929" i="2"/>
  <c r="I1933" i="2"/>
  <c r="I1937" i="2"/>
  <c r="I1941" i="2"/>
  <c r="I1945" i="2"/>
  <c r="I1953" i="2"/>
  <c r="I1957" i="2"/>
  <c r="I1961" i="2"/>
  <c r="I1965" i="2"/>
  <c r="I1969" i="2"/>
  <c r="I1981" i="2"/>
  <c r="I1985" i="2"/>
  <c r="I1989" i="2"/>
  <c r="I1993" i="2"/>
  <c r="I1997" i="2"/>
  <c r="I2001" i="2"/>
  <c r="I2005" i="2"/>
  <c r="I2009" i="2"/>
  <c r="I2017" i="2"/>
  <c r="I2025" i="2"/>
  <c r="I2029" i="2"/>
  <c r="I2033" i="2"/>
  <c r="I2037" i="2"/>
  <c r="I2045" i="2"/>
  <c r="I2049" i="2"/>
  <c r="I2053" i="2"/>
  <c r="I2057" i="2"/>
  <c r="I2061" i="2"/>
  <c r="I2065" i="2"/>
  <c r="I2069" i="2"/>
  <c r="I2073" i="2"/>
  <c r="I2081" i="2"/>
  <c r="I2085" i="2"/>
  <c r="I2089" i="2"/>
  <c r="I2093" i="2"/>
  <c r="I2097" i="2"/>
  <c r="I2101" i="2"/>
  <c r="I2109" i="2"/>
  <c r="I2113" i="2"/>
  <c r="I2117" i="2"/>
  <c r="I2121" i="2"/>
  <c r="I2125" i="2"/>
  <c r="I2129" i="2"/>
  <c r="I2133" i="2"/>
  <c r="I2137" i="2"/>
  <c r="I2145" i="2"/>
  <c r="I2149" i="2"/>
  <c r="I2153" i="2"/>
  <c r="I2157" i="2"/>
  <c r="I819" i="2"/>
  <c r="I949" i="2"/>
  <c r="I1077" i="2"/>
  <c r="I1205" i="2"/>
  <c r="I1333" i="2"/>
  <c r="I1388" i="2"/>
  <c r="I1452" i="2"/>
  <c r="I1484" i="2"/>
  <c r="I1516" i="2"/>
  <c r="I1580" i="2"/>
  <c r="I1628" i="2"/>
  <c r="I1724" i="2"/>
  <c r="I1772" i="2"/>
  <c r="I1804" i="2"/>
  <c r="I1847" i="2"/>
  <c r="I1871" i="2"/>
  <c r="I1884" i="2"/>
  <c r="I1896" i="2"/>
  <c r="I1920" i="2"/>
  <c r="I1932" i="2"/>
  <c r="I1944" i="2"/>
  <c r="I1968" i="2"/>
  <c r="I1980" i="2"/>
  <c r="I1992" i="2"/>
  <c r="I2004" i="2"/>
  <c r="I2016" i="2"/>
  <c r="I2040" i="2"/>
  <c r="I2056" i="2"/>
  <c r="I2068" i="2"/>
  <c r="I2076" i="2"/>
  <c r="I2088" i="2"/>
  <c r="I2100" i="2"/>
  <c r="I2112" i="2"/>
  <c r="I2124" i="2"/>
  <c r="I2136" i="2"/>
  <c r="I550" i="2"/>
  <c r="I853" i="2"/>
  <c r="I917" i="2"/>
  <c r="I981" i="2"/>
  <c r="I1045" i="2"/>
  <c r="I1109" i="2"/>
  <c r="I1173" i="2"/>
  <c r="I1237" i="2"/>
  <c r="I1301" i="2"/>
  <c r="I1361" i="2"/>
  <c r="I1380" i="2"/>
  <c r="I1396" i="2"/>
  <c r="I1412" i="2"/>
  <c r="I1428" i="2"/>
  <c r="I1444" i="2"/>
  <c r="I1460" i="2"/>
  <c r="I1492" i="2"/>
  <c r="I1508" i="2"/>
  <c r="I1540" i="2"/>
  <c r="I1556" i="2"/>
  <c r="I1588" i="2"/>
  <c r="I1604" i="2"/>
  <c r="I1620" i="2"/>
  <c r="I1636" i="2"/>
  <c r="I1652" i="2"/>
  <c r="I1668" i="2"/>
  <c r="I1684" i="2"/>
  <c r="I1700" i="2"/>
  <c r="I1716" i="2"/>
  <c r="I1732" i="2"/>
  <c r="I1748" i="2"/>
  <c r="I1764" i="2"/>
  <c r="I1812" i="2"/>
  <c r="I1843" i="2"/>
  <c r="I1859" i="2"/>
  <c r="I1874" i="2"/>
  <c r="I1878" i="2"/>
  <c r="I1882" i="2"/>
  <c r="I1886" i="2"/>
  <c r="I1894" i="2"/>
  <c r="I1898" i="2"/>
  <c r="I1902" i="2"/>
  <c r="I1910" i="2"/>
  <c r="I1914" i="2"/>
  <c r="I1918" i="2"/>
  <c r="I1926" i="2"/>
  <c r="I1930" i="2"/>
  <c r="I1934" i="2"/>
  <c r="I1938" i="2"/>
  <c r="I1942" i="2"/>
  <c r="I1946" i="2"/>
  <c r="I1950" i="2"/>
  <c r="I1954" i="2"/>
  <c r="I1958" i="2"/>
  <c r="I1962" i="2"/>
  <c r="I1966" i="2"/>
  <c r="I1970" i="2"/>
  <c r="I1974" i="2"/>
  <c r="I1978" i="2"/>
  <c r="I1982" i="2"/>
  <c r="I1986" i="2"/>
  <c r="I1994" i="2"/>
  <c r="I2002" i="2"/>
  <c r="I2010" i="2"/>
  <c r="I2018" i="2"/>
  <c r="I2022" i="2"/>
  <c r="I2026" i="2"/>
  <c r="I2034" i="2"/>
  <c r="I2038" i="2"/>
  <c r="I2042" i="2"/>
  <c r="I2046" i="2"/>
  <c r="I2050" i="2"/>
  <c r="I2054" i="2"/>
  <c r="I2058" i="2"/>
  <c r="I2062" i="2"/>
  <c r="I2066" i="2"/>
  <c r="I2070" i="2"/>
  <c r="I2074" i="2"/>
  <c r="I2078" i="2"/>
  <c r="I2086" i="2"/>
  <c r="I2090" i="2"/>
  <c r="I2094" i="2"/>
  <c r="I2098" i="2"/>
  <c r="I2102" i="2"/>
  <c r="I2106" i="2"/>
  <c r="I2110" i="2"/>
  <c r="I2118" i="2"/>
  <c r="I2122" i="2"/>
  <c r="I2126" i="2"/>
  <c r="I2130" i="2"/>
  <c r="I2134" i="2"/>
  <c r="I2138" i="2"/>
  <c r="I2142" i="2"/>
  <c r="I2146" i="2"/>
  <c r="I2150" i="2"/>
  <c r="I2154" i="2"/>
  <c r="I678" i="2"/>
  <c r="I1013" i="2"/>
  <c r="I1141" i="2"/>
  <c r="I1269" i="2"/>
  <c r="I1371" i="2"/>
  <c r="I1404" i="2"/>
  <c r="I1436" i="2"/>
  <c r="I1468" i="2"/>
  <c r="I1500" i="2"/>
  <c r="I1532" i="2"/>
  <c r="I1564" i="2"/>
  <c r="I1644" i="2"/>
  <c r="I1692" i="2"/>
  <c r="I1740" i="2"/>
  <c r="I1788" i="2"/>
  <c r="I1836" i="2"/>
  <c r="I1863" i="2"/>
  <c r="I1880" i="2"/>
  <c r="I1928" i="2"/>
  <c r="I1940" i="2"/>
  <c r="I1952" i="2"/>
  <c r="I1964" i="2"/>
  <c r="I1976" i="2"/>
  <c r="I1988" i="2"/>
  <c r="I2000" i="2"/>
  <c r="I2024" i="2"/>
  <c r="I2048" i="2"/>
  <c r="I2060" i="2"/>
  <c r="I2072" i="2"/>
  <c r="I2096" i="2"/>
  <c r="I2108" i="2"/>
  <c r="I2120" i="2"/>
  <c r="I2132" i="2"/>
  <c r="I2144" i="2"/>
  <c r="I614" i="2"/>
  <c r="I869" i="2"/>
  <c r="I933" i="2"/>
  <c r="I997" i="2"/>
  <c r="I1061" i="2"/>
  <c r="I1125" i="2"/>
  <c r="I1189" i="2"/>
  <c r="I1253" i="2"/>
  <c r="I1317" i="2"/>
  <c r="I1400" i="2"/>
  <c r="I1416" i="2"/>
  <c r="I1432" i="2"/>
  <c r="I1464" i="2"/>
  <c r="I1480" i="2"/>
  <c r="I1496" i="2"/>
  <c r="I1528" i="2"/>
  <c r="I1544" i="2"/>
  <c r="I1560" i="2"/>
  <c r="I1592" i="2"/>
  <c r="I1608" i="2"/>
  <c r="I1624" i="2"/>
  <c r="I1656" i="2"/>
  <c r="I1672" i="2"/>
  <c r="I1688" i="2"/>
  <c r="I1720" i="2"/>
  <c r="I1736" i="2"/>
  <c r="I1752" i="2"/>
  <c r="I1784" i="2"/>
  <c r="I1800" i="2"/>
  <c r="I1816" i="2"/>
  <c r="I1844" i="2"/>
  <c r="I1852" i="2"/>
  <c r="I1860" i="2"/>
  <c r="I1868" i="2"/>
  <c r="I1875" i="2"/>
  <c r="I1879" i="2"/>
  <c r="I1883" i="2"/>
  <c r="I1887" i="2"/>
  <c r="I1891" i="2"/>
  <c r="I1895" i="2"/>
  <c r="I1899" i="2"/>
  <c r="I1903" i="2"/>
  <c r="I1907" i="2"/>
  <c r="I1911" i="2"/>
  <c r="I1915" i="2"/>
  <c r="I1919" i="2"/>
  <c r="I1923" i="2"/>
  <c r="I1927" i="2"/>
  <c r="I1939" i="2"/>
  <c r="I1943" i="2"/>
  <c r="I1947" i="2"/>
  <c r="I1951" i="2"/>
  <c r="I1955" i="2"/>
  <c r="I1963" i="2"/>
  <c r="I1967" i="2"/>
  <c r="I1971" i="2"/>
  <c r="I1975" i="2"/>
  <c r="I1983" i="2"/>
  <c r="I1987" i="2"/>
  <c r="I1991" i="2"/>
  <c r="I1995" i="2"/>
  <c r="I2003" i="2"/>
  <c r="I2007" i="2"/>
  <c r="I2011" i="2"/>
  <c r="I2015" i="2"/>
  <c r="I2019" i="2"/>
  <c r="I2023" i="2"/>
  <c r="I2027" i="2"/>
  <c r="I2031" i="2"/>
  <c r="I2035" i="2"/>
  <c r="I2039" i="2"/>
  <c r="I2043" i="2"/>
  <c r="I2047" i="2"/>
  <c r="I2051" i="2"/>
  <c r="I2055" i="2"/>
  <c r="I2067" i="2"/>
  <c r="I2075" i="2"/>
  <c r="I2079" i="2"/>
  <c r="I2083" i="2"/>
  <c r="I2091" i="2"/>
  <c r="I2095" i="2"/>
  <c r="I2099" i="2"/>
  <c r="I2111" i="2"/>
  <c r="I2115" i="2"/>
  <c r="I2119" i="2"/>
  <c r="I2123" i="2"/>
  <c r="I2131" i="2"/>
  <c r="I2139" i="2"/>
  <c r="I2143" i="2"/>
  <c r="I2147" i="2"/>
  <c r="I2151" i="2"/>
  <c r="I2155" i="2"/>
  <c r="I2159" i="2"/>
  <c r="I885" i="2"/>
  <c r="I1596" i="2"/>
  <c r="I1660" i="2"/>
  <c r="I1708" i="2"/>
  <c r="I1756" i="2"/>
  <c r="I1820" i="2"/>
  <c r="I1855" i="2"/>
  <c r="I1876" i="2"/>
  <c r="I1888" i="2"/>
  <c r="I1912" i="2"/>
  <c r="I1924" i="2"/>
  <c r="I1936" i="2"/>
  <c r="I1948" i="2"/>
  <c r="I1960" i="2"/>
  <c r="I1972" i="2"/>
  <c r="I1984" i="2"/>
  <c r="I1996" i="2"/>
  <c r="I2008" i="2"/>
  <c r="I2020" i="2"/>
  <c r="I2032" i="2"/>
  <c r="I2044" i="2"/>
  <c r="I2052" i="2"/>
  <c r="I2064" i="2"/>
  <c r="I2080" i="2"/>
  <c r="I2092" i="2"/>
  <c r="I2104" i="2"/>
  <c r="I2116" i="2"/>
  <c r="I2128" i="2"/>
  <c r="I2152" i="2"/>
  <c r="E90" i="2"/>
  <c r="B90" i="2"/>
  <c r="B91" i="2" l="1"/>
  <c r="E91" i="2"/>
  <c r="B92" i="2" l="1"/>
  <c r="E92" i="2"/>
  <c r="E93" i="2" l="1"/>
  <c r="B93" i="2"/>
  <c r="E94" i="2" l="1"/>
  <c r="B94" i="2"/>
  <c r="B95" i="2" l="1"/>
  <c r="E95" i="2"/>
  <c r="B96" i="2" l="1"/>
  <c r="E96" i="2"/>
  <c r="E97" i="2" l="1"/>
  <c r="B97" i="2"/>
  <c r="E98" i="2" l="1"/>
  <c r="B98" i="2"/>
  <c r="B99" i="2" l="1"/>
  <c r="E99" i="2"/>
  <c r="B100" i="2" l="1"/>
  <c r="E100" i="2"/>
  <c r="E101" i="2" l="1"/>
  <c r="B101" i="2"/>
  <c r="E102" i="2" l="1"/>
  <c r="B102" i="2"/>
  <c r="B103" i="2" l="1"/>
  <c r="E103" i="2"/>
  <c r="B104" i="2" l="1"/>
  <c r="E104" i="2"/>
  <c r="E105" i="2" l="1"/>
  <c r="B105" i="2"/>
  <c r="E106" i="2" l="1"/>
  <c r="B106" i="2"/>
  <c r="B107" i="2" l="1"/>
  <c r="E107" i="2"/>
  <c r="B108" i="2" l="1"/>
  <c r="E108" i="2"/>
  <c r="E109" i="2" l="1"/>
  <c r="B109" i="2"/>
  <c r="E110" i="2" l="1"/>
  <c r="B110" i="2"/>
  <c r="B111" i="2" l="1"/>
  <c r="E111" i="2"/>
  <c r="B112" i="2" l="1"/>
  <c r="E112" i="2"/>
  <c r="E113" i="2" l="1"/>
  <c r="B113" i="2"/>
  <c r="E114" i="2" l="1"/>
  <c r="B114" i="2"/>
  <c r="B115" i="2" l="1"/>
  <c r="E115" i="2"/>
  <c r="B116" i="2" l="1"/>
  <c r="E116" i="2"/>
  <c r="E117" i="2" l="1"/>
  <c r="B117" i="2"/>
  <c r="E118" i="2" l="1"/>
  <c r="B118" i="2"/>
  <c r="B119" i="2" l="1"/>
  <c r="E119" i="2"/>
  <c r="B120" i="2" l="1"/>
  <c r="E120" i="2"/>
  <c r="E121" i="2" l="1"/>
  <c r="B121" i="2"/>
  <c r="E122" i="2" l="1"/>
  <c r="B122" i="2"/>
  <c r="B123" i="2" l="1"/>
  <c r="E123" i="2"/>
  <c r="B124" i="2" l="1"/>
  <c r="E124" i="2"/>
  <c r="E125" i="2" l="1"/>
  <c r="B125" i="2"/>
  <c r="E126" i="2" l="1"/>
  <c r="B126" i="2"/>
  <c r="B127" i="2" l="1"/>
  <c r="E127" i="2"/>
  <c r="B128" i="2" l="1"/>
  <c r="E128" i="2"/>
  <c r="E129" i="2" l="1"/>
  <c r="B129" i="2"/>
  <c r="E130" i="2" l="1"/>
  <c r="B130" i="2"/>
  <c r="B131" i="2" l="1"/>
  <c r="E131" i="2"/>
  <c r="B132" i="2" l="1"/>
  <c r="E132" i="2"/>
  <c r="E133" i="2" l="1"/>
  <c r="B133" i="2"/>
  <c r="E134" i="2" l="1"/>
  <c r="B134" i="2"/>
  <c r="B135" i="2" l="1"/>
  <c r="E135" i="2"/>
  <c r="B136" i="2" l="1"/>
  <c r="E136" i="2"/>
  <c r="E137" i="2" l="1"/>
  <c r="B137" i="2"/>
  <c r="E138" i="2" l="1"/>
  <c r="B138" i="2"/>
  <c r="B139" i="2" l="1"/>
  <c r="E139" i="2"/>
  <c r="B140" i="2" l="1"/>
  <c r="E140" i="2"/>
  <c r="E141" i="2" l="1"/>
  <c r="B141" i="2"/>
  <c r="E142" i="2" l="1"/>
  <c r="B142" i="2"/>
  <c r="B143" i="2" l="1"/>
  <c r="E143" i="2"/>
  <c r="B144" i="2" l="1"/>
  <c r="E144" i="2"/>
  <c r="E145" i="2" l="1"/>
  <c r="B145" i="2"/>
  <c r="E146" i="2" l="1"/>
  <c r="B146" i="2"/>
  <c r="B147" i="2" l="1"/>
  <c r="E147" i="2"/>
  <c r="B148" i="2" l="1"/>
  <c r="E148" i="2"/>
  <c r="E149" i="2" l="1"/>
  <c r="B149" i="2"/>
  <c r="E150" i="2" l="1"/>
  <c r="B150" i="2"/>
  <c r="B151" i="2" l="1"/>
  <c r="E151" i="2"/>
  <c r="B152" i="2" l="1"/>
  <c r="E152" i="2"/>
  <c r="E153" i="2" l="1"/>
  <c r="B153" i="2"/>
  <c r="E154" i="2" l="1"/>
  <c r="B154" i="2"/>
  <c r="B155" i="2" l="1"/>
  <c r="E155" i="2"/>
  <c r="B156" i="2" l="1"/>
  <c r="E156" i="2"/>
  <c r="E157" i="2" l="1"/>
  <c r="B157" i="2"/>
  <c r="E158" i="2" l="1"/>
  <c r="B158" i="2"/>
  <c r="B159" i="2" l="1"/>
  <c r="E159" i="2"/>
  <c r="B160" i="2" l="1"/>
  <c r="E160" i="2"/>
  <c r="E161" i="2" l="1"/>
  <c r="B161" i="2"/>
  <c r="E162" i="2" l="1"/>
  <c r="B162" i="2"/>
  <c r="B163" i="2" l="1"/>
  <c r="E163" i="2"/>
  <c r="B164" i="2" l="1"/>
  <c r="E164" i="2"/>
  <c r="E165" i="2" l="1"/>
  <c r="B165" i="2"/>
  <c r="E166" i="2" l="1"/>
  <c r="B166" i="2"/>
  <c r="B167" i="2" l="1"/>
  <c r="E167" i="2"/>
  <c r="B168" i="2" l="1"/>
  <c r="E168" i="2"/>
  <c r="E169" i="2" l="1"/>
  <c r="B169" i="2"/>
  <c r="J20" i="2" l="1"/>
  <c r="J32" i="2"/>
  <c r="J44" i="2"/>
  <c r="J64" i="2"/>
  <c r="J76" i="2"/>
  <c r="J88" i="2"/>
  <c r="J100" i="2"/>
  <c r="J112" i="2"/>
  <c r="J120" i="2"/>
  <c r="J128" i="2"/>
  <c r="J136" i="2"/>
  <c r="J148" i="2"/>
  <c r="J160" i="2"/>
  <c r="J180" i="2"/>
  <c r="J192" i="2"/>
  <c r="J204" i="2"/>
  <c r="J216" i="2"/>
  <c r="J228" i="2"/>
  <c r="J240" i="2"/>
  <c r="J256" i="2"/>
  <c r="J268" i="2"/>
  <c r="J284" i="2"/>
  <c r="J296" i="2"/>
  <c r="J308" i="2"/>
  <c r="J320" i="2"/>
  <c r="J332" i="2"/>
  <c r="J344" i="2"/>
  <c r="J356" i="2"/>
  <c r="J368" i="2"/>
  <c r="J380" i="2"/>
  <c r="J392" i="2"/>
  <c r="J404" i="2"/>
  <c r="J416" i="2"/>
  <c r="J428" i="2"/>
  <c r="J440" i="2"/>
  <c r="J456" i="2"/>
  <c r="J472" i="2"/>
  <c r="J484" i="2"/>
  <c r="J496" i="2"/>
  <c r="J508" i="2"/>
  <c r="J520" i="2"/>
  <c r="J532" i="2"/>
  <c r="J552" i="2"/>
  <c r="J584" i="2"/>
  <c r="J9" i="2"/>
  <c r="J25" i="2"/>
  <c r="J41" i="2"/>
  <c r="J57" i="2"/>
  <c r="J69" i="2"/>
  <c r="J81" i="2"/>
  <c r="J89" i="2"/>
  <c r="J93" i="2"/>
  <c r="J97" i="2"/>
  <c r="J101" i="2"/>
  <c r="J105" i="2"/>
  <c r="J109" i="2"/>
  <c r="J113" i="2"/>
  <c r="J117" i="2"/>
  <c r="J121" i="2"/>
  <c r="J125" i="2"/>
  <c r="J129" i="2"/>
  <c r="J133" i="2"/>
  <c r="J137" i="2"/>
  <c r="J141" i="2"/>
  <c r="J145" i="2"/>
  <c r="J149" i="2"/>
  <c r="J153" i="2"/>
  <c r="J157" i="2"/>
  <c r="J161" i="2"/>
  <c r="J165" i="2"/>
  <c r="J169" i="2"/>
  <c r="J173" i="2"/>
  <c r="J177" i="2"/>
  <c r="J181" i="2"/>
  <c r="J185" i="2"/>
  <c r="J189" i="2"/>
  <c r="J193" i="2"/>
  <c r="J197" i="2"/>
  <c r="J201" i="2"/>
  <c r="J205" i="2"/>
  <c r="J209" i="2"/>
  <c r="J213" i="2"/>
  <c r="J217" i="2"/>
  <c r="J221" i="2"/>
  <c r="J225" i="2"/>
  <c r="J229" i="2"/>
  <c r="J233" i="2"/>
  <c r="J237" i="2"/>
  <c r="J241" i="2"/>
  <c r="J245" i="2"/>
  <c r="J249" i="2"/>
  <c r="J253" i="2"/>
  <c r="J257" i="2"/>
  <c r="J261" i="2"/>
  <c r="J265" i="2"/>
  <c r="J269" i="2"/>
  <c r="J273" i="2"/>
  <c r="J277" i="2"/>
  <c r="J281" i="2"/>
  <c r="J285" i="2"/>
  <c r="J289" i="2"/>
  <c r="J293" i="2"/>
  <c r="J297" i="2"/>
  <c r="J301" i="2"/>
  <c r="J305" i="2"/>
  <c r="J309" i="2"/>
  <c r="J313" i="2"/>
  <c r="J317" i="2"/>
  <c r="J321" i="2"/>
  <c r="J325" i="2"/>
  <c r="J329" i="2"/>
  <c r="J333" i="2"/>
  <c r="J337" i="2"/>
  <c r="J341" i="2"/>
  <c r="J345" i="2"/>
  <c r="J349" i="2"/>
  <c r="J353" i="2"/>
  <c r="J357" i="2"/>
  <c r="J361" i="2"/>
  <c r="J365" i="2"/>
  <c r="J369" i="2"/>
  <c r="J373" i="2"/>
  <c r="J377" i="2"/>
  <c r="J381" i="2"/>
  <c r="J385" i="2"/>
  <c r="J389" i="2"/>
  <c r="J393" i="2"/>
  <c r="J397" i="2"/>
  <c r="J401" i="2"/>
  <c r="J405" i="2"/>
  <c r="J409" i="2"/>
  <c r="J413" i="2"/>
  <c r="J417" i="2"/>
  <c r="J421" i="2"/>
  <c r="J425" i="2"/>
  <c r="J429" i="2"/>
  <c r="J433" i="2"/>
  <c r="J437" i="2"/>
  <c r="J441" i="2"/>
  <c r="J445" i="2"/>
  <c r="J449" i="2"/>
  <c r="J453" i="2"/>
  <c r="J457" i="2"/>
  <c r="J461" i="2"/>
  <c r="J465" i="2"/>
  <c r="J469" i="2"/>
  <c r="J473" i="2"/>
  <c r="J477" i="2"/>
  <c r="J481" i="2"/>
  <c r="J485" i="2"/>
  <c r="J489" i="2"/>
  <c r="J493" i="2"/>
  <c r="J497" i="2"/>
  <c r="J501" i="2"/>
  <c r="J505" i="2"/>
  <c r="J509" i="2"/>
  <c r="J513" i="2"/>
  <c r="J517" i="2"/>
  <c r="J521" i="2"/>
  <c r="J525" i="2"/>
  <c r="J529" i="2"/>
  <c r="J533" i="2"/>
  <c r="J537" i="2"/>
  <c r="J541" i="2"/>
  <c r="J545" i="2"/>
  <c r="J549" i="2"/>
  <c r="J553" i="2"/>
  <c r="J557" i="2"/>
  <c r="J561" i="2"/>
  <c r="J565" i="2"/>
  <c r="J569" i="2"/>
  <c r="J573" i="2"/>
  <c r="J577" i="2"/>
  <c r="J581" i="2"/>
  <c r="J585" i="2"/>
  <c r="J589" i="2"/>
  <c r="J593" i="2"/>
  <c r="J597" i="2"/>
  <c r="J601" i="2"/>
  <c r="J605" i="2"/>
  <c r="J609" i="2"/>
  <c r="J613" i="2"/>
  <c r="J617" i="2"/>
  <c r="J621" i="2"/>
  <c r="J625" i="2"/>
  <c r="J629" i="2"/>
  <c r="J633" i="2"/>
  <c r="J637" i="2"/>
  <c r="J641" i="2"/>
  <c r="J645" i="2"/>
  <c r="J649" i="2"/>
  <c r="J653" i="2"/>
  <c r="J657" i="2"/>
  <c r="J661" i="2"/>
  <c r="J665" i="2"/>
  <c r="J669" i="2"/>
  <c r="J673" i="2"/>
  <c r="J677" i="2"/>
  <c r="J681" i="2"/>
  <c r="J685" i="2"/>
  <c r="J689" i="2"/>
  <c r="J693" i="2"/>
  <c r="J697" i="2"/>
  <c r="J701" i="2"/>
  <c r="J705" i="2"/>
  <c r="J709" i="2"/>
  <c r="J713" i="2"/>
  <c r="J717" i="2"/>
  <c r="J721" i="2"/>
  <c r="J725" i="2"/>
  <c r="J729" i="2"/>
  <c r="J733" i="2"/>
  <c r="J737" i="2"/>
  <c r="J741" i="2"/>
  <c r="J745" i="2"/>
  <c r="J749" i="2"/>
  <c r="J753" i="2"/>
  <c r="J757" i="2"/>
  <c r="J761" i="2"/>
  <c r="J765" i="2"/>
  <c r="J769" i="2"/>
  <c r="J773" i="2"/>
  <c r="J777" i="2"/>
  <c r="J781" i="2"/>
  <c r="J785" i="2"/>
  <c r="J789" i="2"/>
  <c r="J793" i="2"/>
  <c r="J797" i="2"/>
  <c r="J801" i="2"/>
  <c r="J805" i="2"/>
  <c r="J809" i="2"/>
  <c r="J813" i="2"/>
  <c r="J817" i="2"/>
  <c r="J821" i="2"/>
  <c r="J825" i="2"/>
  <c r="J829" i="2"/>
  <c r="J833" i="2"/>
  <c r="J837" i="2"/>
  <c r="J841" i="2"/>
  <c r="J845" i="2"/>
  <c r="J849" i="2"/>
  <c r="J853" i="2"/>
  <c r="J857" i="2"/>
  <c r="J861" i="2"/>
  <c r="J865" i="2"/>
  <c r="J869" i="2"/>
  <c r="J873" i="2"/>
  <c r="J877" i="2"/>
  <c r="J881" i="2"/>
  <c r="J885" i="2"/>
  <c r="J889" i="2"/>
  <c r="J893" i="2"/>
  <c r="J897" i="2"/>
  <c r="J901" i="2"/>
  <c r="J905" i="2"/>
  <c r="J909" i="2"/>
  <c r="J913" i="2"/>
  <c r="J917" i="2"/>
  <c r="J921" i="2"/>
  <c r="J925" i="2"/>
  <c r="J929" i="2"/>
  <c r="J933" i="2"/>
  <c r="J937" i="2"/>
  <c r="J941" i="2"/>
  <c r="J945" i="2"/>
  <c r="J949" i="2"/>
  <c r="J953" i="2"/>
  <c r="J957" i="2"/>
  <c r="J961" i="2"/>
  <c r="J965" i="2"/>
  <c r="J969" i="2"/>
  <c r="J973" i="2"/>
  <c r="J977" i="2"/>
  <c r="J981" i="2"/>
  <c r="J985" i="2"/>
  <c r="J989" i="2"/>
  <c r="J993" i="2"/>
  <c r="J997" i="2"/>
  <c r="J1001" i="2"/>
  <c r="J1005" i="2"/>
  <c r="J1009" i="2"/>
  <c r="J1013" i="2"/>
  <c r="J1017" i="2"/>
  <c r="J1021" i="2"/>
  <c r="J1025" i="2"/>
  <c r="J1029" i="2"/>
  <c r="J1033" i="2"/>
  <c r="J1037" i="2"/>
  <c r="J1041" i="2"/>
  <c r="J1045" i="2"/>
  <c r="J1049" i="2"/>
  <c r="J1053" i="2"/>
  <c r="J1057" i="2"/>
  <c r="J1061" i="2"/>
  <c r="J1065" i="2"/>
  <c r="J1069" i="2"/>
  <c r="J1073" i="2"/>
  <c r="J1077" i="2"/>
  <c r="J1081" i="2"/>
  <c r="J1085" i="2"/>
  <c r="J1089" i="2"/>
  <c r="J1093" i="2"/>
  <c r="J1097" i="2"/>
  <c r="J1101" i="2"/>
  <c r="J1105" i="2"/>
  <c r="J1109" i="2"/>
  <c r="J1113" i="2"/>
  <c r="J1117" i="2"/>
  <c r="J1121" i="2"/>
  <c r="J1125" i="2"/>
  <c r="J1129" i="2"/>
  <c r="J1133" i="2"/>
  <c r="J1137" i="2"/>
  <c r="J1141" i="2"/>
  <c r="J6" i="2"/>
  <c r="J16" i="2"/>
  <c r="J28" i="2"/>
  <c r="J40" i="2"/>
  <c r="J52" i="2"/>
  <c r="J60" i="2"/>
  <c r="J72" i="2"/>
  <c r="J84" i="2"/>
  <c r="J96" i="2"/>
  <c r="J140" i="2"/>
  <c r="J152" i="2"/>
  <c r="J164" i="2"/>
  <c r="J172" i="2"/>
  <c r="J184" i="2"/>
  <c r="J196" i="2"/>
  <c r="J208" i="2"/>
  <c r="J224" i="2"/>
  <c r="J236" i="2"/>
  <c r="J248" i="2"/>
  <c r="J260" i="2"/>
  <c r="J272" i="2"/>
  <c r="J280" i="2"/>
  <c r="J292" i="2"/>
  <c r="J304" i="2"/>
  <c r="J312" i="2"/>
  <c r="J324" i="2"/>
  <c r="J336" i="2"/>
  <c r="J352" i="2"/>
  <c r="J360" i="2"/>
  <c r="J372" i="2"/>
  <c r="J384" i="2"/>
  <c r="J396" i="2"/>
  <c r="J408" i="2"/>
  <c r="J424" i="2"/>
  <c r="J436" i="2"/>
  <c r="J448" i="2"/>
  <c r="J460" i="2"/>
  <c r="J468" i="2"/>
  <c r="J476" i="2"/>
  <c r="J488" i="2"/>
  <c r="J500" i="2"/>
  <c r="J512" i="2"/>
  <c r="J524" i="2"/>
  <c r="J536" i="2"/>
  <c r="J544" i="2"/>
  <c r="J556" i="2"/>
  <c r="J564" i="2"/>
  <c r="J572" i="2"/>
  <c r="J588" i="2"/>
  <c r="J7" i="2"/>
  <c r="J17" i="2"/>
  <c r="J29" i="2"/>
  <c r="J37" i="2"/>
  <c r="J49" i="2"/>
  <c r="J61" i="2"/>
  <c r="J73" i="2"/>
  <c r="J85" i="2"/>
  <c r="J14" i="2"/>
  <c r="J22" i="2"/>
  <c r="J30" i="2"/>
  <c r="J42" i="2"/>
  <c r="J50" i="2"/>
  <c r="J58" i="2"/>
  <c r="J66" i="2"/>
  <c r="J74" i="2"/>
  <c r="J82" i="2"/>
  <c r="J90" i="2"/>
  <c r="J98" i="2"/>
  <c r="J106" i="2"/>
  <c r="J114" i="2"/>
  <c r="J122" i="2"/>
  <c r="J130" i="2"/>
  <c r="J138" i="2"/>
  <c r="J146" i="2"/>
  <c r="J154" i="2"/>
  <c r="J162" i="2"/>
  <c r="J170" i="2"/>
  <c r="J178" i="2"/>
  <c r="J186" i="2"/>
  <c r="J194" i="2"/>
  <c r="J202" i="2"/>
  <c r="J210" i="2"/>
  <c r="J218" i="2"/>
  <c r="J226" i="2"/>
  <c r="J234" i="2"/>
  <c r="J242" i="2"/>
  <c r="J250" i="2"/>
  <c r="J258" i="2"/>
  <c r="J266" i="2"/>
  <c r="J274" i="2"/>
  <c r="J282" i="2"/>
  <c r="J290" i="2"/>
  <c r="J298" i="2"/>
  <c r="J306" i="2"/>
  <c r="J314" i="2"/>
  <c r="J322" i="2"/>
  <c r="J330" i="2"/>
  <c r="J338" i="2"/>
  <c r="J346" i="2"/>
  <c r="J354" i="2"/>
  <c r="J362" i="2"/>
  <c r="J370" i="2"/>
  <c r="J378" i="2"/>
  <c r="J386" i="2"/>
  <c r="J394" i="2"/>
  <c r="J402" i="2"/>
  <c r="J410" i="2"/>
  <c r="J418" i="2"/>
  <c r="J426" i="2"/>
  <c r="J434" i="2"/>
  <c r="J442" i="2"/>
  <c r="J450" i="2"/>
  <c r="J458" i="2"/>
  <c r="J466" i="2"/>
  <c r="J474" i="2"/>
  <c r="J482" i="2"/>
  <c r="J490" i="2"/>
  <c r="J498" i="2"/>
  <c r="J506" i="2"/>
  <c r="J514" i="2"/>
  <c r="J522" i="2"/>
  <c r="J530" i="2"/>
  <c r="J538" i="2"/>
  <c r="J546" i="2"/>
  <c r="J554" i="2"/>
  <c r="J562" i="2"/>
  <c r="J570" i="2"/>
  <c r="J578" i="2"/>
  <c r="J586" i="2"/>
  <c r="J594" i="2"/>
  <c r="J602" i="2"/>
  <c r="J610" i="2"/>
  <c r="J618" i="2"/>
  <c r="J626" i="2"/>
  <c r="J634" i="2"/>
  <c r="J642" i="2"/>
  <c r="J650" i="2"/>
  <c r="J658" i="2"/>
  <c r="J666" i="2"/>
  <c r="J674" i="2"/>
  <c r="J682" i="2"/>
  <c r="J690" i="2"/>
  <c r="J698" i="2"/>
  <c r="J706" i="2"/>
  <c r="J714" i="2"/>
  <c r="J722" i="2"/>
  <c r="J730" i="2"/>
  <c r="J738" i="2"/>
  <c r="J750" i="2"/>
  <c r="J758" i="2"/>
  <c r="J766" i="2"/>
  <c r="J774" i="2"/>
  <c r="J782" i="2"/>
  <c r="J790" i="2"/>
  <c r="J798" i="2"/>
  <c r="J806" i="2"/>
  <c r="J810" i="2"/>
  <c r="J818" i="2"/>
  <c r="J826" i="2"/>
  <c r="J834" i="2"/>
  <c r="J846" i="2"/>
  <c r="J854" i="2"/>
  <c r="J858" i="2"/>
  <c r="J866" i="2"/>
  <c r="J874" i="2"/>
  <c r="J882" i="2"/>
  <c r="J890" i="2"/>
  <c r="J902" i="2"/>
  <c r="J906" i="2"/>
  <c r="J914" i="2"/>
  <c r="J922" i="2"/>
  <c r="J930" i="2"/>
  <c r="J938" i="2"/>
  <c r="J946" i="2"/>
  <c r="J954" i="2"/>
  <c r="J966" i="2"/>
  <c r="J970" i="2"/>
  <c r="J978" i="2"/>
  <c r="J986" i="2"/>
  <c r="J994" i="2"/>
  <c r="J1006" i="2"/>
  <c r="J1014" i="2"/>
  <c r="J1022" i="2"/>
  <c r="J1030" i="2"/>
  <c r="J1038" i="2"/>
  <c r="J1046" i="2"/>
  <c r="J1054" i="2"/>
  <c r="J1062" i="2"/>
  <c r="J1070" i="2"/>
  <c r="J1078" i="2"/>
  <c r="J1086" i="2"/>
  <c r="J1094" i="2"/>
  <c r="J1102" i="2"/>
  <c r="J1110" i="2"/>
  <c r="J1118" i="2"/>
  <c r="J1126" i="2"/>
  <c r="J1130" i="2"/>
  <c r="J1134" i="2"/>
  <c r="J1138" i="2"/>
  <c r="J1142" i="2"/>
  <c r="J1146" i="2"/>
  <c r="J1150" i="2"/>
  <c r="J1154" i="2"/>
  <c r="J1158" i="2"/>
  <c r="J1166" i="2"/>
  <c r="J1170" i="2"/>
  <c r="J1174" i="2"/>
  <c r="J1178" i="2"/>
  <c r="J1182" i="2"/>
  <c r="J1186" i="2"/>
  <c r="J1190" i="2"/>
  <c r="J1194" i="2"/>
  <c r="J1198" i="2"/>
  <c r="J1202" i="2"/>
  <c r="J1206" i="2"/>
  <c r="J1210" i="2"/>
  <c r="J1214" i="2"/>
  <c r="J1218" i="2"/>
  <c r="J1222" i="2"/>
  <c r="J1226" i="2"/>
  <c r="J1230" i="2"/>
  <c r="J1234" i="2"/>
  <c r="J1238" i="2"/>
  <c r="J1242" i="2"/>
  <c r="J1246" i="2"/>
  <c r="J1250" i="2"/>
  <c r="J1254" i="2"/>
  <c r="J1258" i="2"/>
  <c r="J1262" i="2"/>
  <c r="J1266" i="2"/>
  <c r="J1270" i="2"/>
  <c r="J1274" i="2"/>
  <c r="J1278" i="2"/>
  <c r="J1282" i="2"/>
  <c r="J1286" i="2"/>
  <c r="J1290" i="2"/>
  <c r="J1294" i="2"/>
  <c r="J1298" i="2"/>
  <c r="J1302" i="2"/>
  <c r="J1306" i="2"/>
  <c r="J1310" i="2"/>
  <c r="J1314" i="2"/>
  <c r="J1318" i="2"/>
  <c r="J1322" i="2"/>
  <c r="J1326" i="2"/>
  <c r="J1330" i="2"/>
  <c r="J1334" i="2"/>
  <c r="J1338" i="2"/>
  <c r="J1342" i="2"/>
  <c r="J1346" i="2"/>
  <c r="J1350" i="2"/>
  <c r="J1354" i="2"/>
  <c r="J1358" i="2"/>
  <c r="J1362" i="2"/>
  <c r="J1366" i="2"/>
  <c r="J1370" i="2"/>
  <c r="J1374" i="2"/>
  <c r="J1378" i="2"/>
  <c r="J1382" i="2"/>
  <c r="J1386" i="2"/>
  <c r="J1390" i="2"/>
  <c r="J1394" i="2"/>
  <c r="J1398" i="2"/>
  <c r="J1402" i="2"/>
  <c r="J1406" i="2"/>
  <c r="J1410" i="2"/>
  <c r="J1414" i="2"/>
  <c r="J1418" i="2"/>
  <c r="J1422" i="2"/>
  <c r="J1426" i="2"/>
  <c r="J1430" i="2"/>
  <c r="J1434" i="2"/>
  <c r="J1438" i="2"/>
  <c r="J1442" i="2"/>
  <c r="J1446" i="2"/>
  <c r="J1450" i="2"/>
  <c r="J1454" i="2"/>
  <c r="J1458" i="2"/>
  <c r="J1462" i="2"/>
  <c r="J1466" i="2"/>
  <c r="J1470" i="2"/>
  <c r="J1474" i="2"/>
  <c r="J1478" i="2"/>
  <c r="J1482" i="2"/>
  <c r="J1486" i="2"/>
  <c r="J1490" i="2"/>
  <c r="J1494" i="2"/>
  <c r="J1498" i="2"/>
  <c r="J1502" i="2"/>
  <c r="J1506" i="2"/>
  <c r="J1510" i="2"/>
  <c r="J1514" i="2"/>
  <c r="J1518" i="2"/>
  <c r="J1522" i="2"/>
  <c r="J1526" i="2"/>
  <c r="J1530" i="2"/>
  <c r="J1534" i="2"/>
  <c r="J1538" i="2"/>
  <c r="J1542" i="2"/>
  <c r="J1546" i="2"/>
  <c r="J1550" i="2"/>
  <c r="J1554" i="2"/>
  <c r="J1558" i="2"/>
  <c r="J1562" i="2"/>
  <c r="J1566" i="2"/>
  <c r="J1570" i="2"/>
  <c r="J1574" i="2"/>
  <c r="J1578" i="2"/>
  <c r="J1582" i="2"/>
  <c r="J1586" i="2"/>
  <c r="J1590" i="2"/>
  <c r="J1594" i="2"/>
  <c r="J1598" i="2"/>
  <c r="J1602" i="2"/>
  <c r="J1606" i="2"/>
  <c r="J1610" i="2"/>
  <c r="J1614" i="2"/>
  <c r="J1618" i="2"/>
  <c r="J1622" i="2"/>
  <c r="J1626" i="2"/>
  <c r="J1630" i="2"/>
  <c r="J1634" i="2"/>
  <c r="J1638" i="2"/>
  <c r="J1642" i="2"/>
  <c r="J1646" i="2"/>
  <c r="J1650" i="2"/>
  <c r="J1654" i="2"/>
  <c r="J1658" i="2"/>
  <c r="J1662" i="2"/>
  <c r="J1666" i="2"/>
  <c r="J1670" i="2"/>
  <c r="J1674" i="2"/>
  <c r="J1678" i="2"/>
  <c r="J1682" i="2"/>
  <c r="J1686" i="2"/>
  <c r="J1690" i="2"/>
  <c r="J1694" i="2"/>
  <c r="J1698" i="2"/>
  <c r="J1702" i="2"/>
  <c r="J1706" i="2"/>
  <c r="J1710" i="2"/>
  <c r="J1714" i="2"/>
  <c r="J1718" i="2"/>
  <c r="J1722" i="2"/>
  <c r="J1726" i="2"/>
  <c r="J1730" i="2"/>
  <c r="J1734" i="2"/>
  <c r="J1738" i="2"/>
  <c r="J1742" i="2"/>
  <c r="J1746" i="2"/>
  <c r="J1750" i="2"/>
  <c r="J1754" i="2"/>
  <c r="J1758" i="2"/>
  <c r="J1762" i="2"/>
  <c r="J1766" i="2"/>
  <c r="J1770" i="2"/>
  <c r="J1774" i="2"/>
  <c r="J1778" i="2"/>
  <c r="J1782" i="2"/>
  <c r="J1786" i="2"/>
  <c r="J1790" i="2"/>
  <c r="J1794" i="2"/>
  <c r="J1798" i="2"/>
  <c r="J1802" i="2"/>
  <c r="J1806" i="2"/>
  <c r="J1810" i="2"/>
  <c r="J1814" i="2"/>
  <c r="J1818" i="2"/>
  <c r="J1822" i="2"/>
  <c r="J1826" i="2"/>
  <c r="J1830" i="2"/>
  <c r="J1834" i="2"/>
  <c r="J1838" i="2"/>
  <c r="J1842" i="2"/>
  <c r="J12" i="2"/>
  <c r="J24" i="2"/>
  <c r="J36" i="2"/>
  <c r="J48" i="2"/>
  <c r="J56" i="2"/>
  <c r="J68" i="2"/>
  <c r="J80" i="2"/>
  <c r="J92" i="2"/>
  <c r="J104" i="2"/>
  <c r="J108" i="2"/>
  <c r="J116" i="2"/>
  <c r="J124" i="2"/>
  <c r="J132" i="2"/>
  <c r="J144" i="2"/>
  <c r="J156" i="2"/>
  <c r="J168" i="2"/>
  <c r="J176" i="2"/>
  <c r="J188" i="2"/>
  <c r="J200" i="2"/>
  <c r="J212" i="2"/>
  <c r="J220" i="2"/>
  <c r="J232" i="2"/>
  <c r="J244" i="2"/>
  <c r="J252" i="2"/>
  <c r="J264" i="2"/>
  <c r="J276" i="2"/>
  <c r="J288" i="2"/>
  <c r="J300" i="2"/>
  <c r="J316" i="2"/>
  <c r="J328" i="2"/>
  <c r="J340" i="2"/>
  <c r="J348" i="2"/>
  <c r="J364" i="2"/>
  <c r="J376" i="2"/>
  <c r="J388" i="2"/>
  <c r="J400" i="2"/>
  <c r="J412" i="2"/>
  <c r="J420" i="2"/>
  <c r="J432" i="2"/>
  <c r="J444" i="2"/>
  <c r="J452" i="2"/>
  <c r="J464" i="2"/>
  <c r="J480" i="2"/>
  <c r="J492" i="2"/>
  <c r="J504" i="2"/>
  <c r="J516" i="2"/>
  <c r="J528" i="2"/>
  <c r="J540" i="2"/>
  <c r="J548" i="2"/>
  <c r="J560" i="2"/>
  <c r="J568" i="2"/>
  <c r="J576" i="2"/>
  <c r="J580" i="2"/>
  <c r="J4" i="2"/>
  <c r="J13" i="2"/>
  <c r="J21" i="2"/>
  <c r="J33" i="2"/>
  <c r="J45" i="2"/>
  <c r="J53" i="2"/>
  <c r="J65" i="2"/>
  <c r="J77" i="2"/>
  <c r="J10" i="2"/>
  <c r="J18" i="2"/>
  <c r="J26" i="2"/>
  <c r="J34" i="2"/>
  <c r="J38" i="2"/>
  <c r="J46" i="2"/>
  <c r="J54" i="2"/>
  <c r="J62" i="2"/>
  <c r="J70" i="2"/>
  <c r="J78" i="2"/>
  <c r="J86" i="2"/>
  <c r="J94" i="2"/>
  <c r="J102" i="2"/>
  <c r="J110" i="2"/>
  <c r="J118" i="2"/>
  <c r="J126" i="2"/>
  <c r="J134" i="2"/>
  <c r="J142" i="2"/>
  <c r="J150" i="2"/>
  <c r="J158" i="2"/>
  <c r="J166" i="2"/>
  <c r="J174" i="2"/>
  <c r="J182" i="2"/>
  <c r="J190" i="2"/>
  <c r="J198" i="2"/>
  <c r="J206" i="2"/>
  <c r="J214" i="2"/>
  <c r="J222" i="2"/>
  <c r="J230" i="2"/>
  <c r="J238" i="2"/>
  <c r="J246" i="2"/>
  <c r="J254" i="2"/>
  <c r="J262" i="2"/>
  <c r="J270" i="2"/>
  <c r="J278" i="2"/>
  <c r="J286" i="2"/>
  <c r="J294" i="2"/>
  <c r="J302" i="2"/>
  <c r="J310" i="2"/>
  <c r="J318" i="2"/>
  <c r="J326" i="2"/>
  <c r="J334" i="2"/>
  <c r="J342" i="2"/>
  <c r="J350" i="2"/>
  <c r="J358" i="2"/>
  <c r="J366" i="2"/>
  <c r="J374" i="2"/>
  <c r="J382" i="2"/>
  <c r="J390" i="2"/>
  <c r="J398" i="2"/>
  <c r="J406" i="2"/>
  <c r="J414" i="2"/>
  <c r="J422" i="2"/>
  <c r="J430" i="2"/>
  <c r="J438" i="2"/>
  <c r="J446" i="2"/>
  <c r="J454" i="2"/>
  <c r="J462" i="2"/>
  <c r="J470" i="2"/>
  <c r="J478" i="2"/>
  <c r="J486" i="2"/>
  <c r="J494" i="2"/>
  <c r="J502" i="2"/>
  <c r="J510" i="2"/>
  <c r="J518" i="2"/>
  <c r="J526" i="2"/>
  <c r="J534" i="2"/>
  <c r="J542" i="2"/>
  <c r="J550" i="2"/>
  <c r="J558" i="2"/>
  <c r="J566" i="2"/>
  <c r="J574" i="2"/>
  <c r="J582" i="2"/>
  <c r="J590" i="2"/>
  <c r="J598" i="2"/>
  <c r="J606" i="2"/>
  <c r="J614" i="2"/>
  <c r="J622" i="2"/>
  <c r="J630" i="2"/>
  <c r="J638" i="2"/>
  <c r="J646" i="2"/>
  <c r="J654" i="2"/>
  <c r="J662" i="2"/>
  <c r="J670" i="2"/>
  <c r="J678" i="2"/>
  <c r="J686" i="2"/>
  <c r="J694" i="2"/>
  <c r="J702" i="2"/>
  <c r="J710" i="2"/>
  <c r="J718" i="2"/>
  <c r="J726" i="2"/>
  <c r="J734" i="2"/>
  <c r="J742" i="2"/>
  <c r="J746" i="2"/>
  <c r="J754" i="2"/>
  <c r="J762" i="2"/>
  <c r="J770" i="2"/>
  <c r="J778" i="2"/>
  <c r="J786" i="2"/>
  <c r="J794" i="2"/>
  <c r="J802" i="2"/>
  <c r="J814" i="2"/>
  <c r="J822" i="2"/>
  <c r="J830" i="2"/>
  <c r="J838" i="2"/>
  <c r="J842" i="2"/>
  <c r="J850" i="2"/>
  <c r="J862" i="2"/>
  <c r="J870" i="2"/>
  <c r="J878" i="2"/>
  <c r="J886" i="2"/>
  <c r="J894" i="2"/>
  <c r="J898" i="2"/>
  <c r="J910" i="2"/>
  <c r="J918" i="2"/>
  <c r="J926" i="2"/>
  <c r="J934" i="2"/>
  <c r="J942" i="2"/>
  <c r="J950" i="2"/>
  <c r="J958" i="2"/>
  <c r="J962" i="2"/>
  <c r="J974" i="2"/>
  <c r="J982" i="2"/>
  <c r="J990" i="2"/>
  <c r="J998" i="2"/>
  <c r="J1002" i="2"/>
  <c r="J1010" i="2"/>
  <c r="J1018" i="2"/>
  <c r="J1026" i="2"/>
  <c r="J1034" i="2"/>
  <c r="J1042" i="2"/>
  <c r="J1050" i="2"/>
  <c r="J1058" i="2"/>
  <c r="J1066" i="2"/>
  <c r="J1074" i="2"/>
  <c r="J1082" i="2"/>
  <c r="J1090" i="2"/>
  <c r="J1098" i="2"/>
  <c r="J1106" i="2"/>
  <c r="J1114" i="2"/>
  <c r="J1122" i="2"/>
  <c r="J1162" i="2"/>
  <c r="J5" i="2"/>
  <c r="J8" i="2"/>
  <c r="J11" i="2"/>
  <c r="J15" i="2"/>
  <c r="J19" i="2"/>
  <c r="J23" i="2"/>
  <c r="J27" i="2"/>
  <c r="J31" i="2"/>
  <c r="J35" i="2"/>
  <c r="J39" i="2"/>
  <c r="J43" i="2"/>
  <c r="J47" i="2"/>
  <c r="J51" i="2"/>
  <c r="J55" i="2"/>
  <c r="J59" i="2"/>
  <c r="J63" i="2"/>
  <c r="J67" i="2"/>
  <c r="J71" i="2"/>
  <c r="J75" i="2"/>
  <c r="J79" i="2"/>
  <c r="J83" i="2"/>
  <c r="J87" i="2"/>
  <c r="J91" i="2"/>
  <c r="J95" i="2"/>
  <c r="J99" i="2"/>
  <c r="J103" i="2"/>
  <c r="J107" i="2"/>
  <c r="J111" i="2"/>
  <c r="J115" i="2"/>
  <c r="J119" i="2"/>
  <c r="J123" i="2"/>
  <c r="J127" i="2"/>
  <c r="J131" i="2"/>
  <c r="J135" i="2"/>
  <c r="J139" i="2"/>
  <c r="J143" i="2"/>
  <c r="J147" i="2"/>
  <c r="J151" i="2"/>
  <c r="J155" i="2"/>
  <c r="J159" i="2"/>
  <c r="J163" i="2"/>
  <c r="J167" i="2"/>
  <c r="J171" i="2"/>
  <c r="J175" i="2"/>
  <c r="J179" i="2"/>
  <c r="J183" i="2"/>
  <c r="J187" i="2"/>
  <c r="J191" i="2"/>
  <c r="J195" i="2"/>
  <c r="J199" i="2"/>
  <c r="J203" i="2"/>
  <c r="J207" i="2"/>
  <c r="J211" i="2"/>
  <c r="J215" i="2"/>
  <c r="J219" i="2"/>
  <c r="J223" i="2"/>
  <c r="J227" i="2"/>
  <c r="J231" i="2"/>
  <c r="J235" i="2"/>
  <c r="J239" i="2"/>
  <c r="J243" i="2"/>
  <c r="J247" i="2"/>
  <c r="J251" i="2"/>
  <c r="J255" i="2"/>
  <c r="J259" i="2"/>
  <c r="J263" i="2"/>
  <c r="J267" i="2"/>
  <c r="J271" i="2"/>
  <c r="J275" i="2"/>
  <c r="J279" i="2"/>
  <c r="J283" i="2"/>
  <c r="J287" i="2"/>
  <c r="J291" i="2"/>
  <c r="J295" i="2"/>
  <c r="J299" i="2"/>
  <c r="J303" i="2"/>
  <c r="J307" i="2"/>
  <c r="J311" i="2"/>
  <c r="J315" i="2"/>
  <c r="J319" i="2"/>
  <c r="J323" i="2"/>
  <c r="J327" i="2"/>
  <c r="J331" i="2"/>
  <c r="J335" i="2"/>
  <c r="J339" i="2"/>
  <c r="J343" i="2"/>
  <c r="J347" i="2"/>
  <c r="J351" i="2"/>
  <c r="J355" i="2"/>
  <c r="J359" i="2"/>
  <c r="J363" i="2"/>
  <c r="J367" i="2"/>
  <c r="J371" i="2"/>
  <c r="J375" i="2"/>
  <c r="J379" i="2"/>
  <c r="J383" i="2"/>
  <c r="J387" i="2"/>
  <c r="J391" i="2"/>
  <c r="J395" i="2"/>
  <c r="J399" i="2"/>
  <c r="J403" i="2"/>
  <c r="J407" i="2"/>
  <c r="J411" i="2"/>
  <c r="J415" i="2"/>
  <c r="J419" i="2"/>
  <c r="J423" i="2"/>
  <c r="J427" i="2"/>
  <c r="J431" i="2"/>
  <c r="J435" i="2"/>
  <c r="J439" i="2"/>
  <c r="J443" i="2"/>
  <c r="J447" i="2"/>
  <c r="J451" i="2"/>
  <c r="J455" i="2"/>
  <c r="J459" i="2"/>
  <c r="J463" i="2"/>
  <c r="J467" i="2"/>
  <c r="J471" i="2"/>
  <c r="J475" i="2"/>
  <c r="J479" i="2"/>
  <c r="J483" i="2"/>
  <c r="J487" i="2"/>
  <c r="J491" i="2"/>
  <c r="J495" i="2"/>
  <c r="J499" i="2"/>
  <c r="J503" i="2"/>
  <c r="J507" i="2"/>
  <c r="J511" i="2"/>
  <c r="J515" i="2"/>
  <c r="J519" i="2"/>
  <c r="J523" i="2"/>
  <c r="J527" i="2"/>
  <c r="J531" i="2"/>
  <c r="J535" i="2"/>
  <c r="J539" i="2"/>
  <c r="J543" i="2"/>
  <c r="J547" i="2"/>
  <c r="J551" i="2"/>
  <c r="J555" i="2"/>
  <c r="J559" i="2"/>
  <c r="J563" i="2"/>
  <c r="J567" i="2"/>
  <c r="J571" i="2"/>
  <c r="J575" i="2"/>
  <c r="J579" i="2"/>
  <c r="J583" i="2"/>
  <c r="J587" i="2"/>
  <c r="J591" i="2"/>
  <c r="J595" i="2"/>
  <c r="J599" i="2"/>
  <c r="J603" i="2"/>
  <c r="J607" i="2"/>
  <c r="J611" i="2"/>
  <c r="J615" i="2"/>
  <c r="J592" i="2"/>
  <c r="J596" i="2"/>
  <c r="J600" i="2"/>
  <c r="J604" i="2"/>
  <c r="J608" i="2"/>
  <c r="J612" i="2"/>
  <c r="J616" i="2"/>
  <c r="J1145" i="2"/>
  <c r="J1149" i="2"/>
  <c r="J1153" i="2"/>
  <c r="J1157" i="2"/>
  <c r="J1161" i="2"/>
  <c r="J1165" i="2"/>
  <c r="J1169" i="2"/>
  <c r="J1173" i="2"/>
  <c r="J1177" i="2"/>
  <c r="J1181" i="2"/>
  <c r="J1185" i="2"/>
  <c r="J1189" i="2"/>
  <c r="J1193" i="2"/>
  <c r="J1197" i="2"/>
  <c r="J1201" i="2"/>
  <c r="J1205" i="2"/>
  <c r="J1209" i="2"/>
  <c r="J1213" i="2"/>
  <c r="J1217" i="2"/>
  <c r="J1221" i="2"/>
  <c r="J1225" i="2"/>
  <c r="J1229" i="2"/>
  <c r="J1233" i="2"/>
  <c r="J1237" i="2"/>
  <c r="J1241" i="2"/>
  <c r="J1245" i="2"/>
  <c r="J1249" i="2"/>
  <c r="J1253" i="2"/>
  <c r="J1257" i="2"/>
  <c r="J1261" i="2"/>
  <c r="J1265" i="2"/>
  <c r="J1269" i="2"/>
  <c r="J1273" i="2"/>
  <c r="J1277" i="2"/>
  <c r="J1281" i="2"/>
  <c r="J1285" i="2"/>
  <c r="J1289" i="2"/>
  <c r="J1293" i="2"/>
  <c r="J1297" i="2"/>
  <c r="J1301" i="2"/>
  <c r="J1305" i="2"/>
  <c r="J1309" i="2"/>
  <c r="J1313" i="2"/>
  <c r="J1317" i="2"/>
  <c r="J1321" i="2"/>
  <c r="J1325" i="2"/>
  <c r="J1329" i="2"/>
  <c r="J1333" i="2"/>
  <c r="J1337" i="2"/>
  <c r="J1341" i="2"/>
  <c r="J1345" i="2"/>
  <c r="J1349" i="2"/>
  <c r="J1353" i="2"/>
  <c r="J1357" i="2"/>
  <c r="J1361" i="2"/>
  <c r="J1365" i="2"/>
  <c r="J1369" i="2"/>
  <c r="J1373" i="2"/>
  <c r="J1377" i="2"/>
  <c r="J1381" i="2"/>
  <c r="J1385" i="2"/>
  <c r="J1389" i="2"/>
  <c r="J1393" i="2"/>
  <c r="J1397" i="2"/>
  <c r="J1401" i="2"/>
  <c r="J1405" i="2"/>
  <c r="J1409" i="2"/>
  <c r="J1413" i="2"/>
  <c r="J1417" i="2"/>
  <c r="J1421" i="2"/>
  <c r="J1425" i="2"/>
  <c r="J1429" i="2"/>
  <c r="J1433" i="2"/>
  <c r="J1437" i="2"/>
  <c r="J1441" i="2"/>
  <c r="J1445" i="2"/>
  <c r="J1449" i="2"/>
  <c r="J1453" i="2"/>
  <c r="J1457" i="2"/>
  <c r="J1461" i="2"/>
  <c r="J1465" i="2"/>
  <c r="J1469" i="2"/>
  <c r="J1473" i="2"/>
  <c r="J1477" i="2"/>
  <c r="J1481" i="2"/>
  <c r="J1485" i="2"/>
  <c r="J1489" i="2"/>
  <c r="J1493" i="2"/>
  <c r="J1497" i="2"/>
  <c r="J1501" i="2"/>
  <c r="J1505" i="2"/>
  <c r="J1509" i="2"/>
  <c r="J1513" i="2"/>
  <c r="J1517" i="2"/>
  <c r="J1521" i="2"/>
  <c r="J1525" i="2"/>
  <c r="J1529" i="2"/>
  <c r="J1533" i="2"/>
  <c r="J1537" i="2"/>
  <c r="J1541" i="2"/>
  <c r="J1545" i="2"/>
  <c r="J1549" i="2"/>
  <c r="J1553" i="2"/>
  <c r="J1557" i="2"/>
  <c r="J1561" i="2"/>
  <c r="J1565" i="2"/>
  <c r="J1569" i="2"/>
  <c r="J1573" i="2"/>
  <c r="J1577" i="2"/>
  <c r="J1581" i="2"/>
  <c r="J1585" i="2"/>
  <c r="J1589" i="2"/>
  <c r="J1593" i="2"/>
  <c r="J1597" i="2"/>
  <c r="J1601" i="2"/>
  <c r="J1605" i="2"/>
  <c r="J1609" i="2"/>
  <c r="J1613" i="2"/>
  <c r="J1617" i="2"/>
  <c r="J1621" i="2"/>
  <c r="J1625" i="2"/>
  <c r="J1629" i="2"/>
  <c r="J1633" i="2"/>
  <c r="J1637" i="2"/>
  <c r="J1641" i="2"/>
  <c r="J1645" i="2"/>
  <c r="J1649" i="2"/>
  <c r="J1653" i="2"/>
  <c r="J1657" i="2"/>
  <c r="J1661" i="2"/>
  <c r="J1665" i="2"/>
  <c r="J1669" i="2"/>
  <c r="J1673" i="2"/>
  <c r="J1677" i="2"/>
  <c r="J1681" i="2"/>
  <c r="J1685" i="2"/>
  <c r="J1689" i="2"/>
  <c r="J1693" i="2"/>
  <c r="J1697" i="2"/>
  <c r="J1701" i="2"/>
  <c r="J1705" i="2"/>
  <c r="J1709" i="2"/>
  <c r="J1713" i="2"/>
  <c r="J1717" i="2"/>
  <c r="J1721" i="2"/>
  <c r="J1725" i="2"/>
  <c r="J1729" i="2"/>
  <c r="J1733" i="2"/>
  <c r="J1737" i="2"/>
  <c r="J1741" i="2"/>
  <c r="J1745" i="2"/>
  <c r="J1749" i="2"/>
  <c r="J1753" i="2"/>
  <c r="J1757" i="2"/>
  <c r="J1761" i="2"/>
  <c r="J1765" i="2"/>
  <c r="J1769" i="2"/>
  <c r="J1773" i="2"/>
  <c r="J1777" i="2"/>
  <c r="J1781" i="2"/>
  <c r="J1785" i="2"/>
  <c r="J1789" i="2"/>
  <c r="J1793" i="2"/>
  <c r="J1797" i="2"/>
  <c r="J1801" i="2"/>
  <c r="J1805" i="2"/>
  <c r="J1809" i="2"/>
  <c r="J1813" i="2"/>
  <c r="J1817" i="2"/>
  <c r="J1821" i="2"/>
  <c r="J1825" i="2"/>
  <c r="J1829" i="2"/>
  <c r="J1833" i="2"/>
  <c r="J1837" i="2"/>
  <c r="J1841" i="2"/>
  <c r="J1845" i="2"/>
  <c r="J1849" i="2"/>
  <c r="J1853" i="2"/>
  <c r="J1857" i="2"/>
  <c r="J1861" i="2"/>
  <c r="J1865" i="2"/>
  <c r="J1869" i="2"/>
  <c r="J1873" i="2"/>
  <c r="J1877" i="2"/>
  <c r="J1881" i="2"/>
  <c r="J1885" i="2"/>
  <c r="J1889" i="2"/>
  <c r="J1893" i="2"/>
  <c r="J1897" i="2"/>
  <c r="J1901" i="2"/>
  <c r="J1905" i="2"/>
  <c r="J1909" i="2"/>
  <c r="J1913" i="2"/>
  <c r="J1917" i="2"/>
  <c r="J1921" i="2"/>
  <c r="J1925" i="2"/>
  <c r="J1929" i="2"/>
  <c r="J1933" i="2"/>
  <c r="J1937" i="2"/>
  <c r="J1941" i="2"/>
  <c r="J1945" i="2"/>
  <c r="J1949" i="2"/>
  <c r="J1953" i="2"/>
  <c r="J1957" i="2"/>
  <c r="J1961" i="2"/>
  <c r="J1965" i="2"/>
  <c r="J1969" i="2"/>
  <c r="J1973" i="2"/>
  <c r="J1977" i="2"/>
  <c r="J1981" i="2"/>
  <c r="J1985" i="2"/>
  <c r="J1989" i="2"/>
  <c r="J1993" i="2"/>
  <c r="J1997" i="2"/>
  <c r="J2001" i="2"/>
  <c r="J2005" i="2"/>
  <c r="J2009" i="2"/>
  <c r="J2013" i="2"/>
  <c r="J2017" i="2"/>
  <c r="J2021" i="2"/>
  <c r="J2025" i="2"/>
  <c r="J2029" i="2"/>
  <c r="J2033" i="2"/>
  <c r="J2037" i="2"/>
  <c r="J2041" i="2"/>
  <c r="J2045" i="2"/>
  <c r="J2049" i="2"/>
  <c r="J2053" i="2"/>
  <c r="J2057" i="2"/>
  <c r="J2061" i="2"/>
  <c r="J2065" i="2"/>
  <c r="J2069" i="2"/>
  <c r="J2073" i="2"/>
  <c r="J2077" i="2"/>
  <c r="J2081" i="2"/>
  <c r="J2085" i="2"/>
  <c r="J2089" i="2"/>
  <c r="J2093" i="2"/>
  <c r="J2097" i="2"/>
  <c r="J2101" i="2"/>
  <c r="J2105" i="2"/>
  <c r="J2109" i="2"/>
  <c r="J2113" i="2"/>
  <c r="J2117" i="2"/>
  <c r="J2121" i="2"/>
  <c r="J2125" i="2"/>
  <c r="J2129" i="2"/>
  <c r="J2133" i="2"/>
  <c r="J2137" i="2"/>
  <c r="J2141" i="2"/>
  <c r="J2145" i="2"/>
  <c r="J2149" i="2"/>
  <c r="J2153" i="2"/>
  <c r="J2157" i="2"/>
  <c r="J1846" i="2"/>
  <c r="J1850" i="2"/>
  <c r="J1854" i="2"/>
  <c r="J1858" i="2"/>
  <c r="J1862" i="2"/>
  <c r="J1866" i="2"/>
  <c r="J1870" i="2"/>
  <c r="J1874" i="2"/>
  <c r="J1878" i="2"/>
  <c r="J1882" i="2"/>
  <c r="J1886" i="2"/>
  <c r="J1890" i="2"/>
  <c r="J1894" i="2"/>
  <c r="J1898" i="2"/>
  <c r="J1902" i="2"/>
  <c r="J1906" i="2"/>
  <c r="J1910" i="2"/>
  <c r="J1914" i="2"/>
  <c r="J1918" i="2"/>
  <c r="J1922" i="2"/>
  <c r="J1926" i="2"/>
  <c r="J1930" i="2"/>
  <c r="J1934" i="2"/>
  <c r="J1938" i="2"/>
  <c r="J1942" i="2"/>
  <c r="J1946" i="2"/>
  <c r="J1950" i="2"/>
  <c r="J1954" i="2"/>
  <c r="J1958" i="2"/>
  <c r="J1962" i="2"/>
  <c r="J1966" i="2"/>
  <c r="J1970" i="2"/>
  <c r="J1974" i="2"/>
  <c r="J1978" i="2"/>
  <c r="J1982" i="2"/>
  <c r="J1986" i="2"/>
  <c r="J1990" i="2"/>
  <c r="J1994" i="2"/>
  <c r="J1998" i="2"/>
  <c r="J2002" i="2"/>
  <c r="J2006" i="2"/>
  <c r="J2010" i="2"/>
  <c r="J2014" i="2"/>
  <c r="J2018" i="2"/>
  <c r="J2022" i="2"/>
  <c r="J2026" i="2"/>
  <c r="J2030" i="2"/>
  <c r="J2034" i="2"/>
  <c r="J2038" i="2"/>
  <c r="J2042" i="2"/>
  <c r="J2046" i="2"/>
  <c r="J2050" i="2"/>
  <c r="J2054" i="2"/>
  <c r="J2058" i="2"/>
  <c r="J2062" i="2"/>
  <c r="J2066" i="2"/>
  <c r="J2070" i="2"/>
  <c r="J2074" i="2"/>
  <c r="J2078" i="2"/>
  <c r="J2082" i="2"/>
  <c r="J2086" i="2"/>
  <c r="J2090" i="2"/>
  <c r="J2094" i="2"/>
  <c r="J2098" i="2"/>
  <c r="J2102" i="2"/>
  <c r="J2106" i="2"/>
  <c r="J2110" i="2"/>
  <c r="J2114" i="2"/>
  <c r="J2118" i="2"/>
  <c r="J2122" i="2"/>
  <c r="J2126" i="2"/>
  <c r="J2130" i="2"/>
  <c r="J2134" i="2"/>
  <c r="J2138" i="2"/>
  <c r="J2142" i="2"/>
  <c r="J2146" i="2"/>
  <c r="J2150" i="2"/>
  <c r="J2154" i="2"/>
  <c r="J2158" i="2"/>
  <c r="J619" i="2"/>
  <c r="J623" i="2"/>
  <c r="J627" i="2"/>
  <c r="J631" i="2"/>
  <c r="J635" i="2"/>
  <c r="J639" i="2"/>
  <c r="J643" i="2"/>
  <c r="J647" i="2"/>
  <c r="J651" i="2"/>
  <c r="J655" i="2"/>
  <c r="J659" i="2"/>
  <c r="J663" i="2"/>
  <c r="J667" i="2"/>
  <c r="J671" i="2"/>
  <c r="J675" i="2"/>
  <c r="J679" i="2"/>
  <c r="J683" i="2"/>
  <c r="J687" i="2"/>
  <c r="J691" i="2"/>
  <c r="J695" i="2"/>
  <c r="J699" i="2"/>
  <c r="J703" i="2"/>
  <c r="J707" i="2"/>
  <c r="J711" i="2"/>
  <c r="J715" i="2"/>
  <c r="J719" i="2"/>
  <c r="J723" i="2"/>
  <c r="J727" i="2"/>
  <c r="J731" i="2"/>
  <c r="J735" i="2"/>
  <c r="J739" i="2"/>
  <c r="J743" i="2"/>
  <c r="J747" i="2"/>
  <c r="J751" i="2"/>
  <c r="J755" i="2"/>
  <c r="J759" i="2"/>
  <c r="J763" i="2"/>
  <c r="J767" i="2"/>
  <c r="J771" i="2"/>
  <c r="J775" i="2"/>
  <c r="J779" i="2"/>
  <c r="J783" i="2"/>
  <c r="J787" i="2"/>
  <c r="J791" i="2"/>
  <c r="J795" i="2"/>
  <c r="J799" i="2"/>
  <c r="J803" i="2"/>
  <c r="J807" i="2"/>
  <c r="J811" i="2"/>
  <c r="J815" i="2"/>
  <c r="J819" i="2"/>
  <c r="J823" i="2"/>
  <c r="J827" i="2"/>
  <c r="J831" i="2"/>
  <c r="J835" i="2"/>
  <c r="J839" i="2"/>
  <c r="J843" i="2"/>
  <c r="J847" i="2"/>
  <c r="J851" i="2"/>
  <c r="J855" i="2"/>
  <c r="J859" i="2"/>
  <c r="J863" i="2"/>
  <c r="J867" i="2"/>
  <c r="J871" i="2"/>
  <c r="J875" i="2"/>
  <c r="J879" i="2"/>
  <c r="J883" i="2"/>
  <c r="J887" i="2"/>
  <c r="J891" i="2"/>
  <c r="J895" i="2"/>
  <c r="J899" i="2"/>
  <c r="J903" i="2"/>
  <c r="J907" i="2"/>
  <c r="J911" i="2"/>
  <c r="J915" i="2"/>
  <c r="J919" i="2"/>
  <c r="J923" i="2"/>
  <c r="J927" i="2"/>
  <c r="J931" i="2"/>
  <c r="J935" i="2"/>
  <c r="J939" i="2"/>
  <c r="J943" i="2"/>
  <c r="J947" i="2"/>
  <c r="J951" i="2"/>
  <c r="J955" i="2"/>
  <c r="J959" i="2"/>
  <c r="J963" i="2"/>
  <c r="J967" i="2"/>
  <c r="J971" i="2"/>
  <c r="J975" i="2"/>
  <c r="J979" i="2"/>
  <c r="J983" i="2"/>
  <c r="J987" i="2"/>
  <c r="J991" i="2"/>
  <c r="J995" i="2"/>
  <c r="J999" i="2"/>
  <c r="J1003" i="2"/>
  <c r="J1007" i="2"/>
  <c r="J1011" i="2"/>
  <c r="J1015" i="2"/>
  <c r="J1019" i="2"/>
  <c r="J1023" i="2"/>
  <c r="J1027" i="2"/>
  <c r="J1031" i="2"/>
  <c r="J1035" i="2"/>
  <c r="J1039" i="2"/>
  <c r="J1043" i="2"/>
  <c r="J1047" i="2"/>
  <c r="J1051" i="2"/>
  <c r="J1055" i="2"/>
  <c r="J1059" i="2"/>
  <c r="J1063" i="2"/>
  <c r="J1067" i="2"/>
  <c r="J1071" i="2"/>
  <c r="J1075" i="2"/>
  <c r="J1079" i="2"/>
  <c r="J1083" i="2"/>
  <c r="J1087" i="2"/>
  <c r="J1091" i="2"/>
  <c r="J1095" i="2"/>
  <c r="J1099" i="2"/>
  <c r="J1103" i="2"/>
  <c r="J1107" i="2"/>
  <c r="J1111" i="2"/>
  <c r="J1115" i="2"/>
  <c r="J1119" i="2"/>
  <c r="J1123" i="2"/>
  <c r="J1127" i="2"/>
  <c r="J1131" i="2"/>
  <c r="J1135" i="2"/>
  <c r="J1139" i="2"/>
  <c r="J1143" i="2"/>
  <c r="J1147" i="2"/>
  <c r="J1151" i="2"/>
  <c r="J1155" i="2"/>
  <c r="J1159" i="2"/>
  <c r="J1163" i="2"/>
  <c r="J1167" i="2"/>
  <c r="J1171" i="2"/>
  <c r="J1175" i="2"/>
  <c r="J1179" i="2"/>
  <c r="J1183" i="2"/>
  <c r="J1187" i="2"/>
  <c r="J1191" i="2"/>
  <c r="J1195" i="2"/>
  <c r="J1199" i="2"/>
  <c r="J1203" i="2"/>
  <c r="J1207" i="2"/>
  <c r="J1211" i="2"/>
  <c r="J1215" i="2"/>
  <c r="J1219" i="2"/>
  <c r="J1223" i="2"/>
  <c r="J1227" i="2"/>
  <c r="J1231" i="2"/>
  <c r="J1235" i="2"/>
  <c r="J1239" i="2"/>
  <c r="J1243" i="2"/>
  <c r="J1247" i="2"/>
  <c r="J1251" i="2"/>
  <c r="J1255" i="2"/>
  <c r="J1259" i="2"/>
  <c r="J1263" i="2"/>
  <c r="J1267" i="2"/>
  <c r="J1271" i="2"/>
  <c r="J1275" i="2"/>
  <c r="J1279" i="2"/>
  <c r="J1283" i="2"/>
  <c r="J1287" i="2"/>
  <c r="J1291" i="2"/>
  <c r="J1295" i="2"/>
  <c r="J1299" i="2"/>
  <c r="J1303" i="2"/>
  <c r="J1307" i="2"/>
  <c r="J1311" i="2"/>
  <c r="J1315" i="2"/>
  <c r="J1319" i="2"/>
  <c r="J1323" i="2"/>
  <c r="J1327" i="2"/>
  <c r="J1331" i="2"/>
  <c r="J1335" i="2"/>
  <c r="J1339" i="2"/>
  <c r="J1343" i="2"/>
  <c r="J1347" i="2"/>
  <c r="J1351" i="2"/>
  <c r="J1355" i="2"/>
  <c r="J1359" i="2"/>
  <c r="J1363" i="2"/>
  <c r="J1367" i="2"/>
  <c r="J1371" i="2"/>
  <c r="J1375" i="2"/>
  <c r="J1379" i="2"/>
  <c r="J1383" i="2"/>
  <c r="J1387" i="2"/>
  <c r="J1391" i="2"/>
  <c r="J1395" i="2"/>
  <c r="J1399" i="2"/>
  <c r="J1403" i="2"/>
  <c r="J1407" i="2"/>
  <c r="J1411" i="2"/>
  <c r="J1415" i="2"/>
  <c r="J1419" i="2"/>
  <c r="J1423" i="2"/>
  <c r="J1427" i="2"/>
  <c r="J1431" i="2"/>
  <c r="J1435" i="2"/>
  <c r="J1439" i="2"/>
  <c r="J1443" i="2"/>
  <c r="J1447" i="2"/>
  <c r="J1451" i="2"/>
  <c r="J1455" i="2"/>
  <c r="J1459" i="2"/>
  <c r="J1463" i="2"/>
  <c r="J1467" i="2"/>
  <c r="J1471" i="2"/>
  <c r="J1475" i="2"/>
  <c r="J1479" i="2"/>
  <c r="J1483" i="2"/>
  <c r="J1487" i="2"/>
  <c r="J1491" i="2"/>
  <c r="J1495" i="2"/>
  <c r="J1499" i="2"/>
  <c r="J1503" i="2"/>
  <c r="J1507" i="2"/>
  <c r="J1511" i="2"/>
  <c r="J1515" i="2"/>
  <c r="J1519" i="2"/>
  <c r="J1523" i="2"/>
  <c r="J1527" i="2"/>
  <c r="J1531" i="2"/>
  <c r="J1535" i="2"/>
  <c r="J1539" i="2"/>
  <c r="J1543" i="2"/>
  <c r="J1547" i="2"/>
  <c r="J1551" i="2"/>
  <c r="J1555" i="2"/>
  <c r="J1559" i="2"/>
  <c r="J1563" i="2"/>
  <c r="J1567" i="2"/>
  <c r="J1571" i="2"/>
  <c r="J1575" i="2"/>
  <c r="J1579" i="2"/>
  <c r="J1583" i="2"/>
  <c r="J1587" i="2"/>
  <c r="J1591" i="2"/>
  <c r="J1595" i="2"/>
  <c r="J1599" i="2"/>
  <c r="J1603" i="2"/>
  <c r="J1607" i="2"/>
  <c r="J1611" i="2"/>
  <c r="J1615" i="2"/>
  <c r="J1619" i="2"/>
  <c r="J1623" i="2"/>
  <c r="J1627" i="2"/>
  <c r="J1631" i="2"/>
  <c r="J1635" i="2"/>
  <c r="J1639" i="2"/>
  <c r="J1643" i="2"/>
  <c r="J1647" i="2"/>
  <c r="J1651" i="2"/>
  <c r="J1655" i="2"/>
  <c r="J1659" i="2"/>
  <c r="J1663" i="2"/>
  <c r="J1667" i="2"/>
  <c r="J1671" i="2"/>
  <c r="J1675" i="2"/>
  <c r="J1679" i="2"/>
  <c r="J1683" i="2"/>
  <c r="J1687" i="2"/>
  <c r="J1691" i="2"/>
  <c r="J1695" i="2"/>
  <c r="J1699" i="2"/>
  <c r="J1703" i="2"/>
  <c r="J1707" i="2"/>
  <c r="J1711" i="2"/>
  <c r="J1715" i="2"/>
  <c r="J1719" i="2"/>
  <c r="J1723" i="2"/>
  <c r="J1727" i="2"/>
  <c r="J1731" i="2"/>
  <c r="J1735" i="2"/>
  <c r="J1739" i="2"/>
  <c r="J1743" i="2"/>
  <c r="J1747" i="2"/>
  <c r="J1751" i="2"/>
  <c r="J1755" i="2"/>
  <c r="J1759" i="2"/>
  <c r="J1763" i="2"/>
  <c r="J1767" i="2"/>
  <c r="J1771" i="2"/>
  <c r="J1775" i="2"/>
  <c r="J1779" i="2"/>
  <c r="J1783" i="2"/>
  <c r="J1787" i="2"/>
  <c r="J1791" i="2"/>
  <c r="J1795" i="2"/>
  <c r="J1799" i="2"/>
  <c r="J1803" i="2"/>
  <c r="J1807" i="2"/>
  <c r="J1811" i="2"/>
  <c r="J1815" i="2"/>
  <c r="J1819" i="2"/>
  <c r="J1823" i="2"/>
  <c r="J1827" i="2"/>
  <c r="J1831" i="2"/>
  <c r="J1835" i="2"/>
  <c r="J1839" i="2"/>
  <c r="J1843" i="2"/>
  <c r="J1847" i="2"/>
  <c r="J1851" i="2"/>
  <c r="J1855" i="2"/>
  <c r="J1859" i="2"/>
  <c r="J1863" i="2"/>
  <c r="J1867" i="2"/>
  <c r="J1871" i="2"/>
  <c r="J1875" i="2"/>
  <c r="J1879" i="2"/>
  <c r="J1883" i="2"/>
  <c r="J1887" i="2"/>
  <c r="J1891" i="2"/>
  <c r="J1895" i="2"/>
  <c r="J1899" i="2"/>
  <c r="J1903" i="2"/>
  <c r="J1907" i="2"/>
  <c r="J1911" i="2"/>
  <c r="J1915" i="2"/>
  <c r="J1919" i="2"/>
  <c r="J1923" i="2"/>
  <c r="J1927" i="2"/>
  <c r="J1931" i="2"/>
  <c r="J1935" i="2"/>
  <c r="J1939" i="2"/>
  <c r="J1943" i="2"/>
  <c r="J1947" i="2"/>
  <c r="J1951" i="2"/>
  <c r="J1955" i="2"/>
  <c r="J1959" i="2"/>
  <c r="J1963" i="2"/>
  <c r="J1967" i="2"/>
  <c r="J1971" i="2"/>
  <c r="J1975" i="2"/>
  <c r="J1979" i="2"/>
  <c r="J1983" i="2"/>
  <c r="J1987" i="2"/>
  <c r="J1991" i="2"/>
  <c r="J1995" i="2"/>
  <c r="J1999" i="2"/>
  <c r="J2003" i="2"/>
  <c r="J2007" i="2"/>
  <c r="J2011" i="2"/>
  <c r="J2015" i="2"/>
  <c r="J2019" i="2"/>
  <c r="J2023" i="2"/>
  <c r="J2027" i="2"/>
  <c r="J2031" i="2"/>
  <c r="J2035" i="2"/>
  <c r="J2039" i="2"/>
  <c r="J2043" i="2"/>
  <c r="J2047" i="2"/>
  <c r="J2051" i="2"/>
  <c r="J2055" i="2"/>
  <c r="J2059" i="2"/>
  <c r="J2063" i="2"/>
  <c r="J2067" i="2"/>
  <c r="J2071" i="2"/>
  <c r="J2075" i="2"/>
  <c r="J2079" i="2"/>
  <c r="J2083" i="2"/>
  <c r="J2087" i="2"/>
  <c r="J2091" i="2"/>
  <c r="J2095" i="2"/>
  <c r="J2099" i="2"/>
  <c r="J2103" i="2"/>
  <c r="J2107" i="2"/>
  <c r="J2111" i="2"/>
  <c r="J2115" i="2"/>
  <c r="J2119" i="2"/>
  <c r="J2123" i="2"/>
  <c r="J2127" i="2"/>
  <c r="J2131" i="2"/>
  <c r="J2135" i="2"/>
  <c r="J2139" i="2"/>
  <c r="J2143" i="2"/>
  <c r="J2147" i="2"/>
  <c r="J2151" i="2"/>
  <c r="J2155" i="2"/>
  <c r="J2159" i="2"/>
  <c r="J620" i="2"/>
  <c r="J624" i="2"/>
  <c r="J628" i="2"/>
  <c r="J632" i="2"/>
  <c r="J636" i="2"/>
  <c r="J640" i="2"/>
  <c r="J644" i="2"/>
  <c r="J648" i="2"/>
  <c r="J652" i="2"/>
  <c r="J656" i="2"/>
  <c r="J660" i="2"/>
  <c r="J664" i="2"/>
  <c r="J668" i="2"/>
  <c r="J672" i="2"/>
  <c r="J676" i="2"/>
  <c r="J680" i="2"/>
  <c r="J684" i="2"/>
  <c r="J688" i="2"/>
  <c r="J692" i="2"/>
  <c r="J696" i="2"/>
  <c r="J700" i="2"/>
  <c r="J704" i="2"/>
  <c r="J708" i="2"/>
  <c r="J712" i="2"/>
  <c r="J716" i="2"/>
  <c r="J720" i="2"/>
  <c r="J724" i="2"/>
  <c r="J728" i="2"/>
  <c r="J732" i="2"/>
  <c r="J736" i="2"/>
  <c r="J740" i="2"/>
  <c r="J744" i="2"/>
  <c r="J748" i="2"/>
  <c r="J752" i="2"/>
  <c r="J756" i="2"/>
  <c r="J760" i="2"/>
  <c r="J764" i="2"/>
  <c r="J768" i="2"/>
  <c r="J772" i="2"/>
  <c r="J776" i="2"/>
  <c r="J780" i="2"/>
  <c r="J784" i="2"/>
  <c r="J788" i="2"/>
  <c r="J792" i="2"/>
  <c r="J796" i="2"/>
  <c r="J800" i="2"/>
  <c r="J804" i="2"/>
  <c r="J808" i="2"/>
  <c r="J812" i="2"/>
  <c r="J816" i="2"/>
  <c r="J820" i="2"/>
  <c r="J824" i="2"/>
  <c r="J828" i="2"/>
  <c r="J832" i="2"/>
  <c r="J836" i="2"/>
  <c r="J840" i="2"/>
  <c r="J844" i="2"/>
  <c r="J848" i="2"/>
  <c r="J852" i="2"/>
  <c r="J856" i="2"/>
  <c r="J860" i="2"/>
  <c r="J864" i="2"/>
  <c r="J868" i="2"/>
  <c r="J872" i="2"/>
  <c r="J876" i="2"/>
  <c r="J880" i="2"/>
  <c r="J884" i="2"/>
  <c r="J888" i="2"/>
  <c r="J892" i="2"/>
  <c r="J896" i="2"/>
  <c r="J900" i="2"/>
  <c r="J904" i="2"/>
  <c r="J908" i="2"/>
  <c r="J912" i="2"/>
  <c r="J916" i="2"/>
  <c r="J920" i="2"/>
  <c r="J924" i="2"/>
  <c r="J928" i="2"/>
  <c r="J932" i="2"/>
  <c r="J936" i="2"/>
  <c r="J940" i="2"/>
  <c r="J944" i="2"/>
  <c r="J948" i="2"/>
  <c r="J952" i="2"/>
  <c r="J956" i="2"/>
  <c r="J960" i="2"/>
  <c r="J964" i="2"/>
  <c r="J968" i="2"/>
  <c r="J972" i="2"/>
  <c r="J976" i="2"/>
  <c r="J980" i="2"/>
  <c r="J984" i="2"/>
  <c r="J988" i="2"/>
  <c r="J992" i="2"/>
  <c r="J996" i="2"/>
  <c r="J1000" i="2"/>
  <c r="J1004" i="2"/>
  <c r="J1008" i="2"/>
  <c r="J1012" i="2"/>
  <c r="J1016" i="2"/>
  <c r="J1020" i="2"/>
  <c r="J1024" i="2"/>
  <c r="J1028" i="2"/>
  <c r="J1032" i="2"/>
  <c r="J1036" i="2"/>
  <c r="J1040" i="2"/>
  <c r="J1044" i="2"/>
  <c r="J1048" i="2"/>
  <c r="J1052" i="2"/>
  <c r="J1056" i="2"/>
  <c r="J1060" i="2"/>
  <c r="J1064" i="2"/>
  <c r="J1068" i="2"/>
  <c r="J1072" i="2"/>
  <c r="J1076" i="2"/>
  <c r="J1080" i="2"/>
  <c r="J1084" i="2"/>
  <c r="J1088" i="2"/>
  <c r="J1092" i="2"/>
  <c r="J1096" i="2"/>
  <c r="J1100" i="2"/>
  <c r="J1104" i="2"/>
  <c r="J1108" i="2"/>
  <c r="J1112" i="2"/>
  <c r="J1116" i="2"/>
  <c r="J1120" i="2"/>
  <c r="J1124" i="2"/>
  <c r="J1128" i="2"/>
  <c r="J1132" i="2"/>
  <c r="J1136" i="2"/>
  <c r="J1140" i="2"/>
  <c r="J1144" i="2"/>
  <c r="J1148" i="2"/>
  <c r="J1152" i="2"/>
  <c r="J1156" i="2"/>
  <c r="J1160" i="2"/>
  <c r="J1164" i="2"/>
  <c r="J1168" i="2"/>
  <c r="J1172" i="2"/>
  <c r="J1176" i="2"/>
  <c r="J1180" i="2"/>
  <c r="J1184" i="2"/>
  <c r="J1188" i="2"/>
  <c r="J1192" i="2"/>
  <c r="J1196" i="2"/>
  <c r="J1200" i="2"/>
  <c r="J1204" i="2"/>
  <c r="J1208" i="2"/>
  <c r="J1212" i="2"/>
  <c r="J1216" i="2"/>
  <c r="J1220" i="2"/>
  <c r="J1224" i="2"/>
  <c r="J1228" i="2"/>
  <c r="J1232" i="2"/>
  <c r="J1236" i="2"/>
  <c r="J1240" i="2"/>
  <c r="J1244" i="2"/>
  <c r="J1248" i="2"/>
  <c r="J1252" i="2"/>
  <c r="J1256" i="2"/>
  <c r="J1260" i="2"/>
  <c r="J1264" i="2"/>
  <c r="J1268" i="2"/>
  <c r="J1272" i="2"/>
  <c r="J1276" i="2"/>
  <c r="J1280" i="2"/>
  <c r="J1284" i="2"/>
  <c r="J1288" i="2"/>
  <c r="J1292" i="2"/>
  <c r="J1296" i="2"/>
  <c r="J1300" i="2"/>
  <c r="J1304" i="2"/>
  <c r="J1308" i="2"/>
  <c r="J1312" i="2"/>
  <c r="J1316" i="2"/>
  <c r="J1320" i="2"/>
  <c r="J1324" i="2"/>
  <c r="J1328" i="2"/>
  <c r="J1332" i="2"/>
  <c r="J1336" i="2"/>
  <c r="J1340" i="2"/>
  <c r="J1344" i="2"/>
  <c r="J1348" i="2"/>
  <c r="J1352" i="2"/>
  <c r="J1356" i="2"/>
  <c r="J1360" i="2"/>
  <c r="J1364" i="2"/>
  <c r="J1368" i="2"/>
  <c r="J1372" i="2"/>
  <c r="J1376" i="2"/>
  <c r="J1380" i="2"/>
  <c r="J1384" i="2"/>
  <c r="J1388" i="2"/>
  <c r="J1392" i="2"/>
  <c r="J1396" i="2"/>
  <c r="J1400" i="2"/>
  <c r="J1404" i="2"/>
  <c r="J1408" i="2"/>
  <c r="J1412" i="2"/>
  <c r="J1416" i="2"/>
  <c r="J1420" i="2"/>
  <c r="J1424" i="2"/>
  <c r="J1428" i="2"/>
  <c r="J1432" i="2"/>
  <c r="J1436" i="2"/>
  <c r="J1440" i="2"/>
  <c r="J1444" i="2"/>
  <c r="J1448" i="2"/>
  <c r="J1452" i="2"/>
  <c r="J1456" i="2"/>
  <c r="J1460" i="2"/>
  <c r="J1464" i="2"/>
  <c r="J1468" i="2"/>
  <c r="J1472" i="2"/>
  <c r="J1476" i="2"/>
  <c r="J1480" i="2"/>
  <c r="J1484" i="2"/>
  <c r="J1488" i="2"/>
  <c r="J1492" i="2"/>
  <c r="J1496" i="2"/>
  <c r="J1500" i="2"/>
  <c r="J1504" i="2"/>
  <c r="J1508" i="2"/>
  <c r="J1512" i="2"/>
  <c r="J1516" i="2"/>
  <c r="J1520" i="2"/>
  <c r="J1524" i="2"/>
  <c r="J1528" i="2"/>
  <c r="J1532" i="2"/>
  <c r="J1536" i="2"/>
  <c r="J1540" i="2"/>
  <c r="J1544" i="2"/>
  <c r="J1548" i="2"/>
  <c r="J1552" i="2"/>
  <c r="J1556" i="2"/>
  <c r="J1560" i="2"/>
  <c r="J1564" i="2"/>
  <c r="J1568" i="2"/>
  <c r="J1572" i="2"/>
  <c r="J1576" i="2"/>
  <c r="J1580" i="2"/>
  <c r="J1584" i="2"/>
  <c r="J1588" i="2"/>
  <c r="J1592" i="2"/>
  <c r="J1596" i="2"/>
  <c r="J1600" i="2"/>
  <c r="J1604" i="2"/>
  <c r="J1608" i="2"/>
  <c r="J1612" i="2"/>
  <c r="J1616" i="2"/>
  <c r="J1620" i="2"/>
  <c r="J1624" i="2"/>
  <c r="J1628" i="2"/>
  <c r="J1632" i="2"/>
  <c r="J1636" i="2"/>
  <c r="J1640" i="2"/>
  <c r="J1644" i="2"/>
  <c r="J1648" i="2"/>
  <c r="J1652" i="2"/>
  <c r="J1656" i="2"/>
  <c r="J1660" i="2"/>
  <c r="J1664" i="2"/>
  <c r="J1668" i="2"/>
  <c r="J1672" i="2"/>
  <c r="J1676" i="2"/>
  <c r="J1680" i="2"/>
  <c r="J1684" i="2"/>
  <c r="J1688" i="2"/>
  <c r="J1692" i="2"/>
  <c r="J1696" i="2"/>
  <c r="J1700" i="2"/>
  <c r="J1704" i="2"/>
  <c r="J1708" i="2"/>
  <c r="J1712" i="2"/>
  <c r="J1716" i="2"/>
  <c r="J1720" i="2"/>
  <c r="J1724" i="2"/>
  <c r="J1728" i="2"/>
  <c r="J1732" i="2"/>
  <c r="J1736" i="2"/>
  <c r="J1740" i="2"/>
  <c r="J1744" i="2"/>
  <c r="J1748" i="2"/>
  <c r="J1752" i="2"/>
  <c r="J1756" i="2"/>
  <c r="J1760" i="2"/>
  <c r="J1764" i="2"/>
  <c r="J1768" i="2"/>
  <c r="J1772" i="2"/>
  <c r="J1776" i="2"/>
  <c r="J1780" i="2"/>
  <c r="J1784" i="2"/>
  <c r="J1788" i="2"/>
  <c r="J1792" i="2"/>
  <c r="J1796" i="2"/>
  <c r="J1800" i="2"/>
  <c r="J1804" i="2"/>
  <c r="J1808" i="2"/>
  <c r="J1812" i="2"/>
  <c r="J1816" i="2"/>
  <c r="J1820" i="2"/>
  <c r="J1824" i="2"/>
  <c r="J1828" i="2"/>
  <c r="J1832" i="2"/>
  <c r="J1836" i="2"/>
  <c r="J1840" i="2"/>
  <c r="J1844" i="2"/>
  <c r="J1848" i="2"/>
  <c r="J1852" i="2"/>
  <c r="J1856" i="2"/>
  <c r="J1860" i="2"/>
  <c r="J1864" i="2"/>
  <c r="J1868" i="2"/>
  <c r="J1872" i="2"/>
  <c r="J1876" i="2"/>
  <c r="J1880" i="2"/>
  <c r="J1884" i="2"/>
  <c r="J1888" i="2"/>
  <c r="J1892" i="2"/>
  <c r="J1896" i="2"/>
  <c r="J1900" i="2"/>
  <c r="J1904" i="2"/>
  <c r="J1908" i="2"/>
  <c r="J1912" i="2"/>
  <c r="J1916" i="2"/>
  <c r="J1920" i="2"/>
  <c r="J1924" i="2"/>
  <c r="J1928" i="2"/>
  <c r="J1932" i="2"/>
  <c r="J1936" i="2"/>
  <c r="J1940" i="2"/>
  <c r="J1944" i="2"/>
  <c r="J1948" i="2"/>
  <c r="J1952" i="2"/>
  <c r="J1956" i="2"/>
  <c r="J1960" i="2"/>
  <c r="J1964" i="2"/>
  <c r="J1968" i="2"/>
  <c r="J1972" i="2"/>
  <c r="J1976" i="2"/>
  <c r="J1980" i="2"/>
  <c r="J1984" i="2"/>
  <c r="J1988" i="2"/>
  <c r="J1992" i="2"/>
  <c r="J1996" i="2"/>
  <c r="J2000" i="2"/>
  <c r="J2004" i="2"/>
  <c r="J2008" i="2"/>
  <c r="J2012" i="2"/>
  <c r="J2016" i="2"/>
  <c r="J2020" i="2"/>
  <c r="J2024" i="2"/>
  <c r="J2028" i="2"/>
  <c r="J2032" i="2"/>
  <c r="J2036" i="2"/>
  <c r="J2040" i="2"/>
  <c r="J2044" i="2"/>
  <c r="J2048" i="2"/>
  <c r="J2052" i="2"/>
  <c r="J2056" i="2"/>
  <c r="J2060" i="2"/>
  <c r="J2064" i="2"/>
  <c r="J2068" i="2"/>
  <c r="J2072" i="2"/>
  <c r="J2076" i="2"/>
  <c r="J2080" i="2"/>
  <c r="J2084" i="2"/>
  <c r="J2088" i="2"/>
  <c r="J2092" i="2"/>
  <c r="J2096" i="2"/>
  <c r="J2100" i="2"/>
  <c r="J2104" i="2"/>
  <c r="J2108" i="2"/>
  <c r="J2112" i="2"/>
  <c r="J2116" i="2"/>
  <c r="J2120" i="2"/>
  <c r="J2124" i="2"/>
  <c r="J2128" i="2"/>
  <c r="J2132" i="2"/>
  <c r="J2136" i="2"/>
  <c r="J2140" i="2"/>
  <c r="J2144" i="2"/>
  <c r="J2148" i="2"/>
  <c r="J2152" i="2"/>
  <c r="J2156" i="2"/>
  <c r="J2160" i="2"/>
  <c r="J3" i="2" l="1"/>
  <c r="M14" i="2" l="1"/>
  <c r="M13" i="2"/>
  <c r="M12" i="2"/>
  <c r="M11" i="2"/>
  <c r="M6" i="2"/>
  <c r="M8" i="2"/>
  <c r="M5" i="2"/>
  <c r="M3" i="2"/>
  <c r="M4" i="2"/>
  <c r="M19" i="2" l="1"/>
  <c r="M18" i="2"/>
  <c r="M20" i="2"/>
  <c r="M7" i="2" s="1"/>
</calcChain>
</file>

<file path=xl/sharedStrings.xml><?xml version="1.0" encoding="utf-8"?>
<sst xmlns="http://schemas.openxmlformats.org/spreadsheetml/2006/main" count="56" uniqueCount="30">
  <si>
    <t>Parámetro</t>
  </si>
  <si>
    <t>Valor</t>
  </si>
  <si>
    <t>Indicador</t>
  </si>
  <si>
    <t>Calculado de datos</t>
  </si>
  <si>
    <t>Cálculo paramétrico</t>
  </si>
  <si>
    <t>media</t>
  </si>
  <si>
    <t>varianza</t>
  </si>
  <si>
    <t>desviación</t>
  </si>
  <si>
    <t>asimetria</t>
  </si>
  <si>
    <t>curtosis</t>
  </si>
  <si>
    <t>mediana</t>
  </si>
  <si>
    <t>Momentos no centrados</t>
  </si>
  <si>
    <t>Momentos centrados</t>
  </si>
  <si>
    <t>v</t>
  </si>
  <si>
    <t>sigma</t>
  </si>
  <si>
    <t>Tasa</t>
  </si>
  <si>
    <r>
      <t>F</t>
    </r>
    <r>
      <rPr>
        <b/>
        <sz val="9"/>
        <color theme="1"/>
        <rFont val="Calibri"/>
        <family val="2"/>
        <scheme val="minor"/>
      </rPr>
      <t xml:space="preserve">x = </t>
    </r>
    <r>
      <rPr>
        <b/>
        <sz val="11"/>
        <color theme="1"/>
        <rFont val="Calibri"/>
        <family val="2"/>
        <scheme val="minor"/>
      </rPr>
      <t>P(X&lt;x)</t>
    </r>
  </si>
  <si>
    <t>x</t>
  </si>
  <si>
    <t>P(X=x)</t>
  </si>
  <si>
    <r>
      <t>F</t>
    </r>
    <r>
      <rPr>
        <b/>
        <sz val="9"/>
        <color theme="1"/>
        <rFont val="Calibri"/>
        <family val="2"/>
        <scheme val="minor"/>
      </rPr>
      <t xml:space="preserve">x = </t>
    </r>
    <r>
      <rPr>
        <b/>
        <sz val="11"/>
        <color theme="1"/>
        <rFont val="Calibri"/>
        <family val="2"/>
        <scheme val="minor"/>
      </rPr>
      <t>P(X&lt;=x)</t>
    </r>
  </si>
  <si>
    <t>P ~ Poisson(2v2/sigma2)</t>
  </si>
  <si>
    <t>X ~ Chi2(2P+2)</t>
  </si>
  <si>
    <t>Rice = sigma*√(X)</t>
  </si>
  <si>
    <t>X ~ N(Vcos(θ),σ2)</t>
  </si>
  <si>
    <t>Y ~ N(Vsin(θ),σ2)</t>
  </si>
  <si>
    <t>√X2 + Y2</t>
  </si>
  <si>
    <t>√(X2 + Y2)</t>
  </si>
  <si>
    <t>θ</t>
  </si>
  <si>
    <t>Aleatorio1</t>
  </si>
  <si>
    <t>Aleatorio2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</si>
</sst>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2" borderId="1" xfId="0" applyNumberFormat="1" applyFont="1" applyFill="1" applyBorder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1" xfId="0" applyNumberFormat="1" applyBorder="1" applyAlignment="1">
      <alignment horizontal="center"/>
    </xf>
    <xf numFmtId="0" fontId="1" fillId="2" borderId="1" xfId="0" applyNumberFormat="1" applyFont="1" applyFill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1" fillId="2" borderId="2" xfId="0" applyNumberFormat="1" applyFont="1" applyFill="1" applyBorder="1" applyAlignment="1">
      <alignment horizontal="center"/>
    </xf>
    <xf numFmtId="0" fontId="1" fillId="2" borderId="3" xfId="0" applyNumberFormat="1" applyFont="1" applyFill="1" applyBorder="1" applyAlignment="1">
      <alignment horizontal="center"/>
    </xf>
    <xf numFmtId="0" fontId="1" fillId="2" borderId="1" xfId="0" applyNumberFormat="1" applyFont="1" applyFill="1" applyBorder="1" applyAlignment="1">
      <alignment horizontal="center"/>
    </xf>
    <xf numFmtId="0" fontId="1" fillId="3" borderId="0" xfId="0" applyFont="1" applyFill="1" applyBorder="1" applyAlignment="1">
      <alignment horizontal="center"/>
    </xf>
    <xf numFmtId="0" fontId="0" fillId="0" borderId="0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_xlchart.0</cx:f>
      </cx:numDim>
    </cx:data>
  </cx:chartData>
  <cx:chart>
    <cx:title pos="t" align="ctr" overlay="0"/>
    <cx:plotArea>
      <cx:plotAreaRegion>
        <cx:series layoutId="clusteredColumn" uniqueId="{7F599971-111E-4DE0-9CAE-CDC1090D6EB3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  <cx:clrMapOvr bg1="lt1" tx1="dk1" bg2="lt2" tx2="dk2" accent1="accent1" accent2="accent2" accent3="accent3" accent4="accent4" accent5="accent5" accent6="accent6" hlink="hlink" folHlink="folHlink"/>
</cx:chartSpace>
</file>

<file path=xl/charts/chart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_xlchart.2</cx:f>
      </cx:numDim>
    </cx:data>
  </cx:chartData>
  <cx:chart>
    <cx:title pos="t" align="ctr" overlay="0"/>
    <cx:plotArea>
      <cx:plotAreaRegion>
        <cx:series layoutId="clusteredColumn" uniqueId="{BF66B8F3-F5A9-4F9D-81F8-01FBAC08B49A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  <cx:clrMapOvr bg1="lt1" tx1="dk1" bg2="lt2" tx2="dk2" accent1="accent1" accent2="accent2" accent3="accent3" accent4="accent4" accent5="accent5" accent6="accent6" hlink="hlink" folHlink="folHlink"/>
</cx:chartSpace>
</file>

<file path=xl/charts/chart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_xlchart.1</cx:f>
      </cx:numDim>
    </cx:data>
  </cx:chartData>
  <cx:chart>
    <cx:title pos="t" align="ctr" overlay="0"/>
    <cx:plotArea>
      <cx:plotAreaRegion>
        <cx:series layoutId="clusteredColumn" uniqueId="{7F599971-111E-4DE0-9CAE-CDC1090D6EB3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  <cx:clrMapOvr bg1="lt1" tx1="dk1" bg2="lt2" tx2="dk2" accent1="accent1" accent2="accent2" accent3="accent3" accent4="accent4" accent5="accent5" accent6="accent6" hlink="hlink" folHlink="folHlink"/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241299</xdr:colOff>
      <xdr:row>9</xdr:row>
      <xdr:rowOff>177798</xdr:rowOff>
    </xdr:from>
    <xdr:ext cx="30360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7628D865-D00D-4BB2-8437-A03E9098D259}"/>
                </a:ext>
              </a:extLst>
            </xdr:cNvPr>
            <xdr:cNvSpPr txBox="1"/>
          </xdr:nvSpPr>
          <xdr:spPr>
            <a:xfrm>
              <a:off x="17224374" y="1892298"/>
              <a:ext cx="30360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CO" sz="1100" b="0" i="1">
                        <a:latin typeface="Cambria Math" panose="02040503050406030204" pitchFamily="18" charset="0"/>
                      </a:rPr>
                      <m:t>𝐸</m:t>
                    </m:r>
                    <m:r>
                      <a:rPr lang="es-CO" sz="1100" b="0" i="1">
                        <a:latin typeface="Cambria Math" panose="02040503050406030204" pitchFamily="18" charset="0"/>
                      </a:rPr>
                      <m:t>[</m:t>
                    </m:r>
                    <m:r>
                      <a:rPr lang="es-CO" sz="1100" b="0" i="1">
                        <a:latin typeface="Cambria Math" panose="02040503050406030204" pitchFamily="18" charset="0"/>
                      </a:rPr>
                      <m:t>𝑥</m:t>
                    </m:r>
                    <m:r>
                      <a:rPr lang="es-CO" sz="11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7628D865-D00D-4BB2-8437-A03E9098D259}"/>
                </a:ext>
              </a:extLst>
            </xdr:cNvPr>
            <xdr:cNvSpPr txBox="1"/>
          </xdr:nvSpPr>
          <xdr:spPr>
            <a:xfrm>
              <a:off x="17224374" y="1892298"/>
              <a:ext cx="30360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</a:rPr>
                <a:t>𝐸[𝑥]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8</xdr:col>
      <xdr:colOff>230717</xdr:colOff>
      <xdr:row>10</xdr:row>
      <xdr:rowOff>188383</xdr:rowOff>
    </xdr:from>
    <xdr:ext cx="372473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86452AD2-4BB7-4DE7-9DEF-F5A9C4DAA2AB}"/>
                </a:ext>
              </a:extLst>
            </xdr:cNvPr>
            <xdr:cNvSpPr txBox="1"/>
          </xdr:nvSpPr>
          <xdr:spPr>
            <a:xfrm>
              <a:off x="17213792" y="2093383"/>
              <a:ext cx="37247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CO" sz="1100" b="0" i="1">
                        <a:latin typeface="Cambria Math" panose="02040503050406030204" pitchFamily="18" charset="0"/>
                      </a:rPr>
                      <m:t>𝐸</m:t>
                    </m:r>
                    <m:r>
                      <a:rPr lang="es-CO" sz="1100" b="0" i="1">
                        <a:latin typeface="Cambria Math" panose="02040503050406030204" pitchFamily="18" charset="0"/>
                      </a:rPr>
                      <m:t>[</m:t>
                    </m:r>
                    <m:sSup>
                      <m:sSup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p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  <m:r>
                      <a:rPr lang="es-CO" sz="11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86452AD2-4BB7-4DE7-9DEF-F5A9C4DAA2AB}"/>
                </a:ext>
              </a:extLst>
            </xdr:cNvPr>
            <xdr:cNvSpPr txBox="1"/>
          </xdr:nvSpPr>
          <xdr:spPr>
            <a:xfrm>
              <a:off x="17213792" y="2093383"/>
              <a:ext cx="37247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</a:rPr>
                <a:t>𝐸[𝑥^2]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8</xdr:col>
      <xdr:colOff>230717</xdr:colOff>
      <xdr:row>11</xdr:row>
      <xdr:rowOff>188382</xdr:rowOff>
    </xdr:from>
    <xdr:ext cx="372473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BA289F13-1EEF-4635-A103-B865A6DDEEBE}"/>
                </a:ext>
              </a:extLst>
            </xdr:cNvPr>
            <xdr:cNvSpPr txBox="1"/>
          </xdr:nvSpPr>
          <xdr:spPr>
            <a:xfrm>
              <a:off x="17213792" y="2283882"/>
              <a:ext cx="37247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CO" sz="1100" b="0" i="1">
                        <a:latin typeface="Cambria Math" panose="02040503050406030204" pitchFamily="18" charset="0"/>
                      </a:rPr>
                      <m:t>𝐸</m:t>
                    </m:r>
                    <m:r>
                      <a:rPr lang="es-CO" sz="1100" b="0" i="1">
                        <a:latin typeface="Cambria Math" panose="02040503050406030204" pitchFamily="18" charset="0"/>
                      </a:rPr>
                      <m:t>[</m:t>
                    </m:r>
                    <m:sSup>
                      <m:sSup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p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3</m:t>
                        </m:r>
                      </m:sup>
                    </m:sSup>
                    <m:r>
                      <a:rPr lang="es-CO" sz="11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BA289F13-1EEF-4635-A103-B865A6DDEEBE}"/>
                </a:ext>
              </a:extLst>
            </xdr:cNvPr>
            <xdr:cNvSpPr txBox="1"/>
          </xdr:nvSpPr>
          <xdr:spPr>
            <a:xfrm>
              <a:off x="17213792" y="2283882"/>
              <a:ext cx="37247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</a:rPr>
                <a:t>𝐸[𝑥^3]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8</xdr:col>
      <xdr:colOff>230718</xdr:colOff>
      <xdr:row>12</xdr:row>
      <xdr:rowOff>188383</xdr:rowOff>
    </xdr:from>
    <xdr:ext cx="372473" cy="1746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1709D973-F886-46B3-973A-2A97CF94542E}"/>
                </a:ext>
              </a:extLst>
            </xdr:cNvPr>
            <xdr:cNvSpPr txBox="1"/>
          </xdr:nvSpPr>
          <xdr:spPr>
            <a:xfrm>
              <a:off x="17213793" y="2474383"/>
              <a:ext cx="372473" cy="1746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CO" sz="1100" b="0" i="1">
                        <a:latin typeface="Cambria Math" panose="02040503050406030204" pitchFamily="18" charset="0"/>
                      </a:rPr>
                      <m:t>𝐸</m:t>
                    </m:r>
                    <m:r>
                      <a:rPr lang="es-CO" sz="1100" b="0" i="1">
                        <a:latin typeface="Cambria Math" panose="02040503050406030204" pitchFamily="18" charset="0"/>
                      </a:rPr>
                      <m:t>[</m:t>
                    </m:r>
                    <m:sSup>
                      <m:sSup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p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4</m:t>
                        </m:r>
                      </m:sup>
                    </m:sSup>
                    <m:r>
                      <a:rPr lang="es-CO" sz="11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1709D973-F886-46B3-973A-2A97CF94542E}"/>
                </a:ext>
              </a:extLst>
            </xdr:cNvPr>
            <xdr:cNvSpPr txBox="1"/>
          </xdr:nvSpPr>
          <xdr:spPr>
            <a:xfrm>
              <a:off x="17213793" y="2474383"/>
              <a:ext cx="372473" cy="1746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</a:rPr>
                <a:t>𝐸[𝑥^4]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8</xdr:col>
      <xdr:colOff>283632</xdr:colOff>
      <xdr:row>15</xdr:row>
      <xdr:rowOff>177798</xdr:rowOff>
    </xdr:from>
    <xdr:ext cx="17132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815B6E13-98E6-445B-9900-FE74496F3BDF}"/>
                </a:ext>
              </a:extLst>
            </xdr:cNvPr>
            <xdr:cNvSpPr txBox="1"/>
          </xdr:nvSpPr>
          <xdr:spPr>
            <a:xfrm>
              <a:off x="17266707" y="3035298"/>
              <a:ext cx="1713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𝜇</m:t>
                        </m:r>
                      </m:e>
                      <m:sub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815B6E13-98E6-445B-9900-FE74496F3BDF}"/>
                </a:ext>
              </a:extLst>
            </xdr:cNvPr>
            <xdr:cNvSpPr txBox="1"/>
          </xdr:nvSpPr>
          <xdr:spPr>
            <a:xfrm>
              <a:off x="17266707" y="3035298"/>
              <a:ext cx="1713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𝜇_</a:t>
              </a:r>
              <a:r>
                <a:rPr lang="es-CO" sz="1100" b="0" i="0">
                  <a:latin typeface="Cambria Math" panose="02040503050406030204" pitchFamily="18" charset="0"/>
                </a:rPr>
                <a:t>1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8</xdr:col>
      <xdr:colOff>283633</xdr:colOff>
      <xdr:row>16</xdr:row>
      <xdr:rowOff>177799</xdr:rowOff>
    </xdr:from>
    <xdr:ext cx="17460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4C85DD0C-6396-49F8-927D-6DB74AD3CC7A}"/>
                </a:ext>
              </a:extLst>
            </xdr:cNvPr>
            <xdr:cNvSpPr txBox="1"/>
          </xdr:nvSpPr>
          <xdr:spPr>
            <a:xfrm>
              <a:off x="17266708" y="3225799"/>
              <a:ext cx="17460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𝜇</m:t>
                        </m:r>
                      </m:e>
                      <m:sub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4C85DD0C-6396-49F8-927D-6DB74AD3CC7A}"/>
                </a:ext>
              </a:extLst>
            </xdr:cNvPr>
            <xdr:cNvSpPr txBox="1"/>
          </xdr:nvSpPr>
          <xdr:spPr>
            <a:xfrm>
              <a:off x="17266708" y="3225799"/>
              <a:ext cx="17460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𝜇_</a:t>
              </a:r>
              <a:r>
                <a:rPr lang="es-CO" sz="1100" b="0" i="0">
                  <a:latin typeface="Cambria Math" panose="02040503050406030204" pitchFamily="18" charset="0"/>
                </a:rPr>
                <a:t>2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8</xdr:col>
      <xdr:colOff>283634</xdr:colOff>
      <xdr:row>17</xdr:row>
      <xdr:rowOff>167215</xdr:rowOff>
    </xdr:from>
    <xdr:ext cx="17460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4CFB273C-2777-4267-A097-B9650BCF61F8}"/>
                </a:ext>
              </a:extLst>
            </xdr:cNvPr>
            <xdr:cNvSpPr txBox="1"/>
          </xdr:nvSpPr>
          <xdr:spPr>
            <a:xfrm>
              <a:off x="17266709" y="3405715"/>
              <a:ext cx="17460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𝜇</m:t>
                        </m:r>
                      </m:e>
                      <m:sub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4CFB273C-2777-4267-A097-B9650BCF61F8}"/>
                </a:ext>
              </a:extLst>
            </xdr:cNvPr>
            <xdr:cNvSpPr txBox="1"/>
          </xdr:nvSpPr>
          <xdr:spPr>
            <a:xfrm>
              <a:off x="17266709" y="3405715"/>
              <a:ext cx="17460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𝜇_</a:t>
              </a:r>
              <a:r>
                <a:rPr lang="es-CO" sz="1100" b="0" i="0">
                  <a:latin typeface="Cambria Math" panose="02040503050406030204" pitchFamily="18" charset="0"/>
                </a:rPr>
                <a:t>3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8</xdr:col>
      <xdr:colOff>294216</xdr:colOff>
      <xdr:row>18</xdr:row>
      <xdr:rowOff>167214</xdr:rowOff>
    </xdr:from>
    <xdr:ext cx="17460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1B13DE9E-EC10-47B6-B0E9-7145907AEB24}"/>
                </a:ext>
              </a:extLst>
            </xdr:cNvPr>
            <xdr:cNvSpPr txBox="1"/>
          </xdr:nvSpPr>
          <xdr:spPr>
            <a:xfrm>
              <a:off x="17277291" y="3596214"/>
              <a:ext cx="17460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𝜇</m:t>
                        </m:r>
                      </m:e>
                      <m:sub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4</m:t>
                        </m:r>
                      </m:sub>
                    </m:sSub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1B13DE9E-EC10-47B6-B0E9-7145907AEB24}"/>
                </a:ext>
              </a:extLst>
            </xdr:cNvPr>
            <xdr:cNvSpPr txBox="1"/>
          </xdr:nvSpPr>
          <xdr:spPr>
            <a:xfrm>
              <a:off x="17277291" y="3596214"/>
              <a:ext cx="17460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𝜇_</a:t>
              </a:r>
              <a:r>
                <a:rPr lang="es-CO" sz="1100" b="0" i="0">
                  <a:latin typeface="Cambria Math" panose="02040503050406030204" pitchFamily="18" charset="0"/>
                </a:rPr>
                <a:t>4</a:t>
              </a:r>
              <a:endParaRPr lang="es-CO" sz="1100"/>
            </a:p>
          </xdr:txBody>
        </xdr:sp>
      </mc:Fallback>
    </mc:AlternateContent>
    <xdr:clientData/>
  </xdr:oneCellAnchor>
  <xdr:twoCellAnchor>
    <xdr:from>
      <xdr:col>10</xdr:col>
      <xdr:colOff>709084</xdr:colOff>
      <xdr:row>6</xdr:row>
      <xdr:rowOff>67733</xdr:rowOff>
    </xdr:from>
    <xdr:to>
      <xdr:col>15</xdr:col>
      <xdr:colOff>730251</xdr:colOff>
      <xdr:row>20</xdr:row>
      <xdr:rowOff>143933</xdr:rowOff>
    </xdr:to>
    <mc:AlternateContent xmlns:mc="http://schemas.openxmlformats.org/markup-compatibility/2006">
      <mc:Choice xmlns:cx="http://schemas.microsoft.com/office/drawing/2014/chartex" Requires="cx">
        <xdr:graphicFrame macro="">
          <xdr:nvGraphicFramePr>
            <xdr:cNvPr id="10" name="Gráfico 9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:chart xmlns:c="http://schemas.openxmlformats.org/drawingml/2006/chart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  <xdr:oneCellAnchor>
    <xdr:from>
      <xdr:col>8</xdr:col>
      <xdr:colOff>241299</xdr:colOff>
      <xdr:row>9</xdr:row>
      <xdr:rowOff>177798</xdr:rowOff>
    </xdr:from>
    <xdr:ext cx="30360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CuadroTexto 10">
              <a:extLst>
                <a:ext uri="{FF2B5EF4-FFF2-40B4-BE49-F238E27FC236}">
                  <a16:creationId xmlns:a16="http://schemas.microsoft.com/office/drawing/2014/main" id="{7628D865-D00D-4BB2-8437-A03E9098D259}"/>
                </a:ext>
              </a:extLst>
            </xdr:cNvPr>
            <xdr:cNvSpPr txBox="1"/>
          </xdr:nvSpPr>
          <xdr:spPr>
            <a:xfrm>
              <a:off x="17224374" y="1892298"/>
              <a:ext cx="30360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CO" sz="1100" b="0" i="1">
                        <a:latin typeface="Cambria Math" panose="02040503050406030204" pitchFamily="18" charset="0"/>
                      </a:rPr>
                      <m:t>𝐸</m:t>
                    </m:r>
                    <m:r>
                      <a:rPr lang="es-CO" sz="1100" b="0" i="1">
                        <a:latin typeface="Cambria Math" panose="02040503050406030204" pitchFamily="18" charset="0"/>
                      </a:rPr>
                      <m:t>[</m:t>
                    </m:r>
                    <m:r>
                      <a:rPr lang="es-CO" sz="1100" b="0" i="1">
                        <a:latin typeface="Cambria Math" panose="02040503050406030204" pitchFamily="18" charset="0"/>
                      </a:rPr>
                      <m:t>𝑥</m:t>
                    </m:r>
                    <m:r>
                      <a:rPr lang="es-CO" sz="11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11" name="CuadroTexto 10">
              <a:extLst>
                <a:ext uri="{FF2B5EF4-FFF2-40B4-BE49-F238E27FC236}">
                  <a16:creationId xmlns:a16="http://schemas.microsoft.com/office/drawing/2014/main" id="{7628D865-D00D-4BB2-8437-A03E9098D259}"/>
                </a:ext>
              </a:extLst>
            </xdr:cNvPr>
            <xdr:cNvSpPr txBox="1"/>
          </xdr:nvSpPr>
          <xdr:spPr>
            <a:xfrm>
              <a:off x="17224374" y="1892298"/>
              <a:ext cx="30360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</a:rPr>
                <a:t>𝐸[𝑥]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8</xdr:col>
      <xdr:colOff>230717</xdr:colOff>
      <xdr:row>10</xdr:row>
      <xdr:rowOff>188383</xdr:rowOff>
    </xdr:from>
    <xdr:ext cx="372473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86452AD2-4BB7-4DE7-9DEF-F5A9C4DAA2AB}"/>
                </a:ext>
              </a:extLst>
            </xdr:cNvPr>
            <xdr:cNvSpPr txBox="1"/>
          </xdr:nvSpPr>
          <xdr:spPr>
            <a:xfrm>
              <a:off x="17213792" y="2093383"/>
              <a:ext cx="37247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CO" sz="1100" b="0" i="1">
                        <a:latin typeface="Cambria Math" panose="02040503050406030204" pitchFamily="18" charset="0"/>
                      </a:rPr>
                      <m:t>𝐸</m:t>
                    </m:r>
                    <m:r>
                      <a:rPr lang="es-CO" sz="1100" b="0" i="1">
                        <a:latin typeface="Cambria Math" panose="02040503050406030204" pitchFamily="18" charset="0"/>
                      </a:rPr>
                      <m:t>[</m:t>
                    </m:r>
                    <m:sSup>
                      <m:sSup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p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  <m:r>
                      <a:rPr lang="es-CO" sz="11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86452AD2-4BB7-4DE7-9DEF-F5A9C4DAA2AB}"/>
                </a:ext>
              </a:extLst>
            </xdr:cNvPr>
            <xdr:cNvSpPr txBox="1"/>
          </xdr:nvSpPr>
          <xdr:spPr>
            <a:xfrm>
              <a:off x="17213792" y="2093383"/>
              <a:ext cx="37247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</a:rPr>
                <a:t>𝐸[𝑥^2]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8</xdr:col>
      <xdr:colOff>230717</xdr:colOff>
      <xdr:row>11</xdr:row>
      <xdr:rowOff>188382</xdr:rowOff>
    </xdr:from>
    <xdr:ext cx="372473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CuadroTexto 12">
              <a:extLst>
                <a:ext uri="{FF2B5EF4-FFF2-40B4-BE49-F238E27FC236}">
                  <a16:creationId xmlns:a16="http://schemas.microsoft.com/office/drawing/2014/main" id="{BA289F13-1EEF-4635-A103-B865A6DDEEBE}"/>
                </a:ext>
              </a:extLst>
            </xdr:cNvPr>
            <xdr:cNvSpPr txBox="1"/>
          </xdr:nvSpPr>
          <xdr:spPr>
            <a:xfrm>
              <a:off x="17213792" y="2283882"/>
              <a:ext cx="37247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CO" sz="1100" b="0" i="1">
                        <a:latin typeface="Cambria Math" panose="02040503050406030204" pitchFamily="18" charset="0"/>
                      </a:rPr>
                      <m:t>𝐸</m:t>
                    </m:r>
                    <m:r>
                      <a:rPr lang="es-CO" sz="1100" b="0" i="1">
                        <a:latin typeface="Cambria Math" panose="02040503050406030204" pitchFamily="18" charset="0"/>
                      </a:rPr>
                      <m:t>[</m:t>
                    </m:r>
                    <m:sSup>
                      <m:sSup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p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3</m:t>
                        </m:r>
                      </m:sup>
                    </m:sSup>
                    <m:r>
                      <a:rPr lang="es-CO" sz="11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13" name="CuadroTexto 12">
              <a:extLst>
                <a:ext uri="{FF2B5EF4-FFF2-40B4-BE49-F238E27FC236}">
                  <a16:creationId xmlns:a16="http://schemas.microsoft.com/office/drawing/2014/main" id="{BA289F13-1EEF-4635-A103-B865A6DDEEBE}"/>
                </a:ext>
              </a:extLst>
            </xdr:cNvPr>
            <xdr:cNvSpPr txBox="1"/>
          </xdr:nvSpPr>
          <xdr:spPr>
            <a:xfrm>
              <a:off x="17213792" y="2283882"/>
              <a:ext cx="37247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</a:rPr>
                <a:t>𝐸[𝑥^3]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8</xdr:col>
      <xdr:colOff>230718</xdr:colOff>
      <xdr:row>12</xdr:row>
      <xdr:rowOff>188383</xdr:rowOff>
    </xdr:from>
    <xdr:ext cx="372473" cy="1746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CuadroTexto 13">
              <a:extLst>
                <a:ext uri="{FF2B5EF4-FFF2-40B4-BE49-F238E27FC236}">
                  <a16:creationId xmlns:a16="http://schemas.microsoft.com/office/drawing/2014/main" id="{1709D973-F886-46B3-973A-2A97CF94542E}"/>
                </a:ext>
              </a:extLst>
            </xdr:cNvPr>
            <xdr:cNvSpPr txBox="1"/>
          </xdr:nvSpPr>
          <xdr:spPr>
            <a:xfrm>
              <a:off x="17213793" y="2474383"/>
              <a:ext cx="372473" cy="1746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CO" sz="1100" b="0" i="1">
                        <a:latin typeface="Cambria Math" panose="02040503050406030204" pitchFamily="18" charset="0"/>
                      </a:rPr>
                      <m:t>𝐸</m:t>
                    </m:r>
                    <m:r>
                      <a:rPr lang="es-CO" sz="1100" b="0" i="1">
                        <a:latin typeface="Cambria Math" panose="02040503050406030204" pitchFamily="18" charset="0"/>
                      </a:rPr>
                      <m:t>[</m:t>
                    </m:r>
                    <m:sSup>
                      <m:sSup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p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4</m:t>
                        </m:r>
                      </m:sup>
                    </m:sSup>
                    <m:r>
                      <a:rPr lang="es-CO" sz="11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14" name="CuadroTexto 13">
              <a:extLst>
                <a:ext uri="{FF2B5EF4-FFF2-40B4-BE49-F238E27FC236}">
                  <a16:creationId xmlns:a16="http://schemas.microsoft.com/office/drawing/2014/main" id="{1709D973-F886-46B3-973A-2A97CF94542E}"/>
                </a:ext>
              </a:extLst>
            </xdr:cNvPr>
            <xdr:cNvSpPr txBox="1"/>
          </xdr:nvSpPr>
          <xdr:spPr>
            <a:xfrm>
              <a:off x="17213793" y="2474383"/>
              <a:ext cx="372473" cy="1746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</a:rPr>
                <a:t>𝐸[𝑥^4]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8</xdr:col>
      <xdr:colOff>283632</xdr:colOff>
      <xdr:row>15</xdr:row>
      <xdr:rowOff>177798</xdr:rowOff>
    </xdr:from>
    <xdr:ext cx="17132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CuadroTexto 14">
              <a:extLst>
                <a:ext uri="{FF2B5EF4-FFF2-40B4-BE49-F238E27FC236}">
                  <a16:creationId xmlns:a16="http://schemas.microsoft.com/office/drawing/2014/main" id="{815B6E13-98E6-445B-9900-FE74496F3BDF}"/>
                </a:ext>
              </a:extLst>
            </xdr:cNvPr>
            <xdr:cNvSpPr txBox="1"/>
          </xdr:nvSpPr>
          <xdr:spPr>
            <a:xfrm>
              <a:off x="17266707" y="3035298"/>
              <a:ext cx="1713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𝜇</m:t>
                        </m:r>
                      </m:e>
                      <m:sub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15" name="CuadroTexto 14">
              <a:extLst>
                <a:ext uri="{FF2B5EF4-FFF2-40B4-BE49-F238E27FC236}">
                  <a16:creationId xmlns:a16="http://schemas.microsoft.com/office/drawing/2014/main" id="{815B6E13-98E6-445B-9900-FE74496F3BDF}"/>
                </a:ext>
              </a:extLst>
            </xdr:cNvPr>
            <xdr:cNvSpPr txBox="1"/>
          </xdr:nvSpPr>
          <xdr:spPr>
            <a:xfrm>
              <a:off x="17266707" y="3035298"/>
              <a:ext cx="1713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𝜇_</a:t>
              </a:r>
              <a:r>
                <a:rPr lang="es-CO" sz="1100" b="0" i="0">
                  <a:latin typeface="Cambria Math" panose="02040503050406030204" pitchFamily="18" charset="0"/>
                </a:rPr>
                <a:t>1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8</xdr:col>
      <xdr:colOff>283633</xdr:colOff>
      <xdr:row>16</xdr:row>
      <xdr:rowOff>177799</xdr:rowOff>
    </xdr:from>
    <xdr:ext cx="17460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CuadroTexto 15">
              <a:extLst>
                <a:ext uri="{FF2B5EF4-FFF2-40B4-BE49-F238E27FC236}">
                  <a16:creationId xmlns:a16="http://schemas.microsoft.com/office/drawing/2014/main" id="{4C85DD0C-6396-49F8-927D-6DB74AD3CC7A}"/>
                </a:ext>
              </a:extLst>
            </xdr:cNvPr>
            <xdr:cNvSpPr txBox="1"/>
          </xdr:nvSpPr>
          <xdr:spPr>
            <a:xfrm>
              <a:off x="17266708" y="3225799"/>
              <a:ext cx="17460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𝜇</m:t>
                        </m:r>
                      </m:e>
                      <m:sub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16" name="CuadroTexto 15">
              <a:extLst>
                <a:ext uri="{FF2B5EF4-FFF2-40B4-BE49-F238E27FC236}">
                  <a16:creationId xmlns:a16="http://schemas.microsoft.com/office/drawing/2014/main" id="{4C85DD0C-6396-49F8-927D-6DB74AD3CC7A}"/>
                </a:ext>
              </a:extLst>
            </xdr:cNvPr>
            <xdr:cNvSpPr txBox="1"/>
          </xdr:nvSpPr>
          <xdr:spPr>
            <a:xfrm>
              <a:off x="17266708" y="3225799"/>
              <a:ext cx="17460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𝜇_</a:t>
              </a:r>
              <a:r>
                <a:rPr lang="es-CO" sz="1100" b="0" i="0">
                  <a:latin typeface="Cambria Math" panose="02040503050406030204" pitchFamily="18" charset="0"/>
                </a:rPr>
                <a:t>2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8</xdr:col>
      <xdr:colOff>283634</xdr:colOff>
      <xdr:row>17</xdr:row>
      <xdr:rowOff>167215</xdr:rowOff>
    </xdr:from>
    <xdr:ext cx="17460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CuadroTexto 16">
              <a:extLst>
                <a:ext uri="{FF2B5EF4-FFF2-40B4-BE49-F238E27FC236}">
                  <a16:creationId xmlns:a16="http://schemas.microsoft.com/office/drawing/2014/main" id="{4CFB273C-2777-4267-A097-B9650BCF61F8}"/>
                </a:ext>
              </a:extLst>
            </xdr:cNvPr>
            <xdr:cNvSpPr txBox="1"/>
          </xdr:nvSpPr>
          <xdr:spPr>
            <a:xfrm>
              <a:off x="17266709" y="3405715"/>
              <a:ext cx="17460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𝜇</m:t>
                        </m:r>
                      </m:e>
                      <m:sub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17" name="CuadroTexto 16">
              <a:extLst>
                <a:ext uri="{FF2B5EF4-FFF2-40B4-BE49-F238E27FC236}">
                  <a16:creationId xmlns:a16="http://schemas.microsoft.com/office/drawing/2014/main" id="{4CFB273C-2777-4267-A097-B9650BCF61F8}"/>
                </a:ext>
              </a:extLst>
            </xdr:cNvPr>
            <xdr:cNvSpPr txBox="1"/>
          </xdr:nvSpPr>
          <xdr:spPr>
            <a:xfrm>
              <a:off x="17266709" y="3405715"/>
              <a:ext cx="17460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𝜇_</a:t>
              </a:r>
              <a:r>
                <a:rPr lang="es-CO" sz="1100" b="0" i="0">
                  <a:latin typeface="Cambria Math" panose="02040503050406030204" pitchFamily="18" charset="0"/>
                </a:rPr>
                <a:t>3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8</xdr:col>
      <xdr:colOff>294216</xdr:colOff>
      <xdr:row>18</xdr:row>
      <xdr:rowOff>167214</xdr:rowOff>
    </xdr:from>
    <xdr:ext cx="17460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8" name="CuadroTexto 17">
              <a:extLst>
                <a:ext uri="{FF2B5EF4-FFF2-40B4-BE49-F238E27FC236}">
                  <a16:creationId xmlns:a16="http://schemas.microsoft.com/office/drawing/2014/main" id="{1B13DE9E-EC10-47B6-B0E9-7145907AEB24}"/>
                </a:ext>
              </a:extLst>
            </xdr:cNvPr>
            <xdr:cNvSpPr txBox="1"/>
          </xdr:nvSpPr>
          <xdr:spPr>
            <a:xfrm>
              <a:off x="17277291" y="3596214"/>
              <a:ext cx="17460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𝜇</m:t>
                        </m:r>
                      </m:e>
                      <m:sub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4</m:t>
                        </m:r>
                      </m:sub>
                    </m:sSub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18" name="CuadroTexto 17">
              <a:extLst>
                <a:ext uri="{FF2B5EF4-FFF2-40B4-BE49-F238E27FC236}">
                  <a16:creationId xmlns:a16="http://schemas.microsoft.com/office/drawing/2014/main" id="{1B13DE9E-EC10-47B6-B0E9-7145907AEB24}"/>
                </a:ext>
              </a:extLst>
            </xdr:cNvPr>
            <xdr:cNvSpPr txBox="1"/>
          </xdr:nvSpPr>
          <xdr:spPr>
            <a:xfrm>
              <a:off x="17277291" y="3596214"/>
              <a:ext cx="17460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𝜇_</a:t>
              </a:r>
              <a:r>
                <a:rPr lang="es-CO" sz="1100" b="0" i="0">
                  <a:latin typeface="Cambria Math" panose="02040503050406030204" pitchFamily="18" charset="0"/>
                </a:rPr>
                <a:t>4</a:t>
              </a:r>
              <a:endParaRPr lang="es-CO" sz="110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241299</xdr:colOff>
      <xdr:row>9</xdr:row>
      <xdr:rowOff>177798</xdr:rowOff>
    </xdr:from>
    <xdr:ext cx="30360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7628D865-D00D-4BB2-8437-A03E9098D259}"/>
                </a:ext>
              </a:extLst>
            </xdr:cNvPr>
            <xdr:cNvSpPr txBox="1"/>
          </xdr:nvSpPr>
          <xdr:spPr>
            <a:xfrm>
              <a:off x="5146674" y="1892298"/>
              <a:ext cx="30360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CO" sz="1100" b="0" i="1">
                        <a:latin typeface="Cambria Math" panose="02040503050406030204" pitchFamily="18" charset="0"/>
                      </a:rPr>
                      <m:t>𝐸</m:t>
                    </m:r>
                    <m:r>
                      <a:rPr lang="es-CO" sz="1100" b="0" i="1">
                        <a:latin typeface="Cambria Math" panose="02040503050406030204" pitchFamily="18" charset="0"/>
                      </a:rPr>
                      <m:t>[</m:t>
                    </m:r>
                    <m:r>
                      <a:rPr lang="es-CO" sz="1100" b="0" i="1">
                        <a:latin typeface="Cambria Math" panose="02040503050406030204" pitchFamily="18" charset="0"/>
                      </a:rPr>
                      <m:t>𝑥</m:t>
                    </m:r>
                    <m:r>
                      <a:rPr lang="es-CO" sz="11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7628D865-D00D-4BB2-8437-A03E9098D259}"/>
                </a:ext>
              </a:extLst>
            </xdr:cNvPr>
            <xdr:cNvSpPr txBox="1"/>
          </xdr:nvSpPr>
          <xdr:spPr>
            <a:xfrm>
              <a:off x="5146674" y="1892298"/>
              <a:ext cx="30360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</a:rPr>
                <a:t>𝐸[𝑥]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11</xdr:col>
      <xdr:colOff>230717</xdr:colOff>
      <xdr:row>10</xdr:row>
      <xdr:rowOff>188383</xdr:rowOff>
    </xdr:from>
    <xdr:ext cx="372473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86452AD2-4BB7-4DE7-9DEF-F5A9C4DAA2AB}"/>
                </a:ext>
              </a:extLst>
            </xdr:cNvPr>
            <xdr:cNvSpPr txBox="1"/>
          </xdr:nvSpPr>
          <xdr:spPr>
            <a:xfrm>
              <a:off x="5136092" y="2093383"/>
              <a:ext cx="37247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CO" sz="1100" b="0" i="1">
                        <a:latin typeface="Cambria Math" panose="02040503050406030204" pitchFamily="18" charset="0"/>
                      </a:rPr>
                      <m:t>𝐸</m:t>
                    </m:r>
                    <m:r>
                      <a:rPr lang="es-CO" sz="1100" b="0" i="1">
                        <a:latin typeface="Cambria Math" panose="02040503050406030204" pitchFamily="18" charset="0"/>
                      </a:rPr>
                      <m:t>[</m:t>
                    </m:r>
                    <m:sSup>
                      <m:sSup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p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  <m:r>
                      <a:rPr lang="es-CO" sz="11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86452AD2-4BB7-4DE7-9DEF-F5A9C4DAA2AB}"/>
                </a:ext>
              </a:extLst>
            </xdr:cNvPr>
            <xdr:cNvSpPr txBox="1"/>
          </xdr:nvSpPr>
          <xdr:spPr>
            <a:xfrm>
              <a:off x="5136092" y="2093383"/>
              <a:ext cx="37247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</a:rPr>
                <a:t>𝐸[𝑥^2]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11</xdr:col>
      <xdr:colOff>230717</xdr:colOff>
      <xdr:row>11</xdr:row>
      <xdr:rowOff>188382</xdr:rowOff>
    </xdr:from>
    <xdr:ext cx="372473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BA289F13-1EEF-4635-A103-B865A6DDEEBE}"/>
                </a:ext>
              </a:extLst>
            </xdr:cNvPr>
            <xdr:cNvSpPr txBox="1"/>
          </xdr:nvSpPr>
          <xdr:spPr>
            <a:xfrm>
              <a:off x="5136092" y="2283882"/>
              <a:ext cx="37247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CO" sz="1100" b="0" i="1">
                        <a:latin typeface="Cambria Math" panose="02040503050406030204" pitchFamily="18" charset="0"/>
                      </a:rPr>
                      <m:t>𝐸</m:t>
                    </m:r>
                    <m:r>
                      <a:rPr lang="es-CO" sz="1100" b="0" i="1">
                        <a:latin typeface="Cambria Math" panose="02040503050406030204" pitchFamily="18" charset="0"/>
                      </a:rPr>
                      <m:t>[</m:t>
                    </m:r>
                    <m:sSup>
                      <m:sSup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p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3</m:t>
                        </m:r>
                      </m:sup>
                    </m:sSup>
                    <m:r>
                      <a:rPr lang="es-CO" sz="11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BA289F13-1EEF-4635-A103-B865A6DDEEBE}"/>
                </a:ext>
              </a:extLst>
            </xdr:cNvPr>
            <xdr:cNvSpPr txBox="1"/>
          </xdr:nvSpPr>
          <xdr:spPr>
            <a:xfrm>
              <a:off x="5136092" y="2283882"/>
              <a:ext cx="37247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</a:rPr>
                <a:t>𝐸[𝑥^3]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11</xdr:col>
      <xdr:colOff>230718</xdr:colOff>
      <xdr:row>12</xdr:row>
      <xdr:rowOff>188383</xdr:rowOff>
    </xdr:from>
    <xdr:ext cx="372473" cy="1746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1709D973-F886-46B3-973A-2A97CF94542E}"/>
                </a:ext>
              </a:extLst>
            </xdr:cNvPr>
            <xdr:cNvSpPr txBox="1"/>
          </xdr:nvSpPr>
          <xdr:spPr>
            <a:xfrm>
              <a:off x="5136093" y="2474383"/>
              <a:ext cx="372473" cy="1746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CO" sz="1100" b="0" i="1">
                        <a:latin typeface="Cambria Math" panose="02040503050406030204" pitchFamily="18" charset="0"/>
                      </a:rPr>
                      <m:t>𝐸</m:t>
                    </m:r>
                    <m:r>
                      <a:rPr lang="es-CO" sz="1100" b="0" i="1">
                        <a:latin typeface="Cambria Math" panose="02040503050406030204" pitchFamily="18" charset="0"/>
                      </a:rPr>
                      <m:t>[</m:t>
                    </m:r>
                    <m:sSup>
                      <m:sSup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p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4</m:t>
                        </m:r>
                      </m:sup>
                    </m:sSup>
                    <m:r>
                      <a:rPr lang="es-CO" sz="11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1709D973-F886-46B3-973A-2A97CF94542E}"/>
                </a:ext>
              </a:extLst>
            </xdr:cNvPr>
            <xdr:cNvSpPr txBox="1"/>
          </xdr:nvSpPr>
          <xdr:spPr>
            <a:xfrm>
              <a:off x="5136093" y="2474383"/>
              <a:ext cx="372473" cy="1746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</a:rPr>
                <a:t>𝐸[𝑥^4]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11</xdr:col>
      <xdr:colOff>283632</xdr:colOff>
      <xdr:row>15</xdr:row>
      <xdr:rowOff>177798</xdr:rowOff>
    </xdr:from>
    <xdr:ext cx="17132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815B6E13-98E6-445B-9900-FE74496F3BDF}"/>
                </a:ext>
              </a:extLst>
            </xdr:cNvPr>
            <xdr:cNvSpPr txBox="1"/>
          </xdr:nvSpPr>
          <xdr:spPr>
            <a:xfrm>
              <a:off x="5189007" y="3035298"/>
              <a:ext cx="1713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𝜇</m:t>
                        </m:r>
                      </m:e>
                      <m:sub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815B6E13-98E6-445B-9900-FE74496F3BDF}"/>
                </a:ext>
              </a:extLst>
            </xdr:cNvPr>
            <xdr:cNvSpPr txBox="1"/>
          </xdr:nvSpPr>
          <xdr:spPr>
            <a:xfrm>
              <a:off x="5189007" y="3035298"/>
              <a:ext cx="1713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𝜇_</a:t>
              </a:r>
              <a:r>
                <a:rPr lang="es-CO" sz="1100" b="0" i="0">
                  <a:latin typeface="Cambria Math" panose="02040503050406030204" pitchFamily="18" charset="0"/>
                </a:rPr>
                <a:t>1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11</xdr:col>
      <xdr:colOff>283633</xdr:colOff>
      <xdr:row>16</xdr:row>
      <xdr:rowOff>177799</xdr:rowOff>
    </xdr:from>
    <xdr:ext cx="17460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4C85DD0C-6396-49F8-927D-6DB74AD3CC7A}"/>
                </a:ext>
              </a:extLst>
            </xdr:cNvPr>
            <xdr:cNvSpPr txBox="1"/>
          </xdr:nvSpPr>
          <xdr:spPr>
            <a:xfrm>
              <a:off x="5189008" y="3225799"/>
              <a:ext cx="17460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𝜇</m:t>
                        </m:r>
                      </m:e>
                      <m:sub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4C85DD0C-6396-49F8-927D-6DB74AD3CC7A}"/>
                </a:ext>
              </a:extLst>
            </xdr:cNvPr>
            <xdr:cNvSpPr txBox="1"/>
          </xdr:nvSpPr>
          <xdr:spPr>
            <a:xfrm>
              <a:off x="5189008" y="3225799"/>
              <a:ext cx="17460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𝜇_</a:t>
              </a:r>
              <a:r>
                <a:rPr lang="es-CO" sz="1100" b="0" i="0">
                  <a:latin typeface="Cambria Math" panose="02040503050406030204" pitchFamily="18" charset="0"/>
                </a:rPr>
                <a:t>2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11</xdr:col>
      <xdr:colOff>283634</xdr:colOff>
      <xdr:row>17</xdr:row>
      <xdr:rowOff>167215</xdr:rowOff>
    </xdr:from>
    <xdr:ext cx="17460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4CFB273C-2777-4267-A097-B9650BCF61F8}"/>
                </a:ext>
              </a:extLst>
            </xdr:cNvPr>
            <xdr:cNvSpPr txBox="1"/>
          </xdr:nvSpPr>
          <xdr:spPr>
            <a:xfrm>
              <a:off x="5189009" y="3405715"/>
              <a:ext cx="17460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𝜇</m:t>
                        </m:r>
                      </m:e>
                      <m:sub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4CFB273C-2777-4267-A097-B9650BCF61F8}"/>
                </a:ext>
              </a:extLst>
            </xdr:cNvPr>
            <xdr:cNvSpPr txBox="1"/>
          </xdr:nvSpPr>
          <xdr:spPr>
            <a:xfrm>
              <a:off x="5189009" y="3405715"/>
              <a:ext cx="17460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𝜇_</a:t>
              </a:r>
              <a:r>
                <a:rPr lang="es-CO" sz="1100" b="0" i="0">
                  <a:latin typeface="Cambria Math" panose="02040503050406030204" pitchFamily="18" charset="0"/>
                </a:rPr>
                <a:t>3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11</xdr:col>
      <xdr:colOff>294216</xdr:colOff>
      <xdr:row>18</xdr:row>
      <xdr:rowOff>167214</xdr:rowOff>
    </xdr:from>
    <xdr:ext cx="17460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1B13DE9E-EC10-47B6-B0E9-7145907AEB24}"/>
                </a:ext>
              </a:extLst>
            </xdr:cNvPr>
            <xdr:cNvSpPr txBox="1"/>
          </xdr:nvSpPr>
          <xdr:spPr>
            <a:xfrm>
              <a:off x="5199591" y="3596214"/>
              <a:ext cx="17460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𝜇</m:t>
                        </m:r>
                      </m:e>
                      <m:sub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4</m:t>
                        </m:r>
                      </m:sub>
                    </m:sSub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1B13DE9E-EC10-47B6-B0E9-7145907AEB24}"/>
                </a:ext>
              </a:extLst>
            </xdr:cNvPr>
            <xdr:cNvSpPr txBox="1"/>
          </xdr:nvSpPr>
          <xdr:spPr>
            <a:xfrm>
              <a:off x="5199591" y="3596214"/>
              <a:ext cx="17460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𝜇_</a:t>
              </a:r>
              <a:r>
                <a:rPr lang="es-CO" sz="1100" b="0" i="0">
                  <a:latin typeface="Cambria Math" panose="02040503050406030204" pitchFamily="18" charset="0"/>
                </a:rPr>
                <a:t>4</a:t>
              </a:r>
              <a:endParaRPr lang="es-CO" sz="1100"/>
            </a:p>
          </xdr:txBody>
        </xdr:sp>
      </mc:Fallback>
    </mc:AlternateContent>
    <xdr:clientData/>
  </xdr:oneCellAnchor>
  <xdr:twoCellAnchor>
    <xdr:from>
      <xdr:col>10</xdr:col>
      <xdr:colOff>687916</xdr:colOff>
      <xdr:row>21</xdr:row>
      <xdr:rowOff>131234</xdr:rowOff>
    </xdr:from>
    <xdr:to>
      <xdr:col>14</xdr:col>
      <xdr:colOff>158750</xdr:colOff>
      <xdr:row>36</xdr:row>
      <xdr:rowOff>16934</xdr:rowOff>
    </xdr:to>
    <mc:AlternateContent xmlns:mc="http://schemas.openxmlformats.org/markup-compatibility/2006">
      <mc:Choice xmlns:cx="http://schemas.microsoft.com/office/drawing/2014/chartex" Requires="cx">
        <xdr:graphicFrame macro="">
          <xdr:nvGraphicFramePr>
            <xdr:cNvPr id="11" name="Gráfico 10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:chart xmlns:c="http://schemas.openxmlformats.org/drawingml/2006/chart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  <xdr:twoCellAnchor>
    <xdr:from>
      <xdr:col>19</xdr:col>
      <xdr:colOff>10584</xdr:colOff>
      <xdr:row>21</xdr:row>
      <xdr:rowOff>120650</xdr:rowOff>
    </xdr:from>
    <xdr:to>
      <xdr:col>22</xdr:col>
      <xdr:colOff>433916</xdr:colOff>
      <xdr:row>36</xdr:row>
      <xdr:rowOff>6350</xdr:rowOff>
    </xdr:to>
    <mc:AlternateContent xmlns:mc="http://schemas.openxmlformats.org/markup-compatibility/2006">
      <mc:Choice xmlns:cx="http://schemas.microsoft.com/office/drawing/2014/chartex" Requires="cx">
        <xdr:graphicFrame macro="">
          <xdr:nvGraphicFramePr>
            <xdr:cNvPr id="12" name="Gráfico 1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:chart xmlns:c="http://schemas.openxmlformats.org/drawingml/2006/chart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  <xdr:oneCellAnchor>
    <xdr:from>
      <xdr:col>19</xdr:col>
      <xdr:colOff>241299</xdr:colOff>
      <xdr:row>9</xdr:row>
      <xdr:rowOff>177798</xdr:rowOff>
    </xdr:from>
    <xdr:ext cx="30360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9" name="CuadroTexto 28">
              <a:extLst>
                <a:ext uri="{FF2B5EF4-FFF2-40B4-BE49-F238E27FC236}">
                  <a16:creationId xmlns:a16="http://schemas.microsoft.com/office/drawing/2014/main" id="{7628D865-D00D-4BB2-8437-A03E9098D259}"/>
                </a:ext>
              </a:extLst>
            </xdr:cNvPr>
            <xdr:cNvSpPr txBox="1"/>
          </xdr:nvSpPr>
          <xdr:spPr>
            <a:xfrm>
              <a:off x="9131299" y="1892298"/>
              <a:ext cx="30360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CO" sz="1100" b="0" i="1">
                        <a:latin typeface="Cambria Math" panose="02040503050406030204" pitchFamily="18" charset="0"/>
                      </a:rPr>
                      <m:t>𝐸</m:t>
                    </m:r>
                    <m:r>
                      <a:rPr lang="es-CO" sz="1100" b="0" i="1">
                        <a:latin typeface="Cambria Math" panose="02040503050406030204" pitchFamily="18" charset="0"/>
                      </a:rPr>
                      <m:t>[</m:t>
                    </m:r>
                    <m:r>
                      <a:rPr lang="es-CO" sz="1100" b="0" i="1">
                        <a:latin typeface="Cambria Math" panose="02040503050406030204" pitchFamily="18" charset="0"/>
                      </a:rPr>
                      <m:t>𝑥</m:t>
                    </m:r>
                    <m:r>
                      <a:rPr lang="es-CO" sz="11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29" name="CuadroTexto 28">
              <a:extLst>
                <a:ext uri="{FF2B5EF4-FFF2-40B4-BE49-F238E27FC236}">
                  <a16:creationId xmlns:a16="http://schemas.microsoft.com/office/drawing/2014/main" id="{7628D865-D00D-4BB2-8437-A03E9098D259}"/>
                </a:ext>
              </a:extLst>
            </xdr:cNvPr>
            <xdr:cNvSpPr txBox="1"/>
          </xdr:nvSpPr>
          <xdr:spPr>
            <a:xfrm>
              <a:off x="9131299" y="1892298"/>
              <a:ext cx="30360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</a:rPr>
                <a:t>𝐸[𝑥]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19</xdr:col>
      <xdr:colOff>230717</xdr:colOff>
      <xdr:row>10</xdr:row>
      <xdr:rowOff>188383</xdr:rowOff>
    </xdr:from>
    <xdr:ext cx="372473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0" name="CuadroTexto 29">
              <a:extLst>
                <a:ext uri="{FF2B5EF4-FFF2-40B4-BE49-F238E27FC236}">
                  <a16:creationId xmlns:a16="http://schemas.microsoft.com/office/drawing/2014/main" id="{86452AD2-4BB7-4DE7-9DEF-F5A9C4DAA2AB}"/>
                </a:ext>
              </a:extLst>
            </xdr:cNvPr>
            <xdr:cNvSpPr txBox="1"/>
          </xdr:nvSpPr>
          <xdr:spPr>
            <a:xfrm>
              <a:off x="9120717" y="2093383"/>
              <a:ext cx="37247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CO" sz="1100" b="0" i="1">
                        <a:latin typeface="Cambria Math" panose="02040503050406030204" pitchFamily="18" charset="0"/>
                      </a:rPr>
                      <m:t>𝐸</m:t>
                    </m:r>
                    <m:r>
                      <a:rPr lang="es-CO" sz="1100" b="0" i="1">
                        <a:latin typeface="Cambria Math" panose="02040503050406030204" pitchFamily="18" charset="0"/>
                      </a:rPr>
                      <m:t>[</m:t>
                    </m:r>
                    <m:sSup>
                      <m:sSup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p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  <m:r>
                      <a:rPr lang="es-CO" sz="11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30" name="CuadroTexto 29">
              <a:extLst>
                <a:ext uri="{FF2B5EF4-FFF2-40B4-BE49-F238E27FC236}">
                  <a16:creationId xmlns:a16="http://schemas.microsoft.com/office/drawing/2014/main" id="{86452AD2-4BB7-4DE7-9DEF-F5A9C4DAA2AB}"/>
                </a:ext>
              </a:extLst>
            </xdr:cNvPr>
            <xdr:cNvSpPr txBox="1"/>
          </xdr:nvSpPr>
          <xdr:spPr>
            <a:xfrm>
              <a:off x="9120717" y="2093383"/>
              <a:ext cx="37247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</a:rPr>
                <a:t>𝐸[𝑥^2]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19</xdr:col>
      <xdr:colOff>230717</xdr:colOff>
      <xdr:row>11</xdr:row>
      <xdr:rowOff>188382</xdr:rowOff>
    </xdr:from>
    <xdr:ext cx="372473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1" name="CuadroTexto 30">
              <a:extLst>
                <a:ext uri="{FF2B5EF4-FFF2-40B4-BE49-F238E27FC236}">
                  <a16:creationId xmlns:a16="http://schemas.microsoft.com/office/drawing/2014/main" id="{BA289F13-1EEF-4635-A103-B865A6DDEEBE}"/>
                </a:ext>
              </a:extLst>
            </xdr:cNvPr>
            <xdr:cNvSpPr txBox="1"/>
          </xdr:nvSpPr>
          <xdr:spPr>
            <a:xfrm>
              <a:off x="9120717" y="2283882"/>
              <a:ext cx="37247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CO" sz="1100" b="0" i="1">
                        <a:latin typeface="Cambria Math" panose="02040503050406030204" pitchFamily="18" charset="0"/>
                      </a:rPr>
                      <m:t>𝐸</m:t>
                    </m:r>
                    <m:r>
                      <a:rPr lang="es-CO" sz="1100" b="0" i="1">
                        <a:latin typeface="Cambria Math" panose="02040503050406030204" pitchFamily="18" charset="0"/>
                      </a:rPr>
                      <m:t>[</m:t>
                    </m:r>
                    <m:sSup>
                      <m:sSup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p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3</m:t>
                        </m:r>
                      </m:sup>
                    </m:sSup>
                    <m:r>
                      <a:rPr lang="es-CO" sz="11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31" name="CuadroTexto 30">
              <a:extLst>
                <a:ext uri="{FF2B5EF4-FFF2-40B4-BE49-F238E27FC236}">
                  <a16:creationId xmlns:a16="http://schemas.microsoft.com/office/drawing/2014/main" id="{BA289F13-1EEF-4635-A103-B865A6DDEEBE}"/>
                </a:ext>
              </a:extLst>
            </xdr:cNvPr>
            <xdr:cNvSpPr txBox="1"/>
          </xdr:nvSpPr>
          <xdr:spPr>
            <a:xfrm>
              <a:off x="9120717" y="2283882"/>
              <a:ext cx="37247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</a:rPr>
                <a:t>𝐸[𝑥^3]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19</xdr:col>
      <xdr:colOff>230718</xdr:colOff>
      <xdr:row>12</xdr:row>
      <xdr:rowOff>188383</xdr:rowOff>
    </xdr:from>
    <xdr:ext cx="372473" cy="1746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2" name="CuadroTexto 31">
              <a:extLst>
                <a:ext uri="{FF2B5EF4-FFF2-40B4-BE49-F238E27FC236}">
                  <a16:creationId xmlns:a16="http://schemas.microsoft.com/office/drawing/2014/main" id="{1709D973-F886-46B3-973A-2A97CF94542E}"/>
                </a:ext>
              </a:extLst>
            </xdr:cNvPr>
            <xdr:cNvSpPr txBox="1"/>
          </xdr:nvSpPr>
          <xdr:spPr>
            <a:xfrm>
              <a:off x="9120718" y="2474383"/>
              <a:ext cx="372473" cy="1746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CO" sz="1100" b="0" i="1">
                        <a:latin typeface="Cambria Math" panose="02040503050406030204" pitchFamily="18" charset="0"/>
                      </a:rPr>
                      <m:t>𝐸</m:t>
                    </m:r>
                    <m:r>
                      <a:rPr lang="es-CO" sz="1100" b="0" i="1">
                        <a:latin typeface="Cambria Math" panose="02040503050406030204" pitchFamily="18" charset="0"/>
                      </a:rPr>
                      <m:t>[</m:t>
                    </m:r>
                    <m:sSup>
                      <m:sSup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p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4</m:t>
                        </m:r>
                      </m:sup>
                    </m:sSup>
                    <m:r>
                      <a:rPr lang="es-CO" sz="11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32" name="CuadroTexto 31">
              <a:extLst>
                <a:ext uri="{FF2B5EF4-FFF2-40B4-BE49-F238E27FC236}">
                  <a16:creationId xmlns:a16="http://schemas.microsoft.com/office/drawing/2014/main" id="{1709D973-F886-46B3-973A-2A97CF94542E}"/>
                </a:ext>
              </a:extLst>
            </xdr:cNvPr>
            <xdr:cNvSpPr txBox="1"/>
          </xdr:nvSpPr>
          <xdr:spPr>
            <a:xfrm>
              <a:off x="9120718" y="2474383"/>
              <a:ext cx="372473" cy="1746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</a:rPr>
                <a:t>𝐸[𝑥^4]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19</xdr:col>
      <xdr:colOff>283632</xdr:colOff>
      <xdr:row>15</xdr:row>
      <xdr:rowOff>177798</xdr:rowOff>
    </xdr:from>
    <xdr:ext cx="17132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3" name="CuadroTexto 32">
              <a:extLst>
                <a:ext uri="{FF2B5EF4-FFF2-40B4-BE49-F238E27FC236}">
                  <a16:creationId xmlns:a16="http://schemas.microsoft.com/office/drawing/2014/main" id="{815B6E13-98E6-445B-9900-FE74496F3BDF}"/>
                </a:ext>
              </a:extLst>
            </xdr:cNvPr>
            <xdr:cNvSpPr txBox="1"/>
          </xdr:nvSpPr>
          <xdr:spPr>
            <a:xfrm>
              <a:off x="9173632" y="3035298"/>
              <a:ext cx="1713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𝜇</m:t>
                        </m:r>
                      </m:e>
                      <m:sub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33" name="CuadroTexto 32">
              <a:extLst>
                <a:ext uri="{FF2B5EF4-FFF2-40B4-BE49-F238E27FC236}">
                  <a16:creationId xmlns:a16="http://schemas.microsoft.com/office/drawing/2014/main" id="{815B6E13-98E6-445B-9900-FE74496F3BDF}"/>
                </a:ext>
              </a:extLst>
            </xdr:cNvPr>
            <xdr:cNvSpPr txBox="1"/>
          </xdr:nvSpPr>
          <xdr:spPr>
            <a:xfrm>
              <a:off x="9173632" y="3035298"/>
              <a:ext cx="1713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𝜇_</a:t>
              </a:r>
              <a:r>
                <a:rPr lang="es-CO" sz="1100" b="0" i="0">
                  <a:latin typeface="Cambria Math" panose="02040503050406030204" pitchFamily="18" charset="0"/>
                </a:rPr>
                <a:t>1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19</xdr:col>
      <xdr:colOff>283633</xdr:colOff>
      <xdr:row>16</xdr:row>
      <xdr:rowOff>177799</xdr:rowOff>
    </xdr:from>
    <xdr:ext cx="17460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4" name="CuadroTexto 33">
              <a:extLst>
                <a:ext uri="{FF2B5EF4-FFF2-40B4-BE49-F238E27FC236}">
                  <a16:creationId xmlns:a16="http://schemas.microsoft.com/office/drawing/2014/main" id="{4C85DD0C-6396-49F8-927D-6DB74AD3CC7A}"/>
                </a:ext>
              </a:extLst>
            </xdr:cNvPr>
            <xdr:cNvSpPr txBox="1"/>
          </xdr:nvSpPr>
          <xdr:spPr>
            <a:xfrm>
              <a:off x="9173633" y="3225799"/>
              <a:ext cx="17460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𝜇</m:t>
                        </m:r>
                      </m:e>
                      <m:sub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34" name="CuadroTexto 33">
              <a:extLst>
                <a:ext uri="{FF2B5EF4-FFF2-40B4-BE49-F238E27FC236}">
                  <a16:creationId xmlns:a16="http://schemas.microsoft.com/office/drawing/2014/main" id="{4C85DD0C-6396-49F8-927D-6DB74AD3CC7A}"/>
                </a:ext>
              </a:extLst>
            </xdr:cNvPr>
            <xdr:cNvSpPr txBox="1"/>
          </xdr:nvSpPr>
          <xdr:spPr>
            <a:xfrm>
              <a:off x="9173633" y="3225799"/>
              <a:ext cx="17460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𝜇_</a:t>
              </a:r>
              <a:r>
                <a:rPr lang="es-CO" sz="1100" b="0" i="0">
                  <a:latin typeface="Cambria Math" panose="02040503050406030204" pitchFamily="18" charset="0"/>
                </a:rPr>
                <a:t>2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19</xdr:col>
      <xdr:colOff>283634</xdr:colOff>
      <xdr:row>17</xdr:row>
      <xdr:rowOff>167215</xdr:rowOff>
    </xdr:from>
    <xdr:ext cx="17460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5" name="CuadroTexto 34">
              <a:extLst>
                <a:ext uri="{FF2B5EF4-FFF2-40B4-BE49-F238E27FC236}">
                  <a16:creationId xmlns:a16="http://schemas.microsoft.com/office/drawing/2014/main" id="{4CFB273C-2777-4267-A097-B9650BCF61F8}"/>
                </a:ext>
              </a:extLst>
            </xdr:cNvPr>
            <xdr:cNvSpPr txBox="1"/>
          </xdr:nvSpPr>
          <xdr:spPr>
            <a:xfrm>
              <a:off x="9173634" y="3405715"/>
              <a:ext cx="17460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𝜇</m:t>
                        </m:r>
                      </m:e>
                      <m:sub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35" name="CuadroTexto 34">
              <a:extLst>
                <a:ext uri="{FF2B5EF4-FFF2-40B4-BE49-F238E27FC236}">
                  <a16:creationId xmlns:a16="http://schemas.microsoft.com/office/drawing/2014/main" id="{4CFB273C-2777-4267-A097-B9650BCF61F8}"/>
                </a:ext>
              </a:extLst>
            </xdr:cNvPr>
            <xdr:cNvSpPr txBox="1"/>
          </xdr:nvSpPr>
          <xdr:spPr>
            <a:xfrm>
              <a:off x="9173634" y="3405715"/>
              <a:ext cx="17460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𝜇_</a:t>
              </a:r>
              <a:r>
                <a:rPr lang="es-CO" sz="1100" b="0" i="0">
                  <a:latin typeface="Cambria Math" panose="02040503050406030204" pitchFamily="18" charset="0"/>
                </a:rPr>
                <a:t>3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19</xdr:col>
      <xdr:colOff>294216</xdr:colOff>
      <xdr:row>18</xdr:row>
      <xdr:rowOff>167214</xdr:rowOff>
    </xdr:from>
    <xdr:ext cx="17460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6" name="CuadroTexto 35">
              <a:extLst>
                <a:ext uri="{FF2B5EF4-FFF2-40B4-BE49-F238E27FC236}">
                  <a16:creationId xmlns:a16="http://schemas.microsoft.com/office/drawing/2014/main" id="{1B13DE9E-EC10-47B6-B0E9-7145907AEB24}"/>
                </a:ext>
              </a:extLst>
            </xdr:cNvPr>
            <xdr:cNvSpPr txBox="1"/>
          </xdr:nvSpPr>
          <xdr:spPr>
            <a:xfrm>
              <a:off x="9184216" y="3596214"/>
              <a:ext cx="17460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𝜇</m:t>
                        </m:r>
                      </m:e>
                      <m:sub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4</m:t>
                        </m:r>
                      </m:sub>
                    </m:sSub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36" name="CuadroTexto 35">
              <a:extLst>
                <a:ext uri="{FF2B5EF4-FFF2-40B4-BE49-F238E27FC236}">
                  <a16:creationId xmlns:a16="http://schemas.microsoft.com/office/drawing/2014/main" id="{1B13DE9E-EC10-47B6-B0E9-7145907AEB24}"/>
                </a:ext>
              </a:extLst>
            </xdr:cNvPr>
            <xdr:cNvSpPr txBox="1"/>
          </xdr:nvSpPr>
          <xdr:spPr>
            <a:xfrm>
              <a:off x="9184216" y="3596214"/>
              <a:ext cx="17460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𝜇_</a:t>
              </a:r>
              <a:r>
                <a:rPr lang="es-CO" sz="1100" b="0" i="0">
                  <a:latin typeface="Cambria Math" panose="02040503050406030204" pitchFamily="18" charset="0"/>
                </a:rPr>
                <a:t>4</a:t>
              </a:r>
              <a:endParaRPr lang="es-CO" sz="11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UARIO/Desktop/Fitter/Recursos/fitter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UARIO1/Downloads/Proyecto%20simulaci&#243;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paraciones"/>
      <sheetName val="BETA"/>
      <sheetName val="burr"/>
      <sheetName val="BETA 4P"/>
      <sheetName val="GAMMA"/>
      <sheetName val="normal"/>
      <sheetName val="lognormal"/>
      <sheetName val="Johnson SB"/>
      <sheetName val="exponencial"/>
      <sheetName val="weibull"/>
      <sheetName val="Johnson SU"/>
      <sheetName val="Trapezoidal"/>
      <sheetName val="Triangular"/>
      <sheetName val="uniforme"/>
      <sheetName val="erlang"/>
      <sheetName val="error function"/>
      <sheetName val="Gen. Normal"/>
      <sheetName val="Gen. Logistic"/>
      <sheetName val="Gen. Extreme Value"/>
      <sheetName val="Fatigue Life"/>
      <sheetName val="dagum"/>
      <sheetName val="Frechet"/>
      <sheetName val="F"/>
      <sheetName val="cauchy"/>
      <sheetName val="chi2"/>
      <sheetName val="Prueba chi2"/>
      <sheetName val="Prueba KS"/>
      <sheetName val=" Prueba AD Weibull"/>
      <sheetName val="Prueba AD Norma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a Ciudades"/>
      <sheetName val="Probabilidades Origen-Destino"/>
      <sheetName val="Distancias entre ciudades"/>
      <sheetName val="Facturación"/>
      <sheetName val="Ciclo Operativo"/>
      <sheetName val="Datos Históricos"/>
      <sheetName val="Análisis T. Carga"/>
      <sheetName val="Análisis T.Mantenimiento"/>
      <sheetName val="Análisis C. Mantenimiento"/>
      <sheetName val="Modelo de simulación"/>
    </sheetNames>
    <sheetDataSet>
      <sheetData sheetId="0" refreshError="1"/>
      <sheetData sheetId="1">
        <row r="5">
          <cell r="D5">
            <v>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2:K2160"/>
  <sheetViews>
    <sheetView tabSelected="1" zoomScale="90" zoomScaleNormal="90" workbookViewId="0">
      <selection activeCell="E3" sqref="E3"/>
    </sheetView>
  </sheetViews>
  <sheetFormatPr baseColWidth="10" defaultRowHeight="15" x14ac:dyDescent="0.25"/>
  <cols>
    <col min="1" max="1" width="7.28515625" customWidth="1"/>
    <col min="4" max="4" width="7.5703125" customWidth="1"/>
    <col min="5" max="5" width="17.140625" bestFit="1" customWidth="1"/>
    <col min="6" max="6" width="16.5703125" bestFit="1" customWidth="1"/>
    <col min="7" max="7" width="13" bestFit="1" customWidth="1"/>
    <col min="9" max="9" width="12.85546875" customWidth="1"/>
    <col min="10" max="10" width="17.85546875" bestFit="1" customWidth="1"/>
    <col min="11" max="11" width="18.7109375" bestFit="1" customWidth="1"/>
  </cols>
  <sheetData>
    <row r="2" spans="2:11" x14ac:dyDescent="0.25">
      <c r="B2" s="4" t="s">
        <v>0</v>
      </c>
      <c r="C2" s="4" t="s">
        <v>1</v>
      </c>
      <c r="E2" s="4" t="s">
        <v>28</v>
      </c>
      <c r="F2" s="4" t="s">
        <v>29</v>
      </c>
      <c r="G2" s="4" t="s">
        <v>26</v>
      </c>
      <c r="H2" s="2"/>
      <c r="I2" s="4" t="s">
        <v>2</v>
      </c>
      <c r="J2" s="4" t="s">
        <v>3</v>
      </c>
      <c r="K2" s="4" t="s">
        <v>4</v>
      </c>
    </row>
    <row r="3" spans="2:11" x14ac:dyDescent="0.25">
      <c r="B3" s="3" t="s">
        <v>13</v>
      </c>
      <c r="C3" s="3">
        <v>5</v>
      </c>
      <c r="E3" s="3">
        <f ca="1">RAND()</f>
        <v>0.18497001263914548</v>
      </c>
      <c r="F3" s="3">
        <f ca="1">RAND()</f>
        <v>0.60218030396069644</v>
      </c>
      <c r="G3" s="3">
        <f ca="1">SQRT(_xlfn.NORM.INV(E3,$C$3*COS($C$6),$C$4)^2+_xlfn.NORM.INV(F3,$C$3*SIN($C$6),$C$4)^2)</f>
        <v>8.856491412950426</v>
      </c>
      <c r="H3" s="2"/>
      <c r="I3" s="3" t="s">
        <v>5</v>
      </c>
      <c r="J3" s="3">
        <f ca="1">AVERAGE(G3:G2160)</f>
        <v>7.7015712057996764</v>
      </c>
      <c r="K3" s="3"/>
    </row>
    <row r="4" spans="2:11" x14ac:dyDescent="0.25">
      <c r="B4" s="3" t="s">
        <v>14</v>
      </c>
      <c r="C4" s="3">
        <v>5</v>
      </c>
      <c r="E4" s="3">
        <f t="shared" ref="E4:F67" ca="1" si="0">RAND()</f>
        <v>0.79643636764450987</v>
      </c>
      <c r="F4" s="3">
        <f t="shared" ca="1" si="0"/>
        <v>0.99757381947205803</v>
      </c>
      <c r="G4" s="3">
        <f t="shared" ref="G4:G67" ca="1" si="1">SQRT(_xlfn.NORM.INV(E4,$C$3*COS($C$6),$C$4)^2+_xlfn.NORM.INV(F4,$C$3*SIN($C$6),$C$4)^2)</f>
        <v>18.650843013688942</v>
      </c>
      <c r="H4" s="2"/>
      <c r="I4" s="3" t="s">
        <v>6</v>
      </c>
      <c r="J4" s="3">
        <f ca="1">_xlfn.VAR.S(G3:G2160)</f>
        <v>14.89083583032032</v>
      </c>
      <c r="K4" s="3"/>
    </row>
    <row r="5" spans="2:11" x14ac:dyDescent="0.25">
      <c r="B5" s="2"/>
      <c r="C5" s="2"/>
      <c r="E5" s="3">
        <f t="shared" ca="1" si="0"/>
        <v>8.6489595446989753E-2</v>
      </c>
      <c r="F5" s="3">
        <f t="shared" ca="1" si="0"/>
        <v>0.82166068128155656</v>
      </c>
      <c r="G5" s="3">
        <f t="shared" ca="1" si="1"/>
        <v>12.821540504370073</v>
      </c>
      <c r="H5" s="2"/>
      <c r="I5" s="3" t="s">
        <v>7</v>
      </c>
      <c r="J5" s="3">
        <f ca="1">_xlfn.STDEV.S(G3:G2160)</f>
        <v>3.8588645778674744</v>
      </c>
      <c r="K5" s="3"/>
    </row>
    <row r="6" spans="2:11" x14ac:dyDescent="0.25">
      <c r="B6" s="4" t="s">
        <v>27</v>
      </c>
      <c r="C6" s="3">
        <v>90</v>
      </c>
      <c r="E6" s="3">
        <f t="shared" ca="1" si="0"/>
        <v>0.45466453806230966</v>
      </c>
      <c r="F6" s="3">
        <f t="shared" ca="1" si="0"/>
        <v>0.75883711016093414</v>
      </c>
      <c r="G6" s="3">
        <f t="shared" ca="1" si="1"/>
        <v>8.4628779119974755</v>
      </c>
      <c r="H6" s="2"/>
      <c r="I6" s="3" t="s">
        <v>8</v>
      </c>
      <c r="J6" s="3">
        <f ca="1">SKEW(G3:G2160)</f>
        <v>0.48416787928120447</v>
      </c>
      <c r="K6" s="3"/>
    </row>
    <row r="7" spans="2:11" x14ac:dyDescent="0.25">
      <c r="E7" s="3">
        <f t="shared" ca="1" si="0"/>
        <v>0.76604423264568855</v>
      </c>
      <c r="F7" s="3">
        <f t="shared" ca="1" si="0"/>
        <v>0.53153931513487485</v>
      </c>
      <c r="G7" s="3">
        <f t="shared" ca="1" si="1"/>
        <v>5.0600687542859175</v>
      </c>
      <c r="H7" s="2"/>
      <c r="I7" s="3" t="s">
        <v>9</v>
      </c>
      <c r="J7" s="3">
        <f ca="1">J20/(J5^4)</f>
        <v>2.9028440357193919</v>
      </c>
      <c r="K7" s="3"/>
    </row>
    <row r="8" spans="2:11" x14ac:dyDescent="0.25">
      <c r="E8" s="3">
        <f t="shared" ca="1" si="0"/>
        <v>0.30759078015651942</v>
      </c>
      <c r="F8" s="3">
        <f t="shared" ca="1" si="0"/>
        <v>0.11329024732662007</v>
      </c>
      <c r="G8" s="3">
        <f t="shared" ca="1" si="1"/>
        <v>5.0082819018369493</v>
      </c>
      <c r="H8" s="2"/>
      <c r="I8" s="3" t="s">
        <v>10</v>
      </c>
      <c r="J8" s="3">
        <f ca="1">MEDIAN(G3:G2160)</f>
        <v>7.3829372483710962</v>
      </c>
      <c r="K8" s="3"/>
    </row>
    <row r="9" spans="2:11" x14ac:dyDescent="0.25">
      <c r="E9" s="3">
        <f t="shared" ca="1" si="0"/>
        <v>0.20267510897282648</v>
      </c>
      <c r="F9" s="3">
        <f t="shared" ca="1" si="0"/>
        <v>0.8279436305949267</v>
      </c>
      <c r="G9" s="3">
        <f t="shared" ca="1" si="1"/>
        <v>11.207922669190438</v>
      </c>
      <c r="H9" s="2"/>
      <c r="I9" s="2"/>
      <c r="J9" s="2"/>
      <c r="K9" s="2"/>
    </row>
    <row r="10" spans="2:11" x14ac:dyDescent="0.25">
      <c r="E10" s="3">
        <f t="shared" ca="1" si="0"/>
        <v>6.5487970219741509E-2</v>
      </c>
      <c r="F10" s="3">
        <f t="shared" ca="1" si="0"/>
        <v>3.7542725481418904E-2</v>
      </c>
      <c r="G10" s="3">
        <f t="shared" ca="1" si="1"/>
        <v>10.747078009951773</v>
      </c>
      <c r="H10" s="2"/>
      <c r="I10" s="9" t="s">
        <v>11</v>
      </c>
      <c r="J10" s="10"/>
      <c r="K10" s="2"/>
    </row>
    <row r="11" spans="2:11" x14ac:dyDescent="0.25">
      <c r="E11" s="3">
        <f t="shared" ca="1" si="0"/>
        <v>6.5916122358891105E-2</v>
      </c>
      <c r="F11" s="3">
        <f t="shared" ca="1" si="0"/>
        <v>0.80146809504206984</v>
      </c>
      <c r="G11" s="3">
        <f t="shared" ca="1" si="1"/>
        <v>13.088758424669736</v>
      </c>
      <c r="H11" s="2"/>
      <c r="I11" s="3"/>
      <c r="J11" s="3">
        <f ca="1">SUMPRODUCT(G3:G2160)/COUNT(G3:G2160)</f>
        <v>7.7015712057996764</v>
      </c>
      <c r="K11" s="2"/>
    </row>
    <row r="12" spans="2:11" x14ac:dyDescent="0.25">
      <c r="E12" s="3">
        <f t="shared" ca="1" si="0"/>
        <v>0.94730398702180041</v>
      </c>
      <c r="F12" s="3">
        <f t="shared" ca="1" si="0"/>
        <v>0.98231536791274487</v>
      </c>
      <c r="G12" s="3">
        <f t="shared" ca="1" si="1"/>
        <v>16.093698517895689</v>
      </c>
      <c r="H12" s="2"/>
      <c r="I12" s="3"/>
      <c r="J12" s="3">
        <f ca="1">SUMPRODUCT(G3:G2160,G3:G2160)/COUNT(G3:G2160)</f>
        <v>74.198134573684314</v>
      </c>
      <c r="K12" s="2"/>
    </row>
    <row r="13" spans="2:11" x14ac:dyDescent="0.25">
      <c r="E13" s="3">
        <f t="shared" ca="1" si="0"/>
        <v>0.5082851131345123</v>
      </c>
      <c r="F13" s="3">
        <f t="shared" ca="1" si="0"/>
        <v>0.7742323750999982</v>
      </c>
      <c r="G13" s="3">
        <f t="shared" ca="1" si="1"/>
        <v>8.5069373891234665</v>
      </c>
      <c r="H13" s="2"/>
      <c r="I13" s="3"/>
      <c r="J13" s="3">
        <f ca="1">SUMPRODUCT(G3:G2160,G3:G2160,G3:G2160)/COUNT(G3:G2160)</f>
        <v>828.48404974182233</v>
      </c>
      <c r="K13" s="2"/>
    </row>
    <row r="14" spans="2:11" x14ac:dyDescent="0.25">
      <c r="E14" s="3">
        <f t="shared" ca="1" si="0"/>
        <v>0.51410232415893553</v>
      </c>
      <c r="F14" s="3">
        <f t="shared" ca="1" si="0"/>
        <v>0.76423158785463829</v>
      </c>
      <c r="G14" s="3">
        <f t="shared" ca="1" si="1"/>
        <v>8.3295535743462263</v>
      </c>
      <c r="H14" s="2"/>
      <c r="I14" s="3"/>
      <c r="J14" s="3">
        <f ca="1">SUMPRODUCT(G3:G2160,G3:G2160,G3:G2160,G3:G2160)/COUNT(G3:G2160)</f>
        <v>10314.688600199857</v>
      </c>
      <c r="K14" s="2"/>
    </row>
    <row r="15" spans="2:11" x14ac:dyDescent="0.25">
      <c r="E15" s="3">
        <f t="shared" ca="1" si="0"/>
        <v>0.26633874401947466</v>
      </c>
      <c r="F15" s="3">
        <f t="shared" ca="1" si="0"/>
        <v>0.54412336730545041</v>
      </c>
      <c r="G15" s="3">
        <f t="shared" ca="1" si="1"/>
        <v>7.3465131144143285</v>
      </c>
      <c r="H15" s="2"/>
      <c r="I15" s="2"/>
      <c r="J15" s="2"/>
      <c r="K15" s="2"/>
    </row>
    <row r="16" spans="2:11" x14ac:dyDescent="0.25">
      <c r="E16" s="3">
        <f t="shared" ca="1" si="0"/>
        <v>0.89090776609443045</v>
      </c>
      <c r="F16" s="3">
        <f t="shared" ca="1" si="0"/>
        <v>0.65255986858655701</v>
      </c>
      <c r="G16" s="3">
        <f t="shared" ca="1" si="1"/>
        <v>7.5298744247832259</v>
      </c>
      <c r="H16" s="2"/>
      <c r="I16" s="9" t="s">
        <v>12</v>
      </c>
      <c r="J16" s="10"/>
      <c r="K16" s="2"/>
    </row>
    <row r="17" spans="5:11" x14ac:dyDescent="0.25">
      <c r="E17" s="3">
        <f t="shared" ca="1" si="0"/>
        <v>6.6371365232763324E-2</v>
      </c>
      <c r="F17" s="3">
        <f t="shared" ca="1" si="0"/>
        <v>7.3204567466443216E-2</v>
      </c>
      <c r="G17" s="3">
        <f t="shared" ca="1" si="1"/>
        <v>10.14875029715936</v>
      </c>
      <c r="H17" s="2"/>
      <c r="I17" s="3"/>
      <c r="J17" s="3">
        <v>0</v>
      </c>
      <c r="K17" s="2"/>
    </row>
    <row r="18" spans="5:11" x14ac:dyDescent="0.25">
      <c r="E18" s="3">
        <f t="shared" ca="1" si="0"/>
        <v>3.9730363075943465E-2</v>
      </c>
      <c r="F18" s="3">
        <f t="shared" ca="1" si="0"/>
        <v>0.32646939090867844</v>
      </c>
      <c r="G18" s="3">
        <f t="shared" ca="1" si="1"/>
        <v>11.23139125029331</v>
      </c>
      <c r="H18" s="2"/>
      <c r="I18" s="3"/>
      <c r="J18" s="3">
        <f ca="1">J12-J11^2</f>
        <v>14.88393553568163</v>
      </c>
      <c r="K18" s="2"/>
    </row>
    <row r="19" spans="5:11" x14ac:dyDescent="0.25">
      <c r="E19" s="3">
        <f t="shared" ca="1" si="0"/>
        <v>0.24863707359235521</v>
      </c>
      <c r="F19" s="3">
        <f t="shared" ca="1" si="0"/>
        <v>5.828783940268889E-2</v>
      </c>
      <c r="G19" s="3">
        <f t="shared" ca="1" si="1"/>
        <v>6.568596751336198</v>
      </c>
      <c r="H19" s="2"/>
      <c r="I19" s="3"/>
      <c r="J19" s="3">
        <f ca="1">J13-3*J11*J12+2*J11^3</f>
        <v>27.782454283917332</v>
      </c>
      <c r="K19" s="2"/>
    </row>
    <row r="20" spans="5:11" x14ac:dyDescent="0.25">
      <c r="E20" s="3">
        <f t="shared" ca="1" si="0"/>
        <v>0.52446010504542373</v>
      </c>
      <c r="F20" s="3">
        <f t="shared" ca="1" si="0"/>
        <v>0.65217132072371797</v>
      </c>
      <c r="G20" s="3">
        <f t="shared" ca="1" si="1"/>
        <v>6.710546380664268</v>
      </c>
      <c r="H20" s="2"/>
      <c r="I20" s="3"/>
      <c r="J20" s="3">
        <f ca="1">J14-4*J11*J13+6*(J11^2)*J12-3*(J11^4)</f>
        <v>643.66790392887742</v>
      </c>
      <c r="K20" s="2"/>
    </row>
    <row r="21" spans="5:11" x14ac:dyDescent="0.25">
      <c r="E21" s="3">
        <f t="shared" ca="1" si="0"/>
        <v>0.93002073222387283</v>
      </c>
      <c r="F21" s="3">
        <f t="shared" ca="1" si="0"/>
        <v>4.5477005724619657E-2</v>
      </c>
      <c r="G21" s="3">
        <f t="shared" ca="1" si="1"/>
        <v>6.5014565564222195</v>
      </c>
      <c r="H21" s="2"/>
      <c r="I21" s="2"/>
      <c r="J21" s="2"/>
      <c r="K21" s="2"/>
    </row>
    <row r="22" spans="5:11" x14ac:dyDescent="0.25">
      <c r="E22" s="3">
        <f t="shared" ca="1" si="0"/>
        <v>4.477593125106305E-2</v>
      </c>
      <c r="F22" s="3">
        <f t="shared" ca="1" si="0"/>
        <v>0.99410453083472405</v>
      </c>
      <c r="G22" s="3">
        <f t="shared" ca="1" si="1"/>
        <v>20.154820756310073</v>
      </c>
      <c r="H22" s="2"/>
      <c r="I22" s="2"/>
      <c r="J22" s="2"/>
      <c r="K22" s="2"/>
    </row>
    <row r="23" spans="5:11" x14ac:dyDescent="0.25">
      <c r="E23" s="3">
        <f t="shared" ca="1" si="0"/>
        <v>0.26840251436789975</v>
      </c>
      <c r="F23" s="3">
        <f t="shared" ca="1" si="0"/>
        <v>0.19412694096239225</v>
      </c>
      <c r="G23" s="3">
        <f t="shared" ca="1" si="1"/>
        <v>5.3309102887486706</v>
      </c>
      <c r="H23" s="2"/>
      <c r="I23" s="2"/>
      <c r="J23" s="2"/>
      <c r="K23" s="2"/>
    </row>
    <row r="24" spans="5:11" x14ac:dyDescent="0.25">
      <c r="E24" s="3">
        <f t="shared" ca="1" si="0"/>
        <v>0.89067332089622664</v>
      </c>
      <c r="F24" s="3">
        <f t="shared" ca="1" si="0"/>
        <v>0.2733310984923738</v>
      </c>
      <c r="G24" s="3">
        <f t="shared" ca="1" si="1"/>
        <v>4.1725441537038153</v>
      </c>
      <c r="H24" s="2"/>
      <c r="I24" s="2"/>
      <c r="J24" s="2"/>
      <c r="K24" s="2"/>
    </row>
    <row r="25" spans="5:11" x14ac:dyDescent="0.25">
      <c r="E25" s="3">
        <f t="shared" ca="1" si="0"/>
        <v>0.60596559853091381</v>
      </c>
      <c r="F25" s="3">
        <f t="shared" ca="1" si="0"/>
        <v>0.12220581994793389</v>
      </c>
      <c r="G25" s="3">
        <f t="shared" ca="1" si="1"/>
        <v>1.62057418413261</v>
      </c>
      <c r="H25" s="2"/>
      <c r="I25" s="2"/>
      <c r="J25" s="2"/>
      <c r="K25" s="2"/>
    </row>
    <row r="26" spans="5:11" x14ac:dyDescent="0.25">
      <c r="E26" s="3">
        <f t="shared" ca="1" si="0"/>
        <v>0.26969589740436006</v>
      </c>
      <c r="F26" s="3">
        <f t="shared" ca="1" si="0"/>
        <v>0.99519297247792837</v>
      </c>
      <c r="G26" s="3">
        <f t="shared" ca="1" si="1"/>
        <v>18.208209150252188</v>
      </c>
      <c r="H26" s="2"/>
      <c r="I26" s="2"/>
      <c r="J26" s="2"/>
      <c r="K26" s="2"/>
    </row>
    <row r="27" spans="5:11" x14ac:dyDescent="0.25">
      <c r="E27" s="3">
        <f t="shared" ca="1" si="0"/>
        <v>0.31712403939819545</v>
      </c>
      <c r="F27" s="3">
        <f t="shared" ca="1" si="0"/>
        <v>0.99124772507304004</v>
      </c>
      <c r="G27" s="3">
        <f t="shared" ca="1" si="1"/>
        <v>16.989639554553804</v>
      </c>
      <c r="H27" s="2"/>
      <c r="I27" s="2"/>
      <c r="J27" s="2"/>
      <c r="K27" s="2"/>
    </row>
    <row r="28" spans="5:11" x14ac:dyDescent="0.25">
      <c r="E28" s="3">
        <f t="shared" ca="1" si="0"/>
        <v>0.70856220311186324</v>
      </c>
      <c r="F28" s="3">
        <f t="shared" ca="1" si="0"/>
        <v>0.43170299020953495</v>
      </c>
      <c r="G28" s="3">
        <f t="shared" ca="1" si="1"/>
        <v>3.645015790640894</v>
      </c>
      <c r="H28" s="2"/>
      <c r="I28" s="2"/>
      <c r="J28" s="2"/>
      <c r="K28" s="2"/>
    </row>
    <row r="29" spans="5:11" x14ac:dyDescent="0.25">
      <c r="E29" s="3">
        <f t="shared" ca="1" si="0"/>
        <v>7.9160064860151813E-2</v>
      </c>
      <c r="F29" s="3">
        <f t="shared" ca="1" si="0"/>
        <v>0.37766724883666658</v>
      </c>
      <c r="G29" s="3">
        <f t="shared" ca="1" si="1"/>
        <v>9.7395754529342042</v>
      </c>
      <c r="H29" s="2"/>
      <c r="I29" s="2"/>
      <c r="J29" s="2"/>
      <c r="K29" s="2"/>
    </row>
    <row r="30" spans="5:11" x14ac:dyDescent="0.25">
      <c r="E30" s="3">
        <f t="shared" ca="1" si="0"/>
        <v>0.55883114651994215</v>
      </c>
      <c r="F30" s="3">
        <f t="shared" ca="1" si="0"/>
        <v>0.20726327756899243</v>
      </c>
      <c r="G30" s="3">
        <f t="shared" ca="1" si="1"/>
        <v>1.5502500888261634</v>
      </c>
      <c r="H30" s="2"/>
      <c r="I30" s="2"/>
      <c r="J30" s="2"/>
      <c r="K30" s="2"/>
    </row>
    <row r="31" spans="5:11" x14ac:dyDescent="0.25">
      <c r="E31" s="3">
        <f t="shared" ca="1" si="0"/>
        <v>0.95284873315602014</v>
      </c>
      <c r="F31" s="3">
        <f t="shared" ca="1" si="0"/>
        <v>0.51607218103804287</v>
      </c>
      <c r="G31" s="3">
        <f t="shared" ca="1" si="1"/>
        <v>7.7033420653587923</v>
      </c>
      <c r="H31" s="2"/>
      <c r="I31" s="2"/>
      <c r="J31" s="2"/>
      <c r="K31" s="2"/>
    </row>
    <row r="32" spans="5:11" x14ac:dyDescent="0.25">
      <c r="E32" s="3">
        <f t="shared" ca="1" si="0"/>
        <v>0.10246357125000438</v>
      </c>
      <c r="F32" s="3">
        <f t="shared" ca="1" si="0"/>
        <v>0.93920770030237066</v>
      </c>
      <c r="G32" s="3">
        <f t="shared" ca="1" si="1"/>
        <v>14.922952085972522</v>
      </c>
      <c r="H32" s="2"/>
      <c r="I32" s="2"/>
      <c r="J32" s="2"/>
      <c r="K32" s="2"/>
    </row>
    <row r="33" spans="5:11" x14ac:dyDescent="0.25">
      <c r="E33" s="3">
        <f t="shared" ca="1" si="0"/>
        <v>0.16937541636839593</v>
      </c>
      <c r="F33" s="3">
        <f t="shared" ca="1" si="0"/>
        <v>0.45226120704617723</v>
      </c>
      <c r="G33" s="3">
        <f t="shared" ca="1" si="1"/>
        <v>8.0192856135796138</v>
      </c>
      <c r="H33" s="2"/>
      <c r="I33" s="2"/>
      <c r="J33" s="2"/>
      <c r="K33" s="2"/>
    </row>
    <row r="34" spans="5:11" x14ac:dyDescent="0.25">
      <c r="E34" s="3">
        <f t="shared" ca="1" si="0"/>
        <v>0.81255662734464928</v>
      </c>
      <c r="F34" s="3">
        <f t="shared" ca="1" si="0"/>
        <v>0.47245333653196875</v>
      </c>
      <c r="G34" s="3">
        <f t="shared" ca="1" si="1"/>
        <v>4.6728402149114254</v>
      </c>
      <c r="H34" s="2"/>
      <c r="I34" s="2"/>
      <c r="J34" s="2"/>
      <c r="K34" s="2"/>
    </row>
    <row r="35" spans="5:11" x14ac:dyDescent="0.25">
      <c r="E35" s="3">
        <f t="shared" ca="1" si="0"/>
        <v>0.16420463031612997</v>
      </c>
      <c r="F35" s="3">
        <f t="shared" ca="1" si="0"/>
        <v>0.62212667285887258</v>
      </c>
      <c r="G35" s="3">
        <f t="shared" ca="1" si="1"/>
        <v>9.332662558467236</v>
      </c>
      <c r="H35" s="2"/>
      <c r="I35" s="2"/>
      <c r="J35" s="2"/>
      <c r="K35" s="2"/>
    </row>
    <row r="36" spans="5:11" x14ac:dyDescent="0.25">
      <c r="E36" s="3">
        <f t="shared" ca="1" si="0"/>
        <v>0.44473129789286248</v>
      </c>
      <c r="F36" s="3">
        <f t="shared" ca="1" si="0"/>
        <v>0.44296679247200843</v>
      </c>
      <c r="G36" s="3">
        <f t="shared" ca="1" si="1"/>
        <v>4.7643334458642146</v>
      </c>
      <c r="H36" s="2"/>
      <c r="I36" s="2"/>
      <c r="J36" s="2"/>
      <c r="K36" s="2"/>
    </row>
    <row r="37" spans="5:11" x14ac:dyDescent="0.25">
      <c r="E37" s="3">
        <f t="shared" ca="1" si="0"/>
        <v>3.3634096911924205E-2</v>
      </c>
      <c r="F37" s="3">
        <f t="shared" ca="1" si="0"/>
        <v>0.23130894634966115</v>
      </c>
      <c r="G37" s="3">
        <f t="shared" ca="1" si="1"/>
        <v>11.417627542272063</v>
      </c>
      <c r="H37" s="2"/>
      <c r="I37" s="2"/>
      <c r="J37" s="2"/>
      <c r="K37" s="2"/>
    </row>
    <row r="38" spans="5:11" x14ac:dyDescent="0.25">
      <c r="E38" s="3">
        <f t="shared" ca="1" si="0"/>
        <v>0.13925265240106099</v>
      </c>
      <c r="F38" s="3">
        <f t="shared" ca="1" si="0"/>
        <v>0.557297084882862</v>
      </c>
      <c r="G38" s="3">
        <f t="shared" ca="1" si="1"/>
        <v>9.2519791350732294</v>
      </c>
      <c r="H38" s="2"/>
      <c r="I38" s="2"/>
      <c r="J38" s="2"/>
      <c r="K38" s="2"/>
    </row>
    <row r="39" spans="5:11" x14ac:dyDescent="0.25">
      <c r="E39" s="3">
        <f t="shared" ca="1" si="0"/>
        <v>0.94068936535438741</v>
      </c>
      <c r="F39" s="3">
        <f t="shared" ca="1" si="0"/>
        <v>0.88596416291346503</v>
      </c>
      <c r="G39" s="3">
        <f t="shared" ca="1" si="1"/>
        <v>11.879503794219099</v>
      </c>
      <c r="H39" s="2"/>
      <c r="I39" s="2"/>
      <c r="J39" s="2"/>
      <c r="K39" s="2"/>
    </row>
    <row r="40" spans="5:11" x14ac:dyDescent="0.25">
      <c r="E40" s="3">
        <f t="shared" ca="1" si="0"/>
        <v>6.2555649993170759E-2</v>
      </c>
      <c r="F40" s="3">
        <f t="shared" ca="1" si="0"/>
        <v>0.96061726975379358</v>
      </c>
      <c r="G40" s="3">
        <f t="shared" ca="1" si="1"/>
        <v>16.552815035771069</v>
      </c>
      <c r="H40" s="2"/>
      <c r="I40" s="2"/>
      <c r="J40" s="2"/>
      <c r="K40" s="2"/>
    </row>
    <row r="41" spans="5:11" x14ac:dyDescent="0.25">
      <c r="E41" s="3">
        <f t="shared" ca="1" si="0"/>
        <v>0.55294651704036113</v>
      </c>
      <c r="F41" s="3">
        <f t="shared" ca="1" si="0"/>
        <v>0.43180810422460358</v>
      </c>
      <c r="G41" s="3">
        <f t="shared" ca="1" si="1"/>
        <v>3.939574714387108</v>
      </c>
      <c r="H41" s="2"/>
      <c r="I41" s="2"/>
      <c r="J41" s="2"/>
      <c r="K41" s="2"/>
    </row>
    <row r="42" spans="5:11" x14ac:dyDescent="0.25">
      <c r="E42" s="3">
        <f t="shared" ca="1" si="0"/>
        <v>0.86607491040139484</v>
      </c>
      <c r="F42" s="3">
        <f t="shared" ca="1" si="0"/>
        <v>0.66342458781696789</v>
      </c>
      <c r="G42" s="3">
        <f t="shared" ca="1" si="1"/>
        <v>7.3602513756984935</v>
      </c>
      <c r="H42" s="2"/>
      <c r="I42" s="2"/>
      <c r="J42" s="2"/>
      <c r="K42" s="2"/>
    </row>
    <row r="43" spans="5:11" x14ac:dyDescent="0.25">
      <c r="E43" s="3">
        <f t="shared" ca="1" si="0"/>
        <v>0.24840009742884439</v>
      </c>
      <c r="F43" s="3">
        <f t="shared" ca="1" si="0"/>
        <v>0.22091471954604891</v>
      </c>
      <c r="G43" s="3">
        <f t="shared" ca="1" si="1"/>
        <v>5.6725082596614493</v>
      </c>
      <c r="H43" s="2"/>
      <c r="I43" s="2"/>
      <c r="J43" s="2"/>
      <c r="K43" s="2"/>
    </row>
    <row r="44" spans="5:11" x14ac:dyDescent="0.25">
      <c r="E44" s="3">
        <f t="shared" ca="1" si="0"/>
        <v>0.75521599328663347</v>
      </c>
      <c r="F44" s="3">
        <f t="shared" ca="1" si="0"/>
        <v>7.6992813959986584E-2</v>
      </c>
      <c r="G44" s="3">
        <f t="shared" ca="1" si="1"/>
        <v>2.9223570468846192</v>
      </c>
      <c r="H44" s="2"/>
      <c r="I44" s="2"/>
      <c r="J44" s="2"/>
      <c r="K44" s="2"/>
    </row>
    <row r="45" spans="5:11" x14ac:dyDescent="0.25">
      <c r="E45" s="3">
        <f t="shared" ca="1" si="0"/>
        <v>0.13322415724091896</v>
      </c>
      <c r="F45" s="3">
        <f t="shared" ca="1" si="0"/>
        <v>0.60949755090134161</v>
      </c>
      <c r="G45" s="3">
        <f t="shared" ca="1" si="1"/>
        <v>9.7534343448606915</v>
      </c>
      <c r="H45" s="2"/>
      <c r="I45" s="2"/>
      <c r="J45" s="2"/>
      <c r="K45" s="2"/>
    </row>
    <row r="46" spans="5:11" x14ac:dyDescent="0.25">
      <c r="E46" s="3">
        <f t="shared" ca="1" si="0"/>
        <v>5.8497499437708989E-2</v>
      </c>
      <c r="F46" s="3">
        <f t="shared" ca="1" si="0"/>
        <v>4.7712150809784082E-2</v>
      </c>
      <c r="G46" s="3">
        <f t="shared" ca="1" si="1"/>
        <v>10.794468110367738</v>
      </c>
      <c r="H46" s="2"/>
      <c r="I46" s="2"/>
      <c r="J46" s="2"/>
      <c r="K46" s="2"/>
    </row>
    <row r="47" spans="5:11" x14ac:dyDescent="0.25">
      <c r="E47" s="3">
        <f t="shared" ca="1" si="0"/>
        <v>0.20820644465132754</v>
      </c>
      <c r="F47" s="3">
        <f t="shared" ca="1" si="0"/>
        <v>0.51149438254044233</v>
      </c>
      <c r="G47" s="3">
        <f t="shared" ca="1" si="1"/>
        <v>7.8119032321608346</v>
      </c>
      <c r="H47" s="2"/>
      <c r="I47" s="2"/>
      <c r="J47" s="2"/>
      <c r="K47" s="2"/>
    </row>
    <row r="48" spans="5:11" x14ac:dyDescent="0.25">
      <c r="E48" s="3">
        <f t="shared" ca="1" si="0"/>
        <v>2.7375652694258679E-2</v>
      </c>
      <c r="F48" s="3">
        <f t="shared" ca="1" si="0"/>
        <v>4.4667174866902526E-2</v>
      </c>
      <c r="G48" s="3">
        <f t="shared" ca="1" si="1"/>
        <v>12.509670434172474</v>
      </c>
      <c r="H48" s="2"/>
      <c r="I48" s="2"/>
      <c r="J48" s="2"/>
      <c r="K48" s="2"/>
    </row>
    <row r="49" spans="5:11" x14ac:dyDescent="0.25">
      <c r="E49" s="3">
        <f t="shared" ca="1" si="0"/>
        <v>0.9798825064504042</v>
      </c>
      <c r="F49" s="3">
        <f t="shared" ca="1" si="0"/>
        <v>1.6176782480042839E-2</v>
      </c>
      <c r="G49" s="3">
        <f t="shared" ca="1" si="1"/>
        <v>10.152569783074059</v>
      </c>
      <c r="H49" s="2"/>
      <c r="I49" s="2"/>
      <c r="J49" s="2"/>
      <c r="K49" s="2"/>
    </row>
    <row r="50" spans="5:11" x14ac:dyDescent="0.25">
      <c r="E50" s="3">
        <f t="shared" ca="1" si="0"/>
        <v>0.32386666945462361</v>
      </c>
      <c r="F50" s="3">
        <f t="shared" ca="1" si="0"/>
        <v>0.1428733233674282</v>
      </c>
      <c r="G50" s="3">
        <f t="shared" ca="1" si="1"/>
        <v>4.6073429960924663</v>
      </c>
      <c r="H50" s="2"/>
      <c r="I50" s="2"/>
      <c r="J50" s="2"/>
      <c r="K50" s="2"/>
    </row>
    <row r="51" spans="5:11" x14ac:dyDescent="0.25">
      <c r="E51" s="3">
        <f t="shared" ca="1" si="0"/>
        <v>0.56552391814857372</v>
      </c>
      <c r="F51" s="3">
        <f t="shared" ca="1" si="0"/>
        <v>0.54780610591793155</v>
      </c>
      <c r="G51" s="3">
        <f t="shared" ca="1" si="1"/>
        <v>5.2644323907070598</v>
      </c>
      <c r="H51" s="2"/>
      <c r="I51" s="2"/>
      <c r="J51" s="2"/>
      <c r="K51" s="2"/>
    </row>
    <row r="52" spans="5:11" x14ac:dyDescent="0.25">
      <c r="E52" s="3">
        <f t="shared" ca="1" si="0"/>
        <v>0.87150439779550437</v>
      </c>
      <c r="F52" s="3">
        <f t="shared" ca="1" si="0"/>
        <v>0.13169310771925768</v>
      </c>
      <c r="G52" s="3">
        <f t="shared" ca="1" si="1"/>
        <v>3.6063124731645408</v>
      </c>
      <c r="H52" s="2"/>
      <c r="I52" s="2"/>
      <c r="J52" s="2"/>
      <c r="K52" s="2"/>
    </row>
    <row r="53" spans="5:11" x14ac:dyDescent="0.25">
      <c r="E53" s="3">
        <f t="shared" ca="1" si="0"/>
        <v>0.71507857582850776</v>
      </c>
      <c r="F53" s="3">
        <f t="shared" ca="1" si="0"/>
        <v>0.84052762063678688</v>
      </c>
      <c r="G53" s="3">
        <f t="shared" ca="1" si="1"/>
        <v>9.4722154721022402</v>
      </c>
      <c r="H53" s="2"/>
      <c r="I53" s="2"/>
      <c r="J53" s="2"/>
      <c r="K53" s="2"/>
    </row>
    <row r="54" spans="5:11" x14ac:dyDescent="0.25">
      <c r="E54" s="3">
        <f t="shared" ca="1" si="0"/>
        <v>0.26100201757276342</v>
      </c>
      <c r="F54" s="3">
        <f t="shared" ca="1" si="0"/>
        <v>0.49274934233924583</v>
      </c>
      <c r="G54" s="3">
        <f t="shared" ca="1" si="1"/>
        <v>6.9848602212358539</v>
      </c>
      <c r="H54" s="2"/>
      <c r="I54" s="2"/>
      <c r="J54" s="2"/>
      <c r="K54" s="2"/>
    </row>
    <row r="55" spans="5:11" x14ac:dyDescent="0.25">
      <c r="E55" s="3">
        <f t="shared" ca="1" si="0"/>
        <v>0.88032162744479436</v>
      </c>
      <c r="F55" s="3">
        <f t="shared" ca="1" si="0"/>
        <v>0.15575310777554829</v>
      </c>
      <c r="G55" s="3">
        <f t="shared" ca="1" si="1"/>
        <v>3.6901407617563491</v>
      </c>
      <c r="H55" s="2"/>
      <c r="I55" s="2"/>
      <c r="J55" s="2"/>
      <c r="K55" s="2"/>
    </row>
    <row r="56" spans="5:11" x14ac:dyDescent="0.25">
      <c r="E56" s="3">
        <f t="shared" ca="1" si="0"/>
        <v>0.64118358776717532</v>
      </c>
      <c r="F56" s="3">
        <f t="shared" ca="1" si="0"/>
        <v>0.82255744858131863</v>
      </c>
      <c r="G56" s="3">
        <f t="shared" ca="1" si="1"/>
        <v>9.1060248657227927</v>
      </c>
      <c r="H56" s="2"/>
      <c r="I56" s="2"/>
      <c r="J56" s="2"/>
      <c r="K56" s="2"/>
    </row>
    <row r="57" spans="5:11" x14ac:dyDescent="0.25">
      <c r="E57" s="3">
        <f t="shared" ca="1" si="0"/>
        <v>0.25483090272458231</v>
      </c>
      <c r="F57" s="3">
        <f t="shared" ca="1" si="0"/>
        <v>0.49576191302025119</v>
      </c>
      <c r="G57" s="3">
        <f t="shared" ca="1" si="1"/>
        <v>7.083020297565807</v>
      </c>
      <c r="H57" s="2"/>
      <c r="I57" s="2"/>
      <c r="J57" s="2"/>
      <c r="K57" s="2"/>
    </row>
    <row r="58" spans="5:11" x14ac:dyDescent="0.25">
      <c r="E58" s="3">
        <f t="shared" ca="1" si="0"/>
        <v>0.16767294153118784</v>
      </c>
      <c r="F58" s="3">
        <f t="shared" ca="1" si="0"/>
        <v>0.19290879713737563</v>
      </c>
      <c r="G58" s="3">
        <f t="shared" ca="1" si="1"/>
        <v>7.0586466248369932</v>
      </c>
      <c r="H58" s="2"/>
      <c r="I58" s="2"/>
      <c r="J58" s="2"/>
      <c r="K58" s="2"/>
    </row>
    <row r="59" spans="5:11" x14ac:dyDescent="0.25">
      <c r="E59" s="3">
        <f t="shared" ca="1" si="0"/>
        <v>0.58016656666906019</v>
      </c>
      <c r="F59" s="3">
        <f t="shared" ca="1" si="0"/>
        <v>0.2466635445847567</v>
      </c>
      <c r="G59" s="3">
        <f t="shared" ca="1" si="1"/>
        <v>1.6129436273312872</v>
      </c>
      <c r="H59" s="2"/>
      <c r="I59" s="2"/>
      <c r="J59" s="2"/>
      <c r="K59" s="2"/>
    </row>
    <row r="60" spans="5:11" x14ac:dyDescent="0.25">
      <c r="E60" s="3">
        <f t="shared" ca="1" si="0"/>
        <v>0.63944365209872256</v>
      </c>
      <c r="F60" s="3">
        <f t="shared" ca="1" si="0"/>
        <v>0.49352397480798793</v>
      </c>
      <c r="G60" s="3">
        <f t="shared" ca="1" si="1"/>
        <v>4.4123896751932623</v>
      </c>
      <c r="H60" s="2"/>
      <c r="I60" s="2"/>
      <c r="J60" s="2"/>
      <c r="K60" s="2"/>
    </row>
    <row r="61" spans="5:11" x14ac:dyDescent="0.25">
      <c r="E61" s="3">
        <f t="shared" ca="1" si="0"/>
        <v>0.19613571487187598</v>
      </c>
      <c r="F61" s="3">
        <f t="shared" ca="1" si="0"/>
        <v>0.51226398561878128</v>
      </c>
      <c r="G61" s="3">
        <f t="shared" ca="1" si="1"/>
        <v>7.9913505745079148</v>
      </c>
      <c r="H61" s="2"/>
      <c r="I61" s="2"/>
      <c r="J61" s="2"/>
      <c r="K61" s="2"/>
    </row>
    <row r="62" spans="5:11" x14ac:dyDescent="0.25">
      <c r="E62" s="3">
        <f t="shared" ca="1" si="0"/>
        <v>9.0862178267111737E-2</v>
      </c>
      <c r="F62" s="3">
        <f t="shared" ca="1" si="0"/>
        <v>0.39027924637980904</v>
      </c>
      <c r="G62" s="3">
        <f t="shared" ca="1" si="1"/>
        <v>9.4336261424751626</v>
      </c>
      <c r="H62" s="2"/>
      <c r="I62" s="2"/>
      <c r="J62" s="2"/>
      <c r="K62" s="2"/>
    </row>
    <row r="63" spans="5:11" x14ac:dyDescent="0.25">
      <c r="E63" s="3">
        <f t="shared" ca="1" si="0"/>
        <v>0.51560346207834951</v>
      </c>
      <c r="F63" s="3">
        <f t="shared" ca="1" si="0"/>
        <v>0.80701093175861549</v>
      </c>
      <c r="G63" s="3">
        <f t="shared" ca="1" si="1"/>
        <v>9.0389689890462357</v>
      </c>
      <c r="H63" s="2"/>
      <c r="I63" s="2"/>
      <c r="J63" s="2"/>
      <c r="K63" s="2"/>
    </row>
    <row r="64" spans="5:11" x14ac:dyDescent="0.25">
      <c r="E64" s="3">
        <f t="shared" ca="1" si="0"/>
        <v>0.46042470302497718</v>
      </c>
      <c r="F64" s="3">
        <f t="shared" ca="1" si="0"/>
        <v>0.57684125465169456</v>
      </c>
      <c r="G64" s="3">
        <f t="shared" ca="1" si="1"/>
        <v>6.0889880041907354</v>
      </c>
      <c r="H64" s="2"/>
      <c r="I64" s="2"/>
      <c r="J64" s="2"/>
      <c r="K64" s="2"/>
    </row>
    <row r="65" spans="5:11" x14ac:dyDescent="0.25">
      <c r="E65" s="3">
        <f t="shared" ca="1" si="0"/>
        <v>0.15240946204107519</v>
      </c>
      <c r="F65" s="3">
        <f t="shared" ca="1" si="0"/>
        <v>0.33009150054584591</v>
      </c>
      <c r="G65" s="3">
        <f t="shared" ca="1" si="1"/>
        <v>7.7132497551570696</v>
      </c>
      <c r="H65" s="2"/>
      <c r="I65" s="2"/>
      <c r="J65" s="2"/>
      <c r="K65" s="2"/>
    </row>
    <row r="66" spans="5:11" x14ac:dyDescent="0.25">
      <c r="E66" s="3">
        <f t="shared" ca="1" si="0"/>
        <v>0.67444228745434864</v>
      </c>
      <c r="F66" s="3">
        <f t="shared" ca="1" si="0"/>
        <v>0.71923866095101141</v>
      </c>
      <c r="G66" s="3">
        <f t="shared" ca="1" si="1"/>
        <v>7.3729188730180448</v>
      </c>
      <c r="H66" s="2"/>
      <c r="I66" s="2"/>
      <c r="J66" s="2"/>
      <c r="K66" s="2"/>
    </row>
    <row r="67" spans="5:11" x14ac:dyDescent="0.25">
      <c r="E67" s="3">
        <f t="shared" ca="1" si="0"/>
        <v>0.6889289273871354</v>
      </c>
      <c r="F67" s="3">
        <f t="shared" ca="1" si="0"/>
        <v>0.69678229720923635</v>
      </c>
      <c r="G67" s="3">
        <f t="shared" ca="1" si="1"/>
        <v>7.0493756571720603</v>
      </c>
      <c r="H67" s="2"/>
      <c r="I67" s="2"/>
      <c r="J67" s="2"/>
      <c r="K67" s="2"/>
    </row>
    <row r="68" spans="5:11" x14ac:dyDescent="0.25">
      <c r="E68" s="3">
        <f t="shared" ref="E68:F131" ca="1" si="2">RAND()</f>
        <v>0.59622267115473859</v>
      </c>
      <c r="F68" s="3">
        <f t="shared" ca="1" si="2"/>
        <v>0.88449739842481523</v>
      </c>
      <c r="G68" s="3">
        <f t="shared" ref="G68:G131" ca="1" si="3">SQRT(_xlfn.NORM.INV(E68,$C$3*COS($C$6),$C$4)^2+_xlfn.NORM.INV(F68,$C$3*SIN($C$6),$C$4)^2)</f>
        <v>10.508709863364064</v>
      </c>
      <c r="H68" s="2"/>
      <c r="I68" s="2"/>
      <c r="J68" s="2"/>
      <c r="K68" s="2"/>
    </row>
    <row r="69" spans="5:11" x14ac:dyDescent="0.25">
      <c r="E69" s="3">
        <f t="shared" ca="1" si="2"/>
        <v>0.79746616121343006</v>
      </c>
      <c r="F69" s="3">
        <f t="shared" ca="1" si="2"/>
        <v>0.19389635515581649</v>
      </c>
      <c r="G69" s="3">
        <f t="shared" ca="1" si="3"/>
        <v>1.9286426490660695</v>
      </c>
      <c r="H69" s="2"/>
      <c r="I69" s="2"/>
      <c r="J69" s="2"/>
      <c r="K69" s="2"/>
    </row>
    <row r="70" spans="5:11" x14ac:dyDescent="0.25">
      <c r="E70" s="3">
        <f t="shared" ca="1" si="2"/>
        <v>0.90912930904179357</v>
      </c>
      <c r="F70" s="3">
        <f t="shared" ca="1" si="2"/>
        <v>0.25115577975365788</v>
      </c>
      <c r="G70" s="3">
        <f t="shared" ca="1" si="3"/>
        <v>4.5748265564622388</v>
      </c>
      <c r="H70" s="2"/>
      <c r="I70" s="2"/>
      <c r="J70" s="2"/>
      <c r="K70" s="2"/>
    </row>
    <row r="71" spans="5:11" x14ac:dyDescent="0.25">
      <c r="E71" s="3">
        <f t="shared" ca="1" si="2"/>
        <v>0.58785745159716507</v>
      </c>
      <c r="F71" s="3">
        <f t="shared" ca="1" si="2"/>
        <v>0.3324286497440706</v>
      </c>
      <c r="G71" s="3">
        <f t="shared" ca="1" si="3"/>
        <v>2.566177483892075</v>
      </c>
      <c r="H71" s="2"/>
      <c r="I71" s="2"/>
      <c r="J71" s="2"/>
      <c r="K71" s="2"/>
    </row>
    <row r="72" spans="5:11" x14ac:dyDescent="0.25">
      <c r="E72" s="3">
        <f t="shared" ca="1" si="2"/>
        <v>0.45935165138345924</v>
      </c>
      <c r="F72" s="3">
        <f t="shared" ca="1" si="2"/>
        <v>0.80351848436538564</v>
      </c>
      <c r="G72" s="3">
        <f t="shared" ca="1" si="3"/>
        <v>9.1638462951538315</v>
      </c>
      <c r="H72" s="2"/>
      <c r="I72" s="2"/>
      <c r="J72" s="2"/>
      <c r="K72" s="2"/>
    </row>
    <row r="73" spans="5:11" x14ac:dyDescent="0.25">
      <c r="E73" s="3">
        <f t="shared" ca="1" si="2"/>
        <v>0.73466380216981819</v>
      </c>
      <c r="F73" s="3">
        <f t="shared" ca="1" si="2"/>
        <v>0.74902479437918068</v>
      </c>
      <c r="G73" s="3">
        <f t="shared" ca="1" si="3"/>
        <v>7.8780542657128567</v>
      </c>
      <c r="H73" s="2"/>
      <c r="I73" s="2"/>
      <c r="J73" s="2"/>
      <c r="K73" s="2"/>
    </row>
    <row r="74" spans="5:11" x14ac:dyDescent="0.25">
      <c r="E74" s="3">
        <f t="shared" ca="1" si="2"/>
        <v>3.6216642623125961E-2</v>
      </c>
      <c r="F74" s="3">
        <f t="shared" ca="1" si="2"/>
        <v>0.73673797925827555</v>
      </c>
      <c r="G74" s="3">
        <f t="shared" ca="1" si="3"/>
        <v>13.57414303559394</v>
      </c>
      <c r="H74" s="2"/>
      <c r="I74" s="2"/>
      <c r="J74" s="2"/>
      <c r="K74" s="2"/>
    </row>
    <row r="75" spans="5:11" x14ac:dyDescent="0.25">
      <c r="E75" s="3">
        <f t="shared" ca="1" si="2"/>
        <v>5.646499200641053E-2</v>
      </c>
      <c r="F75" s="3">
        <f t="shared" ca="1" si="2"/>
        <v>1.0661401182227359E-2</v>
      </c>
      <c r="G75" s="3">
        <f t="shared" ca="1" si="3"/>
        <v>12.366416473704831</v>
      </c>
      <c r="H75" s="2"/>
      <c r="I75" s="2"/>
      <c r="J75" s="2"/>
      <c r="K75" s="2"/>
    </row>
    <row r="76" spans="5:11" x14ac:dyDescent="0.25">
      <c r="E76" s="3">
        <f t="shared" ca="1" si="2"/>
        <v>0.63651845038425281</v>
      </c>
      <c r="F76" s="3">
        <f t="shared" ca="1" si="2"/>
        <v>0.48497649841417723</v>
      </c>
      <c r="G76" s="3">
        <f t="shared" ca="1" si="3"/>
        <v>4.3101113111816023</v>
      </c>
      <c r="H76" s="2"/>
      <c r="I76" s="2"/>
      <c r="J76" s="2"/>
      <c r="K76" s="2"/>
    </row>
    <row r="77" spans="5:11" x14ac:dyDescent="0.25">
      <c r="E77" s="3">
        <f t="shared" ca="1" si="2"/>
        <v>0.61164512264877624</v>
      </c>
      <c r="F77" s="3">
        <f t="shared" ca="1" si="2"/>
        <v>0.38672530836919039</v>
      </c>
      <c r="G77" s="3">
        <f t="shared" ca="1" si="3"/>
        <v>3.1402425564802017</v>
      </c>
      <c r="H77" s="2"/>
      <c r="I77" s="2"/>
      <c r="J77" s="2"/>
      <c r="K77" s="2"/>
    </row>
    <row r="78" spans="5:11" x14ac:dyDescent="0.25">
      <c r="E78" s="3">
        <f t="shared" ca="1" si="2"/>
        <v>0.26320467628771194</v>
      </c>
      <c r="F78" s="3">
        <f t="shared" ca="1" si="2"/>
        <v>0.13753475767296708</v>
      </c>
      <c r="G78" s="3">
        <f t="shared" ca="1" si="3"/>
        <v>5.4972424122931747</v>
      </c>
      <c r="H78" s="2"/>
      <c r="I78" s="2"/>
      <c r="J78" s="2"/>
      <c r="K78" s="2"/>
    </row>
    <row r="79" spans="5:11" x14ac:dyDescent="0.25">
      <c r="E79" s="3">
        <f t="shared" ca="1" si="2"/>
        <v>5.9476154667532644E-2</v>
      </c>
      <c r="F79" s="3">
        <f t="shared" ca="1" si="2"/>
        <v>0.95208997285276675</v>
      </c>
      <c r="G79" s="3">
        <f t="shared" ca="1" si="3"/>
        <v>16.263406186290943</v>
      </c>
      <c r="H79" s="2"/>
      <c r="I79" s="2"/>
      <c r="J79" s="2"/>
      <c r="K79" s="2"/>
    </row>
    <row r="80" spans="5:11" x14ac:dyDescent="0.25">
      <c r="E80" s="3">
        <f t="shared" ca="1" si="2"/>
        <v>0.81931916243003033</v>
      </c>
      <c r="F80" s="3">
        <f t="shared" ca="1" si="2"/>
        <v>0.81959846202128184</v>
      </c>
      <c r="G80" s="3">
        <f t="shared" ca="1" si="3"/>
        <v>9.3330120938891277</v>
      </c>
      <c r="H80" s="2"/>
      <c r="I80" s="2"/>
      <c r="J80" s="2"/>
      <c r="K80" s="2"/>
    </row>
    <row r="81" spans="5:11" x14ac:dyDescent="0.25">
      <c r="E81" s="3">
        <f t="shared" ca="1" si="2"/>
        <v>9.3023112380602124E-2</v>
      </c>
      <c r="F81" s="3">
        <f t="shared" ca="1" si="2"/>
        <v>9.1957036934853686E-2</v>
      </c>
      <c r="G81" s="3">
        <f t="shared" ca="1" si="3"/>
        <v>9.1152494947592846</v>
      </c>
      <c r="H81" s="2"/>
      <c r="I81" s="2"/>
      <c r="J81" s="2"/>
      <c r="K81" s="2"/>
    </row>
    <row r="82" spans="5:11" x14ac:dyDescent="0.25">
      <c r="E82" s="3">
        <f t="shared" ca="1" si="2"/>
        <v>0.34762312344117741</v>
      </c>
      <c r="F82" s="3">
        <f t="shared" ca="1" si="2"/>
        <v>0.13741248086045188</v>
      </c>
      <c r="G82" s="3">
        <f t="shared" ca="1" si="3"/>
        <v>4.3142463116951957</v>
      </c>
      <c r="H82" s="2"/>
      <c r="I82" s="2"/>
      <c r="J82" s="2"/>
      <c r="K82" s="2"/>
    </row>
    <row r="83" spans="5:11" x14ac:dyDescent="0.25">
      <c r="E83" s="3">
        <f t="shared" ca="1" si="2"/>
        <v>0.97998531213541229</v>
      </c>
      <c r="F83" s="3">
        <f t="shared" ca="1" si="2"/>
        <v>0.44030349226166865</v>
      </c>
      <c r="G83" s="3">
        <f t="shared" ca="1" si="3"/>
        <v>8.8465433144214849</v>
      </c>
      <c r="H83" s="2"/>
      <c r="I83" s="2"/>
      <c r="J83" s="2"/>
      <c r="K83" s="2"/>
    </row>
    <row r="84" spans="5:11" x14ac:dyDescent="0.25">
      <c r="E84" s="3">
        <f t="shared" ca="1" si="2"/>
        <v>0.36966933162792259</v>
      </c>
      <c r="F84" s="3">
        <f t="shared" ca="1" si="2"/>
        <v>0.48994482916407744</v>
      </c>
      <c r="G84" s="3">
        <f t="shared" ca="1" si="3"/>
        <v>5.8404798177484851</v>
      </c>
      <c r="H84" s="2"/>
      <c r="I84" s="2"/>
      <c r="J84" s="2"/>
      <c r="K84" s="2"/>
    </row>
    <row r="85" spans="5:11" x14ac:dyDescent="0.25">
      <c r="E85" s="3">
        <f t="shared" ca="1" si="2"/>
        <v>0.73926818299075803</v>
      </c>
      <c r="F85" s="3">
        <f t="shared" ca="1" si="2"/>
        <v>0.52727231722467605</v>
      </c>
      <c r="G85" s="3">
        <f t="shared" ca="1" si="3"/>
        <v>4.9078805871398767</v>
      </c>
      <c r="H85" s="2"/>
      <c r="I85" s="2"/>
      <c r="J85" s="2"/>
      <c r="K85" s="2"/>
    </row>
    <row r="86" spans="5:11" x14ac:dyDescent="0.25">
      <c r="E86" s="3">
        <f t="shared" ca="1" si="2"/>
        <v>0.21747361436109358</v>
      </c>
      <c r="F86" s="3">
        <f t="shared" ca="1" si="2"/>
        <v>0.68306732268020298</v>
      </c>
      <c r="G86" s="3">
        <f t="shared" ca="1" si="3"/>
        <v>9.2028692113377257</v>
      </c>
      <c r="H86" s="2"/>
      <c r="I86" s="2"/>
      <c r="J86" s="2"/>
      <c r="K86" s="2"/>
    </row>
    <row r="87" spans="5:11" x14ac:dyDescent="0.25">
      <c r="E87" s="3">
        <f t="shared" ca="1" si="2"/>
        <v>6.550537491274333E-2</v>
      </c>
      <c r="F87" s="3">
        <f t="shared" ca="1" si="2"/>
        <v>0.26082699281800126</v>
      </c>
      <c r="G87" s="3">
        <f t="shared" ca="1" si="3"/>
        <v>9.8725166799911861</v>
      </c>
      <c r="H87" s="2"/>
      <c r="I87" s="2"/>
      <c r="J87" s="2"/>
      <c r="K87" s="2"/>
    </row>
    <row r="88" spans="5:11" x14ac:dyDescent="0.25">
      <c r="E88" s="3">
        <f t="shared" ca="1" si="2"/>
        <v>0.94051867210141038</v>
      </c>
      <c r="F88" s="3">
        <f t="shared" ca="1" si="2"/>
        <v>0.6246239453362632</v>
      </c>
      <c r="G88" s="3">
        <f t="shared" ca="1" si="3"/>
        <v>8.2197268570513238</v>
      </c>
      <c r="H88" s="2"/>
      <c r="I88" s="2"/>
      <c r="J88" s="2"/>
      <c r="K88" s="2"/>
    </row>
    <row r="89" spans="5:11" x14ac:dyDescent="0.25">
      <c r="E89" s="3">
        <f t="shared" ca="1" si="2"/>
        <v>0.77995915582979147</v>
      </c>
      <c r="F89" s="3">
        <f t="shared" ca="1" si="2"/>
        <v>0.50305110437403489</v>
      </c>
      <c r="G89" s="3">
        <f t="shared" ca="1" si="3"/>
        <v>4.7904261897307645</v>
      </c>
      <c r="H89" s="2"/>
      <c r="I89" s="2"/>
      <c r="J89" s="2"/>
      <c r="K89" s="2"/>
    </row>
    <row r="90" spans="5:11" x14ac:dyDescent="0.25">
      <c r="E90" s="3">
        <f t="shared" ca="1" si="2"/>
        <v>0.69904176738808077</v>
      </c>
      <c r="F90" s="3">
        <f t="shared" ca="1" si="2"/>
        <v>0.67473463865517569</v>
      </c>
      <c r="G90" s="3">
        <f t="shared" ca="1" si="3"/>
        <v>6.745147141290202</v>
      </c>
      <c r="H90" s="2"/>
      <c r="I90" s="2"/>
      <c r="J90" s="2"/>
      <c r="K90" s="2"/>
    </row>
    <row r="91" spans="5:11" x14ac:dyDescent="0.25">
      <c r="E91" s="3">
        <f t="shared" ca="1" si="2"/>
        <v>0.40364169420095986</v>
      </c>
      <c r="F91" s="3">
        <f t="shared" ca="1" si="2"/>
        <v>0.74049021359190603</v>
      </c>
      <c r="G91" s="3">
        <f t="shared" ca="1" si="3"/>
        <v>8.4364446090503407</v>
      </c>
      <c r="H91" s="2"/>
      <c r="I91" s="2"/>
      <c r="J91" s="2"/>
      <c r="K91" s="2"/>
    </row>
    <row r="92" spans="5:11" x14ac:dyDescent="0.25">
      <c r="E92" s="3">
        <f t="shared" ca="1" si="2"/>
        <v>0.8915192500211031</v>
      </c>
      <c r="F92" s="3">
        <f t="shared" ca="1" si="2"/>
        <v>0.87579258875885313</v>
      </c>
      <c r="G92" s="3">
        <f t="shared" ca="1" si="3"/>
        <v>10.970235378000092</v>
      </c>
      <c r="H92" s="2"/>
      <c r="I92" s="2"/>
      <c r="J92" s="2"/>
      <c r="K92" s="2"/>
    </row>
    <row r="93" spans="5:11" x14ac:dyDescent="0.25">
      <c r="E93" s="3">
        <f t="shared" ca="1" si="2"/>
        <v>0.66138080776441543</v>
      </c>
      <c r="F93" s="3">
        <f t="shared" ca="1" si="2"/>
        <v>0.47160627204066863</v>
      </c>
      <c r="G93" s="3">
        <f t="shared" ca="1" si="3"/>
        <v>4.1168988336922894</v>
      </c>
      <c r="H93" s="2"/>
      <c r="I93" s="2"/>
      <c r="J93" s="2"/>
      <c r="K93" s="2"/>
    </row>
    <row r="94" spans="5:11" x14ac:dyDescent="0.25">
      <c r="E94" s="3">
        <f t="shared" ca="1" si="2"/>
        <v>0.35139541306102462</v>
      </c>
      <c r="F94" s="3">
        <f t="shared" ca="1" si="2"/>
        <v>4.7664953455767933E-2</v>
      </c>
      <c r="G94" s="3">
        <f t="shared" ca="1" si="3"/>
        <v>5.6728645226816736</v>
      </c>
      <c r="H94" s="2"/>
      <c r="I94" s="2"/>
      <c r="J94" s="2"/>
      <c r="K94" s="2"/>
    </row>
    <row r="95" spans="5:11" x14ac:dyDescent="0.25">
      <c r="E95" s="3">
        <f t="shared" ca="1" si="2"/>
        <v>0.56450526416603508</v>
      </c>
      <c r="F95" s="3">
        <f t="shared" ca="1" si="2"/>
        <v>0.74746972942944334</v>
      </c>
      <c r="G95" s="3">
        <f t="shared" ca="1" si="3"/>
        <v>7.9323857843184422</v>
      </c>
      <c r="H95" s="2"/>
      <c r="I95" s="2"/>
      <c r="J95" s="2"/>
      <c r="K95" s="2"/>
    </row>
    <row r="96" spans="5:11" x14ac:dyDescent="0.25">
      <c r="E96" s="3">
        <f t="shared" ca="1" si="2"/>
        <v>0.52411069738784288</v>
      </c>
      <c r="F96" s="3">
        <f t="shared" ca="1" si="2"/>
        <v>0.31003798629354984</v>
      </c>
      <c r="G96" s="3">
        <f t="shared" ca="1" si="3"/>
        <v>2.7786695081784791</v>
      </c>
      <c r="H96" s="2"/>
      <c r="I96" s="2"/>
      <c r="J96" s="2"/>
      <c r="K96" s="2"/>
    </row>
    <row r="97" spans="5:11" x14ac:dyDescent="0.25">
      <c r="E97" s="3">
        <f t="shared" ca="1" si="2"/>
        <v>0.43093435051931894</v>
      </c>
      <c r="F97" s="3">
        <f t="shared" ca="1" si="2"/>
        <v>0.66303905134651109</v>
      </c>
      <c r="G97" s="3">
        <f t="shared" ca="1" si="3"/>
        <v>7.2725269876071117</v>
      </c>
      <c r="H97" s="2"/>
      <c r="I97" s="2"/>
      <c r="J97" s="2"/>
      <c r="K97" s="2"/>
    </row>
    <row r="98" spans="5:11" x14ac:dyDescent="0.25">
      <c r="E98" s="3">
        <f t="shared" ca="1" si="2"/>
        <v>0.5028871386638496</v>
      </c>
      <c r="F98" s="3">
        <f t="shared" ca="1" si="2"/>
        <v>0.35658730872838218</v>
      </c>
      <c r="G98" s="3">
        <f t="shared" ca="1" si="3"/>
        <v>3.4330551573613914</v>
      </c>
      <c r="H98" s="2"/>
      <c r="I98" s="2"/>
      <c r="J98" s="2"/>
      <c r="K98" s="2"/>
    </row>
    <row r="99" spans="5:11" x14ac:dyDescent="0.25">
      <c r="E99" s="3">
        <f t="shared" ca="1" si="2"/>
        <v>0.58227469849486102</v>
      </c>
      <c r="F99" s="3">
        <f t="shared" ca="1" si="2"/>
        <v>0.16277033787711215</v>
      </c>
      <c r="G99" s="3">
        <f t="shared" ca="1" si="3"/>
        <v>1.2817709410353646</v>
      </c>
      <c r="H99" s="2"/>
      <c r="I99" s="2"/>
      <c r="J99" s="2"/>
      <c r="K99" s="2"/>
    </row>
    <row r="100" spans="5:11" x14ac:dyDescent="0.25">
      <c r="E100" s="3">
        <f t="shared" ca="1" si="2"/>
        <v>0.94669974210129848</v>
      </c>
      <c r="F100" s="3">
        <f t="shared" ca="1" si="2"/>
        <v>5.6055874093323244E-2</v>
      </c>
      <c r="G100" s="3">
        <f t="shared" ca="1" si="3"/>
        <v>6.7847484675928813</v>
      </c>
      <c r="H100" s="2"/>
      <c r="I100" s="2"/>
      <c r="J100" s="2"/>
      <c r="K100" s="2"/>
    </row>
    <row r="101" spans="5:11" x14ac:dyDescent="0.25">
      <c r="E101" s="3">
        <f t="shared" ca="1" si="2"/>
        <v>0.61996918772268006</v>
      </c>
      <c r="F101" s="3">
        <f t="shared" ca="1" si="2"/>
        <v>0.83821668350507905</v>
      </c>
      <c r="G101" s="3">
        <f t="shared" ca="1" si="3"/>
        <v>9.4327720948639815</v>
      </c>
      <c r="H101" s="2"/>
      <c r="I101" s="2"/>
      <c r="J101" s="2"/>
      <c r="K101" s="2"/>
    </row>
    <row r="102" spans="5:11" x14ac:dyDescent="0.25">
      <c r="E102" s="3">
        <f t="shared" ca="1" si="2"/>
        <v>0.24467964865628322</v>
      </c>
      <c r="F102" s="3">
        <f t="shared" ca="1" si="2"/>
        <v>0.37150785635232098</v>
      </c>
      <c r="G102" s="3">
        <f t="shared" ca="1" si="3"/>
        <v>6.3614946675592128</v>
      </c>
      <c r="H102" s="2"/>
      <c r="I102" s="2"/>
      <c r="J102" s="2"/>
      <c r="K102" s="2"/>
    </row>
    <row r="103" spans="5:11" x14ac:dyDescent="0.25">
      <c r="E103" s="3">
        <f t="shared" ca="1" si="2"/>
        <v>0.51070007028730569</v>
      </c>
      <c r="F103" s="3">
        <f t="shared" ca="1" si="2"/>
        <v>0.64283251464130375</v>
      </c>
      <c r="G103" s="3">
        <f t="shared" ca="1" si="3"/>
        <v>6.6429365420968454</v>
      </c>
      <c r="H103" s="2"/>
      <c r="I103" s="2"/>
      <c r="J103" s="2"/>
      <c r="K103" s="2"/>
    </row>
    <row r="104" spans="5:11" x14ac:dyDescent="0.25">
      <c r="E104" s="3">
        <f t="shared" ca="1" si="2"/>
        <v>0.93215280484716279</v>
      </c>
      <c r="F104" s="3">
        <f t="shared" ca="1" si="2"/>
        <v>0.55737102588549869</v>
      </c>
      <c r="G104" s="3">
        <f t="shared" ca="1" si="3"/>
        <v>7.3618865346396909</v>
      </c>
      <c r="H104" s="2"/>
      <c r="I104" s="2"/>
      <c r="J104" s="2"/>
      <c r="K104" s="2"/>
    </row>
    <row r="105" spans="5:11" x14ac:dyDescent="0.25">
      <c r="E105" s="3">
        <f t="shared" ca="1" si="2"/>
        <v>0.66672759579996821</v>
      </c>
      <c r="F105" s="3">
        <f t="shared" ca="1" si="2"/>
        <v>0.71207318202398151</v>
      </c>
      <c r="G105" s="3">
        <f t="shared" ca="1" si="3"/>
        <v>7.2677483024172398</v>
      </c>
      <c r="H105" s="2"/>
      <c r="I105" s="2"/>
      <c r="J105" s="2"/>
      <c r="K105" s="2"/>
    </row>
    <row r="106" spans="5:11" x14ac:dyDescent="0.25">
      <c r="E106" s="3">
        <f t="shared" ca="1" si="2"/>
        <v>0.54257636092314521</v>
      </c>
      <c r="F106" s="3">
        <f t="shared" ca="1" si="2"/>
        <v>0.61672706761043383</v>
      </c>
      <c r="G106" s="3">
        <f t="shared" ca="1" si="3"/>
        <v>6.193962428180912</v>
      </c>
      <c r="H106" s="2"/>
      <c r="I106" s="2"/>
      <c r="J106" s="2"/>
      <c r="K106" s="2"/>
    </row>
    <row r="107" spans="5:11" x14ac:dyDescent="0.25">
      <c r="E107" s="3">
        <f t="shared" ca="1" si="2"/>
        <v>0.36988793976335965</v>
      </c>
      <c r="F107" s="3">
        <f t="shared" ca="1" si="2"/>
        <v>0.47855260004629507</v>
      </c>
      <c r="G107" s="3">
        <f t="shared" ca="1" si="3"/>
        <v>5.7330230125034438</v>
      </c>
      <c r="H107" s="2"/>
      <c r="I107" s="2"/>
      <c r="J107" s="2"/>
      <c r="K107" s="2"/>
    </row>
    <row r="108" spans="5:11" x14ac:dyDescent="0.25">
      <c r="E108" s="3">
        <f t="shared" ca="1" si="2"/>
        <v>2.8197424606796528E-2</v>
      </c>
      <c r="F108" s="3">
        <f t="shared" ca="1" si="2"/>
        <v>0.89638900837722368</v>
      </c>
      <c r="G108" s="3">
        <f t="shared" ca="1" si="3"/>
        <v>15.965588304347936</v>
      </c>
      <c r="H108" s="2"/>
      <c r="I108" s="2"/>
      <c r="J108" s="2"/>
      <c r="K108" s="2"/>
    </row>
    <row r="109" spans="5:11" x14ac:dyDescent="0.25">
      <c r="E109" s="3">
        <f t="shared" ca="1" si="2"/>
        <v>0.29617478775548622</v>
      </c>
      <c r="F109" s="3">
        <f t="shared" ca="1" si="2"/>
        <v>0.3196342084274062</v>
      </c>
      <c r="G109" s="3">
        <f t="shared" ca="1" si="3"/>
        <v>5.3575797561793204</v>
      </c>
      <c r="H109" s="2"/>
      <c r="I109" s="2"/>
      <c r="J109" s="2"/>
      <c r="K109" s="2"/>
    </row>
    <row r="110" spans="5:11" x14ac:dyDescent="0.25">
      <c r="E110" s="3">
        <f t="shared" ca="1" si="2"/>
        <v>5.861255677450683E-2</v>
      </c>
      <c r="F110" s="3">
        <f t="shared" ca="1" si="2"/>
        <v>0.40657810860023313</v>
      </c>
      <c r="G110" s="3">
        <f t="shared" ca="1" si="3"/>
        <v>10.596119101470657</v>
      </c>
      <c r="H110" s="2"/>
      <c r="I110" s="2"/>
      <c r="J110" s="2"/>
      <c r="K110" s="2"/>
    </row>
    <row r="111" spans="5:11" x14ac:dyDescent="0.25">
      <c r="E111" s="3">
        <f t="shared" ca="1" si="2"/>
        <v>0.50639384670869936</v>
      </c>
      <c r="F111" s="3">
        <f t="shared" ca="1" si="2"/>
        <v>0.4922544596302062</v>
      </c>
      <c r="G111" s="3">
        <f t="shared" ca="1" si="3"/>
        <v>4.8773822576382218</v>
      </c>
      <c r="H111" s="2"/>
      <c r="I111" s="2"/>
      <c r="J111" s="2"/>
      <c r="K111" s="2"/>
    </row>
    <row r="112" spans="5:11" x14ac:dyDescent="0.25">
      <c r="E112" s="3">
        <f t="shared" ca="1" si="2"/>
        <v>1.7564593871930545E-2</v>
      </c>
      <c r="F112" s="3">
        <f t="shared" ca="1" si="2"/>
        <v>0.28039464486711674</v>
      </c>
      <c r="G112" s="3">
        <f t="shared" ca="1" si="3"/>
        <v>12.869795247908236</v>
      </c>
      <c r="H112" s="2"/>
      <c r="I112" s="2"/>
      <c r="J112" s="2"/>
      <c r="K112" s="2"/>
    </row>
    <row r="113" spans="5:11" x14ac:dyDescent="0.25">
      <c r="E113" s="3">
        <f t="shared" ca="1" si="2"/>
        <v>0.51190495473135078</v>
      </c>
      <c r="F113" s="3">
        <f t="shared" ca="1" si="2"/>
        <v>0.12760149672926968</v>
      </c>
      <c r="G113" s="3">
        <f t="shared" ca="1" si="3"/>
        <v>2.4205155207702584</v>
      </c>
      <c r="H113" s="2"/>
      <c r="I113" s="2"/>
      <c r="J113" s="2"/>
      <c r="K113" s="2"/>
    </row>
    <row r="114" spans="5:11" x14ac:dyDescent="0.25">
      <c r="E114" s="3">
        <f t="shared" ca="1" si="2"/>
        <v>0.61214805479205259</v>
      </c>
      <c r="F114" s="3">
        <f t="shared" ca="1" si="2"/>
        <v>0.12382206050663913</v>
      </c>
      <c r="G114" s="3">
        <f t="shared" ca="1" si="3"/>
        <v>1.543629252073107</v>
      </c>
      <c r="H114" s="2"/>
      <c r="I114" s="2"/>
      <c r="J114" s="2"/>
      <c r="K114" s="2"/>
    </row>
    <row r="115" spans="5:11" x14ac:dyDescent="0.25">
      <c r="E115" s="3">
        <f t="shared" ca="1" si="2"/>
        <v>0.12582963675667036</v>
      </c>
      <c r="F115" s="3">
        <f t="shared" ca="1" si="2"/>
        <v>0.85324807939482283</v>
      </c>
      <c r="G115" s="3">
        <f t="shared" ca="1" si="3"/>
        <v>12.572841403448715</v>
      </c>
      <c r="H115" s="2"/>
      <c r="I115" s="2"/>
      <c r="J115" s="2"/>
      <c r="K115" s="2"/>
    </row>
    <row r="116" spans="5:11" x14ac:dyDescent="0.25">
      <c r="E116" s="3">
        <f t="shared" ca="1" si="2"/>
        <v>0.67357582400651583</v>
      </c>
      <c r="F116" s="3">
        <f t="shared" ca="1" si="2"/>
        <v>0.30671310898300219</v>
      </c>
      <c r="G116" s="3">
        <f t="shared" ca="1" si="3"/>
        <v>1.9440585476839751</v>
      </c>
      <c r="H116" s="2"/>
      <c r="I116" s="2"/>
      <c r="J116" s="2"/>
      <c r="K116" s="2"/>
    </row>
    <row r="117" spans="5:11" x14ac:dyDescent="0.25">
      <c r="E117" s="3">
        <f t="shared" ca="1" si="2"/>
        <v>0.88452297810588798</v>
      </c>
      <c r="F117" s="3">
        <f t="shared" ca="1" si="2"/>
        <v>2.3326556170684243E-2</v>
      </c>
      <c r="G117" s="3">
        <f t="shared" ca="1" si="3"/>
        <v>6.6374581531638013</v>
      </c>
      <c r="H117" s="2"/>
      <c r="I117" s="2"/>
      <c r="J117" s="2"/>
      <c r="K117" s="2"/>
    </row>
    <row r="118" spans="5:11" x14ac:dyDescent="0.25">
      <c r="E118" s="3">
        <f t="shared" ca="1" si="2"/>
        <v>0.11216959058042442</v>
      </c>
      <c r="F118" s="3">
        <f t="shared" ca="1" si="2"/>
        <v>7.8046414980958989E-2</v>
      </c>
      <c r="G118" s="3">
        <f t="shared" ca="1" si="3"/>
        <v>8.7192026421326005</v>
      </c>
      <c r="H118" s="2"/>
      <c r="I118" s="2"/>
      <c r="J118" s="2"/>
      <c r="K118" s="2"/>
    </row>
    <row r="119" spans="5:11" x14ac:dyDescent="0.25">
      <c r="E119" s="3">
        <f t="shared" ca="1" si="2"/>
        <v>0.66167888085524595</v>
      </c>
      <c r="F119" s="3">
        <f t="shared" ca="1" si="2"/>
        <v>0.36132566178988401</v>
      </c>
      <c r="G119" s="3">
        <f t="shared" ca="1" si="3"/>
        <v>2.6998552588725988</v>
      </c>
      <c r="H119" s="2"/>
      <c r="I119" s="2"/>
      <c r="J119" s="2"/>
      <c r="K119" s="2"/>
    </row>
    <row r="120" spans="5:11" x14ac:dyDescent="0.25">
      <c r="E120" s="3">
        <f t="shared" ca="1" si="2"/>
        <v>0.63965843450393933</v>
      </c>
      <c r="F120" s="3">
        <f t="shared" ca="1" si="2"/>
        <v>0.86556935635726928</v>
      </c>
      <c r="G120" s="3">
        <f t="shared" ca="1" si="3"/>
        <v>10.008667204651626</v>
      </c>
      <c r="H120" s="2"/>
      <c r="I120" s="2"/>
      <c r="J120" s="2"/>
      <c r="K120" s="2"/>
    </row>
    <row r="121" spans="5:11" x14ac:dyDescent="0.25">
      <c r="E121" s="3">
        <f t="shared" ca="1" si="2"/>
        <v>0.73934841487043568</v>
      </c>
      <c r="F121" s="3">
        <f t="shared" ca="1" si="2"/>
        <v>0.30096852435505739</v>
      </c>
      <c r="G121" s="3">
        <f t="shared" ca="1" si="3"/>
        <v>2.0977233088612963</v>
      </c>
      <c r="H121" s="2"/>
      <c r="I121" s="2"/>
      <c r="J121" s="2"/>
      <c r="K121" s="2"/>
    </row>
    <row r="122" spans="5:11" x14ac:dyDescent="0.25">
      <c r="E122" s="3">
        <f t="shared" ca="1" si="2"/>
        <v>2.4452049555398703E-2</v>
      </c>
      <c r="F122" s="3">
        <f t="shared" ca="1" si="2"/>
        <v>0.88652527850809737</v>
      </c>
      <c r="G122" s="3">
        <f t="shared" ca="1" si="3"/>
        <v>16.018557707881278</v>
      </c>
      <c r="H122" s="2"/>
      <c r="I122" s="2"/>
      <c r="J122" s="2"/>
      <c r="K122" s="2"/>
    </row>
    <row r="123" spans="5:11" x14ac:dyDescent="0.25">
      <c r="E123" s="3">
        <f t="shared" ca="1" si="2"/>
        <v>1.3853933949734776E-2</v>
      </c>
      <c r="F123" s="3">
        <f t="shared" ca="1" si="2"/>
        <v>0.21878311322681898</v>
      </c>
      <c r="G123" s="3">
        <f t="shared" ca="1" si="3"/>
        <v>13.260419998247654</v>
      </c>
      <c r="H123" s="2"/>
      <c r="I123" s="2"/>
      <c r="J123" s="2"/>
      <c r="K123" s="2"/>
    </row>
    <row r="124" spans="5:11" x14ac:dyDescent="0.25">
      <c r="E124" s="3">
        <f t="shared" ca="1" si="2"/>
        <v>0.14774077074642278</v>
      </c>
      <c r="F124" s="3">
        <f t="shared" ca="1" si="2"/>
        <v>0.62184943365377843</v>
      </c>
      <c r="G124" s="3">
        <f t="shared" ca="1" si="3"/>
        <v>9.5958342332776674</v>
      </c>
      <c r="H124" s="2"/>
      <c r="I124" s="2"/>
      <c r="J124" s="2"/>
      <c r="K124" s="2"/>
    </row>
    <row r="125" spans="5:11" x14ac:dyDescent="0.25">
      <c r="E125" s="3">
        <f t="shared" ca="1" si="2"/>
        <v>7.3920549804292635E-2</v>
      </c>
      <c r="F125" s="3">
        <f t="shared" ca="1" si="2"/>
        <v>0.84902247114839624</v>
      </c>
      <c r="G125" s="3">
        <f t="shared" ca="1" si="3"/>
        <v>13.511555683931665</v>
      </c>
      <c r="H125" s="2"/>
      <c r="I125" s="2"/>
      <c r="J125" s="2"/>
      <c r="K125" s="2"/>
    </row>
    <row r="126" spans="5:11" x14ac:dyDescent="0.25">
      <c r="E126" s="3">
        <f t="shared" ca="1" si="2"/>
        <v>0.68737038271856377</v>
      </c>
      <c r="F126" s="3">
        <f t="shared" ca="1" si="2"/>
        <v>0.50470437971030391</v>
      </c>
      <c r="G126" s="3">
        <f t="shared" ca="1" si="3"/>
        <v>4.5334338129307197</v>
      </c>
      <c r="H126" s="2"/>
      <c r="I126" s="2"/>
      <c r="J126" s="2"/>
      <c r="K126" s="2"/>
    </row>
    <row r="127" spans="5:11" x14ac:dyDescent="0.25">
      <c r="E127" s="3">
        <f t="shared" ca="1" si="2"/>
        <v>0.40697425792407305</v>
      </c>
      <c r="F127" s="3">
        <f t="shared" ca="1" si="2"/>
        <v>0.23099936341114247</v>
      </c>
      <c r="G127" s="3">
        <f t="shared" ca="1" si="3"/>
        <v>3.507670182957356</v>
      </c>
      <c r="H127" s="2"/>
      <c r="I127" s="2"/>
      <c r="J127" s="2"/>
      <c r="K127" s="2"/>
    </row>
    <row r="128" spans="5:11" x14ac:dyDescent="0.25">
      <c r="E128" s="3">
        <f t="shared" ca="1" si="2"/>
        <v>0.58870560504965019</v>
      </c>
      <c r="F128" s="3">
        <f t="shared" ca="1" si="2"/>
        <v>0.62297872318401915</v>
      </c>
      <c r="G128" s="3">
        <f t="shared" ca="1" si="3"/>
        <v>6.1394413836657984</v>
      </c>
      <c r="H128" s="2"/>
      <c r="I128" s="2"/>
      <c r="J128" s="2"/>
      <c r="K128" s="2"/>
    </row>
    <row r="129" spans="5:11" x14ac:dyDescent="0.25">
      <c r="E129" s="3">
        <f t="shared" ca="1" si="2"/>
        <v>0.94876352029088773</v>
      </c>
      <c r="F129" s="3">
        <f t="shared" ca="1" si="2"/>
        <v>0.11519193558313123</v>
      </c>
      <c r="G129" s="3">
        <f t="shared" ca="1" si="3"/>
        <v>6.1181270211195002</v>
      </c>
      <c r="H129" s="2"/>
      <c r="I129" s="2"/>
      <c r="J129" s="2"/>
      <c r="K129" s="2"/>
    </row>
    <row r="130" spans="5:11" x14ac:dyDescent="0.25">
      <c r="E130" s="3">
        <f t="shared" ca="1" si="2"/>
        <v>0.33522531668784505</v>
      </c>
      <c r="F130" s="3">
        <f t="shared" ca="1" si="2"/>
        <v>0.34706944365163672</v>
      </c>
      <c r="G130" s="3">
        <f t="shared" ca="1" si="3"/>
        <v>5.0347177677365922</v>
      </c>
      <c r="H130" s="2"/>
      <c r="I130" s="2"/>
      <c r="J130" s="2"/>
      <c r="K130" s="2"/>
    </row>
    <row r="131" spans="5:11" x14ac:dyDescent="0.25">
      <c r="E131" s="3">
        <f t="shared" ca="1" si="2"/>
        <v>0.71749158060929585</v>
      </c>
      <c r="F131" s="3">
        <f t="shared" ca="1" si="2"/>
        <v>0.40495559054446817</v>
      </c>
      <c r="G131" s="3">
        <f t="shared" ca="1" si="3"/>
        <v>3.3287321495310516</v>
      </c>
      <c r="H131" s="2"/>
      <c r="I131" s="2"/>
      <c r="J131" s="2"/>
      <c r="K131" s="2"/>
    </row>
    <row r="132" spans="5:11" x14ac:dyDescent="0.25">
      <c r="E132" s="3">
        <f t="shared" ref="E132:F195" ca="1" si="4">RAND()</f>
        <v>0.83197420911085473</v>
      </c>
      <c r="F132" s="3">
        <f t="shared" ca="1" si="4"/>
        <v>0.3387994269899669</v>
      </c>
      <c r="G132" s="3">
        <f t="shared" ref="G132:G195" ca="1" si="5">SQRT(_xlfn.NORM.INV(E132,$C$3*COS($C$6),$C$4)^2+_xlfn.NORM.INV(F132,$C$3*SIN($C$6),$C$4)^2)</f>
        <v>3.5101419815011869</v>
      </c>
      <c r="H132" s="2"/>
      <c r="I132" s="2"/>
      <c r="J132" s="2"/>
      <c r="K132" s="2"/>
    </row>
    <row r="133" spans="5:11" x14ac:dyDescent="0.25">
      <c r="E133" s="3">
        <f t="shared" ca="1" si="4"/>
        <v>7.8806576824318464E-2</v>
      </c>
      <c r="F133" s="3">
        <f t="shared" ca="1" si="4"/>
        <v>0.21340409691542683</v>
      </c>
      <c r="G133" s="3">
        <f t="shared" ca="1" si="5"/>
        <v>9.3193356717912987</v>
      </c>
      <c r="H133" s="2"/>
      <c r="I133" s="2"/>
      <c r="J133" s="2"/>
      <c r="K133" s="2"/>
    </row>
    <row r="134" spans="5:11" x14ac:dyDescent="0.25">
      <c r="E134" s="3">
        <f t="shared" ca="1" si="4"/>
        <v>6.4599719734495964E-2</v>
      </c>
      <c r="F134" s="3">
        <f t="shared" ca="1" si="4"/>
        <v>0.85994651439895198</v>
      </c>
      <c r="G134" s="3">
        <f t="shared" ca="1" si="5"/>
        <v>13.927972174232369</v>
      </c>
      <c r="H134" s="2"/>
      <c r="I134" s="2"/>
      <c r="J134" s="2"/>
      <c r="K134" s="2"/>
    </row>
    <row r="135" spans="5:11" x14ac:dyDescent="0.25">
      <c r="E135" s="3">
        <f t="shared" ca="1" si="4"/>
        <v>0.86444243481853356</v>
      </c>
      <c r="F135" s="3">
        <f t="shared" ca="1" si="4"/>
        <v>0.32206974499994689</v>
      </c>
      <c r="G135" s="3">
        <f t="shared" ca="1" si="5"/>
        <v>3.9126365566078243</v>
      </c>
      <c r="H135" s="2"/>
      <c r="I135" s="2"/>
      <c r="J135" s="2"/>
      <c r="K135" s="2"/>
    </row>
    <row r="136" spans="5:11" x14ac:dyDescent="0.25">
      <c r="E136" s="3">
        <f t="shared" ca="1" si="4"/>
        <v>0.43779335890357529</v>
      </c>
      <c r="F136" s="3">
        <f t="shared" ca="1" si="4"/>
        <v>0.38925329267899189</v>
      </c>
      <c r="G136" s="3">
        <f t="shared" ca="1" si="5"/>
        <v>4.3041506987026645</v>
      </c>
      <c r="H136" s="2"/>
      <c r="I136" s="2"/>
      <c r="J136" s="2"/>
      <c r="K136" s="2"/>
    </row>
    <row r="137" spans="5:11" x14ac:dyDescent="0.25">
      <c r="E137" s="3">
        <f t="shared" ca="1" si="4"/>
        <v>0.94774061406204202</v>
      </c>
      <c r="F137" s="3">
        <f t="shared" ca="1" si="4"/>
        <v>0.31152380466224272</v>
      </c>
      <c r="G137" s="3">
        <f t="shared" ca="1" si="5"/>
        <v>6.2112872708911917</v>
      </c>
      <c r="H137" s="2"/>
      <c r="I137" s="2"/>
      <c r="J137" s="2"/>
      <c r="K137" s="2"/>
    </row>
    <row r="138" spans="5:11" x14ac:dyDescent="0.25">
      <c r="E138" s="3">
        <f t="shared" ca="1" si="4"/>
        <v>0.50841469724559352</v>
      </c>
      <c r="F138" s="3">
        <f t="shared" ca="1" si="4"/>
        <v>0.5196769517231723</v>
      </c>
      <c r="G138" s="3">
        <f t="shared" ca="1" si="5"/>
        <v>5.1773567133051035</v>
      </c>
      <c r="H138" s="2"/>
      <c r="I138" s="2"/>
      <c r="J138" s="2"/>
      <c r="K138" s="2"/>
    </row>
    <row r="139" spans="5:11" x14ac:dyDescent="0.25">
      <c r="E139" s="3">
        <f t="shared" ca="1" si="4"/>
        <v>0.74946419702656486</v>
      </c>
      <c r="F139" s="3">
        <f t="shared" ca="1" si="4"/>
        <v>0.62788114868936384</v>
      </c>
      <c r="G139" s="3">
        <f t="shared" ca="1" si="5"/>
        <v>6.203825255889476</v>
      </c>
      <c r="H139" s="2"/>
      <c r="I139" s="2"/>
      <c r="J139" s="2"/>
      <c r="K139" s="2"/>
    </row>
    <row r="140" spans="5:11" x14ac:dyDescent="0.25">
      <c r="E140" s="3">
        <f t="shared" ca="1" si="4"/>
        <v>0.53942545450553503</v>
      </c>
      <c r="F140" s="3">
        <f t="shared" ca="1" si="4"/>
        <v>0.77720455757406526</v>
      </c>
      <c r="G140" s="3">
        <f t="shared" ca="1" si="5"/>
        <v>8.4658010770070202</v>
      </c>
      <c r="H140" s="2"/>
      <c r="I140" s="2"/>
      <c r="J140" s="2"/>
      <c r="K140" s="2"/>
    </row>
    <row r="141" spans="5:11" x14ac:dyDescent="0.25">
      <c r="E141" s="3">
        <f t="shared" ca="1" si="4"/>
        <v>0.50897840416087525</v>
      </c>
      <c r="F141" s="3">
        <f t="shared" ca="1" si="4"/>
        <v>0.32830797127475631</v>
      </c>
      <c r="G141" s="3">
        <f t="shared" ca="1" si="5"/>
        <v>3.0946436372480628</v>
      </c>
      <c r="H141" s="2"/>
      <c r="I141" s="2"/>
      <c r="J141" s="2"/>
      <c r="K141" s="2"/>
    </row>
    <row r="142" spans="5:11" x14ac:dyDescent="0.25">
      <c r="E142" s="3">
        <f t="shared" ca="1" si="4"/>
        <v>0.54628290196613416</v>
      </c>
      <c r="F142" s="3">
        <f t="shared" ca="1" si="4"/>
        <v>0.19789842243808942</v>
      </c>
      <c r="G142" s="3">
        <f t="shared" ca="1" si="5"/>
        <v>1.6740747375455209</v>
      </c>
      <c r="H142" s="2"/>
      <c r="I142" s="2"/>
      <c r="J142" s="2"/>
      <c r="K142" s="2"/>
    </row>
    <row r="143" spans="5:11" x14ac:dyDescent="0.25">
      <c r="E143" s="3">
        <f t="shared" ca="1" si="4"/>
        <v>0.91968740566928531</v>
      </c>
      <c r="F143" s="3">
        <f t="shared" ca="1" si="4"/>
        <v>0.66775325333832536</v>
      </c>
      <c r="G143" s="3">
        <f t="shared" ca="1" si="5"/>
        <v>8.1771880908320327</v>
      </c>
      <c r="H143" s="2"/>
      <c r="I143" s="2"/>
      <c r="J143" s="2"/>
      <c r="K143" s="2"/>
    </row>
    <row r="144" spans="5:11" x14ac:dyDescent="0.25">
      <c r="E144" s="3">
        <f t="shared" ca="1" si="4"/>
        <v>0.88399763370385376</v>
      </c>
      <c r="F144" s="3">
        <f t="shared" ca="1" si="4"/>
        <v>0.2845768684872656</v>
      </c>
      <c r="G144" s="3">
        <f t="shared" ca="1" si="5"/>
        <v>4.0732137605436201</v>
      </c>
      <c r="H144" s="2"/>
      <c r="I144" s="2"/>
      <c r="J144" s="2"/>
      <c r="K144" s="2"/>
    </row>
    <row r="145" spans="5:11" x14ac:dyDescent="0.25">
      <c r="E145" s="3">
        <f t="shared" ca="1" si="4"/>
        <v>0.62277205324466212</v>
      </c>
      <c r="F145" s="3">
        <f t="shared" ca="1" si="4"/>
        <v>0.11212811853558247</v>
      </c>
      <c r="G145" s="3">
        <f t="shared" ca="1" si="5"/>
        <v>1.7430964867616401</v>
      </c>
      <c r="H145" s="2"/>
      <c r="I145" s="2"/>
      <c r="J145" s="2"/>
      <c r="K145" s="2"/>
    </row>
    <row r="146" spans="5:11" x14ac:dyDescent="0.25">
      <c r="E146" s="3">
        <f t="shared" ca="1" si="4"/>
        <v>0.73359619928778796</v>
      </c>
      <c r="F146" s="3">
        <f t="shared" ca="1" si="4"/>
        <v>0.45511627239641872</v>
      </c>
      <c r="G146" s="3">
        <f t="shared" ca="1" si="5"/>
        <v>4.0037717804959749</v>
      </c>
      <c r="H146" s="2"/>
      <c r="I146" s="2"/>
      <c r="J146" s="2"/>
      <c r="K146" s="2"/>
    </row>
    <row r="147" spans="5:11" x14ac:dyDescent="0.25">
      <c r="E147" s="3">
        <f t="shared" ca="1" si="4"/>
        <v>0.41921984076628505</v>
      </c>
      <c r="F147" s="3">
        <f t="shared" ca="1" si="4"/>
        <v>3.9711914456208586E-2</v>
      </c>
      <c r="G147" s="3">
        <f t="shared" ca="1" si="5"/>
        <v>5.3961304776392245</v>
      </c>
      <c r="H147" s="2"/>
      <c r="I147" s="2"/>
      <c r="J147" s="2"/>
      <c r="K147" s="2"/>
    </row>
    <row r="148" spans="5:11" x14ac:dyDescent="0.25">
      <c r="E148" s="3">
        <f t="shared" ca="1" si="4"/>
        <v>0.16568028788338018</v>
      </c>
      <c r="F148" s="3">
        <f t="shared" ca="1" si="4"/>
        <v>0.70495500397466127</v>
      </c>
      <c r="G148" s="3">
        <f t="shared" ca="1" si="5"/>
        <v>10.083992151854471</v>
      </c>
      <c r="H148" s="2"/>
      <c r="I148" s="2"/>
      <c r="J148" s="2"/>
      <c r="K148" s="2"/>
    </row>
    <row r="149" spans="5:11" x14ac:dyDescent="0.25">
      <c r="E149" s="3">
        <f t="shared" ca="1" si="4"/>
        <v>0.79014563810254723</v>
      </c>
      <c r="F149" s="3">
        <f t="shared" ca="1" si="4"/>
        <v>0.77608662303182707</v>
      </c>
      <c r="G149" s="3">
        <f t="shared" ca="1" si="5"/>
        <v>8.4577126050339508</v>
      </c>
      <c r="H149" s="2"/>
      <c r="I149" s="2"/>
      <c r="J149" s="2"/>
      <c r="K149" s="2"/>
    </row>
    <row r="150" spans="5:11" x14ac:dyDescent="0.25">
      <c r="E150" s="3">
        <f t="shared" ca="1" si="4"/>
        <v>0.66994775444611931</v>
      </c>
      <c r="F150" s="3">
        <f t="shared" ca="1" si="4"/>
        <v>0.8806475585034772</v>
      </c>
      <c r="G150" s="3">
        <f t="shared" ca="1" si="5"/>
        <v>10.361217058375235</v>
      </c>
      <c r="H150" s="2"/>
      <c r="I150" s="2"/>
      <c r="J150" s="2"/>
      <c r="K150" s="2"/>
    </row>
    <row r="151" spans="5:11" x14ac:dyDescent="0.25">
      <c r="E151" s="3">
        <f t="shared" ca="1" si="4"/>
        <v>0.23213986046513102</v>
      </c>
      <c r="F151" s="3">
        <f t="shared" ca="1" si="4"/>
        <v>0.45638298576407121</v>
      </c>
      <c r="G151" s="3">
        <f t="shared" ca="1" si="5"/>
        <v>7.0843136215659364</v>
      </c>
      <c r="H151" s="2"/>
      <c r="I151" s="2"/>
      <c r="J151" s="2"/>
      <c r="K151" s="2"/>
    </row>
    <row r="152" spans="5:11" x14ac:dyDescent="0.25">
      <c r="E152" s="3">
        <f t="shared" ca="1" si="4"/>
        <v>0.71291302582965177</v>
      </c>
      <c r="F152" s="3">
        <f t="shared" ca="1" si="4"/>
        <v>0.33265632702414072</v>
      </c>
      <c r="G152" s="3">
        <f t="shared" ca="1" si="5"/>
        <v>2.3762152833354331</v>
      </c>
      <c r="H152" s="2"/>
      <c r="I152" s="2"/>
      <c r="J152" s="2"/>
      <c r="K152" s="2"/>
    </row>
    <row r="153" spans="5:11" x14ac:dyDescent="0.25">
      <c r="E153" s="3">
        <f t="shared" ca="1" si="4"/>
        <v>0.11507316937618928</v>
      </c>
      <c r="F153" s="3">
        <f t="shared" ca="1" si="4"/>
        <v>0.66087273823681392</v>
      </c>
      <c r="G153" s="3">
        <f t="shared" ca="1" si="5"/>
        <v>10.522780994289125</v>
      </c>
      <c r="H153" s="2"/>
      <c r="I153" s="2"/>
      <c r="J153" s="2"/>
      <c r="K153" s="2"/>
    </row>
    <row r="154" spans="5:11" x14ac:dyDescent="0.25">
      <c r="E154" s="3">
        <f t="shared" ca="1" si="4"/>
        <v>0.21919644044359399</v>
      </c>
      <c r="F154" s="3">
        <f t="shared" ca="1" si="4"/>
        <v>0.86834183686358202</v>
      </c>
      <c r="G154" s="3">
        <f t="shared" ca="1" si="5"/>
        <v>11.775166879341693</v>
      </c>
      <c r="H154" s="2"/>
      <c r="I154" s="2"/>
      <c r="J154" s="2"/>
      <c r="K154" s="2"/>
    </row>
    <row r="155" spans="5:11" x14ac:dyDescent="0.25">
      <c r="E155" s="3">
        <f t="shared" ca="1" si="4"/>
        <v>0.3494957027042167</v>
      </c>
      <c r="F155" s="3">
        <f t="shared" ca="1" si="4"/>
        <v>0.44084436130055349</v>
      </c>
      <c r="G155" s="3">
        <f t="shared" ca="1" si="5"/>
        <v>5.5948472199940289</v>
      </c>
      <c r="H155" s="2"/>
      <c r="I155" s="2"/>
      <c r="J155" s="2"/>
      <c r="K155" s="2"/>
    </row>
    <row r="156" spans="5:11" x14ac:dyDescent="0.25">
      <c r="E156" s="3">
        <f t="shared" ca="1" si="4"/>
        <v>0.60679007020181108</v>
      </c>
      <c r="F156" s="3">
        <f t="shared" ca="1" si="4"/>
        <v>0.27749892606851168</v>
      </c>
      <c r="G156" s="3">
        <f t="shared" ca="1" si="5"/>
        <v>1.757893176604006</v>
      </c>
      <c r="H156" s="2"/>
      <c r="I156" s="2"/>
      <c r="J156" s="2"/>
      <c r="K156" s="2"/>
    </row>
    <row r="157" spans="5:11" x14ac:dyDescent="0.25">
      <c r="E157" s="3">
        <f t="shared" ca="1" si="4"/>
        <v>0.5517182260070318</v>
      </c>
      <c r="F157" s="3">
        <f t="shared" ca="1" si="4"/>
        <v>0.19531948018830048</v>
      </c>
      <c r="G157" s="3">
        <f t="shared" ca="1" si="5"/>
        <v>1.6002454753622239</v>
      </c>
      <c r="H157" s="2"/>
      <c r="I157" s="2"/>
      <c r="J157" s="2"/>
      <c r="K157" s="2"/>
    </row>
    <row r="158" spans="5:11" x14ac:dyDescent="0.25">
      <c r="E158" s="3">
        <f t="shared" ca="1" si="4"/>
        <v>0.41226144724432001</v>
      </c>
      <c r="F158" s="3">
        <f t="shared" ca="1" si="4"/>
        <v>0.53647873559503145</v>
      </c>
      <c r="G158" s="3">
        <f t="shared" ca="1" si="5"/>
        <v>5.9581320803056963</v>
      </c>
      <c r="H158" s="2"/>
      <c r="I158" s="2"/>
      <c r="J158" s="2"/>
      <c r="K158" s="2"/>
    </row>
    <row r="159" spans="5:11" x14ac:dyDescent="0.25">
      <c r="E159" s="3">
        <f t="shared" ca="1" si="4"/>
        <v>0.76679494760232414</v>
      </c>
      <c r="F159" s="3">
        <f t="shared" ca="1" si="4"/>
        <v>0.13075707082601773</v>
      </c>
      <c r="G159" s="3">
        <f t="shared" ca="1" si="5"/>
        <v>1.8090392774173263</v>
      </c>
      <c r="H159" s="2"/>
      <c r="I159" s="2"/>
      <c r="J159" s="2"/>
      <c r="K159" s="2"/>
    </row>
    <row r="160" spans="5:11" x14ac:dyDescent="0.25">
      <c r="E160" s="3">
        <f t="shared" ca="1" si="4"/>
        <v>0.98590437652886265</v>
      </c>
      <c r="F160" s="3">
        <f t="shared" ca="1" si="4"/>
        <v>0.41393550356156505</v>
      </c>
      <c r="G160" s="3">
        <f t="shared" ca="1" si="5"/>
        <v>9.3650205105703108</v>
      </c>
      <c r="H160" s="2"/>
      <c r="I160" s="2"/>
      <c r="J160" s="2"/>
      <c r="K160" s="2"/>
    </row>
    <row r="161" spans="5:11" x14ac:dyDescent="0.25">
      <c r="E161" s="3">
        <f t="shared" ca="1" si="4"/>
        <v>0.48011250005183359</v>
      </c>
      <c r="F161" s="3">
        <f t="shared" ca="1" si="4"/>
        <v>0.62145259510966067</v>
      </c>
      <c r="G161" s="3">
        <f t="shared" ca="1" si="5"/>
        <v>6.5112734088854021</v>
      </c>
      <c r="H161" s="2"/>
      <c r="I161" s="2"/>
      <c r="J161" s="2"/>
      <c r="K161" s="2"/>
    </row>
    <row r="162" spans="5:11" x14ac:dyDescent="0.25">
      <c r="E162" s="3">
        <f t="shared" ca="1" si="4"/>
        <v>0.56967614245222076</v>
      </c>
      <c r="F162" s="3">
        <f t="shared" ca="1" si="4"/>
        <v>5.9256454017238558E-2</v>
      </c>
      <c r="G162" s="3">
        <f t="shared" ca="1" si="5"/>
        <v>3.6028601102684776</v>
      </c>
      <c r="H162" s="2"/>
      <c r="I162" s="2"/>
      <c r="J162" s="2"/>
      <c r="K162" s="2"/>
    </row>
    <row r="163" spans="5:11" x14ac:dyDescent="0.25">
      <c r="E163" s="3">
        <f t="shared" ca="1" si="4"/>
        <v>0.92482435441705435</v>
      </c>
      <c r="F163" s="3">
        <f t="shared" ca="1" si="4"/>
        <v>0.49531050813350519</v>
      </c>
      <c r="G163" s="3">
        <f t="shared" ca="1" si="5"/>
        <v>6.6311427407956334</v>
      </c>
      <c r="H163" s="2"/>
      <c r="I163" s="2"/>
      <c r="J163" s="2"/>
      <c r="K163" s="2"/>
    </row>
    <row r="164" spans="5:11" x14ac:dyDescent="0.25">
      <c r="E164" s="3">
        <f t="shared" ca="1" si="4"/>
        <v>0.23826831543305893</v>
      </c>
      <c r="F164" s="3">
        <f t="shared" ca="1" si="4"/>
        <v>5.6319481497794088E-2</v>
      </c>
      <c r="G164" s="3">
        <f t="shared" ca="1" si="5"/>
        <v>6.754596306207536</v>
      </c>
      <c r="H164" s="2"/>
      <c r="I164" s="2"/>
      <c r="J164" s="2"/>
      <c r="K164" s="2"/>
    </row>
    <row r="165" spans="5:11" x14ac:dyDescent="0.25">
      <c r="E165" s="3">
        <f t="shared" ca="1" si="4"/>
        <v>0.28817301594035138</v>
      </c>
      <c r="F165" s="3">
        <f t="shared" ca="1" si="4"/>
        <v>0.11548703252152259</v>
      </c>
      <c r="G165" s="3">
        <f t="shared" ca="1" si="5"/>
        <v>5.2582848783351261</v>
      </c>
      <c r="H165" s="2"/>
      <c r="I165" s="2"/>
      <c r="J165" s="2"/>
      <c r="K165" s="2"/>
    </row>
    <row r="166" spans="5:11" x14ac:dyDescent="0.25">
      <c r="E166" s="3">
        <f t="shared" ca="1" si="4"/>
        <v>0.60829207097729088</v>
      </c>
      <c r="F166" s="3">
        <f t="shared" ca="1" si="4"/>
        <v>0.14881620635537141</v>
      </c>
      <c r="G166" s="3">
        <f t="shared" ca="1" si="5"/>
        <v>1.137581823063009</v>
      </c>
      <c r="H166" s="2"/>
      <c r="I166" s="2"/>
      <c r="J166" s="2"/>
      <c r="K166" s="2"/>
    </row>
    <row r="167" spans="5:11" x14ac:dyDescent="0.25">
      <c r="E167" s="3">
        <f t="shared" ca="1" si="4"/>
        <v>0.14389678770882552</v>
      </c>
      <c r="F167" s="3">
        <f t="shared" ca="1" si="4"/>
        <v>0.35772626835079746</v>
      </c>
      <c r="G167" s="3">
        <f t="shared" ca="1" si="5"/>
        <v>8.0056029518284788</v>
      </c>
      <c r="H167" s="2"/>
      <c r="I167" s="2"/>
      <c r="J167" s="2"/>
      <c r="K167" s="2"/>
    </row>
    <row r="168" spans="5:11" x14ac:dyDescent="0.25">
      <c r="E168" s="3">
        <f t="shared" ca="1" si="4"/>
        <v>0.58138886126549616</v>
      </c>
      <c r="F168" s="3">
        <f t="shared" ca="1" si="4"/>
        <v>0.95937116869975758</v>
      </c>
      <c r="G168" s="3">
        <f t="shared" ca="1" si="5"/>
        <v>13.242840480457851</v>
      </c>
      <c r="H168" s="2"/>
      <c r="I168" s="2"/>
      <c r="J168" s="2"/>
      <c r="K168" s="2"/>
    </row>
    <row r="169" spans="5:11" x14ac:dyDescent="0.25">
      <c r="E169" s="3">
        <f t="shared" ca="1" si="4"/>
        <v>0.61064800291989085</v>
      </c>
      <c r="F169" s="3">
        <f t="shared" ca="1" si="4"/>
        <v>0.57358013655876294</v>
      </c>
      <c r="G169" s="3">
        <f t="shared" ca="1" si="5"/>
        <v>5.4617213701795198</v>
      </c>
      <c r="H169" s="2"/>
      <c r="I169" s="2"/>
      <c r="J169" s="2"/>
      <c r="K169" s="2"/>
    </row>
    <row r="170" spans="5:11" x14ac:dyDescent="0.25">
      <c r="E170" s="3">
        <f t="shared" ca="1" si="4"/>
        <v>0.21346680143929375</v>
      </c>
      <c r="F170" s="3">
        <f t="shared" ca="1" si="4"/>
        <v>0.83776286987908333</v>
      </c>
      <c r="G170" s="3">
        <f t="shared" ca="1" si="5"/>
        <v>11.264589869961787</v>
      </c>
      <c r="H170" s="2"/>
      <c r="I170" s="2"/>
      <c r="J170" s="2"/>
      <c r="K170" s="2"/>
    </row>
    <row r="171" spans="5:11" x14ac:dyDescent="0.25">
      <c r="E171" s="3">
        <f t="shared" ca="1" si="4"/>
        <v>0.95123715637156503</v>
      </c>
      <c r="F171" s="3">
        <f t="shared" ca="1" si="4"/>
        <v>0.46439823594205987</v>
      </c>
      <c r="G171" s="3">
        <f t="shared" ca="1" si="5"/>
        <v>7.2609748136161469</v>
      </c>
      <c r="H171" s="2"/>
      <c r="I171" s="2"/>
      <c r="J171" s="2"/>
      <c r="K171" s="2"/>
    </row>
    <row r="172" spans="5:11" x14ac:dyDescent="0.25">
      <c r="E172" s="3">
        <f t="shared" ca="1" si="4"/>
        <v>0.62642568277236155</v>
      </c>
      <c r="F172" s="3">
        <f t="shared" ca="1" si="4"/>
        <v>0.78958059233001565</v>
      </c>
      <c r="G172" s="3">
        <f t="shared" ca="1" si="5"/>
        <v>8.518025734697499</v>
      </c>
      <c r="H172" s="2"/>
      <c r="I172" s="2"/>
      <c r="J172" s="2"/>
      <c r="K172" s="2"/>
    </row>
    <row r="173" spans="5:11" x14ac:dyDescent="0.25">
      <c r="E173" s="3">
        <f t="shared" ca="1" si="4"/>
        <v>0.67987606905936182</v>
      </c>
      <c r="F173" s="3">
        <f t="shared" ca="1" si="4"/>
        <v>9.2539460614024849E-2</v>
      </c>
      <c r="G173" s="3">
        <f t="shared" ca="1" si="5"/>
        <v>2.1585606694589603</v>
      </c>
      <c r="H173" s="2"/>
      <c r="I173" s="2"/>
      <c r="J173" s="2"/>
      <c r="K173" s="2"/>
    </row>
    <row r="174" spans="5:11" x14ac:dyDescent="0.25">
      <c r="E174" s="3">
        <f t="shared" ca="1" si="4"/>
        <v>0.71345821877924065</v>
      </c>
      <c r="F174" s="3">
        <f t="shared" ca="1" si="4"/>
        <v>0.25522027970182626</v>
      </c>
      <c r="G174" s="3">
        <f t="shared" ca="1" si="5"/>
        <v>1.3129139415794979</v>
      </c>
      <c r="H174" s="2"/>
      <c r="I174" s="2"/>
      <c r="J174" s="2"/>
      <c r="K174" s="2"/>
    </row>
    <row r="175" spans="5:11" x14ac:dyDescent="0.25">
      <c r="E175" s="3">
        <f t="shared" ca="1" si="4"/>
        <v>2.4273969729244782E-2</v>
      </c>
      <c r="F175" s="3">
        <f t="shared" ca="1" si="4"/>
        <v>0.69716454258733018</v>
      </c>
      <c r="G175" s="3">
        <f t="shared" ca="1" si="5"/>
        <v>14.007323276490325</v>
      </c>
      <c r="H175" s="2"/>
      <c r="I175" s="2"/>
      <c r="J175" s="2"/>
      <c r="K175" s="2"/>
    </row>
    <row r="176" spans="5:11" x14ac:dyDescent="0.25">
      <c r="E176" s="3">
        <f t="shared" ca="1" si="4"/>
        <v>0.72303149573244663</v>
      </c>
      <c r="F176" s="3">
        <f t="shared" ca="1" si="4"/>
        <v>0.99813475411267116</v>
      </c>
      <c r="G176" s="3">
        <f t="shared" ca="1" si="5"/>
        <v>18.984080024815331</v>
      </c>
      <c r="H176" s="2"/>
      <c r="I176" s="2"/>
      <c r="J176" s="2"/>
      <c r="K176" s="2"/>
    </row>
    <row r="177" spans="5:11" x14ac:dyDescent="0.25">
      <c r="E177" s="3">
        <f t="shared" ca="1" si="4"/>
        <v>0.88432728266575855</v>
      </c>
      <c r="F177" s="3">
        <f t="shared" ca="1" si="4"/>
        <v>6.0225596552329064E-3</v>
      </c>
      <c r="G177" s="3">
        <f t="shared" ca="1" si="5"/>
        <v>8.9090657888273217</v>
      </c>
      <c r="H177" s="2"/>
      <c r="I177" s="2"/>
      <c r="J177" s="2"/>
      <c r="K177" s="2"/>
    </row>
    <row r="178" spans="5:11" x14ac:dyDescent="0.25">
      <c r="E178" s="3">
        <f t="shared" ca="1" si="4"/>
        <v>0.78297268091927796</v>
      </c>
      <c r="F178" s="3">
        <f t="shared" ca="1" si="4"/>
        <v>0.77256675637260164</v>
      </c>
      <c r="G178" s="3">
        <f t="shared" ca="1" si="5"/>
        <v>8.3750081657402227</v>
      </c>
      <c r="H178" s="2"/>
      <c r="I178" s="2"/>
      <c r="J178" s="2"/>
      <c r="K178" s="2"/>
    </row>
    <row r="179" spans="5:11" x14ac:dyDescent="0.25">
      <c r="E179" s="3">
        <f t="shared" ca="1" si="4"/>
        <v>0.64013263065252957</v>
      </c>
      <c r="F179" s="3">
        <f t="shared" ca="1" si="4"/>
        <v>0.86608460487956762</v>
      </c>
      <c r="G179" s="3">
        <f t="shared" ca="1" si="5"/>
        <v>10.020286550212024</v>
      </c>
      <c r="H179" s="2"/>
      <c r="I179" s="2"/>
      <c r="J179" s="2"/>
      <c r="K179" s="2"/>
    </row>
    <row r="180" spans="5:11" x14ac:dyDescent="0.25">
      <c r="E180" s="3">
        <f t="shared" ca="1" si="4"/>
        <v>0.50683200524700733</v>
      </c>
      <c r="F180" s="3">
        <f t="shared" ca="1" si="4"/>
        <v>0.77218348646784796</v>
      </c>
      <c r="G180" s="3">
        <f t="shared" ca="1" si="5"/>
        <v>8.4786371446879034</v>
      </c>
      <c r="H180" s="2"/>
      <c r="I180" s="2"/>
      <c r="J180" s="2"/>
      <c r="K180" s="2"/>
    </row>
    <row r="181" spans="5:11" x14ac:dyDescent="0.25">
      <c r="E181" s="3">
        <f t="shared" ca="1" si="4"/>
        <v>0.55864412266429631</v>
      </c>
      <c r="F181" s="3">
        <f t="shared" ca="1" si="4"/>
        <v>0.65795469455491185</v>
      </c>
      <c r="G181" s="3">
        <f t="shared" ca="1" si="5"/>
        <v>6.6757482937655137</v>
      </c>
      <c r="H181" s="2"/>
      <c r="I181" s="2"/>
      <c r="J181" s="2"/>
      <c r="K181" s="2"/>
    </row>
    <row r="182" spans="5:11" x14ac:dyDescent="0.25">
      <c r="E182" s="3">
        <f t="shared" ca="1" si="4"/>
        <v>0.2764637246733056</v>
      </c>
      <c r="F182" s="3">
        <f t="shared" ca="1" si="4"/>
        <v>0.76600305142765313</v>
      </c>
      <c r="G182" s="3">
        <f t="shared" ca="1" si="5"/>
        <v>9.6283348704878993</v>
      </c>
      <c r="H182" s="2"/>
      <c r="I182" s="2"/>
      <c r="J182" s="2"/>
      <c r="K182" s="2"/>
    </row>
    <row r="183" spans="5:11" x14ac:dyDescent="0.25">
      <c r="E183" s="3">
        <f t="shared" ca="1" si="4"/>
        <v>0.63907327785645018</v>
      </c>
      <c r="F183" s="3">
        <f t="shared" ca="1" si="4"/>
        <v>7.3890721047508157E-3</v>
      </c>
      <c r="G183" s="3">
        <f t="shared" ca="1" si="5"/>
        <v>7.7325917999112024</v>
      </c>
      <c r="H183" s="2"/>
      <c r="I183" s="2"/>
      <c r="J183" s="2"/>
      <c r="K183" s="2"/>
    </row>
    <row r="184" spans="5:11" x14ac:dyDescent="0.25">
      <c r="E184" s="3">
        <f t="shared" ca="1" si="4"/>
        <v>0.62895356380683309</v>
      </c>
      <c r="F184" s="3">
        <f t="shared" ca="1" si="4"/>
        <v>0.52888090927628972</v>
      </c>
      <c r="G184" s="3">
        <f t="shared" ca="1" si="5"/>
        <v>4.8687563343451874</v>
      </c>
      <c r="H184" s="2"/>
      <c r="I184" s="2"/>
      <c r="J184" s="2"/>
      <c r="K184" s="2"/>
    </row>
    <row r="185" spans="5:11" x14ac:dyDescent="0.25">
      <c r="E185" s="3">
        <f t="shared" ca="1" si="4"/>
        <v>0.24613556737161679</v>
      </c>
      <c r="F185" s="3">
        <f t="shared" ca="1" si="4"/>
        <v>0.62780921186140137</v>
      </c>
      <c r="G185" s="3">
        <f t="shared" ca="1" si="5"/>
        <v>8.3310314018436156</v>
      </c>
      <c r="H185" s="2"/>
      <c r="I185" s="2"/>
      <c r="J185" s="2"/>
      <c r="K185" s="2"/>
    </row>
    <row r="186" spans="5:11" x14ac:dyDescent="0.25">
      <c r="E186" s="3">
        <f t="shared" ca="1" si="4"/>
        <v>0.60162305291846441</v>
      </c>
      <c r="F186" s="3">
        <f t="shared" ca="1" si="4"/>
        <v>0.87691947241991686</v>
      </c>
      <c r="G186" s="3">
        <f t="shared" ca="1" si="5"/>
        <v>10.312697350558114</v>
      </c>
      <c r="H186" s="2"/>
      <c r="I186" s="2"/>
      <c r="J186" s="2"/>
      <c r="K186" s="2"/>
    </row>
    <row r="187" spans="5:11" x14ac:dyDescent="0.25">
      <c r="E187" s="3">
        <f t="shared" ca="1" si="4"/>
        <v>0.58152485400966669</v>
      </c>
      <c r="F187" s="3">
        <f t="shared" ca="1" si="4"/>
        <v>0.97594059941480316</v>
      </c>
      <c r="G187" s="3">
        <f t="shared" ca="1" si="5"/>
        <v>14.402606759132926</v>
      </c>
      <c r="H187" s="2"/>
      <c r="I187" s="2"/>
      <c r="J187" s="2"/>
      <c r="K187" s="2"/>
    </row>
    <row r="188" spans="5:11" x14ac:dyDescent="0.25">
      <c r="E188" s="3">
        <f t="shared" ca="1" si="4"/>
        <v>0.53859096155238506</v>
      </c>
      <c r="F188" s="3">
        <f t="shared" ca="1" si="4"/>
        <v>0.33383056400594446</v>
      </c>
      <c r="G188" s="3">
        <f t="shared" ca="1" si="5"/>
        <v>2.9121333296362808</v>
      </c>
      <c r="H188" s="2"/>
      <c r="I188" s="2"/>
      <c r="J188" s="2"/>
      <c r="K188" s="2"/>
    </row>
    <row r="189" spans="5:11" x14ac:dyDescent="0.25">
      <c r="E189" s="3">
        <f t="shared" ca="1" si="4"/>
        <v>0.85151641771767483</v>
      </c>
      <c r="F189" s="3">
        <f t="shared" ca="1" si="4"/>
        <v>0.60591035057673848</v>
      </c>
      <c r="G189" s="3">
        <f t="shared" ca="1" si="5"/>
        <v>6.5301144867531828</v>
      </c>
      <c r="H189" s="2"/>
      <c r="I189" s="2"/>
      <c r="J189" s="2"/>
      <c r="K189" s="2"/>
    </row>
    <row r="190" spans="5:11" x14ac:dyDescent="0.25">
      <c r="E190" s="3">
        <f t="shared" ca="1" si="4"/>
        <v>0.99210814301314565</v>
      </c>
      <c r="F190" s="3">
        <f t="shared" ca="1" si="4"/>
        <v>0.61122306626731004</v>
      </c>
      <c r="G190" s="3">
        <f t="shared" ca="1" si="5"/>
        <v>11.454860850100932</v>
      </c>
      <c r="H190" s="2"/>
      <c r="I190" s="2"/>
      <c r="J190" s="2"/>
      <c r="K190" s="2"/>
    </row>
    <row r="191" spans="5:11" x14ac:dyDescent="0.25">
      <c r="E191" s="3">
        <f t="shared" ca="1" si="4"/>
        <v>0.92394715233322755</v>
      </c>
      <c r="F191" s="3">
        <f t="shared" ca="1" si="4"/>
        <v>0.4768367598640102</v>
      </c>
      <c r="G191" s="3">
        <f t="shared" ca="1" si="5"/>
        <v>6.4558231473981476</v>
      </c>
      <c r="H191" s="2"/>
      <c r="I191" s="2"/>
      <c r="J191" s="2"/>
      <c r="K191" s="2"/>
    </row>
    <row r="192" spans="5:11" x14ac:dyDescent="0.25">
      <c r="E192" s="3">
        <f t="shared" ca="1" si="4"/>
        <v>0.39607978953217682</v>
      </c>
      <c r="F192" s="3">
        <f t="shared" ca="1" si="4"/>
        <v>0.98494143507898502</v>
      </c>
      <c r="G192" s="3">
        <f t="shared" ca="1" si="5"/>
        <v>15.720621911151914</v>
      </c>
      <c r="H192" s="2"/>
      <c r="I192" s="2"/>
      <c r="J192" s="2"/>
      <c r="K192" s="2"/>
    </row>
    <row r="193" spans="5:11" x14ac:dyDescent="0.25">
      <c r="E193" s="3">
        <f t="shared" ca="1" si="4"/>
        <v>0.95054587556480497</v>
      </c>
      <c r="F193" s="3">
        <f t="shared" ca="1" si="4"/>
        <v>0.37230177661390529</v>
      </c>
      <c r="G193" s="3">
        <f t="shared" ca="1" si="5"/>
        <v>6.6481653728838115</v>
      </c>
      <c r="H193" s="2"/>
      <c r="I193" s="2"/>
      <c r="J193" s="2"/>
      <c r="K193" s="2"/>
    </row>
    <row r="194" spans="5:11" x14ac:dyDescent="0.25">
      <c r="E194" s="3">
        <f t="shared" ca="1" si="4"/>
        <v>2.4139470823732356E-2</v>
      </c>
      <c r="F194" s="3">
        <f t="shared" ca="1" si="4"/>
        <v>0.13031602359522154</v>
      </c>
      <c r="G194" s="3">
        <f t="shared" ca="1" si="5"/>
        <v>12.169778686126913</v>
      </c>
      <c r="H194" s="2"/>
      <c r="I194" s="2"/>
      <c r="J194" s="2"/>
      <c r="K194" s="2"/>
    </row>
    <row r="195" spans="5:11" x14ac:dyDescent="0.25">
      <c r="E195" s="3">
        <f t="shared" ca="1" si="4"/>
        <v>0.76224682785856424</v>
      </c>
      <c r="F195" s="3">
        <f t="shared" ca="1" si="4"/>
        <v>0.49050846693171479</v>
      </c>
      <c r="G195" s="3">
        <f t="shared" ca="1" si="5"/>
        <v>4.5489824838092376</v>
      </c>
      <c r="H195" s="2"/>
      <c r="I195" s="2"/>
      <c r="J195" s="2"/>
      <c r="K195" s="2"/>
    </row>
    <row r="196" spans="5:11" x14ac:dyDescent="0.25">
      <c r="E196" s="3">
        <f t="shared" ref="E196:F259" ca="1" si="6">RAND()</f>
        <v>0.38160900849626533</v>
      </c>
      <c r="F196" s="3">
        <f t="shared" ca="1" si="6"/>
        <v>0.46122934029817109</v>
      </c>
      <c r="G196" s="3">
        <f t="shared" ref="G196:G259" ca="1" si="7">SQRT(_xlfn.NORM.INV(E196,$C$3*COS($C$6),$C$4)^2+_xlfn.NORM.INV(F196,$C$3*SIN($C$6),$C$4)^2)</f>
        <v>5.468463698142588</v>
      </c>
      <c r="H196" s="2"/>
      <c r="I196" s="2"/>
      <c r="J196" s="2"/>
      <c r="K196" s="2"/>
    </row>
    <row r="197" spans="5:11" x14ac:dyDescent="0.25">
      <c r="E197" s="3">
        <f t="shared" ca="1" si="6"/>
        <v>0.54283259325729316</v>
      </c>
      <c r="F197" s="3">
        <f t="shared" ca="1" si="6"/>
        <v>0.32121004726647473</v>
      </c>
      <c r="G197" s="3">
        <f t="shared" ca="1" si="7"/>
        <v>2.7411902658902796</v>
      </c>
      <c r="H197" s="2"/>
      <c r="I197" s="2"/>
      <c r="J197" s="2"/>
      <c r="K197" s="2"/>
    </row>
    <row r="198" spans="5:11" x14ac:dyDescent="0.25">
      <c r="E198" s="3">
        <f t="shared" ca="1" si="6"/>
        <v>0.76526620399238254</v>
      </c>
      <c r="F198" s="3">
        <f t="shared" ca="1" si="6"/>
        <v>0.13328510900349888</v>
      </c>
      <c r="G198" s="3">
        <f t="shared" ca="1" si="7"/>
        <v>1.7525925209020723</v>
      </c>
      <c r="H198" s="2"/>
      <c r="I198" s="2"/>
      <c r="J198" s="2"/>
      <c r="K198" s="2"/>
    </row>
    <row r="199" spans="5:11" x14ac:dyDescent="0.25">
      <c r="E199" s="3">
        <f t="shared" ca="1" si="6"/>
        <v>0.13642039803170158</v>
      </c>
      <c r="F199" s="3">
        <f t="shared" ca="1" si="6"/>
        <v>0.9161835054761448</v>
      </c>
      <c r="G199" s="3">
        <f t="shared" ca="1" si="7"/>
        <v>13.744289560358448</v>
      </c>
      <c r="H199" s="2"/>
      <c r="I199" s="2"/>
      <c r="J199" s="2"/>
      <c r="K199" s="2"/>
    </row>
    <row r="200" spans="5:11" x14ac:dyDescent="0.25">
      <c r="E200" s="3">
        <f t="shared" ca="1" si="6"/>
        <v>0.68293491683480989</v>
      </c>
      <c r="F200" s="3">
        <f t="shared" ca="1" si="6"/>
        <v>0.62096511203804861</v>
      </c>
      <c r="G200" s="3">
        <f t="shared" ca="1" si="7"/>
        <v>6.0116785608358461</v>
      </c>
      <c r="H200" s="2"/>
      <c r="I200" s="2"/>
      <c r="J200" s="2"/>
      <c r="K200" s="2"/>
    </row>
    <row r="201" spans="5:11" x14ac:dyDescent="0.25">
      <c r="E201" s="3">
        <f t="shared" ca="1" si="6"/>
        <v>0.29624886747398183</v>
      </c>
      <c r="F201" s="3">
        <f t="shared" ca="1" si="6"/>
        <v>0.36789405908433781</v>
      </c>
      <c r="G201" s="3">
        <f t="shared" ca="1" si="7"/>
        <v>5.6493935990166202</v>
      </c>
      <c r="H201" s="2"/>
      <c r="I201" s="2"/>
      <c r="J201" s="2"/>
      <c r="K201" s="2"/>
    </row>
    <row r="202" spans="5:11" x14ac:dyDescent="0.25">
      <c r="E202" s="3">
        <f t="shared" ca="1" si="6"/>
        <v>0.4161460911260928</v>
      </c>
      <c r="F202" s="3">
        <f t="shared" ca="1" si="6"/>
        <v>0.67790140432626189</v>
      </c>
      <c r="G202" s="3">
        <f t="shared" ca="1" si="7"/>
        <v>7.539351327470583</v>
      </c>
      <c r="H202" s="2"/>
      <c r="I202" s="2"/>
      <c r="J202" s="2"/>
      <c r="K202" s="2"/>
    </row>
    <row r="203" spans="5:11" x14ac:dyDescent="0.25">
      <c r="E203" s="3">
        <f t="shared" ca="1" si="6"/>
        <v>0.38783322915511986</v>
      </c>
      <c r="F203" s="3">
        <f t="shared" ca="1" si="6"/>
        <v>0.43829243703155307</v>
      </c>
      <c r="G203" s="3">
        <f t="shared" ca="1" si="7"/>
        <v>5.2034293764644977</v>
      </c>
      <c r="H203" s="2"/>
      <c r="I203" s="2"/>
      <c r="J203" s="2"/>
      <c r="K203" s="2"/>
    </row>
    <row r="204" spans="5:11" x14ac:dyDescent="0.25">
      <c r="E204" s="3">
        <f t="shared" ca="1" si="6"/>
        <v>3.8699121410726511E-2</v>
      </c>
      <c r="F204" s="3">
        <f t="shared" ca="1" si="6"/>
        <v>0.95958026719529566</v>
      </c>
      <c r="G204" s="3">
        <f t="shared" ca="1" si="7"/>
        <v>17.22699546780558</v>
      </c>
      <c r="H204" s="2"/>
      <c r="I204" s="2"/>
      <c r="J204" s="2"/>
      <c r="K204" s="2"/>
    </row>
    <row r="205" spans="5:11" x14ac:dyDescent="0.25">
      <c r="E205" s="3">
        <f t="shared" ca="1" si="6"/>
        <v>0.49164144492469053</v>
      </c>
      <c r="F205" s="3">
        <f t="shared" ca="1" si="6"/>
        <v>0.22170722693742062</v>
      </c>
      <c r="G205" s="3">
        <f t="shared" ca="1" si="7"/>
        <v>2.430313435265445</v>
      </c>
      <c r="H205" s="2"/>
      <c r="I205" s="2"/>
      <c r="J205" s="2"/>
      <c r="K205" s="2"/>
    </row>
    <row r="206" spans="5:11" x14ac:dyDescent="0.25">
      <c r="E206" s="3">
        <f t="shared" ca="1" si="6"/>
        <v>0.26888537575383831</v>
      </c>
      <c r="F206" s="3">
        <f t="shared" ca="1" si="6"/>
        <v>0.14447696765841778</v>
      </c>
      <c r="G206" s="3">
        <f t="shared" ca="1" si="7"/>
        <v>5.3859731350922431</v>
      </c>
      <c r="H206" s="2"/>
      <c r="I206" s="2"/>
      <c r="J206" s="2"/>
      <c r="K206" s="2"/>
    </row>
    <row r="207" spans="5:11" x14ac:dyDescent="0.25">
      <c r="E207" s="3">
        <f t="shared" ca="1" si="6"/>
        <v>0.29651332903067895</v>
      </c>
      <c r="F207" s="3">
        <f t="shared" ca="1" si="6"/>
        <v>0.19473903194546915</v>
      </c>
      <c r="G207" s="3">
        <f t="shared" ca="1" si="7"/>
        <v>4.9154871034101717</v>
      </c>
      <c r="H207" s="2"/>
      <c r="I207" s="2"/>
      <c r="J207" s="2"/>
      <c r="K207" s="2"/>
    </row>
    <row r="208" spans="5:11" x14ac:dyDescent="0.25">
      <c r="E208" s="3">
        <f t="shared" ca="1" si="6"/>
        <v>0.73519715097430927</v>
      </c>
      <c r="F208" s="3">
        <f t="shared" ca="1" si="6"/>
        <v>0.46240832670355736</v>
      </c>
      <c r="G208" s="3">
        <f t="shared" ca="1" si="7"/>
        <v>4.0987751570359814</v>
      </c>
      <c r="H208" s="2"/>
      <c r="I208" s="2"/>
      <c r="J208" s="2"/>
      <c r="K208" s="2"/>
    </row>
    <row r="209" spans="5:11" x14ac:dyDescent="0.25">
      <c r="E209" s="3">
        <f t="shared" ca="1" si="6"/>
        <v>0.2008566978826436</v>
      </c>
      <c r="F209" s="3">
        <f t="shared" ca="1" si="6"/>
        <v>0.25949658594292146</v>
      </c>
      <c r="G209" s="3">
        <f t="shared" ca="1" si="7"/>
        <v>6.5526507408952952</v>
      </c>
      <c r="H209" s="2"/>
      <c r="I209" s="2"/>
      <c r="J209" s="2"/>
      <c r="K209" s="2"/>
    </row>
    <row r="210" spans="5:11" x14ac:dyDescent="0.25">
      <c r="E210" s="3">
        <f t="shared" ca="1" si="6"/>
        <v>0.51727366166932642</v>
      </c>
      <c r="F210" s="3">
        <f t="shared" ca="1" si="6"/>
        <v>0.97830041313875138</v>
      </c>
      <c r="G210" s="3">
        <f t="shared" ca="1" si="7"/>
        <v>14.709114155853621</v>
      </c>
      <c r="H210" s="2"/>
      <c r="I210" s="2"/>
      <c r="J210" s="2"/>
      <c r="K210" s="2"/>
    </row>
    <row r="211" spans="5:11" x14ac:dyDescent="0.25">
      <c r="E211" s="3">
        <f t="shared" ca="1" si="6"/>
        <v>0.53246540570603484</v>
      </c>
      <c r="F211" s="3">
        <f t="shared" ca="1" si="6"/>
        <v>0.20377583448348824</v>
      </c>
      <c r="G211" s="3">
        <f t="shared" ca="1" si="7"/>
        <v>1.8623039814818501</v>
      </c>
      <c r="H211" s="2"/>
      <c r="I211" s="2"/>
      <c r="J211" s="2"/>
      <c r="K211" s="2"/>
    </row>
    <row r="212" spans="5:11" x14ac:dyDescent="0.25">
      <c r="E212" s="3">
        <f t="shared" ca="1" si="6"/>
        <v>0.78773001941808263</v>
      </c>
      <c r="F212" s="3">
        <f t="shared" ca="1" si="6"/>
        <v>0.86344047905467614</v>
      </c>
      <c r="G212" s="3">
        <f t="shared" ca="1" si="7"/>
        <v>10.102682860679716</v>
      </c>
      <c r="H212" s="2"/>
      <c r="I212" s="2"/>
      <c r="J212" s="2"/>
      <c r="K212" s="2"/>
    </row>
    <row r="213" spans="5:11" x14ac:dyDescent="0.25">
      <c r="E213" s="3">
        <f t="shared" ca="1" si="6"/>
        <v>0.99655451377148596</v>
      </c>
      <c r="F213" s="3">
        <f t="shared" ca="1" si="6"/>
        <v>0.37843021971483948</v>
      </c>
      <c r="G213" s="3">
        <f t="shared" ca="1" si="7"/>
        <v>11.642595988637297</v>
      </c>
      <c r="H213" s="2"/>
      <c r="I213" s="2"/>
      <c r="J213" s="2"/>
      <c r="K213" s="2"/>
    </row>
    <row r="214" spans="5:11" x14ac:dyDescent="0.25">
      <c r="E214" s="3">
        <f t="shared" ca="1" si="6"/>
        <v>0.93774835941253809</v>
      </c>
      <c r="F214" s="3">
        <f t="shared" ca="1" si="6"/>
        <v>0.26295169123125606</v>
      </c>
      <c r="G214" s="3">
        <f t="shared" ca="1" si="7"/>
        <v>5.5931927471534504</v>
      </c>
      <c r="H214" s="2"/>
      <c r="I214" s="2"/>
      <c r="J214" s="2"/>
      <c r="K214" s="2"/>
    </row>
    <row r="215" spans="5:11" x14ac:dyDescent="0.25">
      <c r="E215" s="3">
        <f t="shared" ca="1" si="6"/>
        <v>0.88948414986052504</v>
      </c>
      <c r="F215" s="3">
        <f t="shared" ca="1" si="6"/>
        <v>0.46982214285636714</v>
      </c>
      <c r="G215" s="3">
        <f t="shared" ca="1" si="7"/>
        <v>5.6376337908992866</v>
      </c>
      <c r="H215" s="2"/>
      <c r="I215" s="2"/>
      <c r="J215" s="2"/>
      <c r="K215" s="2"/>
    </row>
    <row r="216" spans="5:11" x14ac:dyDescent="0.25">
      <c r="E216" s="3">
        <f t="shared" ca="1" si="6"/>
        <v>0.26875365782704352</v>
      </c>
      <c r="F216" s="3">
        <f t="shared" ca="1" si="6"/>
        <v>0.41715181876556495</v>
      </c>
      <c r="G216" s="3">
        <f t="shared" ca="1" si="7"/>
        <v>6.3294321494851271</v>
      </c>
      <c r="H216" s="2"/>
      <c r="I216" s="2"/>
      <c r="J216" s="2"/>
      <c r="K216" s="2"/>
    </row>
    <row r="217" spans="5:11" x14ac:dyDescent="0.25">
      <c r="E217" s="3">
        <f t="shared" ca="1" si="6"/>
        <v>0.95751227176662124</v>
      </c>
      <c r="F217" s="3">
        <f t="shared" ca="1" si="6"/>
        <v>0.26045974693918361</v>
      </c>
      <c r="G217" s="3">
        <f t="shared" ca="1" si="7"/>
        <v>6.4956726731416836</v>
      </c>
      <c r="H217" s="2"/>
      <c r="I217" s="2"/>
      <c r="J217" s="2"/>
      <c r="K217" s="2"/>
    </row>
    <row r="218" spans="5:11" x14ac:dyDescent="0.25">
      <c r="E218" s="3">
        <f t="shared" ca="1" si="6"/>
        <v>0.98155137459607478</v>
      </c>
      <c r="F218" s="3">
        <f t="shared" ca="1" si="6"/>
        <v>0.23691046354470757</v>
      </c>
      <c r="G218" s="3">
        <f t="shared" ca="1" si="7"/>
        <v>8.2421686919238581</v>
      </c>
      <c r="H218" s="2"/>
      <c r="I218" s="2"/>
      <c r="J218" s="2"/>
      <c r="K218" s="2"/>
    </row>
    <row r="219" spans="5:11" x14ac:dyDescent="0.25">
      <c r="E219" s="3">
        <f t="shared" ca="1" si="6"/>
        <v>0.42912364856700613</v>
      </c>
      <c r="F219" s="3">
        <f t="shared" ca="1" si="6"/>
        <v>0.13017346883904624</v>
      </c>
      <c r="G219" s="3">
        <f t="shared" ca="1" si="7"/>
        <v>3.3404861308591616</v>
      </c>
      <c r="H219" s="2"/>
      <c r="I219" s="2"/>
      <c r="J219" s="2"/>
      <c r="K219" s="2"/>
    </row>
    <row r="220" spans="5:11" x14ac:dyDescent="0.25">
      <c r="E220" s="3">
        <f t="shared" ca="1" si="6"/>
        <v>0.76195726772019601</v>
      </c>
      <c r="F220" s="3">
        <f t="shared" ca="1" si="6"/>
        <v>7.4124580924714523E-2</v>
      </c>
      <c r="G220" s="3">
        <f t="shared" ca="1" si="7"/>
        <v>3.0594340717422734</v>
      </c>
      <c r="H220" s="2"/>
      <c r="I220" s="2"/>
      <c r="J220" s="2"/>
      <c r="K220" s="2"/>
    </row>
    <row r="221" spans="5:11" x14ac:dyDescent="0.25">
      <c r="E221" s="3">
        <f t="shared" ca="1" si="6"/>
        <v>0.64588084575388072</v>
      </c>
      <c r="F221" s="3">
        <f t="shared" ca="1" si="6"/>
        <v>0.25717512526101527</v>
      </c>
      <c r="G221" s="3">
        <f t="shared" ca="1" si="7"/>
        <v>1.2646944159759526</v>
      </c>
      <c r="H221" s="2"/>
      <c r="I221" s="2"/>
      <c r="J221" s="2"/>
      <c r="K221" s="2"/>
    </row>
    <row r="222" spans="5:11" x14ac:dyDescent="0.25">
      <c r="E222" s="3">
        <f t="shared" ca="1" si="6"/>
        <v>0.49615808312071652</v>
      </c>
      <c r="F222" s="3">
        <f t="shared" ca="1" si="6"/>
        <v>0.70435331838944004</v>
      </c>
      <c r="G222" s="3">
        <f t="shared" ca="1" si="7"/>
        <v>7.5118868122071056</v>
      </c>
      <c r="H222" s="2"/>
      <c r="I222" s="2"/>
      <c r="J222" s="2"/>
      <c r="K222" s="2"/>
    </row>
    <row r="223" spans="5:11" x14ac:dyDescent="0.25">
      <c r="E223" s="3">
        <f t="shared" ca="1" si="6"/>
        <v>0.51642091808067336</v>
      </c>
      <c r="F223" s="3">
        <f t="shared" ca="1" si="6"/>
        <v>0.88006270673084186</v>
      </c>
      <c r="G223" s="3">
        <f t="shared" ca="1" si="7"/>
        <v>10.544617474356706</v>
      </c>
      <c r="H223" s="2"/>
      <c r="I223" s="2"/>
      <c r="J223" s="2"/>
      <c r="K223" s="2"/>
    </row>
    <row r="224" spans="5:11" x14ac:dyDescent="0.25">
      <c r="E224" s="3">
        <f t="shared" ca="1" si="6"/>
        <v>0.63825101157081077</v>
      </c>
      <c r="F224" s="3">
        <f t="shared" ca="1" si="6"/>
        <v>0.87213327580004663</v>
      </c>
      <c r="G224" s="3">
        <f t="shared" ca="1" si="7"/>
        <v>10.163588999414314</v>
      </c>
      <c r="H224" s="2"/>
      <c r="I224" s="2"/>
      <c r="J224" s="2"/>
      <c r="K224" s="2"/>
    </row>
    <row r="225" spans="5:11" x14ac:dyDescent="0.25">
      <c r="E225" s="3">
        <f t="shared" ca="1" si="6"/>
        <v>7.5049246201319253E-2</v>
      </c>
      <c r="F225" s="3">
        <f t="shared" ca="1" si="6"/>
        <v>0.30825198412835264</v>
      </c>
      <c r="G225" s="3">
        <f t="shared" ca="1" si="7"/>
        <v>9.6388988142908527</v>
      </c>
      <c r="H225" s="2"/>
      <c r="I225" s="2"/>
      <c r="J225" s="2"/>
      <c r="K225" s="2"/>
    </row>
    <row r="226" spans="5:11" x14ac:dyDescent="0.25">
      <c r="E226" s="3">
        <f t="shared" ca="1" si="6"/>
        <v>0.78711551944863389</v>
      </c>
      <c r="F226" s="3">
        <f t="shared" ca="1" si="6"/>
        <v>4.0834894804606559E-2</v>
      </c>
      <c r="G226" s="3">
        <f t="shared" ca="1" si="7"/>
        <v>4.5796176363263159</v>
      </c>
      <c r="H226" s="2"/>
      <c r="I226" s="2"/>
      <c r="J226" s="2"/>
      <c r="K226" s="2"/>
    </row>
    <row r="227" spans="5:11" x14ac:dyDescent="0.25">
      <c r="E227" s="3">
        <f t="shared" ca="1" si="6"/>
        <v>0.64513827990702244</v>
      </c>
      <c r="F227" s="3">
        <f t="shared" ca="1" si="6"/>
        <v>0.10367320132635482</v>
      </c>
      <c r="G227" s="3">
        <f t="shared" ca="1" si="7"/>
        <v>1.8732830839523917</v>
      </c>
      <c r="H227" s="2"/>
      <c r="I227" s="2"/>
      <c r="J227" s="2"/>
      <c r="K227" s="2"/>
    </row>
    <row r="228" spans="5:11" x14ac:dyDescent="0.25">
      <c r="E228" s="3">
        <f t="shared" ca="1" si="6"/>
        <v>0.13371511485614518</v>
      </c>
      <c r="F228" s="3">
        <f t="shared" ca="1" si="6"/>
        <v>0.28445936864206511</v>
      </c>
      <c r="G228" s="3">
        <f t="shared" ca="1" si="7"/>
        <v>7.9524872357772738</v>
      </c>
      <c r="H228" s="2"/>
      <c r="I228" s="2"/>
      <c r="J228" s="2"/>
      <c r="K228" s="2"/>
    </row>
    <row r="229" spans="5:11" x14ac:dyDescent="0.25">
      <c r="E229" s="3">
        <f t="shared" ca="1" si="6"/>
        <v>0.11108169097064835</v>
      </c>
      <c r="F229" s="3">
        <f t="shared" ca="1" si="6"/>
        <v>0.20556813832642229</v>
      </c>
      <c r="G229" s="3">
        <f t="shared" ca="1" si="7"/>
        <v>8.3521304925579738</v>
      </c>
      <c r="H229" s="2"/>
      <c r="I229" s="2"/>
      <c r="J229" s="2"/>
      <c r="K229" s="2"/>
    </row>
    <row r="230" spans="5:11" x14ac:dyDescent="0.25">
      <c r="E230" s="3">
        <f t="shared" ca="1" si="6"/>
        <v>0.83148217264768454</v>
      </c>
      <c r="F230" s="3">
        <f t="shared" ca="1" si="6"/>
        <v>0.81791531095693126</v>
      </c>
      <c r="G230" s="3">
        <f t="shared" ca="1" si="7"/>
        <v>9.363913572510361</v>
      </c>
      <c r="H230" s="2"/>
      <c r="I230" s="2"/>
      <c r="J230" s="2"/>
      <c r="K230" s="2"/>
    </row>
    <row r="231" spans="5:11" x14ac:dyDescent="0.25">
      <c r="E231" s="3">
        <f t="shared" ca="1" si="6"/>
        <v>0.99441957072557752</v>
      </c>
      <c r="F231" s="3">
        <f t="shared" ca="1" si="6"/>
        <v>0.61584937336062506</v>
      </c>
      <c r="G231" s="3">
        <f t="shared" ca="1" si="7"/>
        <v>12.019741321670157</v>
      </c>
      <c r="H231" s="2"/>
      <c r="I231" s="2"/>
      <c r="J231" s="2"/>
      <c r="K231" s="2"/>
    </row>
    <row r="232" spans="5:11" x14ac:dyDescent="0.25">
      <c r="E232" s="3">
        <f t="shared" ca="1" si="6"/>
        <v>9.71297793468201E-2</v>
      </c>
      <c r="F232" s="3">
        <f t="shared" ca="1" si="6"/>
        <v>0.65501538748359689</v>
      </c>
      <c r="G232" s="3">
        <f t="shared" ca="1" si="7"/>
        <v>10.863504220757184</v>
      </c>
      <c r="H232" s="2"/>
      <c r="I232" s="2"/>
      <c r="J232" s="2"/>
      <c r="K232" s="2"/>
    </row>
    <row r="233" spans="5:11" x14ac:dyDescent="0.25">
      <c r="E233" s="3">
        <f t="shared" ca="1" si="6"/>
        <v>0.6520376114518317</v>
      </c>
      <c r="F233" s="3">
        <f t="shared" ca="1" si="6"/>
        <v>0.7621159735174492</v>
      </c>
      <c r="G233" s="3">
        <f t="shared" ca="1" si="7"/>
        <v>8.0407074051583578</v>
      </c>
      <c r="H233" s="2"/>
      <c r="I233" s="2"/>
      <c r="J233" s="2"/>
      <c r="K233" s="2"/>
    </row>
    <row r="234" spans="5:11" x14ac:dyDescent="0.25">
      <c r="E234" s="3">
        <f t="shared" ca="1" si="6"/>
        <v>0.51305861419605725</v>
      </c>
      <c r="F234" s="3">
        <f t="shared" ca="1" si="6"/>
        <v>0.58978745377825359</v>
      </c>
      <c r="G234" s="3">
        <f t="shared" ca="1" si="7"/>
        <v>5.9773165395388039</v>
      </c>
      <c r="H234" s="2"/>
      <c r="I234" s="2"/>
      <c r="J234" s="2"/>
      <c r="K234" s="2"/>
    </row>
    <row r="235" spans="5:11" x14ac:dyDescent="0.25">
      <c r="E235" s="3">
        <f t="shared" ca="1" si="6"/>
        <v>0.86733561669286652</v>
      </c>
      <c r="F235" s="3">
        <f t="shared" ca="1" si="6"/>
        <v>0.34195339146903414</v>
      </c>
      <c r="G235" s="3">
        <f t="shared" ca="1" si="7"/>
        <v>4.1241229493701494</v>
      </c>
      <c r="H235" s="2"/>
      <c r="I235" s="2"/>
      <c r="J235" s="2"/>
      <c r="K235" s="2"/>
    </row>
    <row r="236" spans="5:11" x14ac:dyDescent="0.25">
      <c r="E236" s="3">
        <f t="shared" ca="1" si="6"/>
        <v>0.23889883744002671</v>
      </c>
      <c r="F236" s="3">
        <f t="shared" ca="1" si="6"/>
        <v>2.8689992021548094E-2</v>
      </c>
      <c r="G236" s="3">
        <f t="shared" ca="1" si="7"/>
        <v>7.6707936775063503</v>
      </c>
      <c r="H236" s="2"/>
      <c r="I236" s="2"/>
      <c r="J236" s="2"/>
      <c r="K236" s="2"/>
    </row>
    <row r="237" spans="5:11" x14ac:dyDescent="0.25">
      <c r="E237" s="3">
        <f t="shared" ca="1" si="6"/>
        <v>5.0373807346809407E-2</v>
      </c>
      <c r="F237" s="3">
        <f t="shared" ca="1" si="6"/>
        <v>0.17801948911447152</v>
      </c>
      <c r="G237" s="3">
        <f t="shared" ca="1" si="7"/>
        <v>10.447570126116521</v>
      </c>
      <c r="H237" s="2"/>
      <c r="I237" s="2"/>
      <c r="J237" s="2"/>
      <c r="K237" s="2"/>
    </row>
    <row r="238" spans="5:11" x14ac:dyDescent="0.25">
      <c r="E238" s="3">
        <f t="shared" ca="1" si="6"/>
        <v>0.48396090263810165</v>
      </c>
      <c r="F238" s="3">
        <f t="shared" ca="1" si="6"/>
        <v>0.81155355086089531</v>
      </c>
      <c r="G238" s="3">
        <f t="shared" ca="1" si="7"/>
        <v>9.2173782942661546</v>
      </c>
      <c r="H238" s="2"/>
      <c r="I238" s="2"/>
      <c r="J238" s="2"/>
      <c r="K238" s="2"/>
    </row>
    <row r="239" spans="5:11" x14ac:dyDescent="0.25">
      <c r="E239" s="3">
        <f t="shared" ca="1" si="6"/>
        <v>0.30859309418835801</v>
      </c>
      <c r="F239" s="3">
        <f t="shared" ca="1" si="6"/>
        <v>0.85764878830783409</v>
      </c>
      <c r="G239" s="3">
        <f t="shared" ca="1" si="7"/>
        <v>10.903098303611422</v>
      </c>
      <c r="H239" s="2"/>
      <c r="I239" s="2"/>
      <c r="J239" s="2"/>
      <c r="K239" s="2"/>
    </row>
    <row r="240" spans="5:11" x14ac:dyDescent="0.25">
      <c r="E240" s="3">
        <f t="shared" ca="1" si="6"/>
        <v>0.47978059971452636</v>
      </c>
      <c r="F240" s="3">
        <f t="shared" ca="1" si="6"/>
        <v>0.29968005918123819</v>
      </c>
      <c r="G240" s="3">
        <f t="shared" ca="1" si="7"/>
        <v>3.101214090534075</v>
      </c>
      <c r="H240" s="2"/>
      <c r="I240" s="2"/>
      <c r="J240" s="2"/>
      <c r="K240" s="2"/>
    </row>
    <row r="241" spans="5:11" x14ac:dyDescent="0.25">
      <c r="E241" s="3">
        <f t="shared" ca="1" si="6"/>
        <v>0.97294810104022833</v>
      </c>
      <c r="F241" s="3">
        <f t="shared" ca="1" si="6"/>
        <v>0.15258113851074728</v>
      </c>
      <c r="G241" s="3">
        <f t="shared" ca="1" si="7"/>
        <v>7.4188167377889327</v>
      </c>
      <c r="H241" s="2"/>
      <c r="I241" s="2"/>
      <c r="J241" s="2"/>
      <c r="K241" s="2"/>
    </row>
    <row r="242" spans="5:11" x14ac:dyDescent="0.25">
      <c r="E242" s="3">
        <f t="shared" ca="1" si="6"/>
        <v>0.72642336044756872</v>
      </c>
      <c r="F242" s="3">
        <f t="shared" ca="1" si="6"/>
        <v>0.372940942135225</v>
      </c>
      <c r="G242" s="3">
        <f t="shared" ca="1" si="7"/>
        <v>2.9517563910184581</v>
      </c>
      <c r="H242" s="2"/>
      <c r="I242" s="2"/>
      <c r="J242" s="2"/>
      <c r="K242" s="2"/>
    </row>
    <row r="243" spans="5:11" x14ac:dyDescent="0.25">
      <c r="E243" s="3">
        <f t="shared" ca="1" si="6"/>
        <v>0.94458344189761501</v>
      </c>
      <c r="F243" s="3">
        <f t="shared" ca="1" si="6"/>
        <v>0.89436813233359957</v>
      </c>
      <c r="G243" s="3">
        <f t="shared" ca="1" si="7"/>
        <v>12.156626889642869</v>
      </c>
      <c r="H243" s="2"/>
      <c r="I243" s="2"/>
      <c r="J243" s="2"/>
      <c r="K243" s="2"/>
    </row>
    <row r="244" spans="5:11" x14ac:dyDescent="0.25">
      <c r="E244" s="3">
        <f t="shared" ca="1" si="6"/>
        <v>0.7675106233586676</v>
      </c>
      <c r="F244" s="3">
        <f t="shared" ca="1" si="6"/>
        <v>8.6204770449022194E-2</v>
      </c>
      <c r="G244" s="3">
        <f t="shared" ca="1" si="7"/>
        <v>2.7442580124100204</v>
      </c>
      <c r="H244" s="2"/>
      <c r="I244" s="2"/>
      <c r="J244" s="2"/>
      <c r="K244" s="2"/>
    </row>
    <row r="245" spans="5:11" x14ac:dyDescent="0.25">
      <c r="E245" s="3">
        <f t="shared" ca="1" si="6"/>
        <v>8.2338989618522818E-2</v>
      </c>
      <c r="F245" s="3">
        <f t="shared" ca="1" si="6"/>
        <v>0.42707900886223937</v>
      </c>
      <c r="G245" s="3">
        <f t="shared" ca="1" si="7"/>
        <v>9.8502124341630903</v>
      </c>
      <c r="H245" s="2"/>
      <c r="I245" s="2"/>
      <c r="J245" s="2"/>
      <c r="K245" s="2"/>
    </row>
    <row r="246" spans="5:11" x14ac:dyDescent="0.25">
      <c r="E246" s="3">
        <f t="shared" ca="1" si="6"/>
        <v>0.28538485623655896</v>
      </c>
      <c r="F246" s="3">
        <f t="shared" ca="1" si="6"/>
        <v>0.68264145891237971</v>
      </c>
      <c r="G246" s="3">
        <f t="shared" ca="1" si="7"/>
        <v>8.5214859066686834</v>
      </c>
      <c r="H246" s="2"/>
      <c r="I246" s="2"/>
      <c r="J246" s="2"/>
      <c r="K246" s="2"/>
    </row>
    <row r="247" spans="5:11" x14ac:dyDescent="0.25">
      <c r="E247" s="3">
        <f t="shared" ca="1" si="6"/>
        <v>0.21332278497212398</v>
      </c>
      <c r="F247" s="3">
        <f t="shared" ca="1" si="6"/>
        <v>0.7041015068175881</v>
      </c>
      <c r="G247" s="3">
        <f t="shared" ca="1" si="7"/>
        <v>9.4745106766879967</v>
      </c>
      <c r="H247" s="2"/>
      <c r="I247" s="2"/>
      <c r="J247" s="2"/>
      <c r="K247" s="2"/>
    </row>
    <row r="248" spans="5:11" x14ac:dyDescent="0.25">
      <c r="E248" s="3">
        <f t="shared" ca="1" si="6"/>
        <v>0.8405298797495282</v>
      </c>
      <c r="F248" s="3">
        <f t="shared" ca="1" si="6"/>
        <v>0.53061974933629219</v>
      </c>
      <c r="G248" s="3">
        <f t="shared" ca="1" si="7"/>
        <v>5.5754442308022547</v>
      </c>
      <c r="H248" s="2"/>
      <c r="I248" s="2"/>
      <c r="J248" s="2"/>
      <c r="K248" s="2"/>
    </row>
    <row r="249" spans="5:11" x14ac:dyDescent="0.25">
      <c r="E249" s="3">
        <f t="shared" ca="1" si="6"/>
        <v>0.32053668425085691</v>
      </c>
      <c r="F249" s="3">
        <f t="shared" ca="1" si="6"/>
        <v>0.31354633422637823</v>
      </c>
      <c r="G249" s="3">
        <f t="shared" ca="1" si="7"/>
        <v>5.0062445612964384</v>
      </c>
      <c r="H249" s="2"/>
      <c r="I249" s="2"/>
      <c r="J249" s="2"/>
      <c r="K249" s="2"/>
    </row>
    <row r="250" spans="5:11" x14ac:dyDescent="0.25">
      <c r="E250" s="3">
        <f t="shared" ca="1" si="6"/>
        <v>0.12912721843742148</v>
      </c>
      <c r="F250" s="3">
        <f t="shared" ca="1" si="6"/>
        <v>0.4484427890236472</v>
      </c>
      <c r="G250" s="3">
        <f t="shared" ca="1" si="7"/>
        <v>8.7696718397848787</v>
      </c>
      <c r="H250" s="2"/>
      <c r="I250" s="2"/>
      <c r="J250" s="2"/>
      <c r="K250" s="2"/>
    </row>
    <row r="251" spans="5:11" x14ac:dyDescent="0.25">
      <c r="E251" s="3">
        <f t="shared" ca="1" si="6"/>
        <v>0.78335205636386618</v>
      </c>
      <c r="F251" s="3">
        <f t="shared" ca="1" si="6"/>
        <v>0.71400555585671188</v>
      </c>
      <c r="G251" s="3">
        <f t="shared" ca="1" si="7"/>
        <v>7.4859690861406714</v>
      </c>
      <c r="H251" s="2"/>
      <c r="I251" s="2"/>
      <c r="J251" s="2"/>
      <c r="K251" s="2"/>
    </row>
    <row r="252" spans="5:11" x14ac:dyDescent="0.25">
      <c r="E252" s="3">
        <f t="shared" ca="1" si="6"/>
        <v>0.99519780470259778</v>
      </c>
      <c r="F252" s="3">
        <f t="shared" ca="1" si="6"/>
        <v>0.82889285719976158</v>
      </c>
      <c r="G252" s="3">
        <f t="shared" ca="1" si="7"/>
        <v>14.130098921444297</v>
      </c>
      <c r="H252" s="2"/>
      <c r="I252" s="2"/>
      <c r="J252" s="2"/>
      <c r="K252" s="2"/>
    </row>
    <row r="253" spans="5:11" x14ac:dyDescent="0.25">
      <c r="E253" s="3">
        <f t="shared" ca="1" si="6"/>
        <v>0.32792672184243599</v>
      </c>
      <c r="F253" s="3">
        <f t="shared" ca="1" si="6"/>
        <v>0.22395567806108663</v>
      </c>
      <c r="G253" s="3">
        <f t="shared" ca="1" si="7"/>
        <v>4.5193590370934933</v>
      </c>
      <c r="H253" s="2"/>
      <c r="I253" s="2"/>
      <c r="J253" s="2"/>
      <c r="K253" s="2"/>
    </row>
    <row r="254" spans="5:11" x14ac:dyDescent="0.25">
      <c r="E254" s="3">
        <f t="shared" ca="1" si="6"/>
        <v>0.16790031228285573</v>
      </c>
      <c r="F254" s="3">
        <f t="shared" ca="1" si="6"/>
        <v>0.6968234087978662</v>
      </c>
      <c r="G254" s="3">
        <f t="shared" ca="1" si="7"/>
        <v>9.9696835772566992</v>
      </c>
      <c r="H254" s="2"/>
      <c r="I254" s="2"/>
      <c r="J254" s="2"/>
      <c r="K254" s="2"/>
    </row>
    <row r="255" spans="5:11" x14ac:dyDescent="0.25">
      <c r="E255" s="3">
        <f t="shared" ca="1" si="6"/>
        <v>0.14373611514006934</v>
      </c>
      <c r="F255" s="3">
        <f t="shared" ca="1" si="6"/>
        <v>0.4201325001670817</v>
      </c>
      <c r="G255" s="3">
        <f t="shared" ca="1" si="7"/>
        <v>8.3139714287798174</v>
      </c>
      <c r="H255" s="2"/>
      <c r="I255" s="2"/>
      <c r="J255" s="2"/>
      <c r="K255" s="2"/>
    </row>
    <row r="256" spans="5:11" x14ac:dyDescent="0.25">
      <c r="E256" s="3">
        <f t="shared" ca="1" si="6"/>
        <v>0.98915031650492347</v>
      </c>
      <c r="F256" s="3">
        <f t="shared" ca="1" si="6"/>
        <v>0.95316607797990904</v>
      </c>
      <c r="G256" s="3">
        <f t="shared" ca="1" si="7"/>
        <v>15.827226775484647</v>
      </c>
      <c r="H256" s="2"/>
      <c r="I256" s="2"/>
      <c r="J256" s="2"/>
      <c r="K256" s="2"/>
    </row>
    <row r="257" spans="5:11" x14ac:dyDescent="0.25">
      <c r="E257" s="3">
        <f t="shared" ca="1" si="6"/>
        <v>0.62634397667805464</v>
      </c>
      <c r="F257" s="3">
        <f t="shared" ca="1" si="6"/>
        <v>1.0741161913131014E-2</v>
      </c>
      <c r="G257" s="3">
        <f t="shared" ca="1" si="7"/>
        <v>7.0551434455306756</v>
      </c>
      <c r="H257" s="2"/>
      <c r="I257" s="2"/>
      <c r="J257" s="2"/>
      <c r="K257" s="2"/>
    </row>
    <row r="258" spans="5:11" x14ac:dyDescent="0.25">
      <c r="E258" s="3">
        <f t="shared" ca="1" si="6"/>
        <v>4.4242897116026914E-2</v>
      </c>
      <c r="F258" s="3">
        <f t="shared" ca="1" si="6"/>
        <v>0.4208074151306983</v>
      </c>
      <c r="G258" s="3">
        <f t="shared" ca="1" si="7"/>
        <v>11.303627343609174</v>
      </c>
      <c r="H258" s="2"/>
      <c r="I258" s="2"/>
      <c r="J258" s="2"/>
      <c r="K258" s="2"/>
    </row>
    <row r="259" spans="5:11" x14ac:dyDescent="0.25">
      <c r="E259" s="3">
        <f t="shared" ca="1" si="6"/>
        <v>0.84217767480118277</v>
      </c>
      <c r="F259" s="3">
        <f t="shared" ca="1" si="6"/>
        <v>0.40727603185044303</v>
      </c>
      <c r="G259" s="3">
        <f t="shared" ca="1" si="7"/>
        <v>4.3107445003766269</v>
      </c>
      <c r="H259" s="2"/>
      <c r="I259" s="2"/>
      <c r="J259" s="2"/>
      <c r="K259" s="2"/>
    </row>
    <row r="260" spans="5:11" x14ac:dyDescent="0.25">
      <c r="E260" s="3">
        <f t="shared" ref="E260:F323" ca="1" si="8">RAND()</f>
        <v>0.95903087422128153</v>
      </c>
      <c r="F260" s="3">
        <f t="shared" ca="1" si="8"/>
        <v>0.58293049461636415</v>
      </c>
      <c r="G260" s="3">
        <f t="shared" ref="G260:G323" ca="1" si="9">SQRT(_xlfn.NORM.INV(E260,$C$3*COS($C$6),$C$4)^2+_xlfn.NORM.INV(F260,$C$3*SIN($C$6),$C$4)^2)</f>
        <v>8.4932093144104339</v>
      </c>
      <c r="H260" s="2"/>
      <c r="I260" s="2"/>
      <c r="J260" s="2"/>
      <c r="K260" s="2"/>
    </row>
    <row r="261" spans="5:11" x14ac:dyDescent="0.25">
      <c r="E261" s="3">
        <f t="shared" ca="1" si="8"/>
        <v>0.52319170523262781</v>
      </c>
      <c r="F261" s="3">
        <f t="shared" ca="1" si="8"/>
        <v>0.9602260552281614</v>
      </c>
      <c r="G261" s="3">
        <f t="shared" ca="1" si="9"/>
        <v>13.379358269714672</v>
      </c>
      <c r="H261" s="2"/>
      <c r="I261" s="2"/>
      <c r="J261" s="2"/>
      <c r="K261" s="2"/>
    </row>
    <row r="262" spans="5:11" x14ac:dyDescent="0.25">
      <c r="E262" s="3">
        <f t="shared" ca="1" si="8"/>
        <v>0.27012522236063319</v>
      </c>
      <c r="F262" s="3">
        <f t="shared" ca="1" si="8"/>
        <v>0.2999236976964097</v>
      </c>
      <c r="G262" s="3">
        <f t="shared" ca="1" si="9"/>
        <v>5.6149715168265466</v>
      </c>
      <c r="H262" s="2"/>
      <c r="I262" s="2"/>
      <c r="J262" s="2"/>
      <c r="K262" s="2"/>
    </row>
    <row r="263" spans="5:11" x14ac:dyDescent="0.25">
      <c r="E263" s="3">
        <f t="shared" ca="1" si="8"/>
        <v>0.55460990559778167</v>
      </c>
      <c r="F263" s="3">
        <f t="shared" ca="1" si="8"/>
        <v>0.91220493059133745</v>
      </c>
      <c r="G263" s="3">
        <f t="shared" ca="1" si="9"/>
        <v>11.349141318409837</v>
      </c>
      <c r="H263" s="2"/>
      <c r="I263" s="2"/>
      <c r="J263" s="2"/>
      <c r="K263" s="2"/>
    </row>
    <row r="264" spans="5:11" x14ac:dyDescent="0.25">
      <c r="E264" s="3">
        <f t="shared" ca="1" si="8"/>
        <v>0.64176655390004256</v>
      </c>
      <c r="F264" s="3">
        <f t="shared" ca="1" si="8"/>
        <v>0.90816222162076898</v>
      </c>
      <c r="G264" s="3">
        <f t="shared" ca="1" si="9"/>
        <v>11.125696405276095</v>
      </c>
      <c r="H264" s="2"/>
      <c r="I264" s="2"/>
      <c r="J264" s="2"/>
      <c r="K264" s="2"/>
    </row>
    <row r="265" spans="5:11" x14ac:dyDescent="0.25">
      <c r="E265" s="3">
        <f t="shared" ca="1" si="8"/>
        <v>0.7213531989200973</v>
      </c>
      <c r="F265" s="3">
        <f t="shared" ca="1" si="8"/>
        <v>0.24419979799854163</v>
      </c>
      <c r="G265" s="3">
        <f t="shared" ca="1" si="9"/>
        <v>1.2218912050842563</v>
      </c>
      <c r="H265" s="2"/>
      <c r="I265" s="2"/>
      <c r="J265" s="2"/>
      <c r="K265" s="2"/>
    </row>
    <row r="266" spans="5:11" x14ac:dyDescent="0.25">
      <c r="E266" s="3">
        <f t="shared" ca="1" si="8"/>
        <v>0.88949060824583515</v>
      </c>
      <c r="F266" s="3">
        <f t="shared" ca="1" si="8"/>
        <v>0.38461135250698786</v>
      </c>
      <c r="G266" s="3">
        <f t="shared" ca="1" si="9"/>
        <v>4.9053905113960976</v>
      </c>
      <c r="H266" s="2"/>
      <c r="I266" s="2"/>
      <c r="J266" s="2"/>
      <c r="K266" s="2"/>
    </row>
    <row r="267" spans="5:11" x14ac:dyDescent="0.25">
      <c r="E267" s="3">
        <f t="shared" ca="1" si="8"/>
        <v>0.3932501028077221</v>
      </c>
      <c r="F267" s="3">
        <f t="shared" ca="1" si="8"/>
        <v>0.91737987256619524</v>
      </c>
      <c r="G267" s="3">
        <f t="shared" ca="1" si="9"/>
        <v>11.961213437126714</v>
      </c>
      <c r="H267" s="2"/>
      <c r="I267" s="2"/>
      <c r="J267" s="2"/>
      <c r="K267" s="2"/>
    </row>
    <row r="268" spans="5:11" x14ac:dyDescent="0.25">
      <c r="E268" s="3">
        <f t="shared" ca="1" si="8"/>
        <v>0.62395322393375785</v>
      </c>
      <c r="F268" s="3">
        <f t="shared" ca="1" si="8"/>
        <v>0.88056412254725835</v>
      </c>
      <c r="G268" s="3">
        <f t="shared" ca="1" si="9"/>
        <v>10.380106319762952</v>
      </c>
      <c r="H268" s="2"/>
      <c r="I268" s="2"/>
      <c r="J268" s="2"/>
      <c r="K268" s="2"/>
    </row>
    <row r="269" spans="5:11" x14ac:dyDescent="0.25">
      <c r="E269" s="3">
        <f t="shared" ca="1" si="8"/>
        <v>0.42495159091746892</v>
      </c>
      <c r="F269" s="3">
        <f t="shared" ca="1" si="8"/>
        <v>0.81099962014660532</v>
      </c>
      <c r="G269" s="3">
        <f t="shared" ca="1" si="9"/>
        <v>9.4324767906206262</v>
      </c>
      <c r="H269" s="2"/>
      <c r="I269" s="2"/>
      <c r="J269" s="2"/>
      <c r="K269" s="2"/>
    </row>
    <row r="270" spans="5:11" x14ac:dyDescent="0.25">
      <c r="E270" s="3">
        <f t="shared" ca="1" si="8"/>
        <v>0.64006611860180218</v>
      </c>
      <c r="F270" s="3">
        <f t="shared" ca="1" si="8"/>
        <v>0.20612351054600897</v>
      </c>
      <c r="G270" s="3">
        <f t="shared" ca="1" si="9"/>
        <v>0.58057526328634868</v>
      </c>
      <c r="H270" s="2"/>
      <c r="I270" s="2"/>
      <c r="J270" s="2"/>
      <c r="K270" s="2"/>
    </row>
    <row r="271" spans="5:11" x14ac:dyDescent="0.25">
      <c r="E271" s="3">
        <f t="shared" ca="1" si="8"/>
        <v>0.32425253244055241</v>
      </c>
      <c r="F271" s="3">
        <f t="shared" ca="1" si="8"/>
        <v>0.3600994480995745</v>
      </c>
      <c r="G271" s="3">
        <f t="shared" ca="1" si="9"/>
        <v>5.2539160133292837</v>
      </c>
      <c r="H271" s="2"/>
      <c r="I271" s="2"/>
      <c r="J271" s="2"/>
      <c r="K271" s="2"/>
    </row>
    <row r="272" spans="5:11" x14ac:dyDescent="0.25">
      <c r="E272" s="3">
        <f t="shared" ca="1" si="8"/>
        <v>0.45471544441241118</v>
      </c>
      <c r="F272" s="3">
        <f t="shared" ca="1" si="8"/>
        <v>4.556893914197413E-2</v>
      </c>
      <c r="G272" s="3">
        <f t="shared" ca="1" si="9"/>
        <v>4.8691897337804262</v>
      </c>
      <c r="H272" s="2"/>
      <c r="I272" s="2"/>
      <c r="J272" s="2"/>
      <c r="K272" s="2"/>
    </row>
    <row r="273" spans="5:11" x14ac:dyDescent="0.25">
      <c r="E273" s="3">
        <f t="shared" ca="1" si="8"/>
        <v>0.72615035792504212</v>
      </c>
      <c r="F273" s="3">
        <f t="shared" ca="1" si="8"/>
        <v>0.22641819159163212</v>
      </c>
      <c r="G273" s="3">
        <f t="shared" ca="1" si="9"/>
        <v>1.0486488575474604</v>
      </c>
      <c r="H273" s="2"/>
      <c r="I273" s="2"/>
      <c r="J273" s="2"/>
      <c r="K273" s="2"/>
    </row>
    <row r="274" spans="5:11" x14ac:dyDescent="0.25">
      <c r="E274" s="3">
        <f t="shared" ca="1" si="8"/>
        <v>0.76104407294271015</v>
      </c>
      <c r="F274" s="3">
        <f t="shared" ca="1" si="8"/>
        <v>0.76524010417741128</v>
      </c>
      <c r="G274" s="3">
        <f t="shared" ca="1" si="9"/>
        <v>8.191384439853973</v>
      </c>
      <c r="H274" s="2"/>
      <c r="I274" s="2"/>
      <c r="J274" s="2"/>
      <c r="K274" s="2"/>
    </row>
    <row r="275" spans="5:11" x14ac:dyDescent="0.25">
      <c r="E275" s="3">
        <f t="shared" ca="1" si="8"/>
        <v>0.58289464462334961</v>
      </c>
      <c r="F275" s="3">
        <f t="shared" ca="1" si="8"/>
        <v>0.92190688336648374</v>
      </c>
      <c r="G275" s="3">
        <f t="shared" ca="1" si="9"/>
        <v>11.621543722042269</v>
      </c>
      <c r="H275" s="2"/>
      <c r="I275" s="2"/>
      <c r="J275" s="2"/>
      <c r="K275" s="2"/>
    </row>
    <row r="276" spans="5:11" x14ac:dyDescent="0.25">
      <c r="E276" s="3">
        <f t="shared" ca="1" si="8"/>
        <v>0.37987704763191821</v>
      </c>
      <c r="F276" s="3">
        <f t="shared" ca="1" si="8"/>
        <v>0.58686629344835839</v>
      </c>
      <c r="G276" s="3">
        <f t="shared" ca="1" si="9"/>
        <v>6.7234409377653712</v>
      </c>
      <c r="H276" s="2"/>
      <c r="I276" s="2"/>
      <c r="J276" s="2"/>
      <c r="K276" s="2"/>
    </row>
    <row r="277" spans="5:11" x14ac:dyDescent="0.25">
      <c r="E277" s="3">
        <f t="shared" ca="1" si="8"/>
        <v>0.38491235330183216</v>
      </c>
      <c r="F277" s="3">
        <f t="shared" ca="1" si="8"/>
        <v>0.68618218667124753</v>
      </c>
      <c r="G277" s="3">
        <f t="shared" ca="1" si="9"/>
        <v>7.8268667758286901</v>
      </c>
      <c r="H277" s="2"/>
      <c r="I277" s="2"/>
      <c r="J277" s="2"/>
      <c r="K277" s="2"/>
    </row>
    <row r="278" spans="5:11" x14ac:dyDescent="0.25">
      <c r="E278" s="3">
        <f t="shared" ca="1" si="8"/>
        <v>0.58532217812073462</v>
      </c>
      <c r="F278" s="3">
        <f t="shared" ca="1" si="8"/>
        <v>2.0252687404612946E-2</v>
      </c>
      <c r="G278" s="3">
        <f t="shared" ca="1" si="9"/>
        <v>5.8887368229879371</v>
      </c>
      <c r="H278" s="2"/>
      <c r="I278" s="2"/>
      <c r="J278" s="2"/>
      <c r="K278" s="2"/>
    </row>
    <row r="279" spans="5:11" x14ac:dyDescent="0.25">
      <c r="E279" s="3">
        <f t="shared" ca="1" si="8"/>
        <v>0.54645095196889681</v>
      </c>
      <c r="F279" s="3">
        <f t="shared" ca="1" si="8"/>
        <v>0.35927072138934657</v>
      </c>
      <c r="G279" s="3">
        <f t="shared" ca="1" si="9"/>
        <v>3.1405601876992724</v>
      </c>
      <c r="H279" s="2"/>
      <c r="I279" s="2"/>
      <c r="J279" s="2"/>
      <c r="K279" s="2"/>
    </row>
    <row r="280" spans="5:11" x14ac:dyDescent="0.25">
      <c r="E280" s="3">
        <f t="shared" ca="1" si="8"/>
        <v>0.99650394108819551</v>
      </c>
      <c r="F280" s="3">
        <f t="shared" ca="1" si="8"/>
        <v>0.53952586948760406</v>
      </c>
      <c r="G280" s="3">
        <f t="shared" ca="1" si="9"/>
        <v>12.293468401703175</v>
      </c>
      <c r="H280" s="2"/>
      <c r="I280" s="2"/>
      <c r="J280" s="2"/>
      <c r="K280" s="2"/>
    </row>
    <row r="281" spans="5:11" x14ac:dyDescent="0.25">
      <c r="E281" s="3">
        <f t="shared" ca="1" si="8"/>
        <v>0.24202608901329115</v>
      </c>
      <c r="F281" s="3">
        <f t="shared" ca="1" si="8"/>
        <v>0.96781472735170793</v>
      </c>
      <c r="G281" s="3">
        <f t="shared" ca="1" si="9"/>
        <v>14.87024075255079</v>
      </c>
      <c r="H281" s="2"/>
      <c r="I281" s="2"/>
      <c r="J281" s="2"/>
      <c r="K281" s="2"/>
    </row>
    <row r="282" spans="5:11" x14ac:dyDescent="0.25">
      <c r="E282" s="3">
        <f t="shared" ca="1" si="8"/>
        <v>0.56441066880043433</v>
      </c>
      <c r="F282" s="3">
        <f t="shared" ca="1" si="8"/>
        <v>0.41129792157107237</v>
      </c>
      <c r="G282" s="3">
        <f t="shared" ca="1" si="9"/>
        <v>3.641302112847927</v>
      </c>
      <c r="H282" s="2"/>
      <c r="I282" s="2"/>
      <c r="J282" s="2"/>
      <c r="K282" s="2"/>
    </row>
    <row r="283" spans="5:11" x14ac:dyDescent="0.25">
      <c r="E283" s="3">
        <f t="shared" ca="1" si="8"/>
        <v>0.15036875931666527</v>
      </c>
      <c r="F283" s="3">
        <f t="shared" ca="1" si="8"/>
        <v>0.28096455060114667</v>
      </c>
      <c r="G283" s="3">
        <f t="shared" ca="1" si="9"/>
        <v>7.5790485027428369</v>
      </c>
      <c r="H283" s="2"/>
      <c r="I283" s="2"/>
      <c r="J283" s="2"/>
      <c r="K283" s="2"/>
    </row>
    <row r="284" spans="5:11" x14ac:dyDescent="0.25">
      <c r="E284" s="3">
        <f t="shared" ca="1" si="8"/>
        <v>0.52206565435415087</v>
      </c>
      <c r="F284" s="3">
        <f t="shared" ca="1" si="8"/>
        <v>0.31513544438083541</v>
      </c>
      <c r="G284" s="3">
        <f t="shared" ca="1" si="9"/>
        <v>2.8483401692457697</v>
      </c>
      <c r="H284" s="2"/>
      <c r="I284" s="2"/>
      <c r="J284" s="2"/>
      <c r="K284" s="2"/>
    </row>
    <row r="285" spans="5:11" x14ac:dyDescent="0.25">
      <c r="E285" s="3">
        <f t="shared" ca="1" si="8"/>
        <v>0.11764255595849138</v>
      </c>
      <c r="F285" s="3">
        <f t="shared" ca="1" si="8"/>
        <v>0.83327163567017282</v>
      </c>
      <c r="G285" s="3">
        <f t="shared" ca="1" si="9"/>
        <v>12.386431938884749</v>
      </c>
      <c r="H285" s="2"/>
      <c r="I285" s="2"/>
      <c r="J285" s="2"/>
      <c r="K285" s="2"/>
    </row>
    <row r="286" spans="5:11" x14ac:dyDescent="0.25">
      <c r="E286" s="3">
        <f t="shared" ca="1" si="8"/>
        <v>0.5737533213264332</v>
      </c>
      <c r="F286" s="3">
        <f t="shared" ca="1" si="8"/>
        <v>0.9936672669133616</v>
      </c>
      <c r="G286" s="3">
        <f t="shared" ca="1" si="9"/>
        <v>16.985825574850772</v>
      </c>
      <c r="H286" s="2"/>
      <c r="I286" s="2"/>
      <c r="J286" s="2"/>
      <c r="K286" s="2"/>
    </row>
    <row r="287" spans="5:11" x14ac:dyDescent="0.25">
      <c r="E287" s="3">
        <f t="shared" ca="1" si="8"/>
        <v>4.5038835928161269E-2</v>
      </c>
      <c r="F287" s="3">
        <f t="shared" ca="1" si="8"/>
        <v>0.88638897938402339</v>
      </c>
      <c r="G287" s="3">
        <f t="shared" ca="1" si="9"/>
        <v>15.007659824213135</v>
      </c>
      <c r="H287" s="2"/>
      <c r="I287" s="2"/>
      <c r="J287" s="2"/>
      <c r="K287" s="2"/>
    </row>
    <row r="288" spans="5:11" x14ac:dyDescent="0.25">
      <c r="E288" s="3">
        <f t="shared" ca="1" si="8"/>
        <v>7.1426159849499071E-2</v>
      </c>
      <c r="F288" s="3">
        <f t="shared" ca="1" si="8"/>
        <v>0.75187243408150983</v>
      </c>
      <c r="G288" s="3">
        <f t="shared" ca="1" si="9"/>
        <v>12.389025701840117</v>
      </c>
      <c r="H288" s="2"/>
      <c r="I288" s="2"/>
      <c r="J288" s="2"/>
      <c r="K288" s="2"/>
    </row>
    <row r="289" spans="5:11" x14ac:dyDescent="0.25">
      <c r="E289" s="3">
        <f t="shared" ca="1" si="8"/>
        <v>0.46157184845677157</v>
      </c>
      <c r="F289" s="3">
        <f t="shared" ca="1" si="8"/>
        <v>0.31962447685280237</v>
      </c>
      <c r="G289" s="3">
        <f t="shared" ca="1" si="9"/>
        <v>3.4545916596801143</v>
      </c>
      <c r="H289" s="2"/>
      <c r="I289" s="2"/>
      <c r="J289" s="2"/>
      <c r="K289" s="2"/>
    </row>
    <row r="290" spans="5:11" x14ac:dyDescent="0.25">
      <c r="E290" s="3">
        <f t="shared" ca="1" si="8"/>
        <v>0.24186600669219915</v>
      </c>
      <c r="F290" s="3">
        <f t="shared" ca="1" si="8"/>
        <v>0.39717014669844264</v>
      </c>
      <c r="G290" s="3">
        <f t="shared" ca="1" si="9"/>
        <v>6.55721526339698</v>
      </c>
      <c r="H290" s="2"/>
      <c r="I290" s="2"/>
      <c r="J290" s="2"/>
      <c r="K290" s="2"/>
    </row>
    <row r="291" spans="5:11" x14ac:dyDescent="0.25">
      <c r="E291" s="3">
        <f t="shared" ca="1" si="8"/>
        <v>0.27913635392466829</v>
      </c>
      <c r="F291" s="3">
        <f t="shared" ca="1" si="8"/>
        <v>0.1202210086046549</v>
      </c>
      <c r="G291" s="3">
        <f t="shared" ca="1" si="9"/>
        <v>5.3535562937479133</v>
      </c>
      <c r="H291" s="2"/>
      <c r="I291" s="2"/>
      <c r="J291" s="2"/>
      <c r="K291" s="2"/>
    </row>
    <row r="292" spans="5:11" x14ac:dyDescent="0.25">
      <c r="E292" s="3">
        <f t="shared" ca="1" si="8"/>
        <v>9.8130645571944286E-2</v>
      </c>
      <c r="F292" s="3">
        <f t="shared" ca="1" si="8"/>
        <v>0.63044095074619233</v>
      </c>
      <c r="G292" s="3">
        <f t="shared" ca="1" si="9"/>
        <v>10.647057249033605</v>
      </c>
      <c r="H292" s="2"/>
      <c r="I292" s="2"/>
      <c r="J292" s="2"/>
      <c r="K292" s="2"/>
    </row>
    <row r="293" spans="5:11" x14ac:dyDescent="0.25">
      <c r="E293" s="3">
        <f t="shared" ca="1" si="8"/>
        <v>0.11848406252389143</v>
      </c>
      <c r="F293" s="3">
        <f t="shared" ca="1" si="8"/>
        <v>0.1082382832354295</v>
      </c>
      <c r="G293" s="3">
        <f t="shared" ca="1" si="9"/>
        <v>8.3307055623566839</v>
      </c>
      <c r="H293" s="2"/>
      <c r="I293" s="2"/>
      <c r="J293" s="2"/>
      <c r="K293" s="2"/>
    </row>
    <row r="294" spans="5:11" x14ac:dyDescent="0.25">
      <c r="E294" s="3">
        <f t="shared" ca="1" si="8"/>
        <v>0.34143284436961707</v>
      </c>
      <c r="F294" s="3">
        <f t="shared" ca="1" si="8"/>
        <v>0.66015276461842476</v>
      </c>
      <c r="G294" s="3">
        <f t="shared" ca="1" si="9"/>
        <v>7.8130352018956524</v>
      </c>
      <c r="H294" s="2"/>
      <c r="I294" s="2"/>
      <c r="J294" s="2"/>
      <c r="K294" s="2"/>
    </row>
    <row r="295" spans="5:11" x14ac:dyDescent="0.25">
      <c r="E295" s="3">
        <f t="shared" ca="1" si="8"/>
        <v>0.7443012473358166</v>
      </c>
      <c r="F295" s="3">
        <f t="shared" ca="1" si="8"/>
        <v>7.3580617571631146E-2</v>
      </c>
      <c r="G295" s="3">
        <f t="shared" ca="1" si="9"/>
        <v>2.9674903949276725</v>
      </c>
      <c r="H295" s="2"/>
      <c r="I295" s="2"/>
      <c r="J295" s="2"/>
      <c r="K295" s="2"/>
    </row>
    <row r="296" spans="5:11" x14ac:dyDescent="0.25">
      <c r="E296" s="3">
        <f t="shared" ca="1" si="8"/>
        <v>0.22777985294586345</v>
      </c>
      <c r="F296" s="3">
        <f t="shared" ca="1" si="8"/>
        <v>0.27336208115331229</v>
      </c>
      <c r="G296" s="3">
        <f t="shared" ca="1" si="9"/>
        <v>6.1463512067388866</v>
      </c>
      <c r="H296" s="2"/>
      <c r="I296" s="2"/>
      <c r="J296" s="2"/>
      <c r="K296" s="2"/>
    </row>
    <row r="297" spans="5:11" x14ac:dyDescent="0.25">
      <c r="E297" s="3">
        <f t="shared" ca="1" si="8"/>
        <v>0.74319175761075651</v>
      </c>
      <c r="F297" s="3">
        <f t="shared" ca="1" si="8"/>
        <v>0.3797212644099186</v>
      </c>
      <c r="G297" s="3">
        <f t="shared" ca="1" si="9"/>
        <v>3.1127699374101487</v>
      </c>
      <c r="H297" s="2"/>
      <c r="I297" s="2"/>
      <c r="J297" s="2"/>
      <c r="K297" s="2"/>
    </row>
    <row r="298" spans="5:11" x14ac:dyDescent="0.25">
      <c r="E298" s="3">
        <f t="shared" ca="1" si="8"/>
        <v>0.6723891987345052</v>
      </c>
      <c r="F298" s="3">
        <f t="shared" ca="1" si="8"/>
        <v>0.71507290052875572</v>
      </c>
      <c r="G298" s="3">
        <f t="shared" ca="1" si="9"/>
        <v>7.3113186452223582</v>
      </c>
      <c r="H298" s="2"/>
      <c r="I298" s="2"/>
      <c r="J298" s="2"/>
      <c r="K298" s="2"/>
    </row>
    <row r="299" spans="5:11" x14ac:dyDescent="0.25">
      <c r="E299" s="3">
        <f t="shared" ca="1" si="8"/>
        <v>0.39472979958857979</v>
      </c>
      <c r="F299" s="3">
        <f t="shared" ca="1" si="8"/>
        <v>0.53293469270122251</v>
      </c>
      <c r="G299" s="3">
        <f t="shared" ca="1" si="9"/>
        <v>6.0522410058188907</v>
      </c>
      <c r="H299" s="2"/>
      <c r="I299" s="2"/>
      <c r="J299" s="2"/>
      <c r="K299" s="2"/>
    </row>
    <row r="300" spans="5:11" x14ac:dyDescent="0.25">
      <c r="E300" s="3">
        <f t="shared" ca="1" si="8"/>
        <v>0.56318475209463303</v>
      </c>
      <c r="F300" s="3">
        <f t="shared" ca="1" si="8"/>
        <v>0.86409263667537006</v>
      </c>
      <c r="G300" s="3">
        <f t="shared" ca="1" si="9"/>
        <v>10.068694964245736</v>
      </c>
      <c r="H300" s="2"/>
      <c r="I300" s="2"/>
      <c r="J300" s="2"/>
      <c r="K300" s="2"/>
    </row>
    <row r="301" spans="5:11" x14ac:dyDescent="0.25">
      <c r="E301" s="3">
        <f t="shared" ca="1" si="8"/>
        <v>0.50251223567098235</v>
      </c>
      <c r="F301" s="3">
        <f t="shared" ca="1" si="8"/>
        <v>0.56436814385214251</v>
      </c>
      <c r="G301" s="3">
        <f t="shared" ca="1" si="9"/>
        <v>5.723653351494745</v>
      </c>
      <c r="H301" s="2"/>
      <c r="I301" s="2"/>
      <c r="J301" s="2"/>
      <c r="K301" s="2"/>
    </row>
    <row r="302" spans="5:11" x14ac:dyDescent="0.25">
      <c r="E302" s="3">
        <f t="shared" ca="1" si="8"/>
        <v>0.35911361563259059</v>
      </c>
      <c r="F302" s="3">
        <f t="shared" ca="1" si="8"/>
        <v>0.49438464427889439</v>
      </c>
      <c r="G302" s="3">
        <f t="shared" ca="1" si="9"/>
        <v>5.9761689160213303</v>
      </c>
      <c r="H302" s="2"/>
      <c r="I302" s="2"/>
      <c r="J302" s="2"/>
      <c r="K302" s="2"/>
    </row>
    <row r="303" spans="5:11" x14ac:dyDescent="0.25">
      <c r="E303" s="3">
        <f t="shared" ca="1" si="8"/>
        <v>0.37074332910700392</v>
      </c>
      <c r="F303" s="3">
        <f t="shared" ca="1" si="8"/>
        <v>0.96791630081164892</v>
      </c>
      <c r="G303" s="3">
        <f t="shared" ca="1" si="9"/>
        <v>14.265613315884586</v>
      </c>
      <c r="H303" s="2"/>
      <c r="I303" s="2"/>
      <c r="J303" s="2"/>
      <c r="K303" s="2"/>
    </row>
    <row r="304" spans="5:11" x14ac:dyDescent="0.25">
      <c r="E304" s="3">
        <f t="shared" ca="1" si="8"/>
        <v>0.17988515623850287</v>
      </c>
      <c r="F304" s="3">
        <f t="shared" ca="1" si="8"/>
        <v>0.80035302414719733</v>
      </c>
      <c r="G304" s="3">
        <f t="shared" ca="1" si="9"/>
        <v>11.041862985040956</v>
      </c>
      <c r="H304" s="2"/>
      <c r="I304" s="2"/>
      <c r="J304" s="2"/>
      <c r="K304" s="2"/>
    </row>
    <row r="305" spans="5:11" x14ac:dyDescent="0.25">
      <c r="E305" s="3">
        <f t="shared" ca="1" si="8"/>
        <v>0.58704722149335808</v>
      </c>
      <c r="F305" s="3">
        <f t="shared" ca="1" si="8"/>
        <v>0.66898795974626102</v>
      </c>
      <c r="G305" s="3">
        <f t="shared" ca="1" si="9"/>
        <v>6.7526109579202398</v>
      </c>
      <c r="H305" s="2"/>
      <c r="I305" s="2"/>
      <c r="J305" s="2"/>
      <c r="K305" s="2"/>
    </row>
    <row r="306" spans="5:11" x14ac:dyDescent="0.25">
      <c r="E306" s="3">
        <f t="shared" ca="1" si="8"/>
        <v>0.53390471202806833</v>
      </c>
      <c r="F306" s="3">
        <f t="shared" ca="1" si="8"/>
        <v>0.20581902297165255</v>
      </c>
      <c r="G306" s="3">
        <f t="shared" ca="1" si="9"/>
        <v>1.8512440614348553</v>
      </c>
      <c r="H306" s="2"/>
      <c r="I306" s="2"/>
      <c r="J306" s="2"/>
      <c r="K306" s="2"/>
    </row>
    <row r="307" spans="5:11" x14ac:dyDescent="0.25">
      <c r="E307" s="3">
        <f t="shared" ca="1" si="8"/>
        <v>0.49949003271952885</v>
      </c>
      <c r="F307" s="3">
        <f t="shared" ca="1" si="8"/>
        <v>0.54571468747743679</v>
      </c>
      <c r="G307" s="3">
        <f t="shared" ca="1" si="9"/>
        <v>5.5219378686879352</v>
      </c>
      <c r="H307" s="2"/>
      <c r="I307" s="2"/>
      <c r="J307" s="2"/>
      <c r="K307" s="2"/>
    </row>
    <row r="308" spans="5:11" x14ac:dyDescent="0.25">
      <c r="E308" s="3">
        <f t="shared" ca="1" si="8"/>
        <v>0.45594136785063233</v>
      </c>
      <c r="F308" s="3">
        <f t="shared" ca="1" si="8"/>
        <v>8.9994012740620244E-2</v>
      </c>
      <c r="G308" s="3">
        <f t="shared" ca="1" si="9"/>
        <v>3.5770581255697964</v>
      </c>
      <c r="H308" s="2"/>
      <c r="I308" s="2"/>
      <c r="J308" s="2"/>
      <c r="K308" s="2"/>
    </row>
    <row r="309" spans="5:11" x14ac:dyDescent="0.25">
      <c r="E309" s="3">
        <f t="shared" ca="1" si="8"/>
        <v>6.3323472528778013E-2</v>
      </c>
      <c r="F309" s="3">
        <f t="shared" ca="1" si="8"/>
        <v>0.64277141425025419</v>
      </c>
      <c r="G309" s="3">
        <f t="shared" ca="1" si="9"/>
        <v>11.715384365737439</v>
      </c>
      <c r="H309" s="2"/>
      <c r="I309" s="2"/>
      <c r="J309" s="2"/>
      <c r="K309" s="2"/>
    </row>
    <row r="310" spans="5:11" x14ac:dyDescent="0.25">
      <c r="E310" s="3">
        <f t="shared" ca="1" si="8"/>
        <v>0.28646162329355085</v>
      </c>
      <c r="F310" s="3">
        <f t="shared" ca="1" si="8"/>
        <v>8.2063606445950343E-2</v>
      </c>
      <c r="G310" s="3">
        <f t="shared" ca="1" si="9"/>
        <v>5.6372079737853413</v>
      </c>
      <c r="H310" s="2"/>
      <c r="I310" s="2"/>
      <c r="J310" s="2"/>
      <c r="K310" s="2"/>
    </row>
    <row r="311" spans="5:11" x14ac:dyDescent="0.25">
      <c r="E311" s="3">
        <f t="shared" ca="1" si="8"/>
        <v>0.74154480278696189</v>
      </c>
      <c r="F311" s="3">
        <f t="shared" ca="1" si="8"/>
        <v>0.53598034861324184</v>
      </c>
      <c r="G311" s="3">
        <f t="shared" ca="1" si="9"/>
        <v>5.0221513459193163</v>
      </c>
      <c r="H311" s="2"/>
      <c r="I311" s="2"/>
      <c r="J311" s="2"/>
      <c r="K311" s="2"/>
    </row>
    <row r="312" spans="5:11" x14ac:dyDescent="0.25">
      <c r="E312" s="3">
        <f t="shared" ca="1" si="8"/>
        <v>0.4664519087006801</v>
      </c>
      <c r="F312" s="3">
        <f t="shared" ca="1" si="8"/>
        <v>0.54538501581359466</v>
      </c>
      <c r="G312" s="3">
        <f t="shared" ca="1" si="9"/>
        <v>5.6995258761121415</v>
      </c>
      <c r="H312" s="2"/>
      <c r="I312" s="2"/>
      <c r="J312" s="2"/>
      <c r="K312" s="2"/>
    </row>
    <row r="313" spans="5:11" x14ac:dyDescent="0.25">
      <c r="E313" s="3">
        <f t="shared" ca="1" si="8"/>
        <v>0.55785363377582842</v>
      </c>
      <c r="F313" s="3">
        <f t="shared" ca="1" si="8"/>
        <v>0.98007625713196167</v>
      </c>
      <c r="G313" s="3">
        <f t="shared" ca="1" si="9"/>
        <v>14.824000478055543</v>
      </c>
      <c r="H313" s="2"/>
      <c r="I313" s="2"/>
      <c r="J313" s="2"/>
      <c r="K313" s="2"/>
    </row>
    <row r="314" spans="5:11" x14ac:dyDescent="0.25">
      <c r="E314" s="3">
        <f t="shared" ca="1" si="8"/>
        <v>0.71636119148752431</v>
      </c>
      <c r="F314" s="3">
        <f t="shared" ca="1" si="8"/>
        <v>0.42033851405896272</v>
      </c>
      <c r="G314" s="3">
        <f t="shared" ca="1" si="9"/>
        <v>3.5198727494691511</v>
      </c>
      <c r="H314" s="2"/>
      <c r="I314" s="2"/>
      <c r="J314" s="2"/>
      <c r="K314" s="2"/>
    </row>
    <row r="315" spans="5:11" x14ac:dyDescent="0.25">
      <c r="E315" s="3">
        <f t="shared" ca="1" si="8"/>
        <v>0.90924566667317885</v>
      </c>
      <c r="F315" s="3">
        <f t="shared" ca="1" si="8"/>
        <v>0.37798489878081198</v>
      </c>
      <c r="G315" s="3">
        <f t="shared" ca="1" si="9"/>
        <v>5.3121995104013351</v>
      </c>
      <c r="H315" s="2"/>
      <c r="I315" s="2"/>
      <c r="J315" s="2"/>
      <c r="K315" s="2"/>
    </row>
    <row r="316" spans="5:11" x14ac:dyDescent="0.25">
      <c r="E316" s="3">
        <f t="shared" ca="1" si="8"/>
        <v>0.37473682355733473</v>
      </c>
      <c r="F316" s="3">
        <f t="shared" ca="1" si="8"/>
        <v>0.21989526565764961</v>
      </c>
      <c r="G316" s="3">
        <f t="shared" ca="1" si="9"/>
        <v>3.8847898154594631</v>
      </c>
      <c r="H316" s="2"/>
      <c r="I316" s="2"/>
      <c r="J316" s="2"/>
      <c r="K316" s="2"/>
    </row>
    <row r="317" spans="5:11" x14ac:dyDescent="0.25">
      <c r="E317" s="3">
        <f t="shared" ca="1" si="8"/>
        <v>0.49006870334302921</v>
      </c>
      <c r="F317" s="3">
        <f t="shared" ca="1" si="8"/>
        <v>0.96752675642809804</v>
      </c>
      <c r="G317" s="3">
        <f t="shared" ca="1" si="9"/>
        <v>13.900750670239907</v>
      </c>
      <c r="H317" s="2"/>
      <c r="I317" s="2"/>
      <c r="J317" s="2"/>
      <c r="K317" s="2"/>
    </row>
    <row r="318" spans="5:11" x14ac:dyDescent="0.25">
      <c r="E318" s="3">
        <f t="shared" ca="1" si="8"/>
        <v>0.75058307091554299</v>
      </c>
      <c r="F318" s="3">
        <f t="shared" ca="1" si="8"/>
        <v>0.66707232208882461</v>
      </c>
      <c r="G318" s="3">
        <f t="shared" ca="1" si="9"/>
        <v>6.7267199632641921</v>
      </c>
      <c r="H318" s="2"/>
      <c r="I318" s="2"/>
      <c r="J318" s="2"/>
      <c r="K318" s="2"/>
    </row>
    <row r="319" spans="5:11" x14ac:dyDescent="0.25">
      <c r="E319" s="3">
        <f t="shared" ca="1" si="8"/>
        <v>0.71337264942762901</v>
      </c>
      <c r="F319" s="3">
        <f t="shared" ca="1" si="8"/>
        <v>0.20483650721992297</v>
      </c>
      <c r="G319" s="3">
        <f t="shared" ca="1" si="9"/>
        <v>0.67273766190193807</v>
      </c>
      <c r="H319" s="2"/>
      <c r="I319" s="2"/>
      <c r="J319" s="2"/>
      <c r="K319" s="2"/>
    </row>
    <row r="320" spans="5:11" x14ac:dyDescent="0.25">
      <c r="E320" s="3">
        <f t="shared" ca="1" si="8"/>
        <v>0.50364674723623759</v>
      </c>
      <c r="F320" s="3">
        <f t="shared" ca="1" si="8"/>
        <v>0.74752460913029017</v>
      </c>
      <c r="G320" s="3">
        <f t="shared" ca="1" si="9"/>
        <v>8.1063235677126286</v>
      </c>
      <c r="H320" s="2"/>
      <c r="I320" s="2"/>
      <c r="J320" s="2"/>
      <c r="K320" s="2"/>
    </row>
    <row r="321" spans="5:11" x14ac:dyDescent="0.25">
      <c r="E321" s="3">
        <f t="shared" ca="1" si="8"/>
        <v>0.62539471820873394</v>
      </c>
      <c r="F321" s="3">
        <f t="shared" ca="1" si="8"/>
        <v>0.87852537798884967</v>
      </c>
      <c r="G321" s="3">
        <f t="shared" ca="1" si="9"/>
        <v>10.32818809930164</v>
      </c>
      <c r="H321" s="2"/>
      <c r="I321" s="2"/>
      <c r="J321" s="2"/>
      <c r="K321" s="2"/>
    </row>
    <row r="322" spans="5:11" x14ac:dyDescent="0.25">
      <c r="E322" s="3">
        <f t="shared" ca="1" si="8"/>
        <v>0.18944820628250092</v>
      </c>
      <c r="F322" s="3">
        <f t="shared" ca="1" si="8"/>
        <v>0.49113373799549609</v>
      </c>
      <c r="G322" s="3">
        <f t="shared" ca="1" si="9"/>
        <v>7.9428918996758329</v>
      </c>
      <c r="H322" s="2"/>
      <c r="I322" s="2"/>
      <c r="J322" s="2"/>
      <c r="K322" s="2"/>
    </row>
    <row r="323" spans="5:11" x14ac:dyDescent="0.25">
      <c r="E323" s="3">
        <f t="shared" ca="1" si="8"/>
        <v>0.46762151743734615</v>
      </c>
      <c r="F323" s="3">
        <f t="shared" ca="1" si="8"/>
        <v>0.9742421308663346</v>
      </c>
      <c r="G323" s="3">
        <f t="shared" ca="1" si="9"/>
        <v>14.45021293125563</v>
      </c>
      <c r="H323" s="2"/>
      <c r="I323" s="2"/>
      <c r="J323" s="2"/>
      <c r="K323" s="2"/>
    </row>
    <row r="324" spans="5:11" x14ac:dyDescent="0.25">
      <c r="E324" s="3">
        <f t="shared" ref="E324:F387" ca="1" si="10">RAND()</f>
        <v>0.70333443805144202</v>
      </c>
      <c r="F324" s="3">
        <f t="shared" ca="1" si="10"/>
        <v>8.7687068026072956E-2</v>
      </c>
      <c r="G324" s="3">
        <f t="shared" ref="G324:G387" ca="1" si="11">SQRT(_xlfn.NORM.INV(E324,$C$3*COS($C$6),$C$4)^2+_xlfn.NORM.INV(F324,$C$3*SIN($C$6),$C$4)^2)</f>
        <v>2.3453981074286041</v>
      </c>
      <c r="H324" s="2"/>
      <c r="I324" s="2"/>
      <c r="J324" s="2"/>
      <c r="K324" s="2"/>
    </row>
    <row r="325" spans="5:11" x14ac:dyDescent="0.25">
      <c r="E325" s="3">
        <f t="shared" ca="1" si="10"/>
        <v>2.5693522141439828E-2</v>
      </c>
      <c r="F325" s="3">
        <f t="shared" ca="1" si="10"/>
        <v>0.70074456153941789</v>
      </c>
      <c r="G325" s="3">
        <f t="shared" ca="1" si="11"/>
        <v>13.928586251453041</v>
      </c>
      <c r="H325" s="2"/>
      <c r="I325" s="2"/>
      <c r="J325" s="2"/>
      <c r="K325" s="2"/>
    </row>
    <row r="326" spans="5:11" x14ac:dyDescent="0.25">
      <c r="E326" s="3">
        <f t="shared" ca="1" si="10"/>
        <v>0.80044690231229731</v>
      </c>
      <c r="F326" s="3">
        <f t="shared" ca="1" si="10"/>
        <v>0.97749043788671608</v>
      </c>
      <c r="G326" s="3">
        <f t="shared" ca="1" si="11"/>
        <v>14.62641597960212</v>
      </c>
      <c r="H326" s="2"/>
      <c r="I326" s="2"/>
      <c r="J326" s="2"/>
      <c r="K326" s="2"/>
    </row>
    <row r="327" spans="5:11" x14ac:dyDescent="0.25">
      <c r="E327" s="3">
        <f t="shared" ca="1" si="10"/>
        <v>0.60548656266336365</v>
      </c>
      <c r="F327" s="3">
        <f t="shared" ca="1" si="10"/>
        <v>0.58446829554245217</v>
      </c>
      <c r="G327" s="3">
        <f t="shared" ca="1" si="11"/>
        <v>5.6097455095305984</v>
      </c>
      <c r="H327" s="2"/>
      <c r="I327" s="2"/>
      <c r="J327" s="2"/>
      <c r="K327" s="2"/>
    </row>
    <row r="328" spans="5:11" x14ac:dyDescent="0.25">
      <c r="E328" s="3">
        <f t="shared" ca="1" si="10"/>
        <v>0.34592764739795079</v>
      </c>
      <c r="F328" s="3">
        <f t="shared" ca="1" si="10"/>
        <v>0.37444534599593804</v>
      </c>
      <c r="G328" s="3">
        <f t="shared" ca="1" si="11"/>
        <v>5.1048665600685661</v>
      </c>
      <c r="H328" s="2"/>
      <c r="I328" s="2"/>
      <c r="J328" s="2"/>
      <c r="K328" s="2"/>
    </row>
    <row r="329" spans="5:11" x14ac:dyDescent="0.25">
      <c r="E329" s="3">
        <f t="shared" ca="1" si="10"/>
        <v>0.86202285522960909</v>
      </c>
      <c r="F329" s="3">
        <f t="shared" ca="1" si="10"/>
        <v>0.45086465309962798</v>
      </c>
      <c r="G329" s="3">
        <f t="shared" ca="1" si="11"/>
        <v>5.0126528980569898</v>
      </c>
      <c r="H329" s="2"/>
      <c r="I329" s="2"/>
      <c r="J329" s="2"/>
      <c r="K329" s="2"/>
    </row>
    <row r="330" spans="5:11" x14ac:dyDescent="0.25">
      <c r="E330" s="3">
        <f t="shared" ca="1" si="10"/>
        <v>0.51459154094015414</v>
      </c>
      <c r="F330" s="3">
        <f t="shared" ca="1" si="10"/>
        <v>0.30337253543840537</v>
      </c>
      <c r="G330" s="3">
        <f t="shared" ca="1" si="11"/>
        <v>2.798083190443958</v>
      </c>
      <c r="H330" s="2"/>
      <c r="I330" s="2"/>
      <c r="J330" s="2"/>
      <c r="K330" s="2"/>
    </row>
    <row r="331" spans="5:11" x14ac:dyDescent="0.25">
      <c r="E331" s="3">
        <f t="shared" ca="1" si="10"/>
        <v>0.96240487333743774</v>
      </c>
      <c r="F331" s="3">
        <f t="shared" ca="1" si="10"/>
        <v>0.10788107806597891</v>
      </c>
      <c r="G331" s="3">
        <f t="shared" ca="1" si="11"/>
        <v>6.8746308242993566</v>
      </c>
      <c r="H331" s="2"/>
      <c r="I331" s="2"/>
      <c r="J331" s="2"/>
      <c r="K331" s="2"/>
    </row>
    <row r="332" spans="5:11" x14ac:dyDescent="0.25">
      <c r="E332" s="3">
        <f t="shared" ca="1" si="10"/>
        <v>0.18629699490387119</v>
      </c>
      <c r="F332" s="3">
        <f t="shared" ca="1" si="10"/>
        <v>0.55893186681675278</v>
      </c>
      <c r="G332" s="3">
        <f t="shared" ca="1" si="11"/>
        <v>8.4868938492554076</v>
      </c>
      <c r="H332" s="2"/>
      <c r="I332" s="2"/>
      <c r="J332" s="2"/>
      <c r="K332" s="2"/>
    </row>
    <row r="333" spans="5:11" x14ac:dyDescent="0.25">
      <c r="E333" s="3">
        <f t="shared" ca="1" si="10"/>
        <v>0.86997248216529932</v>
      </c>
      <c r="F333" s="3">
        <f t="shared" ca="1" si="10"/>
        <v>0.19566957429028431</v>
      </c>
      <c r="G333" s="3">
        <f t="shared" ca="1" si="11"/>
        <v>3.395927114729175</v>
      </c>
      <c r="H333" s="2"/>
      <c r="I333" s="2"/>
      <c r="J333" s="2"/>
      <c r="K333" s="2"/>
    </row>
    <row r="334" spans="5:11" x14ac:dyDescent="0.25">
      <c r="E334" s="3">
        <f t="shared" ca="1" si="10"/>
        <v>4.3771562438594813E-2</v>
      </c>
      <c r="F334" s="3">
        <f t="shared" ca="1" si="10"/>
        <v>0.92524885655128386</v>
      </c>
      <c r="G334" s="3">
        <f t="shared" ca="1" si="11"/>
        <v>15.893703765732949</v>
      </c>
      <c r="H334" s="2"/>
      <c r="I334" s="2"/>
      <c r="J334" s="2"/>
      <c r="K334" s="2"/>
    </row>
    <row r="335" spans="5:11" x14ac:dyDescent="0.25">
      <c r="E335" s="3">
        <f t="shared" ca="1" si="10"/>
        <v>0.4421404376670901</v>
      </c>
      <c r="F335" s="3">
        <f t="shared" ca="1" si="10"/>
        <v>0.18611819522850914</v>
      </c>
      <c r="G335" s="3">
        <f t="shared" ca="1" si="11"/>
        <v>2.968103504533651</v>
      </c>
      <c r="H335" s="2"/>
      <c r="I335" s="2"/>
      <c r="J335" s="2"/>
      <c r="K335" s="2"/>
    </row>
    <row r="336" spans="5:11" x14ac:dyDescent="0.25">
      <c r="E336" s="3">
        <f t="shared" ca="1" si="10"/>
        <v>0.89666568799824564</v>
      </c>
      <c r="F336" s="3">
        <f t="shared" ca="1" si="10"/>
        <v>0.12629090592305792</v>
      </c>
      <c r="G336" s="3">
        <f t="shared" ca="1" si="11"/>
        <v>4.2611527899569337</v>
      </c>
      <c r="H336" s="2"/>
      <c r="I336" s="2"/>
      <c r="J336" s="2"/>
      <c r="K336" s="2"/>
    </row>
    <row r="337" spans="5:11" x14ac:dyDescent="0.25">
      <c r="E337" s="3">
        <f t="shared" ca="1" si="10"/>
        <v>0.42831981584575674</v>
      </c>
      <c r="F337" s="3">
        <f t="shared" ca="1" si="10"/>
        <v>0.23300247486346537</v>
      </c>
      <c r="G337" s="3">
        <f t="shared" ca="1" si="11"/>
        <v>3.2500897822857358</v>
      </c>
      <c r="H337" s="2"/>
      <c r="I337" s="2"/>
      <c r="J337" s="2"/>
      <c r="K337" s="2"/>
    </row>
    <row r="338" spans="5:11" x14ac:dyDescent="0.25">
      <c r="E338" s="3">
        <f t="shared" ca="1" si="10"/>
        <v>0.26255747742992019</v>
      </c>
      <c r="F338" s="3">
        <f t="shared" ca="1" si="10"/>
        <v>0.38480568317935171</v>
      </c>
      <c r="G338" s="3">
        <f t="shared" ca="1" si="11"/>
        <v>6.195617878668755</v>
      </c>
      <c r="H338" s="2"/>
      <c r="I338" s="2"/>
      <c r="J338" s="2"/>
      <c r="K338" s="2"/>
    </row>
    <row r="339" spans="5:11" x14ac:dyDescent="0.25">
      <c r="E339" s="3">
        <f t="shared" ca="1" si="10"/>
        <v>0.38637664257960203</v>
      </c>
      <c r="F339" s="3">
        <f t="shared" ca="1" si="10"/>
        <v>0.11886490567068586</v>
      </c>
      <c r="G339" s="3">
        <f t="shared" ca="1" si="11"/>
        <v>3.9532702932846537</v>
      </c>
      <c r="H339" s="2"/>
      <c r="I339" s="2"/>
      <c r="J339" s="2"/>
      <c r="K339" s="2"/>
    </row>
    <row r="340" spans="5:11" x14ac:dyDescent="0.25">
      <c r="E340" s="3">
        <f t="shared" ca="1" si="10"/>
        <v>0.92407082304078425</v>
      </c>
      <c r="F340" s="3">
        <f t="shared" ca="1" si="10"/>
        <v>6.7117851625862035E-2</v>
      </c>
      <c r="G340" s="3">
        <f t="shared" ca="1" si="11"/>
        <v>5.7758557600384499</v>
      </c>
      <c r="H340" s="2"/>
      <c r="I340" s="2"/>
      <c r="J340" s="2"/>
      <c r="K340" s="2"/>
    </row>
    <row r="341" spans="5:11" x14ac:dyDescent="0.25">
      <c r="E341" s="3">
        <f t="shared" ca="1" si="10"/>
        <v>0.64919839012050851</v>
      </c>
      <c r="F341" s="3">
        <f t="shared" ca="1" si="10"/>
        <v>0.23188831765944362</v>
      </c>
      <c r="G341" s="3">
        <f t="shared" ca="1" si="11"/>
        <v>0.86961743156813542</v>
      </c>
      <c r="H341" s="2"/>
      <c r="I341" s="2"/>
      <c r="J341" s="2"/>
      <c r="K341" s="2"/>
    </row>
    <row r="342" spans="5:11" x14ac:dyDescent="0.25">
      <c r="E342" s="3">
        <f t="shared" ca="1" si="10"/>
        <v>0.65895029028188556</v>
      </c>
      <c r="F342" s="3">
        <f t="shared" ca="1" si="10"/>
        <v>0.26130392538524938</v>
      </c>
      <c r="G342" s="3">
        <f t="shared" ca="1" si="11"/>
        <v>1.2877790755902239</v>
      </c>
      <c r="H342" s="2"/>
      <c r="I342" s="2"/>
      <c r="J342" s="2"/>
      <c r="K342" s="2"/>
    </row>
    <row r="343" spans="5:11" x14ac:dyDescent="0.25">
      <c r="E343" s="3">
        <f t="shared" ca="1" si="10"/>
        <v>0.68670733708261056</v>
      </c>
      <c r="F343" s="3">
        <f t="shared" ca="1" si="10"/>
        <v>0.17967224874220988</v>
      </c>
      <c r="G343" s="3">
        <f t="shared" ca="1" si="11"/>
        <v>0.22311093577943453</v>
      </c>
      <c r="H343" s="2"/>
      <c r="I343" s="2"/>
      <c r="J343" s="2"/>
      <c r="K343" s="2"/>
    </row>
    <row r="344" spans="5:11" x14ac:dyDescent="0.25">
      <c r="E344" s="3">
        <f t="shared" ca="1" si="10"/>
        <v>0.8722087810145791</v>
      </c>
      <c r="F344" s="3">
        <f t="shared" ca="1" si="10"/>
        <v>0.97997289341893501</v>
      </c>
      <c r="G344" s="3">
        <f t="shared" ca="1" si="11"/>
        <v>15.13305957495397</v>
      </c>
      <c r="H344" s="2"/>
      <c r="I344" s="2"/>
      <c r="J344" s="2"/>
      <c r="K344" s="2"/>
    </row>
    <row r="345" spans="5:11" x14ac:dyDescent="0.25">
      <c r="E345" s="3">
        <f t="shared" ca="1" si="10"/>
        <v>0.25445024342112454</v>
      </c>
      <c r="F345" s="3">
        <f t="shared" ca="1" si="10"/>
        <v>0.44409368082372203</v>
      </c>
      <c r="G345" s="3">
        <f t="shared" ca="1" si="11"/>
        <v>6.7019719637761446</v>
      </c>
      <c r="H345" s="2"/>
      <c r="I345" s="2"/>
      <c r="J345" s="2"/>
      <c r="K345" s="2"/>
    </row>
    <row r="346" spans="5:11" x14ac:dyDescent="0.25">
      <c r="E346" s="3">
        <f t="shared" ca="1" si="10"/>
        <v>0.68467165650850315</v>
      </c>
      <c r="F346" s="3">
        <f t="shared" ca="1" si="10"/>
        <v>0.44640845666195939</v>
      </c>
      <c r="G346" s="3">
        <f t="shared" ca="1" si="11"/>
        <v>3.7998054389815996</v>
      </c>
      <c r="H346" s="2"/>
      <c r="I346" s="2"/>
      <c r="J346" s="2"/>
      <c r="K346" s="2"/>
    </row>
    <row r="347" spans="5:11" x14ac:dyDescent="0.25">
      <c r="E347" s="3">
        <f t="shared" ca="1" si="10"/>
        <v>0.87544419673403451</v>
      </c>
      <c r="F347" s="3">
        <f t="shared" ca="1" si="10"/>
        <v>0.14813540941047143</v>
      </c>
      <c r="G347" s="3">
        <f t="shared" ca="1" si="11"/>
        <v>3.6016345405825918</v>
      </c>
      <c r="H347" s="2"/>
      <c r="I347" s="2"/>
      <c r="J347" s="2"/>
      <c r="K347" s="2"/>
    </row>
    <row r="348" spans="5:11" x14ac:dyDescent="0.25">
      <c r="E348" s="3">
        <f t="shared" ca="1" si="10"/>
        <v>0.7006912534630938</v>
      </c>
      <c r="F348" s="3">
        <f t="shared" ca="1" si="10"/>
        <v>0.38592678890657184</v>
      </c>
      <c r="G348" s="3">
        <f t="shared" ca="1" si="11"/>
        <v>3.0455062647203404</v>
      </c>
      <c r="H348" s="2"/>
      <c r="I348" s="2"/>
      <c r="J348" s="2"/>
      <c r="K348" s="2"/>
    </row>
    <row r="349" spans="5:11" x14ac:dyDescent="0.25">
      <c r="E349" s="3">
        <f t="shared" ca="1" si="10"/>
        <v>0.94239092900048937</v>
      </c>
      <c r="F349" s="3">
        <f t="shared" ca="1" si="10"/>
        <v>0.66397900703781898</v>
      </c>
      <c r="G349" s="3">
        <f t="shared" ca="1" si="11"/>
        <v>8.6685234051382274</v>
      </c>
      <c r="H349" s="2"/>
      <c r="I349" s="2"/>
      <c r="J349" s="2"/>
      <c r="K349" s="2"/>
    </row>
    <row r="350" spans="5:11" x14ac:dyDescent="0.25">
      <c r="E350" s="3">
        <f t="shared" ca="1" si="10"/>
        <v>0.86501228523293106</v>
      </c>
      <c r="F350" s="3">
        <f t="shared" ca="1" si="10"/>
        <v>0.3934366171466851</v>
      </c>
      <c r="G350" s="3">
        <f t="shared" ca="1" si="11"/>
        <v>4.5221427200739983</v>
      </c>
      <c r="H350" s="2"/>
      <c r="I350" s="2"/>
      <c r="J350" s="2"/>
      <c r="K350" s="2"/>
    </row>
    <row r="351" spans="5:11" x14ac:dyDescent="0.25">
      <c r="E351" s="3">
        <f t="shared" ca="1" si="10"/>
        <v>0.90971419155661593</v>
      </c>
      <c r="F351" s="3">
        <f t="shared" ca="1" si="10"/>
        <v>0.47462167744216954</v>
      </c>
      <c r="G351" s="3">
        <f t="shared" ca="1" si="11"/>
        <v>6.0893526620609197</v>
      </c>
      <c r="H351" s="2"/>
      <c r="I351" s="2"/>
      <c r="J351" s="2"/>
      <c r="K351" s="2"/>
    </row>
    <row r="352" spans="5:11" x14ac:dyDescent="0.25">
      <c r="E352" s="3">
        <f t="shared" ca="1" si="10"/>
        <v>0.49684081460005325</v>
      </c>
      <c r="F352" s="3">
        <f t="shared" ca="1" si="10"/>
        <v>0.36870504913988522</v>
      </c>
      <c r="G352" s="3">
        <f t="shared" ca="1" si="11"/>
        <v>3.6058562170161577</v>
      </c>
      <c r="H352" s="2"/>
      <c r="I352" s="2"/>
      <c r="J352" s="2"/>
      <c r="K352" s="2"/>
    </row>
    <row r="353" spans="5:11" x14ac:dyDescent="0.25">
      <c r="E353" s="3">
        <f t="shared" ca="1" si="10"/>
        <v>0.71293528390614669</v>
      </c>
      <c r="F353" s="3">
        <f t="shared" ca="1" si="10"/>
        <v>0.14539701476559919</v>
      </c>
      <c r="G353" s="3">
        <f t="shared" ca="1" si="11"/>
        <v>0.99176001981793438</v>
      </c>
      <c r="H353" s="2"/>
      <c r="I353" s="2"/>
      <c r="J353" s="2"/>
      <c r="K353" s="2"/>
    </row>
    <row r="354" spans="5:11" x14ac:dyDescent="0.25">
      <c r="E354" s="3">
        <f t="shared" ca="1" si="10"/>
        <v>0.60071217879945848</v>
      </c>
      <c r="F354" s="3">
        <f t="shared" ca="1" si="10"/>
        <v>0.36013683952330222</v>
      </c>
      <c r="G354" s="3">
        <f t="shared" ca="1" si="11"/>
        <v>2.8477904397357428</v>
      </c>
      <c r="H354" s="2"/>
      <c r="I354" s="2"/>
      <c r="J354" s="2"/>
      <c r="K354" s="2"/>
    </row>
    <row r="355" spans="5:11" x14ac:dyDescent="0.25">
      <c r="E355" s="3">
        <f t="shared" ca="1" si="10"/>
        <v>0.66276121404608712</v>
      </c>
      <c r="F355" s="3">
        <f t="shared" ca="1" si="10"/>
        <v>0.1494921632737235</v>
      </c>
      <c r="G355" s="3">
        <f t="shared" ca="1" si="11"/>
        <v>0.73657441589127393</v>
      </c>
      <c r="H355" s="2"/>
      <c r="I355" s="2"/>
      <c r="J355" s="2"/>
      <c r="K355" s="2"/>
    </row>
    <row r="356" spans="5:11" x14ac:dyDescent="0.25">
      <c r="E356" s="3">
        <f t="shared" ca="1" si="10"/>
        <v>0.72666938713812557</v>
      </c>
      <c r="F356" s="3">
        <f t="shared" ca="1" si="10"/>
        <v>0.35181545755424171</v>
      </c>
      <c r="G356" s="3">
        <f t="shared" ca="1" si="11"/>
        <v>2.6818294622217276</v>
      </c>
      <c r="H356" s="2"/>
      <c r="I356" s="2"/>
      <c r="J356" s="2"/>
      <c r="K356" s="2"/>
    </row>
    <row r="357" spans="5:11" x14ac:dyDescent="0.25">
      <c r="E357" s="3">
        <f t="shared" ca="1" si="10"/>
        <v>0.35826482504876578</v>
      </c>
      <c r="F357" s="3">
        <f t="shared" ca="1" si="10"/>
        <v>0.44268388244897927</v>
      </c>
      <c r="G357" s="3">
        <f t="shared" ca="1" si="11"/>
        <v>5.5232389432718012</v>
      </c>
      <c r="H357" s="2"/>
      <c r="I357" s="2"/>
      <c r="J357" s="2"/>
      <c r="K357" s="2"/>
    </row>
    <row r="358" spans="5:11" x14ac:dyDescent="0.25">
      <c r="E358" s="3">
        <f t="shared" ca="1" si="10"/>
        <v>0.61968597579663864</v>
      </c>
      <c r="F358" s="3">
        <f t="shared" ca="1" si="10"/>
        <v>0.88748065012890098</v>
      </c>
      <c r="G358" s="3">
        <f t="shared" ca="1" si="11"/>
        <v>10.560549272932047</v>
      </c>
      <c r="H358" s="2"/>
      <c r="I358" s="2"/>
      <c r="J358" s="2"/>
      <c r="K358" s="2"/>
    </row>
    <row r="359" spans="5:11" x14ac:dyDescent="0.25">
      <c r="E359" s="3">
        <f t="shared" ca="1" si="10"/>
        <v>0.82183875927672245</v>
      </c>
      <c r="F359" s="3">
        <f t="shared" ca="1" si="10"/>
        <v>0.96424023337976383</v>
      </c>
      <c r="G359" s="3">
        <f t="shared" ca="1" si="11"/>
        <v>13.687828348303645</v>
      </c>
      <c r="H359" s="2"/>
      <c r="I359" s="2"/>
      <c r="J359" s="2"/>
      <c r="K359" s="2"/>
    </row>
    <row r="360" spans="5:11" x14ac:dyDescent="0.25">
      <c r="E360" s="3">
        <f t="shared" ca="1" si="10"/>
        <v>0.77551620400725285</v>
      </c>
      <c r="F360" s="3">
        <f t="shared" ca="1" si="10"/>
        <v>0.19667627522078068</v>
      </c>
      <c r="G360" s="3">
        <f t="shared" ca="1" si="11"/>
        <v>1.5584932255023496</v>
      </c>
      <c r="H360" s="2"/>
      <c r="I360" s="2"/>
      <c r="J360" s="2"/>
      <c r="K360" s="2"/>
    </row>
    <row r="361" spans="5:11" x14ac:dyDescent="0.25">
      <c r="E361" s="3">
        <f t="shared" ca="1" si="10"/>
        <v>0.56909313653897431</v>
      </c>
      <c r="F361" s="3">
        <f t="shared" ca="1" si="10"/>
        <v>0.30373269194130015</v>
      </c>
      <c r="G361" s="3">
        <f t="shared" ca="1" si="11"/>
        <v>2.3436604367932747</v>
      </c>
      <c r="H361" s="2"/>
      <c r="I361" s="2"/>
      <c r="J361" s="2"/>
      <c r="K361" s="2"/>
    </row>
    <row r="362" spans="5:11" x14ac:dyDescent="0.25">
      <c r="E362" s="3">
        <f t="shared" ca="1" si="10"/>
        <v>0.23562428066511831</v>
      </c>
      <c r="F362" s="3">
        <f t="shared" ca="1" si="10"/>
        <v>0.69595196962692663</v>
      </c>
      <c r="G362" s="3">
        <f t="shared" ca="1" si="11"/>
        <v>9.1439906988845294</v>
      </c>
      <c r="H362" s="2"/>
      <c r="I362" s="2"/>
      <c r="J362" s="2"/>
      <c r="K362" s="2"/>
    </row>
    <row r="363" spans="5:11" x14ac:dyDescent="0.25">
      <c r="E363" s="3">
        <f t="shared" ca="1" si="10"/>
        <v>0.93647373167259951</v>
      </c>
      <c r="F363" s="3">
        <f t="shared" ca="1" si="10"/>
        <v>0.87863139192802697</v>
      </c>
      <c r="G363" s="3">
        <f t="shared" ca="1" si="11"/>
        <v>11.63410651131078</v>
      </c>
      <c r="H363" s="2"/>
      <c r="I363" s="2"/>
      <c r="J363" s="2"/>
      <c r="K363" s="2"/>
    </row>
    <row r="364" spans="5:11" x14ac:dyDescent="0.25">
      <c r="E364" s="3">
        <f t="shared" ca="1" si="10"/>
        <v>0.93304399701808183</v>
      </c>
      <c r="F364" s="3">
        <f t="shared" ca="1" si="10"/>
        <v>1.5797378030581677E-2</v>
      </c>
      <c r="G364" s="3">
        <f t="shared" ca="1" si="11"/>
        <v>8.1860017638552964</v>
      </c>
      <c r="H364" s="2"/>
      <c r="I364" s="2"/>
      <c r="J364" s="2"/>
      <c r="K364" s="2"/>
    </row>
    <row r="365" spans="5:11" x14ac:dyDescent="0.25">
      <c r="E365" s="3">
        <f t="shared" ca="1" si="10"/>
        <v>0.45557345268680927</v>
      </c>
      <c r="F365" s="3">
        <f t="shared" ca="1" si="10"/>
        <v>0.88736492273953571</v>
      </c>
      <c r="G365" s="3">
        <f t="shared" ca="1" si="11"/>
        <v>10.898525455696918</v>
      </c>
      <c r="H365" s="2"/>
      <c r="I365" s="2"/>
      <c r="J365" s="2"/>
      <c r="K365" s="2"/>
    </row>
    <row r="366" spans="5:11" x14ac:dyDescent="0.25">
      <c r="E366" s="3">
        <f t="shared" ca="1" si="10"/>
        <v>0.43593980821487921</v>
      </c>
      <c r="F366" s="3">
        <f t="shared" ca="1" si="10"/>
        <v>0.8650711693105646</v>
      </c>
      <c r="G366" s="3">
        <f t="shared" ca="1" si="11"/>
        <v>10.441331933497198</v>
      </c>
      <c r="H366" s="2"/>
      <c r="I366" s="2"/>
      <c r="J366" s="2"/>
      <c r="K366" s="2"/>
    </row>
    <row r="367" spans="5:11" x14ac:dyDescent="0.25">
      <c r="E367" s="3">
        <f t="shared" ca="1" si="10"/>
        <v>0.55570096854791873</v>
      </c>
      <c r="F367" s="3">
        <f t="shared" ca="1" si="10"/>
        <v>0.40815794381875248</v>
      </c>
      <c r="G367" s="3">
        <f t="shared" ca="1" si="11"/>
        <v>3.649390606208621</v>
      </c>
      <c r="H367" s="2"/>
      <c r="I367" s="2"/>
      <c r="J367" s="2"/>
      <c r="K367" s="2"/>
    </row>
    <row r="368" spans="5:11" x14ac:dyDescent="0.25">
      <c r="E368" s="3">
        <f t="shared" ca="1" si="10"/>
        <v>0.34066250291196409</v>
      </c>
      <c r="F368" s="3">
        <f t="shared" ca="1" si="10"/>
        <v>0.33679618087413499</v>
      </c>
      <c r="G368" s="3">
        <f t="shared" ca="1" si="11"/>
        <v>4.9013547614797934</v>
      </c>
      <c r="H368" s="2"/>
      <c r="I368" s="2"/>
      <c r="J368" s="2"/>
      <c r="K368" s="2"/>
    </row>
    <row r="369" spans="5:11" x14ac:dyDescent="0.25">
      <c r="E369" s="3">
        <f t="shared" ca="1" si="10"/>
        <v>0.63120439912690496</v>
      </c>
      <c r="F369" s="3">
        <f t="shared" ca="1" si="10"/>
        <v>0.58438167699843302</v>
      </c>
      <c r="G369" s="3">
        <f t="shared" ca="1" si="11"/>
        <v>5.5643361676319154</v>
      </c>
      <c r="H369" s="2"/>
      <c r="I369" s="2"/>
      <c r="J369" s="2"/>
      <c r="K369" s="2"/>
    </row>
    <row r="370" spans="5:11" x14ac:dyDescent="0.25">
      <c r="E370" s="3">
        <f t="shared" ca="1" si="10"/>
        <v>0.78881231627128534</v>
      </c>
      <c r="F370" s="3">
        <f t="shared" ca="1" si="10"/>
        <v>0.14776778471373908</v>
      </c>
      <c r="G370" s="3">
        <f t="shared" ca="1" si="11"/>
        <v>1.9274536770969466</v>
      </c>
      <c r="H370" s="2"/>
      <c r="I370" s="2"/>
      <c r="J370" s="2"/>
      <c r="K370" s="2"/>
    </row>
    <row r="371" spans="5:11" x14ac:dyDescent="0.25">
      <c r="E371" s="3">
        <f t="shared" ca="1" si="10"/>
        <v>0.12211397420919556</v>
      </c>
      <c r="F371" s="3">
        <f t="shared" ca="1" si="10"/>
        <v>0.59072250984497487</v>
      </c>
      <c r="G371" s="3">
        <f t="shared" ca="1" si="11"/>
        <v>9.8264576106220307</v>
      </c>
      <c r="H371" s="2"/>
      <c r="I371" s="2"/>
      <c r="J371" s="2"/>
      <c r="K371" s="2"/>
    </row>
    <row r="372" spans="5:11" x14ac:dyDescent="0.25">
      <c r="E372" s="3">
        <f t="shared" ca="1" si="10"/>
        <v>0.73292135036776174</v>
      </c>
      <c r="F372" s="3">
        <f t="shared" ca="1" si="10"/>
        <v>7.8951423334046478E-2</v>
      </c>
      <c r="G372" s="3">
        <f t="shared" ca="1" si="11"/>
        <v>2.7323516138938597</v>
      </c>
      <c r="H372" s="2"/>
      <c r="I372" s="2"/>
      <c r="J372" s="2"/>
      <c r="K372" s="2"/>
    </row>
    <row r="373" spans="5:11" x14ac:dyDescent="0.25">
      <c r="E373" s="3">
        <f t="shared" ca="1" si="10"/>
        <v>0.87711265637940572</v>
      </c>
      <c r="F373" s="3">
        <f t="shared" ca="1" si="10"/>
        <v>9.0533683546628496E-2</v>
      </c>
      <c r="G373" s="3">
        <f t="shared" ca="1" si="11"/>
        <v>4.1966427593169113</v>
      </c>
      <c r="H373" s="2"/>
      <c r="I373" s="2"/>
      <c r="J373" s="2"/>
      <c r="K373" s="2"/>
    </row>
    <row r="374" spans="5:11" x14ac:dyDescent="0.25">
      <c r="E374" s="3">
        <f t="shared" ca="1" si="10"/>
        <v>0.9531394244337742</v>
      </c>
      <c r="F374" s="3">
        <f t="shared" ca="1" si="10"/>
        <v>0.71644994536385409</v>
      </c>
      <c r="G374" s="3">
        <f t="shared" ca="1" si="11"/>
        <v>9.5631107665471973</v>
      </c>
      <c r="H374" s="2"/>
      <c r="I374" s="2"/>
      <c r="J374" s="2"/>
      <c r="K374" s="2"/>
    </row>
    <row r="375" spans="5:11" x14ac:dyDescent="0.25">
      <c r="E375" s="3">
        <f t="shared" ca="1" si="10"/>
        <v>0.59252496358003826</v>
      </c>
      <c r="F375" s="3">
        <f t="shared" ca="1" si="10"/>
        <v>0.26453063008214017</v>
      </c>
      <c r="G375" s="3">
        <f t="shared" ca="1" si="11"/>
        <v>1.701460200956157</v>
      </c>
      <c r="H375" s="2"/>
      <c r="I375" s="2"/>
      <c r="J375" s="2"/>
      <c r="K375" s="2"/>
    </row>
    <row r="376" spans="5:11" x14ac:dyDescent="0.25">
      <c r="E376" s="3">
        <f t="shared" ca="1" si="10"/>
        <v>0.34857887986164748</v>
      </c>
      <c r="F376" s="3">
        <f t="shared" ca="1" si="10"/>
        <v>0.94584992632559628</v>
      </c>
      <c r="G376" s="3">
        <f t="shared" ca="1" si="11"/>
        <v>13.181754928927308</v>
      </c>
      <c r="H376" s="2"/>
      <c r="I376" s="2"/>
      <c r="J376" s="2"/>
      <c r="K376" s="2"/>
    </row>
    <row r="377" spans="5:11" x14ac:dyDescent="0.25">
      <c r="E377" s="3">
        <f t="shared" ca="1" si="10"/>
        <v>0.46007665820686583</v>
      </c>
      <c r="F377" s="3">
        <f t="shared" ca="1" si="10"/>
        <v>0.16038742165433861</v>
      </c>
      <c r="G377" s="3">
        <f t="shared" ca="1" si="11"/>
        <v>2.7857844120869206</v>
      </c>
      <c r="H377" s="2"/>
      <c r="I377" s="2"/>
      <c r="J377" s="2"/>
      <c r="K377" s="2"/>
    </row>
    <row r="378" spans="5:11" x14ac:dyDescent="0.25">
      <c r="E378" s="3">
        <f t="shared" ca="1" si="10"/>
        <v>0.22171576812087368</v>
      </c>
      <c r="F378" s="3">
        <f t="shared" ca="1" si="10"/>
        <v>0.28280152710743844</v>
      </c>
      <c r="G378" s="3">
        <f t="shared" ca="1" si="11"/>
        <v>6.2789868950319239</v>
      </c>
      <c r="H378" s="2"/>
      <c r="I378" s="2"/>
      <c r="J378" s="2"/>
      <c r="K378" s="2"/>
    </row>
    <row r="379" spans="5:11" x14ac:dyDescent="0.25">
      <c r="E379" s="3">
        <f t="shared" ca="1" si="10"/>
        <v>0.48419460420114302</v>
      </c>
      <c r="F379" s="3">
        <f t="shared" ca="1" si="10"/>
        <v>0.19609563696579624</v>
      </c>
      <c r="G379" s="3">
        <f t="shared" ca="1" si="11"/>
        <v>2.4460372107892372</v>
      </c>
      <c r="H379" s="2"/>
      <c r="I379" s="2"/>
      <c r="J379" s="2"/>
      <c r="K379" s="2"/>
    </row>
    <row r="380" spans="5:11" x14ac:dyDescent="0.25">
      <c r="E380" s="3">
        <f t="shared" ca="1" si="10"/>
        <v>0.71861425779452459</v>
      </c>
      <c r="F380" s="3">
        <f t="shared" ca="1" si="10"/>
        <v>0.30948327349901661</v>
      </c>
      <c r="G380" s="3">
        <f t="shared" ca="1" si="11"/>
        <v>2.0882226375404653</v>
      </c>
      <c r="H380" s="2"/>
      <c r="I380" s="2"/>
      <c r="J380" s="2"/>
      <c r="K380" s="2"/>
    </row>
    <row r="381" spans="5:11" x14ac:dyDescent="0.25">
      <c r="E381" s="3">
        <f t="shared" ca="1" si="10"/>
        <v>0.41136675209693085</v>
      </c>
      <c r="F381" s="3">
        <f t="shared" ca="1" si="10"/>
        <v>0.11352944840953327</v>
      </c>
      <c r="G381" s="3">
        <f t="shared" ca="1" si="11"/>
        <v>3.7091210521040927</v>
      </c>
      <c r="H381" s="2"/>
      <c r="I381" s="2"/>
      <c r="J381" s="2"/>
      <c r="K381" s="2"/>
    </row>
    <row r="382" spans="5:11" x14ac:dyDescent="0.25">
      <c r="E382" s="3">
        <f t="shared" ca="1" si="10"/>
        <v>0.5706001174327292</v>
      </c>
      <c r="F382" s="3">
        <f t="shared" ca="1" si="10"/>
        <v>6.3065538472405147E-2</v>
      </c>
      <c r="G382" s="3">
        <f t="shared" ca="1" si="11"/>
        <v>3.4529176960365251</v>
      </c>
      <c r="H382" s="2"/>
      <c r="I382" s="2"/>
      <c r="J382" s="2"/>
      <c r="K382" s="2"/>
    </row>
    <row r="383" spans="5:11" x14ac:dyDescent="0.25">
      <c r="E383" s="3">
        <f t="shared" ca="1" si="10"/>
        <v>0.55187640345549283</v>
      </c>
      <c r="F383" s="3">
        <f t="shared" ca="1" si="10"/>
        <v>4.4099257674554804E-2</v>
      </c>
      <c r="G383" s="3">
        <f t="shared" ca="1" si="11"/>
        <v>4.3548970521564119</v>
      </c>
      <c r="H383" s="2"/>
      <c r="I383" s="2"/>
      <c r="J383" s="2"/>
      <c r="K383" s="2"/>
    </row>
    <row r="384" spans="5:11" x14ac:dyDescent="0.25">
      <c r="E384" s="3">
        <f t="shared" ca="1" si="10"/>
        <v>0.47550952277578218</v>
      </c>
      <c r="F384" s="3">
        <f t="shared" ca="1" si="10"/>
        <v>0.46078617761488727</v>
      </c>
      <c r="G384" s="3">
        <f t="shared" ca="1" si="11"/>
        <v>4.7235586678261399</v>
      </c>
      <c r="H384" s="2"/>
      <c r="I384" s="2"/>
      <c r="J384" s="2"/>
      <c r="K384" s="2"/>
    </row>
    <row r="385" spans="5:11" x14ac:dyDescent="0.25">
      <c r="E385" s="3">
        <f t="shared" ca="1" si="10"/>
        <v>0.61597572940253287</v>
      </c>
      <c r="F385" s="3">
        <f t="shared" ca="1" si="10"/>
        <v>0.49727695179929576</v>
      </c>
      <c r="G385" s="3">
        <f t="shared" ca="1" si="11"/>
        <v>4.5014601010935138</v>
      </c>
      <c r="H385" s="2"/>
      <c r="I385" s="2"/>
      <c r="J385" s="2"/>
      <c r="K385" s="2"/>
    </row>
    <row r="386" spans="5:11" x14ac:dyDescent="0.25">
      <c r="E386" s="3">
        <f t="shared" ca="1" si="10"/>
        <v>0.12952254022717968</v>
      </c>
      <c r="F386" s="3">
        <f t="shared" ca="1" si="10"/>
        <v>7.5701559454085077E-2</v>
      </c>
      <c r="G386" s="3">
        <f t="shared" ca="1" si="11"/>
        <v>8.3341240301301358</v>
      </c>
      <c r="H386" s="2"/>
      <c r="I386" s="2"/>
      <c r="J386" s="2"/>
      <c r="K386" s="2"/>
    </row>
    <row r="387" spans="5:11" x14ac:dyDescent="0.25">
      <c r="E387" s="3">
        <f t="shared" ca="1" si="10"/>
        <v>4.8865855282689608E-2</v>
      </c>
      <c r="F387" s="3">
        <f t="shared" ca="1" si="10"/>
        <v>0.28176034099786873</v>
      </c>
      <c r="G387" s="3">
        <f t="shared" ca="1" si="11"/>
        <v>10.638390878817736</v>
      </c>
      <c r="H387" s="2"/>
      <c r="I387" s="2"/>
      <c r="J387" s="2"/>
      <c r="K387" s="2"/>
    </row>
    <row r="388" spans="5:11" x14ac:dyDescent="0.25">
      <c r="E388" s="3">
        <f t="shared" ref="E388:F451" ca="1" si="12">RAND()</f>
        <v>0.4276515373619072</v>
      </c>
      <c r="F388" s="3">
        <f t="shared" ca="1" si="12"/>
        <v>0.33685775741995017</v>
      </c>
      <c r="G388" s="3">
        <f t="shared" ref="G388:G451" ca="1" si="13">SQRT(_xlfn.NORM.INV(E388,$C$3*COS($C$6),$C$4)^2+_xlfn.NORM.INV(F388,$C$3*SIN($C$6),$C$4)^2)</f>
        <v>3.9405473490987197</v>
      </c>
      <c r="H388" s="2"/>
      <c r="I388" s="2"/>
      <c r="J388" s="2"/>
      <c r="K388" s="2"/>
    </row>
    <row r="389" spans="5:11" x14ac:dyDescent="0.25">
      <c r="E389" s="3">
        <f t="shared" ca="1" si="12"/>
        <v>0.22787166982835283</v>
      </c>
      <c r="F389" s="3">
        <f t="shared" ca="1" si="12"/>
        <v>0.27190458655516536</v>
      </c>
      <c r="G389" s="3">
        <f t="shared" ca="1" si="13"/>
        <v>6.1397122494250578</v>
      </c>
      <c r="H389" s="2"/>
      <c r="I389" s="2"/>
      <c r="J389" s="2"/>
      <c r="K389" s="2"/>
    </row>
    <row r="390" spans="5:11" x14ac:dyDescent="0.25">
      <c r="E390" s="3">
        <f t="shared" ca="1" si="12"/>
        <v>0.82029150831117226</v>
      </c>
      <c r="F390" s="3">
        <f t="shared" ca="1" si="12"/>
        <v>3.8405807835607542E-3</v>
      </c>
      <c r="G390" s="3">
        <f t="shared" ca="1" si="13"/>
        <v>9.1632302294069277</v>
      </c>
      <c r="H390" s="2"/>
      <c r="I390" s="2"/>
      <c r="J390" s="2"/>
      <c r="K390" s="2"/>
    </row>
    <row r="391" spans="5:11" x14ac:dyDescent="0.25">
      <c r="E391" s="3">
        <f t="shared" ca="1" si="12"/>
        <v>0.49308731306105369</v>
      </c>
      <c r="F391" s="3">
        <f t="shared" ca="1" si="12"/>
        <v>0.95668419392430204</v>
      </c>
      <c r="G391" s="3">
        <f t="shared" ca="1" si="13"/>
        <v>13.243229681029883</v>
      </c>
      <c r="H391" s="2"/>
      <c r="I391" s="2"/>
      <c r="J391" s="2"/>
      <c r="K391" s="2"/>
    </row>
    <row r="392" spans="5:11" x14ac:dyDescent="0.25">
      <c r="E392" s="3">
        <f t="shared" ca="1" si="12"/>
        <v>0.65208815799585007</v>
      </c>
      <c r="F392" s="3">
        <f t="shared" ca="1" si="12"/>
        <v>4.9361251007869034E-2</v>
      </c>
      <c r="G392" s="3">
        <f t="shared" ca="1" si="13"/>
        <v>3.7961649151003294</v>
      </c>
      <c r="H392" s="2"/>
      <c r="I392" s="2"/>
      <c r="J392" s="2"/>
      <c r="K392" s="2"/>
    </row>
    <row r="393" spans="5:11" x14ac:dyDescent="0.25">
      <c r="E393" s="3">
        <f t="shared" ca="1" si="12"/>
        <v>0.84148508820494683</v>
      </c>
      <c r="F393" s="3">
        <f t="shared" ca="1" si="12"/>
        <v>0.11273676037479319</v>
      </c>
      <c r="G393" s="3">
        <f t="shared" ca="1" si="13"/>
        <v>3.1876879860333798</v>
      </c>
      <c r="H393" s="2"/>
      <c r="I393" s="2"/>
      <c r="J393" s="2"/>
      <c r="K393" s="2"/>
    </row>
    <row r="394" spans="5:11" x14ac:dyDescent="0.25">
      <c r="E394" s="3">
        <f t="shared" ca="1" si="12"/>
        <v>0.69047748215721261</v>
      </c>
      <c r="F394" s="3">
        <f t="shared" ca="1" si="12"/>
        <v>0.27128462623969973</v>
      </c>
      <c r="G394" s="3">
        <f t="shared" ca="1" si="13"/>
        <v>1.4463355113155976</v>
      </c>
      <c r="H394" s="2"/>
      <c r="I394" s="2"/>
      <c r="J394" s="2"/>
      <c r="K394" s="2"/>
    </row>
    <row r="395" spans="5:11" x14ac:dyDescent="0.25">
      <c r="E395" s="3">
        <f t="shared" ca="1" si="12"/>
        <v>0.53294901110253357</v>
      </c>
      <c r="F395" s="3">
        <f t="shared" ca="1" si="12"/>
        <v>5.4995027883930736E-2</v>
      </c>
      <c r="G395" s="3">
        <f t="shared" ca="1" si="13"/>
        <v>3.9669397550513406</v>
      </c>
      <c r="H395" s="2"/>
      <c r="I395" s="2"/>
      <c r="J395" s="2"/>
      <c r="K395" s="2"/>
    </row>
    <row r="396" spans="5:11" x14ac:dyDescent="0.25">
      <c r="E396" s="3">
        <f t="shared" ca="1" si="12"/>
        <v>0.22498597050208291</v>
      </c>
      <c r="F396" s="3">
        <f t="shared" ca="1" si="12"/>
        <v>0.90016423843169446</v>
      </c>
      <c r="G396" s="3">
        <f t="shared" ca="1" si="13"/>
        <v>12.435416018703268</v>
      </c>
      <c r="H396" s="2"/>
      <c r="I396" s="2"/>
      <c r="J396" s="2"/>
      <c r="K396" s="2"/>
    </row>
    <row r="397" spans="5:11" x14ac:dyDescent="0.25">
      <c r="E397" s="3">
        <f t="shared" ca="1" si="12"/>
        <v>0.35825247463773324</v>
      </c>
      <c r="F397" s="3">
        <f t="shared" ca="1" si="12"/>
        <v>0.80232415187666339</v>
      </c>
      <c r="G397" s="3">
        <f t="shared" ca="1" si="13"/>
        <v>9.6169315137879767</v>
      </c>
      <c r="H397" s="2"/>
      <c r="I397" s="2"/>
      <c r="J397" s="2"/>
      <c r="K397" s="2"/>
    </row>
    <row r="398" spans="5:11" x14ac:dyDescent="0.25">
      <c r="E398" s="3">
        <f t="shared" ca="1" si="12"/>
        <v>0.60112841139568263</v>
      </c>
      <c r="F398" s="3">
        <f t="shared" ca="1" si="12"/>
        <v>0.64182334451968748</v>
      </c>
      <c r="G398" s="3">
        <f t="shared" ca="1" si="13"/>
        <v>6.3593955230006447</v>
      </c>
      <c r="H398" s="2"/>
      <c r="I398" s="2"/>
      <c r="J398" s="2"/>
      <c r="K398" s="2"/>
    </row>
    <row r="399" spans="5:11" x14ac:dyDescent="0.25">
      <c r="E399" s="3">
        <f t="shared" ca="1" si="12"/>
        <v>5.7921207337244152E-2</v>
      </c>
      <c r="F399" s="3">
        <f t="shared" ca="1" si="12"/>
        <v>0.47551796116471967</v>
      </c>
      <c r="G399" s="3">
        <f t="shared" ca="1" si="13"/>
        <v>10.926789854863376</v>
      </c>
      <c r="H399" s="2"/>
      <c r="I399" s="2"/>
      <c r="J399" s="2"/>
      <c r="K399" s="2"/>
    </row>
    <row r="400" spans="5:11" x14ac:dyDescent="0.25">
      <c r="E400" s="3">
        <f t="shared" ca="1" si="12"/>
        <v>0.88152709053071998</v>
      </c>
      <c r="F400" s="3">
        <f t="shared" ca="1" si="12"/>
        <v>0.74914105400650255</v>
      </c>
      <c r="G400" s="3">
        <f t="shared" ca="1" si="13"/>
        <v>8.6476811420395858</v>
      </c>
      <c r="H400" s="2"/>
      <c r="I400" s="2"/>
      <c r="J400" s="2"/>
      <c r="K400" s="2"/>
    </row>
    <row r="401" spans="5:11" x14ac:dyDescent="0.25">
      <c r="E401" s="3">
        <f t="shared" ca="1" si="12"/>
        <v>0.82441419165553675</v>
      </c>
      <c r="F401" s="3">
        <f t="shared" ca="1" si="12"/>
        <v>0.23049432936816983</v>
      </c>
      <c r="G401" s="3">
        <f t="shared" ca="1" si="13"/>
        <v>2.5449592255967906</v>
      </c>
      <c r="H401" s="2"/>
      <c r="I401" s="2"/>
      <c r="J401" s="2"/>
      <c r="K401" s="2"/>
    </row>
    <row r="402" spans="5:11" x14ac:dyDescent="0.25">
      <c r="E402" s="3">
        <f t="shared" ca="1" si="12"/>
        <v>0.60274074049948001</v>
      </c>
      <c r="F402" s="3">
        <f t="shared" ca="1" si="12"/>
        <v>0.60365916890588489</v>
      </c>
      <c r="G402" s="3">
        <f t="shared" ca="1" si="13"/>
        <v>5.8597169177386883</v>
      </c>
      <c r="H402" s="2"/>
      <c r="I402" s="2"/>
      <c r="J402" s="2"/>
      <c r="K402" s="2"/>
    </row>
    <row r="403" spans="5:11" x14ac:dyDescent="0.25">
      <c r="E403" s="3">
        <f t="shared" ca="1" si="12"/>
        <v>8.4595972121737084E-2</v>
      </c>
      <c r="F403" s="3">
        <f t="shared" ca="1" si="12"/>
        <v>0.15585722241488642</v>
      </c>
      <c r="G403" s="3">
        <f t="shared" ca="1" si="13"/>
        <v>9.1333508244764001</v>
      </c>
      <c r="H403" s="2"/>
      <c r="I403" s="2"/>
      <c r="J403" s="2"/>
      <c r="K403" s="2"/>
    </row>
    <row r="404" spans="5:11" x14ac:dyDescent="0.25">
      <c r="E404" s="3">
        <f t="shared" ca="1" si="12"/>
        <v>0.63728585277942151</v>
      </c>
      <c r="F404" s="3">
        <f t="shared" ca="1" si="12"/>
        <v>0.42522058887923631</v>
      </c>
      <c r="G404" s="3">
        <f t="shared" ca="1" si="13"/>
        <v>3.5602987335424512</v>
      </c>
      <c r="H404" s="2"/>
      <c r="I404" s="2"/>
      <c r="J404" s="2"/>
      <c r="K404" s="2"/>
    </row>
    <row r="405" spans="5:11" x14ac:dyDescent="0.25">
      <c r="E405" s="3">
        <f t="shared" ca="1" si="12"/>
        <v>0.54837620757876837</v>
      </c>
      <c r="F405" s="3">
        <f t="shared" ca="1" si="12"/>
        <v>0.4779701704604612</v>
      </c>
      <c r="G405" s="3">
        <f t="shared" ca="1" si="13"/>
        <v>4.5003038328529161</v>
      </c>
      <c r="H405" s="2"/>
      <c r="I405" s="2"/>
      <c r="J405" s="2"/>
      <c r="K405" s="2"/>
    </row>
    <row r="406" spans="5:11" x14ac:dyDescent="0.25">
      <c r="E406" s="3">
        <f t="shared" ca="1" si="12"/>
        <v>9.0943010681098002E-2</v>
      </c>
      <c r="F406" s="3">
        <f t="shared" ca="1" si="12"/>
        <v>0.93364607451855186</v>
      </c>
      <c r="G406" s="3">
        <f t="shared" ca="1" si="13"/>
        <v>14.939276479668091</v>
      </c>
      <c r="H406" s="2"/>
      <c r="I406" s="2"/>
      <c r="J406" s="2"/>
      <c r="K406" s="2"/>
    </row>
    <row r="407" spans="5:11" x14ac:dyDescent="0.25">
      <c r="E407" s="3">
        <f t="shared" ca="1" si="12"/>
        <v>0.62763305518632728</v>
      </c>
      <c r="F407" s="3">
        <f t="shared" ca="1" si="12"/>
        <v>0.38713870649410087</v>
      </c>
      <c r="G407" s="3">
        <f t="shared" ca="1" si="13"/>
        <v>3.0972114606771739</v>
      </c>
      <c r="H407" s="2"/>
      <c r="I407" s="2"/>
      <c r="J407" s="2"/>
      <c r="K407" s="2"/>
    </row>
    <row r="408" spans="5:11" x14ac:dyDescent="0.25">
      <c r="E408" s="3">
        <f t="shared" ca="1" si="12"/>
        <v>0.53109496370270082</v>
      </c>
      <c r="F408" s="3">
        <f t="shared" ca="1" si="12"/>
        <v>0.24114909552948371</v>
      </c>
      <c r="G408" s="3">
        <f t="shared" ca="1" si="13"/>
        <v>2.0830639400817712</v>
      </c>
      <c r="H408" s="2"/>
      <c r="I408" s="2"/>
      <c r="J408" s="2"/>
      <c r="K408" s="2"/>
    </row>
    <row r="409" spans="5:11" x14ac:dyDescent="0.25">
      <c r="E409" s="3">
        <f t="shared" ca="1" si="12"/>
        <v>0.27983921685822866</v>
      </c>
      <c r="F409" s="3">
        <f t="shared" ca="1" si="12"/>
        <v>0.719106661410431</v>
      </c>
      <c r="G409" s="3">
        <f t="shared" ca="1" si="13"/>
        <v>8.9958277670866433</v>
      </c>
      <c r="H409" s="2"/>
      <c r="I409" s="2"/>
      <c r="J409" s="2"/>
      <c r="K409" s="2"/>
    </row>
    <row r="410" spans="5:11" x14ac:dyDescent="0.25">
      <c r="E410" s="3">
        <f t="shared" ca="1" si="12"/>
        <v>0.45264546057830268</v>
      </c>
      <c r="F410" s="3">
        <f t="shared" ca="1" si="12"/>
        <v>6.0495157486247786E-2</v>
      </c>
      <c r="G410" s="3">
        <f t="shared" ca="1" si="13"/>
        <v>4.3379657971874943</v>
      </c>
      <c r="H410" s="2"/>
      <c r="I410" s="2"/>
      <c r="J410" s="2"/>
      <c r="K410" s="2"/>
    </row>
    <row r="411" spans="5:11" x14ac:dyDescent="0.25">
      <c r="E411" s="3">
        <f t="shared" ca="1" si="12"/>
        <v>0.41551744339758057</v>
      </c>
      <c r="F411" s="3">
        <f t="shared" ca="1" si="12"/>
        <v>0.94789723522696334</v>
      </c>
      <c r="G411" s="3">
        <f t="shared" ca="1" si="13"/>
        <v>13.020984962535939</v>
      </c>
      <c r="H411" s="2"/>
      <c r="I411" s="2"/>
      <c r="J411" s="2"/>
      <c r="K411" s="2"/>
    </row>
    <row r="412" spans="5:11" x14ac:dyDescent="0.25">
      <c r="E412" s="3">
        <f t="shared" ca="1" si="12"/>
        <v>0.64559887078887956</v>
      </c>
      <c r="F412" s="3">
        <f t="shared" ca="1" si="12"/>
        <v>0.79012057844583972</v>
      </c>
      <c r="G412" s="3">
        <f t="shared" ca="1" si="13"/>
        <v>8.5123597730850502</v>
      </c>
      <c r="H412" s="2"/>
      <c r="I412" s="2"/>
      <c r="J412" s="2"/>
      <c r="K412" s="2"/>
    </row>
    <row r="413" spans="5:11" x14ac:dyDescent="0.25">
      <c r="E413" s="3">
        <f t="shared" ca="1" si="12"/>
        <v>0.7661694307051049</v>
      </c>
      <c r="F413" s="3">
        <f t="shared" ca="1" si="12"/>
        <v>0.5880956505255025</v>
      </c>
      <c r="G413" s="3">
        <f t="shared" ca="1" si="13"/>
        <v>5.7539155595214995</v>
      </c>
      <c r="H413" s="2"/>
      <c r="I413" s="2"/>
      <c r="J413" s="2"/>
      <c r="K413" s="2"/>
    </row>
    <row r="414" spans="5:11" x14ac:dyDescent="0.25">
      <c r="E414" s="3">
        <f t="shared" ca="1" si="12"/>
        <v>0.48123851979295929</v>
      </c>
      <c r="F414" s="3">
        <f t="shared" ca="1" si="12"/>
        <v>0.99807642330087587</v>
      </c>
      <c r="G414" s="3">
        <f t="shared" ca="1" si="13"/>
        <v>19.083387506195812</v>
      </c>
      <c r="H414" s="2"/>
      <c r="I414" s="2"/>
      <c r="J414" s="2"/>
      <c r="K414" s="2"/>
    </row>
    <row r="415" spans="5:11" x14ac:dyDescent="0.25">
      <c r="E415" s="3">
        <f t="shared" ca="1" si="12"/>
        <v>0.15157403864302899</v>
      </c>
      <c r="F415" s="3">
        <f t="shared" ca="1" si="12"/>
        <v>0.22176041926690804</v>
      </c>
      <c r="G415" s="3">
        <f t="shared" ca="1" si="13"/>
        <v>7.4164490659588962</v>
      </c>
      <c r="H415" s="2"/>
      <c r="I415" s="2"/>
      <c r="J415" s="2"/>
      <c r="K415" s="2"/>
    </row>
    <row r="416" spans="5:11" x14ac:dyDescent="0.25">
      <c r="E416" s="3">
        <f t="shared" ca="1" si="12"/>
        <v>0.68271328643920182</v>
      </c>
      <c r="F416" s="3">
        <f t="shared" ca="1" si="12"/>
        <v>0.31908633922632201</v>
      </c>
      <c r="G416" s="3">
        <f t="shared" ca="1" si="13"/>
        <v>2.123075935326737</v>
      </c>
      <c r="H416" s="2"/>
      <c r="I416" s="2"/>
      <c r="J416" s="2"/>
      <c r="K416" s="2"/>
    </row>
    <row r="417" spans="5:11" x14ac:dyDescent="0.25">
      <c r="E417" s="3">
        <f t="shared" ca="1" si="12"/>
        <v>0.45812943953392626</v>
      </c>
      <c r="F417" s="3">
        <f t="shared" ca="1" si="12"/>
        <v>0.94384108355075613</v>
      </c>
      <c r="G417" s="3">
        <f t="shared" ca="1" si="13"/>
        <v>12.713840510570126</v>
      </c>
      <c r="H417" s="2"/>
      <c r="I417" s="2"/>
      <c r="J417" s="2"/>
      <c r="K417" s="2"/>
    </row>
    <row r="418" spans="5:11" x14ac:dyDescent="0.25">
      <c r="E418" s="3">
        <f t="shared" ca="1" si="12"/>
        <v>0.91461387831871377</v>
      </c>
      <c r="F418" s="3">
        <f t="shared" ca="1" si="12"/>
        <v>0.39005623729069783</v>
      </c>
      <c r="G418" s="3">
        <f t="shared" ca="1" si="13"/>
        <v>5.5395241885296844</v>
      </c>
      <c r="H418" s="2"/>
      <c r="I418" s="2"/>
      <c r="J418" s="2"/>
      <c r="K418" s="2"/>
    </row>
    <row r="419" spans="5:11" x14ac:dyDescent="0.25">
      <c r="E419" s="3">
        <f t="shared" ca="1" si="12"/>
        <v>0.94850530051835835</v>
      </c>
      <c r="F419" s="3">
        <f t="shared" ca="1" si="12"/>
        <v>0.36983478817527227</v>
      </c>
      <c r="G419" s="3">
        <f t="shared" ca="1" si="13"/>
        <v>6.5454523936585307</v>
      </c>
      <c r="H419" s="2"/>
      <c r="I419" s="2"/>
      <c r="J419" s="2"/>
      <c r="K419" s="2"/>
    </row>
    <row r="420" spans="5:11" x14ac:dyDescent="0.25">
      <c r="E420" s="3">
        <f t="shared" ca="1" si="12"/>
        <v>0.91724929327637628</v>
      </c>
      <c r="F420" s="3">
        <f t="shared" ca="1" si="12"/>
        <v>0.96534563828929898</v>
      </c>
      <c r="G420" s="3">
        <f t="shared" ca="1" si="13"/>
        <v>14.341789109601393</v>
      </c>
      <c r="H420" s="2"/>
      <c r="I420" s="2"/>
      <c r="J420" s="2"/>
      <c r="K420" s="2"/>
    </row>
    <row r="421" spans="5:11" x14ac:dyDescent="0.25">
      <c r="E421" s="3">
        <f t="shared" ca="1" si="12"/>
        <v>0.46559718132667938</v>
      </c>
      <c r="F421" s="3">
        <f t="shared" ca="1" si="12"/>
        <v>0.9581200576361748</v>
      </c>
      <c r="G421" s="3">
        <f t="shared" ca="1" si="13"/>
        <v>13.385771032498592</v>
      </c>
      <c r="H421" s="2"/>
      <c r="I421" s="2"/>
      <c r="J421" s="2"/>
      <c r="K421" s="2"/>
    </row>
    <row r="422" spans="5:11" x14ac:dyDescent="0.25">
      <c r="E422" s="3">
        <f t="shared" ca="1" si="12"/>
        <v>0.39916599331086045</v>
      </c>
      <c r="F422" s="3">
        <f t="shared" ca="1" si="12"/>
        <v>0.10337545429227435</v>
      </c>
      <c r="G422" s="3">
        <f t="shared" ca="1" si="13"/>
        <v>3.9713237877997192</v>
      </c>
      <c r="H422" s="2"/>
      <c r="I422" s="2"/>
      <c r="J422" s="2"/>
      <c r="K422" s="2"/>
    </row>
    <row r="423" spans="5:11" x14ac:dyDescent="0.25">
      <c r="E423" s="3">
        <f t="shared" ca="1" si="12"/>
        <v>0.82493597675445907</v>
      </c>
      <c r="F423" s="3">
        <f t="shared" ca="1" si="12"/>
        <v>0.36253244425062214</v>
      </c>
      <c r="G423" s="3">
        <f t="shared" ca="1" si="13"/>
        <v>3.6419223867467796</v>
      </c>
      <c r="H423" s="2"/>
      <c r="I423" s="2"/>
      <c r="J423" s="2"/>
      <c r="K423" s="2"/>
    </row>
    <row r="424" spans="5:11" x14ac:dyDescent="0.25">
      <c r="E424" s="3">
        <f t="shared" ca="1" si="12"/>
        <v>0.41047528801619437</v>
      </c>
      <c r="F424" s="3">
        <f t="shared" ca="1" si="12"/>
        <v>0.9979258200304606</v>
      </c>
      <c r="G424" s="3">
        <f t="shared" ca="1" si="13"/>
        <v>19.103209929215705</v>
      </c>
      <c r="H424" s="2"/>
      <c r="I424" s="2"/>
      <c r="J424" s="2"/>
      <c r="K424" s="2"/>
    </row>
    <row r="425" spans="5:11" x14ac:dyDescent="0.25">
      <c r="E425" s="3">
        <f t="shared" ca="1" si="12"/>
        <v>0.1394173350114053</v>
      </c>
      <c r="F425" s="3">
        <f t="shared" ca="1" si="12"/>
        <v>0.48794820808346029</v>
      </c>
      <c r="G425" s="3">
        <f t="shared" ca="1" si="13"/>
        <v>8.7893769901712506</v>
      </c>
      <c r="H425" s="2"/>
      <c r="I425" s="2"/>
      <c r="J425" s="2"/>
      <c r="K425" s="2"/>
    </row>
    <row r="426" spans="5:11" x14ac:dyDescent="0.25">
      <c r="E426" s="3">
        <f t="shared" ca="1" si="12"/>
        <v>0.93095776304647937</v>
      </c>
      <c r="F426" s="3">
        <f t="shared" ca="1" si="12"/>
        <v>0.19191569510752038</v>
      </c>
      <c r="G426" s="3">
        <f t="shared" ca="1" si="13"/>
        <v>5.1757356925153619</v>
      </c>
      <c r="H426" s="2"/>
      <c r="I426" s="2"/>
      <c r="J426" s="2"/>
      <c r="K426" s="2"/>
    </row>
    <row r="427" spans="5:11" x14ac:dyDescent="0.25">
      <c r="E427" s="3">
        <f t="shared" ca="1" si="12"/>
        <v>0.47034335356247703</v>
      </c>
      <c r="F427" s="3">
        <f t="shared" ca="1" si="12"/>
        <v>0.20976839144921433</v>
      </c>
      <c r="G427" s="3">
        <f t="shared" ca="1" si="13"/>
        <v>2.6481836719015397</v>
      </c>
      <c r="H427" s="2"/>
      <c r="I427" s="2"/>
      <c r="J427" s="2"/>
      <c r="K427" s="2"/>
    </row>
    <row r="428" spans="5:11" x14ac:dyDescent="0.25">
      <c r="E428" s="3">
        <f t="shared" ca="1" si="12"/>
        <v>0.57836742899254212</v>
      </c>
      <c r="F428" s="3">
        <f t="shared" ca="1" si="12"/>
        <v>0.80478867550535926</v>
      </c>
      <c r="G428" s="3">
        <f t="shared" ca="1" si="13"/>
        <v>8.8531816253462772</v>
      </c>
      <c r="H428" s="2"/>
      <c r="I428" s="2"/>
      <c r="J428" s="2"/>
      <c r="K428" s="2"/>
    </row>
    <row r="429" spans="5:11" x14ac:dyDescent="0.25">
      <c r="E429" s="3">
        <f t="shared" ca="1" si="12"/>
        <v>0.82718507160273291</v>
      </c>
      <c r="F429" s="3">
        <f t="shared" ca="1" si="12"/>
        <v>0.962727325292702</v>
      </c>
      <c r="G429" s="3">
        <f t="shared" ca="1" si="13"/>
        <v>13.613145682619541</v>
      </c>
      <c r="H429" s="2"/>
      <c r="I429" s="2"/>
      <c r="J429" s="2"/>
      <c r="K429" s="2"/>
    </row>
    <row r="430" spans="5:11" x14ac:dyDescent="0.25">
      <c r="E430" s="3">
        <f t="shared" ca="1" si="12"/>
        <v>0.26460845853836323</v>
      </c>
      <c r="F430" s="3">
        <f t="shared" ca="1" si="12"/>
        <v>0.93805847593483005</v>
      </c>
      <c r="G430" s="3">
        <f t="shared" ca="1" si="13"/>
        <v>13.302655763408024</v>
      </c>
      <c r="H430" s="2"/>
      <c r="I430" s="2"/>
      <c r="J430" s="2"/>
      <c r="K430" s="2"/>
    </row>
    <row r="431" spans="5:11" x14ac:dyDescent="0.25">
      <c r="E431" s="3">
        <f t="shared" ca="1" si="12"/>
        <v>0.56790499905270975</v>
      </c>
      <c r="F431" s="3">
        <f t="shared" ca="1" si="12"/>
        <v>0.61057661430488896</v>
      </c>
      <c r="G431" s="3">
        <f t="shared" ca="1" si="13"/>
        <v>6.0351996032641839</v>
      </c>
      <c r="H431" s="2"/>
      <c r="I431" s="2"/>
      <c r="J431" s="2"/>
      <c r="K431" s="2"/>
    </row>
    <row r="432" spans="5:11" x14ac:dyDescent="0.25">
      <c r="E432" s="3">
        <f t="shared" ca="1" si="12"/>
        <v>0.44372024767605145</v>
      </c>
      <c r="F432" s="3">
        <f t="shared" ca="1" si="12"/>
        <v>0.7496340813812421</v>
      </c>
      <c r="G432" s="3">
        <f t="shared" ca="1" si="13"/>
        <v>8.3728559043908533</v>
      </c>
      <c r="H432" s="2"/>
      <c r="I432" s="2"/>
      <c r="J432" s="2"/>
      <c r="K432" s="2"/>
    </row>
    <row r="433" spans="5:11" x14ac:dyDescent="0.25">
      <c r="E433" s="3">
        <f t="shared" ca="1" si="12"/>
        <v>0.35855348459796033</v>
      </c>
      <c r="F433" s="3">
        <f t="shared" ca="1" si="12"/>
        <v>0.61728792176757519</v>
      </c>
      <c r="G433" s="3">
        <f t="shared" ca="1" si="13"/>
        <v>7.2084645191773955</v>
      </c>
      <c r="H433" s="2"/>
      <c r="I433" s="2"/>
      <c r="J433" s="2"/>
      <c r="K433" s="2"/>
    </row>
    <row r="434" spans="5:11" x14ac:dyDescent="0.25">
      <c r="E434" s="3">
        <f t="shared" ca="1" si="12"/>
        <v>0.57042420723583998</v>
      </c>
      <c r="F434" s="3">
        <f t="shared" ca="1" si="12"/>
        <v>0.23555135365808932</v>
      </c>
      <c r="G434" s="3">
        <f t="shared" ca="1" si="13"/>
        <v>1.6067934464304725</v>
      </c>
      <c r="H434" s="2"/>
      <c r="I434" s="2"/>
      <c r="J434" s="2"/>
      <c r="K434" s="2"/>
    </row>
    <row r="435" spans="5:11" x14ac:dyDescent="0.25">
      <c r="E435" s="3">
        <f t="shared" ca="1" si="12"/>
        <v>0.56531647529355489</v>
      </c>
      <c r="F435" s="3">
        <f t="shared" ca="1" si="12"/>
        <v>0.99691319326286087</v>
      </c>
      <c r="G435" s="3">
        <f t="shared" ca="1" si="13"/>
        <v>18.217333134059135</v>
      </c>
      <c r="H435" s="2"/>
      <c r="I435" s="2"/>
      <c r="J435" s="2"/>
      <c r="K435" s="2"/>
    </row>
    <row r="436" spans="5:11" x14ac:dyDescent="0.25">
      <c r="E436" s="3">
        <f t="shared" ca="1" si="12"/>
        <v>0.90953089459037439</v>
      </c>
      <c r="F436" s="3">
        <f t="shared" ca="1" si="12"/>
        <v>0.74009047947393691</v>
      </c>
      <c r="G436" s="3">
        <f t="shared" ca="1" si="13"/>
        <v>8.8825944601291411</v>
      </c>
      <c r="H436" s="2"/>
      <c r="I436" s="2"/>
      <c r="J436" s="2"/>
      <c r="K436" s="2"/>
    </row>
    <row r="437" spans="5:11" x14ac:dyDescent="0.25">
      <c r="E437" s="3">
        <f t="shared" ca="1" si="12"/>
        <v>0.26846882055967336</v>
      </c>
      <c r="F437" s="3">
        <f t="shared" ca="1" si="12"/>
        <v>0.60135476516418729</v>
      </c>
      <c r="G437" s="3">
        <f t="shared" ca="1" si="13"/>
        <v>7.8418777198192542</v>
      </c>
      <c r="H437" s="2"/>
      <c r="I437" s="2"/>
      <c r="J437" s="2"/>
      <c r="K437" s="2"/>
    </row>
    <row r="438" spans="5:11" x14ac:dyDescent="0.25">
      <c r="E438" s="3">
        <f t="shared" ca="1" si="12"/>
        <v>0.27025391905535534</v>
      </c>
      <c r="F438" s="3">
        <f t="shared" ca="1" si="12"/>
        <v>0.83394271148099863</v>
      </c>
      <c r="G438" s="3">
        <f t="shared" ca="1" si="13"/>
        <v>10.721271324023395</v>
      </c>
      <c r="H438" s="2"/>
      <c r="I438" s="2"/>
      <c r="J438" s="2"/>
      <c r="K438" s="2"/>
    </row>
    <row r="439" spans="5:11" x14ac:dyDescent="0.25">
      <c r="E439" s="3">
        <f t="shared" ca="1" si="12"/>
        <v>0.14016060200413405</v>
      </c>
      <c r="F439" s="3">
        <f t="shared" ca="1" si="12"/>
        <v>0.81380616187416643</v>
      </c>
      <c r="G439" s="3">
        <f t="shared" ca="1" si="13"/>
        <v>11.75117001869544</v>
      </c>
      <c r="H439" s="2"/>
      <c r="I439" s="2"/>
      <c r="J439" s="2"/>
      <c r="K439" s="2"/>
    </row>
    <row r="440" spans="5:11" x14ac:dyDescent="0.25">
      <c r="E440" s="3">
        <f t="shared" ca="1" si="12"/>
        <v>0.45094702707068679</v>
      </c>
      <c r="F440" s="3">
        <f t="shared" ca="1" si="12"/>
        <v>0.30289085156637718</v>
      </c>
      <c r="G440" s="3">
        <f t="shared" ca="1" si="13"/>
        <v>3.4250373062384596</v>
      </c>
      <c r="H440" s="2"/>
      <c r="I440" s="2"/>
      <c r="J440" s="2"/>
      <c r="K440" s="2"/>
    </row>
    <row r="441" spans="5:11" x14ac:dyDescent="0.25">
      <c r="E441" s="3">
        <f t="shared" ca="1" si="12"/>
        <v>0.15534971124344121</v>
      </c>
      <c r="F441" s="3">
        <f t="shared" ca="1" si="12"/>
        <v>0.47588746478452482</v>
      </c>
      <c r="G441" s="3">
        <f t="shared" ca="1" si="13"/>
        <v>8.4138246088317175</v>
      </c>
      <c r="H441" s="2"/>
      <c r="I441" s="2"/>
      <c r="J441" s="2"/>
      <c r="K441" s="2"/>
    </row>
    <row r="442" spans="5:11" x14ac:dyDescent="0.25">
      <c r="E442" s="3">
        <f t="shared" ca="1" si="12"/>
        <v>0.31025645345298358</v>
      </c>
      <c r="F442" s="3">
        <f t="shared" ca="1" si="12"/>
        <v>0.63105469013421711</v>
      </c>
      <c r="G442" s="3">
        <f t="shared" ca="1" si="13"/>
        <v>7.7446572778596181</v>
      </c>
      <c r="H442" s="2"/>
      <c r="I442" s="2"/>
      <c r="J442" s="2"/>
      <c r="K442" s="2"/>
    </row>
    <row r="443" spans="5:11" x14ac:dyDescent="0.25">
      <c r="E443" s="3">
        <f t="shared" ca="1" si="12"/>
        <v>0.85864752918384302</v>
      </c>
      <c r="F443" s="3">
        <f t="shared" ca="1" si="12"/>
        <v>6.9120545336763595E-2</v>
      </c>
      <c r="G443" s="3">
        <f t="shared" ca="1" si="13"/>
        <v>4.2962176772278688</v>
      </c>
      <c r="H443" s="2"/>
      <c r="I443" s="2"/>
      <c r="J443" s="2"/>
      <c r="K443" s="2"/>
    </row>
    <row r="444" spans="5:11" x14ac:dyDescent="0.25">
      <c r="E444" s="3">
        <f t="shared" ca="1" si="12"/>
        <v>0.84377504732034658</v>
      </c>
      <c r="F444" s="3">
        <f t="shared" ca="1" si="12"/>
        <v>4.0477230918483209E-2</v>
      </c>
      <c r="G444" s="3">
        <f t="shared" ca="1" si="13"/>
        <v>5.099930892603755</v>
      </c>
      <c r="H444" s="2"/>
      <c r="I444" s="2"/>
      <c r="J444" s="2"/>
      <c r="K444" s="2"/>
    </row>
    <row r="445" spans="5:11" x14ac:dyDescent="0.25">
      <c r="E445" s="3">
        <f t="shared" ca="1" si="12"/>
        <v>0.48381230049496271</v>
      </c>
      <c r="F445" s="3">
        <f t="shared" ca="1" si="12"/>
        <v>0.83124717068612008</v>
      </c>
      <c r="G445" s="3">
        <f t="shared" ca="1" si="13"/>
        <v>9.5822453859770995</v>
      </c>
      <c r="H445" s="2"/>
      <c r="I445" s="2"/>
      <c r="J445" s="2"/>
      <c r="K445" s="2"/>
    </row>
    <row r="446" spans="5:11" x14ac:dyDescent="0.25">
      <c r="E446" s="3">
        <f t="shared" ca="1" si="12"/>
        <v>0.90585418457728062</v>
      </c>
      <c r="F446" s="3">
        <f t="shared" ca="1" si="12"/>
        <v>0.73543862239563085</v>
      </c>
      <c r="G446" s="3">
        <f t="shared" ca="1" si="13"/>
        <v>8.7653583818666689</v>
      </c>
      <c r="H446" s="2"/>
      <c r="I446" s="2"/>
      <c r="J446" s="2"/>
      <c r="K446" s="2"/>
    </row>
    <row r="447" spans="5:11" x14ac:dyDescent="0.25">
      <c r="E447" s="3">
        <f t="shared" ca="1" si="12"/>
        <v>0.3918133563038978</v>
      </c>
      <c r="F447" s="3">
        <f t="shared" ca="1" si="12"/>
        <v>2.2689584739086999E-2</v>
      </c>
      <c r="G447" s="3">
        <f t="shared" ca="1" si="13"/>
        <v>6.6105583722668895</v>
      </c>
      <c r="H447" s="2"/>
      <c r="I447" s="2"/>
      <c r="J447" s="2"/>
      <c r="K447" s="2"/>
    </row>
    <row r="448" spans="5:11" x14ac:dyDescent="0.25">
      <c r="E448" s="3">
        <f t="shared" ca="1" si="12"/>
        <v>0.3724266869101619</v>
      </c>
      <c r="F448" s="3">
        <f t="shared" ca="1" si="12"/>
        <v>0.27818965571296872</v>
      </c>
      <c r="G448" s="3">
        <f t="shared" ca="1" si="13"/>
        <v>4.1587468715228741</v>
      </c>
      <c r="H448" s="2"/>
      <c r="I448" s="2"/>
      <c r="J448" s="2"/>
      <c r="K448" s="2"/>
    </row>
    <row r="449" spans="5:11" x14ac:dyDescent="0.25">
      <c r="E449" s="3">
        <f t="shared" ca="1" si="12"/>
        <v>0.10318562079781712</v>
      </c>
      <c r="F449" s="3">
        <f t="shared" ca="1" si="12"/>
        <v>2.5286769590825098E-2</v>
      </c>
      <c r="G449" s="3">
        <f t="shared" ca="1" si="13"/>
        <v>10.06944490018971</v>
      </c>
      <c r="H449" s="2"/>
      <c r="I449" s="2"/>
      <c r="J449" s="2"/>
      <c r="K449" s="2"/>
    </row>
    <row r="450" spans="5:11" x14ac:dyDescent="0.25">
      <c r="E450" s="3">
        <f t="shared" ca="1" si="12"/>
        <v>0.17570270162795687</v>
      </c>
      <c r="F450" s="3">
        <f t="shared" ca="1" si="12"/>
        <v>0.84472750770151928</v>
      </c>
      <c r="G450" s="3">
        <f t="shared" ca="1" si="13"/>
        <v>11.773899822970227</v>
      </c>
      <c r="H450" s="2"/>
      <c r="I450" s="2"/>
      <c r="J450" s="2"/>
      <c r="K450" s="2"/>
    </row>
    <row r="451" spans="5:11" x14ac:dyDescent="0.25">
      <c r="E451" s="3">
        <f t="shared" ca="1" si="12"/>
        <v>0.4674985039816183</v>
      </c>
      <c r="F451" s="3">
        <f t="shared" ca="1" si="12"/>
        <v>0.57970129089475508</v>
      </c>
      <c r="G451" s="3">
        <f t="shared" ca="1" si="13"/>
        <v>6.0823767249603309</v>
      </c>
      <c r="H451" s="2"/>
      <c r="I451" s="2"/>
      <c r="J451" s="2"/>
      <c r="K451" s="2"/>
    </row>
    <row r="452" spans="5:11" x14ac:dyDescent="0.25">
      <c r="E452" s="3">
        <f t="shared" ref="E452:F515" ca="1" si="14">RAND()</f>
        <v>0.15281051660066836</v>
      </c>
      <c r="F452" s="3">
        <f t="shared" ca="1" si="14"/>
        <v>0.40004225310442199</v>
      </c>
      <c r="G452" s="3">
        <f t="shared" ref="G452:G515" ca="1" si="15">SQRT(_xlfn.NORM.INV(E452,$C$3*COS($C$6),$C$4)^2+_xlfn.NORM.INV(F452,$C$3*SIN($C$6),$C$4)^2)</f>
        <v>8.0294904439587036</v>
      </c>
      <c r="H452" s="2"/>
      <c r="I452" s="2"/>
      <c r="J452" s="2"/>
      <c r="K452" s="2"/>
    </row>
    <row r="453" spans="5:11" x14ac:dyDescent="0.25">
      <c r="E453" s="3">
        <f t="shared" ca="1" si="14"/>
        <v>0.51552084398833131</v>
      </c>
      <c r="F453" s="3">
        <f t="shared" ca="1" si="14"/>
        <v>0.10581411880594682</v>
      </c>
      <c r="G453" s="3">
        <f t="shared" ca="1" si="15"/>
        <v>2.7088273396043094</v>
      </c>
      <c r="H453" s="2"/>
      <c r="I453" s="2"/>
      <c r="J453" s="2"/>
      <c r="K453" s="2"/>
    </row>
    <row r="454" spans="5:11" x14ac:dyDescent="0.25">
      <c r="E454" s="3">
        <f t="shared" ca="1" si="14"/>
        <v>0.83137074452193693</v>
      </c>
      <c r="F454" s="3">
        <f t="shared" ca="1" si="14"/>
        <v>9.8910111213552754E-2</v>
      </c>
      <c r="G454" s="3">
        <f t="shared" ca="1" si="15"/>
        <v>3.2277154856179289</v>
      </c>
      <c r="H454" s="2"/>
      <c r="I454" s="2"/>
      <c r="J454" s="2"/>
      <c r="K454" s="2"/>
    </row>
    <row r="455" spans="5:11" x14ac:dyDescent="0.25">
      <c r="E455" s="3">
        <f t="shared" ca="1" si="14"/>
        <v>0.64077845576172676</v>
      </c>
      <c r="F455" s="3">
        <f t="shared" ca="1" si="14"/>
        <v>0.97540995964181398</v>
      </c>
      <c r="G455" s="3">
        <f t="shared" ca="1" si="15"/>
        <v>14.311812726483343</v>
      </c>
      <c r="H455" s="2"/>
      <c r="I455" s="2"/>
      <c r="J455" s="2"/>
      <c r="K455" s="2"/>
    </row>
    <row r="456" spans="5:11" x14ac:dyDescent="0.25">
      <c r="E456" s="3">
        <f t="shared" ca="1" si="14"/>
        <v>0.23023736157549257</v>
      </c>
      <c r="F456" s="3">
        <f t="shared" ca="1" si="14"/>
        <v>0.37741610262255521</v>
      </c>
      <c r="G456" s="3">
        <f t="shared" ca="1" si="15"/>
        <v>6.6055408984401556</v>
      </c>
      <c r="H456" s="2"/>
      <c r="I456" s="2"/>
      <c r="J456" s="2"/>
      <c r="K456" s="2"/>
    </row>
    <row r="457" spans="5:11" x14ac:dyDescent="0.25">
      <c r="E457" s="3">
        <f t="shared" ca="1" si="14"/>
        <v>0.76109144903730608</v>
      </c>
      <c r="F457" s="3">
        <f t="shared" ca="1" si="14"/>
        <v>0.59125924546868125</v>
      </c>
      <c r="G457" s="3">
        <f t="shared" ca="1" si="15"/>
        <v>5.7741769444770217</v>
      </c>
      <c r="H457" s="2"/>
      <c r="I457" s="2"/>
      <c r="J457" s="2"/>
      <c r="K457" s="2"/>
    </row>
    <row r="458" spans="5:11" x14ac:dyDescent="0.25">
      <c r="E458" s="3">
        <f t="shared" ca="1" si="14"/>
        <v>0.67528989849622945</v>
      </c>
      <c r="F458" s="3">
        <f t="shared" ca="1" si="14"/>
        <v>0.24983640104498972</v>
      </c>
      <c r="G458" s="3">
        <f t="shared" ca="1" si="15"/>
        <v>1.0954413560017997</v>
      </c>
      <c r="H458" s="2"/>
      <c r="I458" s="2"/>
      <c r="J458" s="2"/>
      <c r="K458" s="2"/>
    </row>
    <row r="459" spans="5:11" x14ac:dyDescent="0.25">
      <c r="E459" s="3">
        <f t="shared" ca="1" si="14"/>
        <v>0.44383338404662265</v>
      </c>
      <c r="F459" s="3">
        <f t="shared" ca="1" si="14"/>
        <v>0.55377634036206225</v>
      </c>
      <c r="G459" s="3">
        <f t="shared" ca="1" si="15"/>
        <v>5.9299521624856837</v>
      </c>
      <c r="H459" s="2"/>
      <c r="I459" s="2"/>
      <c r="J459" s="2"/>
      <c r="K459" s="2"/>
    </row>
    <row r="460" spans="5:11" x14ac:dyDescent="0.25">
      <c r="E460" s="3">
        <f t="shared" ca="1" si="14"/>
        <v>0.93558984103736975</v>
      </c>
      <c r="F460" s="3">
        <f t="shared" ca="1" si="14"/>
        <v>0.84469596770739319</v>
      </c>
      <c r="G460" s="3">
        <f t="shared" ca="1" si="15"/>
        <v>10.939195915871736</v>
      </c>
      <c r="H460" s="2"/>
      <c r="I460" s="2"/>
      <c r="J460" s="2"/>
      <c r="K460" s="2"/>
    </row>
    <row r="461" spans="5:11" x14ac:dyDescent="0.25">
      <c r="E461" s="3">
        <f t="shared" ca="1" si="14"/>
        <v>0.7982759805690981</v>
      </c>
      <c r="F461" s="3">
        <f t="shared" ca="1" si="14"/>
        <v>0.34224009748859974</v>
      </c>
      <c r="G461" s="3">
        <f t="shared" ca="1" si="15"/>
        <v>3.1139816077250617</v>
      </c>
      <c r="H461" s="2"/>
      <c r="I461" s="2"/>
      <c r="J461" s="2"/>
      <c r="K461" s="2"/>
    </row>
    <row r="462" spans="5:11" x14ac:dyDescent="0.25">
      <c r="E462" s="3">
        <f t="shared" ca="1" si="14"/>
        <v>0.12357036123454723</v>
      </c>
      <c r="F462" s="3">
        <f t="shared" ca="1" si="14"/>
        <v>0.42897979231833383</v>
      </c>
      <c r="G462" s="3">
        <f t="shared" ca="1" si="15"/>
        <v>8.7871440180599318</v>
      </c>
      <c r="H462" s="2"/>
      <c r="I462" s="2"/>
      <c r="J462" s="2"/>
      <c r="K462" s="2"/>
    </row>
    <row r="463" spans="5:11" x14ac:dyDescent="0.25">
      <c r="E463" s="3">
        <f t="shared" ca="1" si="14"/>
        <v>0.95387182461478293</v>
      </c>
      <c r="F463" s="3">
        <f t="shared" ca="1" si="14"/>
        <v>0.89093694359946118</v>
      </c>
      <c r="G463" s="3">
        <f t="shared" ca="1" si="15"/>
        <v>12.292687713571182</v>
      </c>
      <c r="H463" s="2"/>
      <c r="I463" s="2"/>
      <c r="J463" s="2"/>
      <c r="K463" s="2"/>
    </row>
    <row r="464" spans="5:11" x14ac:dyDescent="0.25">
      <c r="E464" s="3">
        <f t="shared" ca="1" si="14"/>
        <v>0.87079407433379152</v>
      </c>
      <c r="F464" s="3">
        <f t="shared" ca="1" si="14"/>
        <v>0.13141404582342986</v>
      </c>
      <c r="G464" s="3">
        <f t="shared" ca="1" si="15"/>
        <v>3.592312345305487</v>
      </c>
      <c r="H464" s="2"/>
      <c r="I464" s="2"/>
      <c r="J464" s="2"/>
      <c r="K464" s="2"/>
    </row>
    <row r="465" spans="5:11" x14ac:dyDescent="0.25">
      <c r="E465" s="3">
        <f t="shared" ca="1" si="14"/>
        <v>7.5385030017338761E-2</v>
      </c>
      <c r="F465" s="3">
        <f t="shared" ca="1" si="14"/>
        <v>0.54436712708041546</v>
      </c>
      <c r="G465" s="3">
        <f t="shared" ca="1" si="15"/>
        <v>10.681431325990056</v>
      </c>
      <c r="H465" s="2"/>
      <c r="I465" s="2"/>
      <c r="J465" s="2"/>
      <c r="K465" s="2"/>
    </row>
    <row r="466" spans="5:11" x14ac:dyDescent="0.25">
      <c r="E466" s="3">
        <f t="shared" ca="1" si="14"/>
        <v>0.76825171767273881</v>
      </c>
      <c r="F466" s="3">
        <f t="shared" ca="1" si="14"/>
        <v>0.15237763463128728</v>
      </c>
      <c r="G466" s="3">
        <f t="shared" ca="1" si="15"/>
        <v>1.5711634437240516</v>
      </c>
      <c r="H466" s="2"/>
      <c r="I466" s="2"/>
      <c r="J466" s="2"/>
      <c r="K466" s="2"/>
    </row>
    <row r="467" spans="5:11" x14ac:dyDescent="0.25">
      <c r="E467" s="3">
        <f t="shared" ca="1" si="14"/>
        <v>0.45450376126371361</v>
      </c>
      <c r="F467" s="3">
        <f t="shared" ca="1" si="14"/>
        <v>0.48531634154778158</v>
      </c>
      <c r="G467" s="3">
        <f t="shared" ca="1" si="15"/>
        <v>5.125949067975208</v>
      </c>
      <c r="H467" s="2"/>
      <c r="I467" s="2"/>
      <c r="J467" s="2"/>
      <c r="K467" s="2"/>
    </row>
    <row r="468" spans="5:11" x14ac:dyDescent="0.25">
      <c r="E468" s="3">
        <f t="shared" ca="1" si="14"/>
        <v>0.18836559408715225</v>
      </c>
      <c r="F468" s="3">
        <f t="shared" ca="1" si="14"/>
        <v>0.98776358989311763</v>
      </c>
      <c r="G468" s="3">
        <f t="shared" ca="1" si="15"/>
        <v>17.070880711210378</v>
      </c>
      <c r="H468" s="2"/>
      <c r="I468" s="2"/>
      <c r="J468" s="2"/>
      <c r="K468" s="2"/>
    </row>
    <row r="469" spans="5:11" x14ac:dyDescent="0.25">
      <c r="E469" s="3">
        <f t="shared" ca="1" si="14"/>
        <v>0.70971663674508489</v>
      </c>
      <c r="F469" s="3">
        <f t="shared" ca="1" si="14"/>
        <v>0.84746113152620972</v>
      </c>
      <c r="G469" s="3">
        <f t="shared" ca="1" si="15"/>
        <v>9.6122161038660874</v>
      </c>
      <c r="H469" s="2"/>
      <c r="I469" s="2"/>
      <c r="J469" s="2"/>
      <c r="K469" s="2"/>
    </row>
    <row r="470" spans="5:11" x14ac:dyDescent="0.25">
      <c r="E470" s="3">
        <f t="shared" ca="1" si="14"/>
        <v>0.97473043733838927</v>
      </c>
      <c r="F470" s="3">
        <f t="shared" ca="1" si="14"/>
        <v>0.7685623597456358</v>
      </c>
      <c r="G470" s="3">
        <f t="shared" ca="1" si="15"/>
        <v>11.093596557025714</v>
      </c>
      <c r="H470" s="2"/>
      <c r="I470" s="2"/>
      <c r="J470" s="2"/>
      <c r="K470" s="2"/>
    </row>
    <row r="471" spans="5:11" x14ac:dyDescent="0.25">
      <c r="E471" s="3">
        <f t="shared" ca="1" si="14"/>
        <v>0.51366020545693925</v>
      </c>
      <c r="F471" s="3">
        <f t="shared" ca="1" si="14"/>
        <v>0.89972471541356636</v>
      </c>
      <c r="G471" s="3">
        <f t="shared" ca="1" si="15"/>
        <v>11.065087177287428</v>
      </c>
      <c r="H471" s="2"/>
      <c r="I471" s="2"/>
      <c r="J471" s="2"/>
      <c r="K471" s="2"/>
    </row>
    <row r="472" spans="5:11" x14ac:dyDescent="0.25">
      <c r="E472" s="3">
        <f t="shared" ca="1" si="14"/>
        <v>0.37933010464355776</v>
      </c>
      <c r="F472" s="3">
        <f t="shared" ca="1" si="14"/>
        <v>1.8919982411981229E-3</v>
      </c>
      <c r="G472" s="3">
        <f t="shared" ca="1" si="15"/>
        <v>10.696998464852134</v>
      </c>
      <c r="H472" s="2"/>
      <c r="I472" s="2"/>
      <c r="J472" s="2"/>
      <c r="K472" s="2"/>
    </row>
    <row r="473" spans="5:11" x14ac:dyDescent="0.25">
      <c r="E473" s="3">
        <f t="shared" ca="1" si="14"/>
        <v>0.60196400601109012</v>
      </c>
      <c r="F473" s="3">
        <f t="shared" ca="1" si="14"/>
        <v>0.47634939200185977</v>
      </c>
      <c r="G473" s="3">
        <f t="shared" ca="1" si="15"/>
        <v>4.2797534244844462</v>
      </c>
      <c r="H473" s="2"/>
      <c r="I473" s="2"/>
      <c r="J473" s="2"/>
      <c r="K473" s="2"/>
    </row>
    <row r="474" spans="5:11" x14ac:dyDescent="0.25">
      <c r="E474" s="3">
        <f t="shared" ca="1" si="14"/>
        <v>0.84249551656137245</v>
      </c>
      <c r="F474" s="3">
        <f t="shared" ca="1" si="14"/>
        <v>0.9560319065567231</v>
      </c>
      <c r="G474" s="3">
        <f t="shared" ca="1" si="15"/>
        <v>13.29652124479273</v>
      </c>
      <c r="H474" s="2"/>
      <c r="I474" s="2"/>
      <c r="J474" s="2"/>
      <c r="K474" s="2"/>
    </row>
    <row r="475" spans="5:11" x14ac:dyDescent="0.25">
      <c r="E475" s="3">
        <f t="shared" ca="1" si="14"/>
        <v>0.24468858350805656</v>
      </c>
      <c r="F475" s="3">
        <f t="shared" ca="1" si="14"/>
        <v>0.37630747963320899</v>
      </c>
      <c r="G475" s="3">
        <f t="shared" ca="1" si="15"/>
        <v>6.3898066922528862</v>
      </c>
      <c r="H475" s="2"/>
      <c r="I475" s="2"/>
      <c r="J475" s="2"/>
      <c r="K475" s="2"/>
    </row>
    <row r="476" spans="5:11" x14ac:dyDescent="0.25">
      <c r="E476" s="3">
        <f t="shared" ca="1" si="14"/>
        <v>0.34982760733143281</v>
      </c>
      <c r="F476" s="3">
        <f t="shared" ca="1" si="14"/>
        <v>6.081356256371595E-2</v>
      </c>
      <c r="G476" s="3">
        <f t="shared" ca="1" si="15"/>
        <v>5.298622176465912</v>
      </c>
      <c r="H476" s="2"/>
      <c r="I476" s="2"/>
      <c r="J476" s="2"/>
      <c r="K476" s="2"/>
    </row>
    <row r="477" spans="5:11" x14ac:dyDescent="0.25">
      <c r="E477" s="3">
        <f t="shared" ca="1" si="14"/>
        <v>6.0516168587556596E-3</v>
      </c>
      <c r="F477" s="3">
        <f t="shared" ca="1" si="14"/>
        <v>0.32910710797399623</v>
      </c>
      <c r="G477" s="3">
        <f t="shared" ca="1" si="15"/>
        <v>14.957399549769018</v>
      </c>
      <c r="H477" s="2"/>
      <c r="I477" s="2"/>
      <c r="J477" s="2"/>
      <c r="K477" s="2"/>
    </row>
    <row r="478" spans="5:11" x14ac:dyDescent="0.25">
      <c r="E478" s="3">
        <f t="shared" ca="1" si="14"/>
        <v>0.5588002274584245</v>
      </c>
      <c r="F478" s="3">
        <f t="shared" ca="1" si="14"/>
        <v>5.037735540926902E-3</v>
      </c>
      <c r="G478" s="3">
        <f t="shared" ca="1" si="15"/>
        <v>8.5292238321304392</v>
      </c>
      <c r="H478" s="2"/>
      <c r="I478" s="2"/>
      <c r="J478" s="2"/>
      <c r="K478" s="2"/>
    </row>
    <row r="479" spans="5:11" x14ac:dyDescent="0.25">
      <c r="E479" s="3">
        <f t="shared" ca="1" si="14"/>
        <v>0.51700945994720138</v>
      </c>
      <c r="F479" s="3">
        <f t="shared" ca="1" si="14"/>
        <v>0.27740742064262369</v>
      </c>
      <c r="G479" s="3">
        <f t="shared" ca="1" si="15"/>
        <v>2.5320065094995297</v>
      </c>
      <c r="H479" s="2"/>
      <c r="I479" s="2"/>
      <c r="J479" s="2"/>
      <c r="K479" s="2"/>
    </row>
    <row r="480" spans="5:11" x14ac:dyDescent="0.25">
      <c r="E480" s="3">
        <f t="shared" ca="1" si="14"/>
        <v>0.95952236488197007</v>
      </c>
      <c r="F480" s="3">
        <f t="shared" ca="1" si="14"/>
        <v>0.95962359993749502</v>
      </c>
      <c r="G480" s="3">
        <f t="shared" ca="1" si="15"/>
        <v>14.708678726803184</v>
      </c>
      <c r="H480" s="2"/>
      <c r="I480" s="2"/>
      <c r="J480" s="2"/>
      <c r="K480" s="2"/>
    </row>
    <row r="481" spans="5:11" x14ac:dyDescent="0.25">
      <c r="E481" s="3">
        <f t="shared" ca="1" si="14"/>
        <v>0.44946469673444567</v>
      </c>
      <c r="F481" s="3">
        <f t="shared" ca="1" si="14"/>
        <v>0.68846908613860613</v>
      </c>
      <c r="G481" s="3">
        <f t="shared" ca="1" si="15"/>
        <v>7.5006164145215291</v>
      </c>
      <c r="H481" s="2"/>
      <c r="I481" s="2"/>
      <c r="J481" s="2"/>
      <c r="K481" s="2"/>
    </row>
    <row r="482" spans="5:11" x14ac:dyDescent="0.25">
      <c r="E482" s="3">
        <f t="shared" ca="1" si="14"/>
        <v>0.90250679772790654</v>
      </c>
      <c r="F482" s="3">
        <f t="shared" ca="1" si="14"/>
        <v>0.40615756746784759</v>
      </c>
      <c r="G482" s="3">
        <f t="shared" ca="1" si="15"/>
        <v>5.3618828416946496</v>
      </c>
      <c r="H482" s="2"/>
      <c r="I482" s="2"/>
      <c r="J482" s="2"/>
      <c r="K482" s="2"/>
    </row>
    <row r="483" spans="5:11" x14ac:dyDescent="0.25">
      <c r="E483" s="3">
        <f t="shared" ca="1" si="14"/>
        <v>0.15607593920108276</v>
      </c>
      <c r="F483" s="3">
        <f t="shared" ca="1" si="14"/>
        <v>0.70615433184818688</v>
      </c>
      <c r="G483" s="3">
        <f t="shared" ca="1" si="15"/>
        <v>10.23558355976148</v>
      </c>
      <c r="H483" s="2"/>
      <c r="I483" s="2"/>
      <c r="J483" s="2"/>
      <c r="K483" s="2"/>
    </row>
    <row r="484" spans="5:11" x14ac:dyDescent="0.25">
      <c r="E484" s="3">
        <f t="shared" ca="1" si="14"/>
        <v>0.93000160546279165</v>
      </c>
      <c r="F484" s="3">
        <f t="shared" ca="1" si="14"/>
        <v>0.24763920300785636</v>
      </c>
      <c r="G484" s="3">
        <f t="shared" ca="1" si="15"/>
        <v>5.2468959899951928</v>
      </c>
      <c r="H484" s="2"/>
      <c r="I484" s="2"/>
      <c r="J484" s="2"/>
      <c r="K484" s="2"/>
    </row>
    <row r="485" spans="5:11" x14ac:dyDescent="0.25">
      <c r="E485" s="3">
        <f t="shared" ca="1" si="14"/>
        <v>0.12180244310165655</v>
      </c>
      <c r="F485" s="3">
        <f t="shared" ca="1" si="14"/>
        <v>0.26548797381220568</v>
      </c>
      <c r="G485" s="3">
        <f t="shared" ca="1" si="15"/>
        <v>8.1805491587434123</v>
      </c>
      <c r="H485" s="2"/>
      <c r="I485" s="2"/>
      <c r="J485" s="2"/>
      <c r="K485" s="2"/>
    </row>
    <row r="486" spans="5:11" x14ac:dyDescent="0.25">
      <c r="E486" s="3">
        <f t="shared" ca="1" si="14"/>
        <v>0.15915280516365993</v>
      </c>
      <c r="F486" s="3">
        <f t="shared" ca="1" si="14"/>
        <v>3.2767749304959071E-2</v>
      </c>
      <c r="G486" s="3">
        <f t="shared" ca="1" si="15"/>
        <v>8.6442190061445903</v>
      </c>
      <c r="H486" s="2"/>
      <c r="I486" s="2"/>
      <c r="J486" s="2"/>
      <c r="K486" s="2"/>
    </row>
    <row r="487" spans="5:11" x14ac:dyDescent="0.25">
      <c r="E487" s="3">
        <f t="shared" ca="1" si="14"/>
        <v>0.95847497419361838</v>
      </c>
      <c r="F487" s="3">
        <f t="shared" ca="1" si="14"/>
        <v>0.52192651784920308</v>
      </c>
      <c r="G487" s="3">
        <f t="shared" ca="1" si="15"/>
        <v>7.9879127406489854</v>
      </c>
      <c r="H487" s="2"/>
      <c r="I487" s="2"/>
      <c r="J487" s="2"/>
      <c r="K487" s="2"/>
    </row>
    <row r="488" spans="5:11" x14ac:dyDescent="0.25">
      <c r="E488" s="3">
        <f t="shared" ca="1" si="14"/>
        <v>0.3827044135587766</v>
      </c>
      <c r="F488" s="3">
        <f t="shared" ca="1" si="14"/>
        <v>0.32161833215924129</v>
      </c>
      <c r="G488" s="3">
        <f t="shared" ca="1" si="15"/>
        <v>4.3093098006096309</v>
      </c>
      <c r="H488" s="2"/>
      <c r="I488" s="2"/>
      <c r="J488" s="2"/>
      <c r="K488" s="2"/>
    </row>
    <row r="489" spans="5:11" x14ac:dyDescent="0.25">
      <c r="E489" s="3">
        <f t="shared" ca="1" si="14"/>
        <v>9.0672216332075006E-2</v>
      </c>
      <c r="F489" s="3">
        <f t="shared" ca="1" si="14"/>
        <v>0.52319002646975143</v>
      </c>
      <c r="G489" s="3">
        <f t="shared" ca="1" si="15"/>
        <v>10.11405139968436</v>
      </c>
      <c r="H489" s="2"/>
      <c r="I489" s="2"/>
      <c r="J489" s="2"/>
      <c r="K489" s="2"/>
    </row>
    <row r="490" spans="5:11" x14ac:dyDescent="0.25">
      <c r="E490" s="3">
        <f t="shared" ca="1" si="14"/>
        <v>0.56656001053642713</v>
      </c>
      <c r="F490" s="3">
        <f t="shared" ca="1" si="14"/>
        <v>0.21897832033221709</v>
      </c>
      <c r="G490" s="3">
        <f t="shared" ca="1" si="15"/>
        <v>1.5219965798145787</v>
      </c>
      <c r="H490" s="2"/>
      <c r="I490" s="2"/>
      <c r="J490" s="2"/>
      <c r="K490" s="2"/>
    </row>
    <row r="491" spans="5:11" x14ac:dyDescent="0.25">
      <c r="E491" s="3">
        <f t="shared" ca="1" si="14"/>
        <v>0.65256127922608187</v>
      </c>
      <c r="F491" s="3">
        <f t="shared" ca="1" si="14"/>
        <v>0.75276137191789894</v>
      </c>
      <c r="G491" s="3">
        <f t="shared" ca="1" si="15"/>
        <v>7.8909477342836878</v>
      </c>
      <c r="H491" s="2"/>
      <c r="I491" s="2"/>
      <c r="J491" s="2"/>
      <c r="K491" s="2"/>
    </row>
    <row r="492" spans="5:11" x14ac:dyDescent="0.25">
      <c r="E492" s="3">
        <f t="shared" ca="1" si="14"/>
        <v>9.9755724108337995E-3</v>
      </c>
      <c r="F492" s="3">
        <f t="shared" ca="1" si="14"/>
        <v>0.45685698634229899</v>
      </c>
      <c r="G492" s="3">
        <f t="shared" ca="1" si="15"/>
        <v>14.421979024425621</v>
      </c>
      <c r="H492" s="2"/>
      <c r="I492" s="2"/>
      <c r="J492" s="2"/>
      <c r="K492" s="2"/>
    </row>
    <row r="493" spans="5:11" x14ac:dyDescent="0.25">
      <c r="E493" s="3">
        <f t="shared" ca="1" si="14"/>
        <v>0.16106037467188594</v>
      </c>
      <c r="F493" s="3">
        <f t="shared" ca="1" si="14"/>
        <v>0.38902904498822943</v>
      </c>
      <c r="G493" s="3">
        <f t="shared" ca="1" si="15"/>
        <v>7.8151977492730031</v>
      </c>
      <c r="H493" s="2"/>
      <c r="I493" s="2"/>
      <c r="J493" s="2"/>
      <c r="K493" s="2"/>
    </row>
    <row r="494" spans="5:11" x14ac:dyDescent="0.25">
      <c r="E494" s="3">
        <f t="shared" ca="1" si="14"/>
        <v>0.18651057725212417</v>
      </c>
      <c r="F494" s="3">
        <f t="shared" ca="1" si="14"/>
        <v>0.47990108653342067</v>
      </c>
      <c r="G494" s="3">
        <f t="shared" ca="1" si="15"/>
        <v>7.9125079014287696</v>
      </c>
      <c r="H494" s="2"/>
      <c r="I494" s="2"/>
      <c r="J494" s="2"/>
      <c r="K494" s="2"/>
    </row>
    <row r="495" spans="5:11" x14ac:dyDescent="0.25">
      <c r="E495" s="3">
        <f t="shared" ca="1" si="14"/>
        <v>7.864826140931036E-2</v>
      </c>
      <c r="F495" s="3">
        <f t="shared" ca="1" si="14"/>
        <v>0.89720311239415274</v>
      </c>
      <c r="G495" s="3">
        <f t="shared" ca="1" si="15"/>
        <v>14.25899689707337</v>
      </c>
      <c r="H495" s="2"/>
      <c r="I495" s="2"/>
      <c r="J495" s="2"/>
      <c r="K495" s="2"/>
    </row>
    <row r="496" spans="5:11" x14ac:dyDescent="0.25">
      <c r="E496" s="3">
        <f t="shared" ca="1" si="14"/>
        <v>0.51161025391946602</v>
      </c>
      <c r="F496" s="3">
        <f t="shared" ca="1" si="14"/>
        <v>0.75215009267423494</v>
      </c>
      <c r="G496" s="3">
        <f t="shared" ca="1" si="15"/>
        <v>8.1501572980317416</v>
      </c>
      <c r="H496" s="2"/>
      <c r="I496" s="2"/>
      <c r="J496" s="2"/>
      <c r="K496" s="2"/>
    </row>
    <row r="497" spans="5:11" x14ac:dyDescent="0.25">
      <c r="E497" s="3">
        <f t="shared" ca="1" si="14"/>
        <v>0.34904403464504863</v>
      </c>
      <c r="F497" s="3">
        <f t="shared" ca="1" si="14"/>
        <v>0.93397293583438867</v>
      </c>
      <c r="G497" s="3">
        <f t="shared" ca="1" si="15"/>
        <v>12.707364258156462</v>
      </c>
      <c r="H497" s="2"/>
      <c r="I497" s="2"/>
      <c r="J497" s="2"/>
      <c r="K497" s="2"/>
    </row>
    <row r="498" spans="5:11" x14ac:dyDescent="0.25">
      <c r="E498" s="3">
        <f t="shared" ca="1" si="14"/>
        <v>0.80806088904914064</v>
      </c>
      <c r="F498" s="3">
        <f t="shared" ca="1" si="14"/>
        <v>0.91713778665212253</v>
      </c>
      <c r="G498" s="3">
        <f t="shared" ca="1" si="15"/>
        <v>11.594605495051191</v>
      </c>
      <c r="H498" s="2"/>
      <c r="I498" s="2"/>
      <c r="J498" s="2"/>
      <c r="K498" s="2"/>
    </row>
    <row r="499" spans="5:11" x14ac:dyDescent="0.25">
      <c r="E499" s="3">
        <f t="shared" ca="1" si="14"/>
        <v>4.3344982308091362E-2</v>
      </c>
      <c r="F499" s="3">
        <f t="shared" ca="1" si="14"/>
        <v>0.60256543467248191</v>
      </c>
      <c r="G499" s="3">
        <f t="shared" ca="1" si="15"/>
        <v>12.249961105628605</v>
      </c>
      <c r="H499" s="2"/>
      <c r="I499" s="2"/>
      <c r="J499" s="2"/>
      <c r="K499" s="2"/>
    </row>
    <row r="500" spans="5:11" x14ac:dyDescent="0.25">
      <c r="E500" s="3">
        <f t="shared" ca="1" si="14"/>
        <v>0.60858079276910315</v>
      </c>
      <c r="F500" s="3">
        <f t="shared" ca="1" si="14"/>
        <v>0.56014109152249991</v>
      </c>
      <c r="G500" s="3">
        <f t="shared" ca="1" si="15"/>
        <v>5.2972658118134142</v>
      </c>
      <c r="H500" s="2"/>
      <c r="I500" s="2"/>
      <c r="J500" s="2"/>
      <c r="K500" s="2"/>
    </row>
    <row r="501" spans="5:11" x14ac:dyDescent="0.25">
      <c r="E501" s="3">
        <f t="shared" ca="1" si="14"/>
        <v>0.16103137727069194</v>
      </c>
      <c r="F501" s="3">
        <f t="shared" ca="1" si="14"/>
        <v>0.52574166159518509</v>
      </c>
      <c r="G501" s="3">
        <f t="shared" ca="1" si="15"/>
        <v>8.6422804713566421</v>
      </c>
      <c r="H501" s="2"/>
      <c r="I501" s="2"/>
      <c r="J501" s="2"/>
      <c r="K501" s="2"/>
    </row>
    <row r="502" spans="5:11" x14ac:dyDescent="0.25">
      <c r="E502" s="3">
        <f t="shared" ca="1" si="14"/>
        <v>0.10669591628464459</v>
      </c>
      <c r="F502" s="3">
        <f t="shared" ca="1" si="14"/>
        <v>0.51571018858440176</v>
      </c>
      <c r="G502" s="3">
        <f t="shared" ca="1" si="15"/>
        <v>9.6634805268730943</v>
      </c>
      <c r="H502" s="2"/>
      <c r="I502" s="2"/>
      <c r="J502" s="2"/>
      <c r="K502" s="2"/>
    </row>
    <row r="503" spans="5:11" x14ac:dyDescent="0.25">
      <c r="E503" s="3">
        <f t="shared" ca="1" si="14"/>
        <v>0.33263557588871173</v>
      </c>
      <c r="F503" s="3">
        <f t="shared" ca="1" si="14"/>
        <v>4.6401599648827285E-2</v>
      </c>
      <c r="G503" s="3">
        <f t="shared" ca="1" si="15"/>
        <v>5.9049066868145568</v>
      </c>
      <c r="H503" s="2"/>
      <c r="I503" s="2"/>
      <c r="J503" s="2"/>
      <c r="K503" s="2"/>
    </row>
    <row r="504" spans="5:11" x14ac:dyDescent="0.25">
      <c r="E504" s="3">
        <f t="shared" ca="1" si="14"/>
        <v>7.8260512032397922E-2</v>
      </c>
      <c r="F504" s="3">
        <f t="shared" ca="1" si="14"/>
        <v>0.67677538869778942</v>
      </c>
      <c r="G504" s="3">
        <f t="shared" ca="1" si="15"/>
        <v>11.519335207793022</v>
      </c>
      <c r="H504" s="2"/>
      <c r="I504" s="2"/>
      <c r="J504" s="2"/>
      <c r="K504" s="2"/>
    </row>
    <row r="505" spans="5:11" x14ac:dyDescent="0.25">
      <c r="E505" s="3">
        <f t="shared" ca="1" si="14"/>
        <v>0.56027409365730563</v>
      </c>
      <c r="F505" s="3">
        <f t="shared" ca="1" si="14"/>
        <v>0.98265727276534798</v>
      </c>
      <c r="G505" s="3">
        <f t="shared" ca="1" si="15"/>
        <v>15.102933678784325</v>
      </c>
      <c r="H505" s="2"/>
      <c r="I505" s="2"/>
      <c r="J505" s="2"/>
      <c r="K505" s="2"/>
    </row>
    <row r="506" spans="5:11" x14ac:dyDescent="0.25">
      <c r="E506" s="3">
        <f t="shared" ca="1" si="14"/>
        <v>0.35801629417194458</v>
      </c>
      <c r="F506" s="3">
        <f t="shared" ca="1" si="14"/>
        <v>0.70809819106311633</v>
      </c>
      <c r="G506" s="3">
        <f t="shared" ca="1" si="15"/>
        <v>8.2734048730926002</v>
      </c>
      <c r="H506" s="2"/>
      <c r="I506" s="2"/>
      <c r="J506" s="2"/>
      <c r="K506" s="2"/>
    </row>
    <row r="507" spans="5:11" x14ac:dyDescent="0.25">
      <c r="E507" s="3">
        <f t="shared" ca="1" si="14"/>
        <v>0.21176753627047784</v>
      </c>
      <c r="F507" s="3">
        <f t="shared" ca="1" si="14"/>
        <v>0.22419907840650988</v>
      </c>
      <c r="G507" s="3">
        <f t="shared" ca="1" si="15"/>
        <v>6.2787660118885267</v>
      </c>
      <c r="H507" s="2"/>
      <c r="I507" s="2"/>
      <c r="J507" s="2"/>
      <c r="K507" s="2"/>
    </row>
    <row r="508" spans="5:11" x14ac:dyDescent="0.25">
      <c r="E508" s="3">
        <f t="shared" ca="1" si="14"/>
        <v>0.59088517070787028</v>
      </c>
      <c r="F508" s="3">
        <f t="shared" ca="1" si="14"/>
        <v>0.4016068125339578</v>
      </c>
      <c r="G508" s="3">
        <f t="shared" ca="1" si="15"/>
        <v>3.40370696513919</v>
      </c>
      <c r="H508" s="2"/>
      <c r="I508" s="2"/>
      <c r="J508" s="2"/>
      <c r="K508" s="2"/>
    </row>
    <row r="509" spans="5:11" x14ac:dyDescent="0.25">
      <c r="E509" s="3">
        <f t="shared" ca="1" si="14"/>
        <v>0.41922693745531958</v>
      </c>
      <c r="F509" s="3">
        <f t="shared" ca="1" si="14"/>
        <v>0.37486052287126648</v>
      </c>
      <c r="G509" s="3">
        <f t="shared" ca="1" si="15"/>
        <v>4.3463932661393372</v>
      </c>
      <c r="H509" s="2"/>
      <c r="I509" s="2"/>
      <c r="J509" s="2"/>
      <c r="K509" s="2"/>
    </row>
    <row r="510" spans="5:11" x14ac:dyDescent="0.25">
      <c r="E510" s="3">
        <f t="shared" ca="1" si="14"/>
        <v>0.51482765728715785</v>
      </c>
      <c r="F510" s="3">
        <f t="shared" ca="1" si="14"/>
        <v>0.95701230549114014</v>
      </c>
      <c r="G510" s="3">
        <f t="shared" ca="1" si="15"/>
        <v>13.215756277970012</v>
      </c>
      <c r="H510" s="2"/>
      <c r="I510" s="2"/>
      <c r="J510" s="2"/>
      <c r="K510" s="2"/>
    </row>
    <row r="511" spans="5:11" x14ac:dyDescent="0.25">
      <c r="E511" s="3">
        <f t="shared" ca="1" si="14"/>
        <v>0.61918187948603809</v>
      </c>
      <c r="F511" s="3">
        <f t="shared" ca="1" si="14"/>
        <v>0.82652522065684531</v>
      </c>
      <c r="G511" s="3">
        <f t="shared" ca="1" si="15"/>
        <v>9.2011016419784397</v>
      </c>
      <c r="H511" s="2"/>
      <c r="I511" s="2"/>
      <c r="J511" s="2"/>
      <c r="K511" s="2"/>
    </row>
    <row r="512" spans="5:11" x14ac:dyDescent="0.25">
      <c r="E512" s="3">
        <f t="shared" ca="1" si="14"/>
        <v>8.4507832632689461E-2</v>
      </c>
      <c r="F512" s="3">
        <f t="shared" ca="1" si="14"/>
        <v>0.79851650418640363</v>
      </c>
      <c r="G512" s="3">
        <f t="shared" ca="1" si="15"/>
        <v>12.56881459072067</v>
      </c>
      <c r="H512" s="2"/>
      <c r="I512" s="2"/>
      <c r="J512" s="2"/>
      <c r="K512" s="2"/>
    </row>
    <row r="513" spans="5:11" x14ac:dyDescent="0.25">
      <c r="E513" s="3">
        <f t="shared" ca="1" si="14"/>
        <v>0.80441446865030575</v>
      </c>
      <c r="F513" s="3">
        <f t="shared" ca="1" si="14"/>
        <v>0.44866056409283783</v>
      </c>
      <c r="G513" s="3">
        <f t="shared" ca="1" si="15"/>
        <v>4.3381321350596549</v>
      </c>
      <c r="H513" s="2"/>
      <c r="I513" s="2"/>
      <c r="J513" s="2"/>
      <c r="K513" s="2"/>
    </row>
    <row r="514" spans="5:11" x14ac:dyDescent="0.25">
      <c r="E514" s="3">
        <f t="shared" ca="1" si="14"/>
        <v>0.5594848835817734</v>
      </c>
      <c r="F514" s="3">
        <f t="shared" ca="1" si="14"/>
        <v>0.41086332511670531</v>
      </c>
      <c r="G514" s="3">
        <f t="shared" ca="1" si="15"/>
        <v>3.6611843254197098</v>
      </c>
      <c r="H514" s="2"/>
      <c r="I514" s="2"/>
      <c r="J514" s="2"/>
      <c r="K514" s="2"/>
    </row>
    <row r="515" spans="5:11" x14ac:dyDescent="0.25">
      <c r="E515" s="3">
        <f t="shared" ca="1" si="14"/>
        <v>0.39981608144391989</v>
      </c>
      <c r="F515" s="3">
        <f t="shared" ca="1" si="14"/>
        <v>0.30126003026886539</v>
      </c>
      <c r="G515" s="3">
        <f t="shared" ca="1" si="15"/>
        <v>3.9747635743200536</v>
      </c>
      <c r="H515" s="2"/>
      <c r="I515" s="2"/>
      <c r="J515" s="2"/>
      <c r="K515" s="2"/>
    </row>
    <row r="516" spans="5:11" x14ac:dyDescent="0.25">
      <c r="E516" s="3">
        <f t="shared" ref="E516:F579" ca="1" si="16">RAND()</f>
        <v>0.35712154729135603</v>
      </c>
      <c r="F516" s="3">
        <f t="shared" ca="1" si="16"/>
        <v>0.47633139266659752</v>
      </c>
      <c r="G516" s="3">
        <f t="shared" ref="G516:G579" ca="1" si="17">SQRT(_xlfn.NORM.INV(E516,$C$3*COS($C$6),$C$4)^2+_xlfn.NORM.INV(F516,$C$3*SIN($C$6),$C$4)^2)</f>
        <v>5.8300835764473549</v>
      </c>
      <c r="H516" s="2"/>
      <c r="I516" s="2"/>
      <c r="J516" s="2"/>
      <c r="K516" s="2"/>
    </row>
    <row r="517" spans="5:11" x14ac:dyDescent="0.25">
      <c r="E517" s="3">
        <f t="shared" ca="1" si="16"/>
        <v>0.23874140870606508</v>
      </c>
      <c r="F517" s="3">
        <f t="shared" ca="1" si="16"/>
        <v>0.2362910159750955</v>
      </c>
      <c r="G517" s="3">
        <f t="shared" ca="1" si="17"/>
        <v>5.8584046571627617</v>
      </c>
      <c r="H517" s="2"/>
      <c r="I517" s="2"/>
      <c r="J517" s="2"/>
      <c r="K517" s="2"/>
    </row>
    <row r="518" spans="5:11" x14ac:dyDescent="0.25">
      <c r="E518" s="3">
        <f t="shared" ca="1" si="16"/>
        <v>0.9905780645806086</v>
      </c>
      <c r="F518" s="3">
        <f t="shared" ca="1" si="16"/>
        <v>0.54785751172764874</v>
      </c>
      <c r="G518" s="3">
        <f t="shared" ca="1" si="17"/>
        <v>10.771162040790863</v>
      </c>
      <c r="H518" s="2"/>
      <c r="I518" s="2"/>
      <c r="J518" s="2"/>
      <c r="K518" s="2"/>
    </row>
    <row r="519" spans="5:11" x14ac:dyDescent="0.25">
      <c r="E519" s="3">
        <f t="shared" ca="1" si="16"/>
        <v>0.59303529296982715</v>
      </c>
      <c r="F519" s="3">
        <f t="shared" ca="1" si="16"/>
        <v>0.25466942285979299</v>
      </c>
      <c r="G519" s="3">
        <f t="shared" ca="1" si="17"/>
        <v>1.5816414120089444</v>
      </c>
      <c r="H519" s="2"/>
      <c r="I519" s="2"/>
      <c r="J519" s="2"/>
      <c r="K519" s="2"/>
    </row>
    <row r="520" spans="5:11" x14ac:dyDescent="0.25">
      <c r="E520" s="3">
        <f t="shared" ca="1" si="16"/>
        <v>0.92033895355557072</v>
      </c>
      <c r="F520" s="3">
        <f t="shared" ca="1" si="16"/>
        <v>0.38239905205066593</v>
      </c>
      <c r="G520" s="3">
        <f t="shared" ca="1" si="17"/>
        <v>5.6436265230620961</v>
      </c>
      <c r="H520" s="2"/>
      <c r="I520" s="2"/>
      <c r="J520" s="2"/>
      <c r="K520" s="2"/>
    </row>
    <row r="521" spans="5:11" x14ac:dyDescent="0.25">
      <c r="E521" s="3">
        <f t="shared" ca="1" si="16"/>
        <v>0.96313575184476063</v>
      </c>
      <c r="F521" s="3">
        <f t="shared" ca="1" si="16"/>
        <v>0.82534752886149054</v>
      </c>
      <c r="G521" s="3">
        <f t="shared" ca="1" si="17"/>
        <v>11.341135592157297</v>
      </c>
      <c r="H521" s="2"/>
      <c r="I521" s="2"/>
      <c r="J521" s="2"/>
      <c r="K521" s="2"/>
    </row>
    <row r="522" spans="5:11" x14ac:dyDescent="0.25">
      <c r="E522" s="3">
        <f t="shared" ca="1" si="16"/>
        <v>0.96465867449636089</v>
      </c>
      <c r="F522" s="3">
        <f t="shared" ca="1" si="16"/>
        <v>0.1085426617141011</v>
      </c>
      <c r="G522" s="3">
        <f t="shared" ca="1" si="17"/>
        <v>7.0069372948002338</v>
      </c>
      <c r="H522" s="2"/>
      <c r="I522" s="2"/>
      <c r="J522" s="2"/>
      <c r="K522" s="2"/>
    </row>
    <row r="523" spans="5:11" x14ac:dyDescent="0.25">
      <c r="E523" s="3">
        <f t="shared" ca="1" si="16"/>
        <v>0.58591426208784303</v>
      </c>
      <c r="F523" s="3">
        <f t="shared" ca="1" si="16"/>
        <v>0.37955424153673756</v>
      </c>
      <c r="G523" s="3">
        <f t="shared" ca="1" si="17"/>
        <v>3.1557377844023042</v>
      </c>
      <c r="H523" s="2"/>
      <c r="I523" s="2"/>
      <c r="J523" s="2"/>
      <c r="K523" s="2"/>
    </row>
    <row r="524" spans="5:11" x14ac:dyDescent="0.25">
      <c r="E524" s="3">
        <f t="shared" ca="1" si="16"/>
        <v>0.46655064891054554</v>
      </c>
      <c r="F524" s="3">
        <f t="shared" ca="1" si="16"/>
        <v>0.62632974675706587</v>
      </c>
      <c r="G524" s="3">
        <f t="shared" ca="1" si="17"/>
        <v>6.6371122353543521</v>
      </c>
      <c r="H524" s="2"/>
      <c r="I524" s="2"/>
      <c r="J524" s="2"/>
      <c r="K524" s="2"/>
    </row>
    <row r="525" spans="5:11" x14ac:dyDescent="0.25">
      <c r="E525" s="3">
        <f t="shared" ca="1" si="16"/>
        <v>0.31751754505389673</v>
      </c>
      <c r="F525" s="3">
        <f t="shared" ca="1" si="16"/>
        <v>0.49507072198253221</v>
      </c>
      <c r="G525" s="3">
        <f t="shared" ca="1" si="17"/>
        <v>6.3810507776154299</v>
      </c>
      <c r="H525" s="2"/>
      <c r="I525" s="2"/>
      <c r="J525" s="2"/>
      <c r="K525" s="2"/>
    </row>
    <row r="526" spans="5:11" x14ac:dyDescent="0.25">
      <c r="E526" s="3">
        <f t="shared" ca="1" si="16"/>
        <v>8.2245620925666452E-2</v>
      </c>
      <c r="F526" s="3">
        <f t="shared" ca="1" si="16"/>
        <v>0.13959891090384424</v>
      </c>
      <c r="G526" s="3">
        <f t="shared" ca="1" si="17"/>
        <v>9.2389959628816847</v>
      </c>
      <c r="H526" s="2"/>
      <c r="I526" s="2"/>
      <c r="J526" s="2"/>
      <c r="K526" s="2"/>
    </row>
    <row r="527" spans="5:11" x14ac:dyDescent="0.25">
      <c r="E527" s="3">
        <f t="shared" ca="1" si="16"/>
        <v>0.79717451220143765</v>
      </c>
      <c r="F527" s="3">
        <f t="shared" ca="1" si="16"/>
        <v>3.9621751053096177E-2</v>
      </c>
      <c r="G527" s="3">
        <f t="shared" ca="1" si="17"/>
        <v>4.7131633475609469</v>
      </c>
      <c r="H527" s="2"/>
      <c r="I527" s="2"/>
      <c r="J527" s="2"/>
      <c r="K527" s="2"/>
    </row>
    <row r="528" spans="5:11" x14ac:dyDescent="0.25">
      <c r="E528" s="3">
        <f t="shared" ca="1" si="16"/>
        <v>0.76029868389517397</v>
      </c>
      <c r="F528" s="3">
        <f t="shared" ca="1" si="16"/>
        <v>0.98382871059431998</v>
      </c>
      <c r="G528" s="3">
        <f t="shared" ca="1" si="17"/>
        <v>15.225989740909272</v>
      </c>
      <c r="H528" s="2"/>
      <c r="I528" s="2"/>
      <c r="J528" s="2"/>
      <c r="K528" s="2"/>
    </row>
    <row r="529" spans="5:11" x14ac:dyDescent="0.25">
      <c r="E529" s="3">
        <f t="shared" ca="1" si="16"/>
        <v>1.2806135041798061E-2</v>
      </c>
      <c r="F529" s="3">
        <f t="shared" ca="1" si="16"/>
        <v>0.17089312272107871</v>
      </c>
      <c r="G529" s="3">
        <f t="shared" ca="1" si="17"/>
        <v>13.403564509863356</v>
      </c>
      <c r="H529" s="2"/>
      <c r="I529" s="2"/>
      <c r="J529" s="2"/>
      <c r="K529" s="2"/>
    </row>
    <row r="530" spans="5:11" x14ac:dyDescent="0.25">
      <c r="E530" s="3">
        <f t="shared" ca="1" si="16"/>
        <v>0.97208582090598605</v>
      </c>
      <c r="F530" s="3">
        <f t="shared" ca="1" si="16"/>
        <v>0.59617639284613322</v>
      </c>
      <c r="G530" s="3">
        <f t="shared" ca="1" si="17"/>
        <v>9.2709034481589434</v>
      </c>
      <c r="H530" s="2"/>
      <c r="I530" s="2"/>
      <c r="J530" s="2"/>
      <c r="K530" s="2"/>
    </row>
    <row r="531" spans="5:11" x14ac:dyDescent="0.25">
      <c r="E531" s="3">
        <f t="shared" ca="1" si="16"/>
        <v>2.8183661004113514E-2</v>
      </c>
      <c r="F531" s="3">
        <f t="shared" ca="1" si="16"/>
        <v>0.34219124536500423</v>
      </c>
      <c r="G531" s="3">
        <f t="shared" ca="1" si="17"/>
        <v>12.030811291197544</v>
      </c>
      <c r="H531" s="2"/>
      <c r="I531" s="2"/>
      <c r="J531" s="2"/>
      <c r="K531" s="2"/>
    </row>
    <row r="532" spans="5:11" x14ac:dyDescent="0.25">
      <c r="E532" s="3">
        <f t="shared" ca="1" si="16"/>
        <v>0.5450116085097747</v>
      </c>
      <c r="F532" s="3">
        <f t="shared" ca="1" si="16"/>
        <v>0.59547398424445652</v>
      </c>
      <c r="G532" s="3">
        <f t="shared" ca="1" si="17"/>
        <v>5.9201357709692966</v>
      </c>
      <c r="H532" s="2"/>
      <c r="I532" s="2"/>
      <c r="J532" s="2"/>
      <c r="K532" s="2"/>
    </row>
    <row r="533" spans="5:11" x14ac:dyDescent="0.25">
      <c r="E533" s="3">
        <f t="shared" ca="1" si="16"/>
        <v>0.96044004535357097</v>
      </c>
      <c r="F533" s="3">
        <f t="shared" ca="1" si="16"/>
        <v>0.53703928169522652</v>
      </c>
      <c r="G533" s="3">
        <f t="shared" ca="1" si="17"/>
        <v>8.1919273522787002</v>
      </c>
      <c r="H533" s="2"/>
      <c r="I533" s="2"/>
      <c r="J533" s="2"/>
      <c r="K533" s="2"/>
    </row>
    <row r="534" spans="5:11" x14ac:dyDescent="0.25">
      <c r="E534" s="3">
        <f t="shared" ca="1" si="16"/>
        <v>8.3521026194570691E-3</v>
      </c>
      <c r="F534" s="3">
        <f t="shared" ca="1" si="16"/>
        <v>0.66665958969304839</v>
      </c>
      <c r="G534" s="3">
        <f t="shared" ca="1" si="17"/>
        <v>15.674357435265838</v>
      </c>
      <c r="H534" s="2"/>
      <c r="I534" s="2"/>
      <c r="J534" s="2"/>
      <c r="K534" s="2"/>
    </row>
    <row r="535" spans="5:11" x14ac:dyDescent="0.25">
      <c r="E535" s="3">
        <f t="shared" ca="1" si="16"/>
        <v>0.71734994707637711</v>
      </c>
      <c r="F535" s="3">
        <f t="shared" ca="1" si="16"/>
        <v>0.33884237506249559</v>
      </c>
      <c r="G535" s="3">
        <f t="shared" ca="1" si="17"/>
        <v>2.4746053608454583</v>
      </c>
      <c r="H535" s="2"/>
      <c r="I535" s="2"/>
      <c r="J535" s="2"/>
      <c r="K535" s="2"/>
    </row>
    <row r="536" spans="5:11" x14ac:dyDescent="0.25">
      <c r="E536" s="3">
        <f t="shared" ca="1" si="16"/>
        <v>0.99862516392971601</v>
      </c>
      <c r="F536" s="3">
        <f t="shared" ca="1" si="16"/>
        <v>5.1785278120949352E-3</v>
      </c>
      <c r="G536" s="3">
        <f t="shared" ca="1" si="17"/>
        <v>15.224736772095879</v>
      </c>
      <c r="H536" s="2"/>
      <c r="I536" s="2"/>
      <c r="J536" s="2"/>
      <c r="K536" s="2"/>
    </row>
    <row r="537" spans="5:11" x14ac:dyDescent="0.25">
      <c r="E537" s="3">
        <f t="shared" ca="1" si="16"/>
        <v>8.5687521993312532E-2</v>
      </c>
      <c r="F537" s="3">
        <f t="shared" ca="1" si="16"/>
        <v>0.86933135213743784</v>
      </c>
      <c r="G537" s="3">
        <f t="shared" ca="1" si="17"/>
        <v>13.57075928005063</v>
      </c>
      <c r="H537" s="2"/>
      <c r="I537" s="2"/>
      <c r="J537" s="2"/>
      <c r="K537" s="2"/>
    </row>
    <row r="538" spans="5:11" x14ac:dyDescent="0.25">
      <c r="E538" s="3">
        <f t="shared" ca="1" si="16"/>
        <v>0.59080667306051871</v>
      </c>
      <c r="F538" s="3">
        <f t="shared" ca="1" si="16"/>
        <v>0.46878361299699811</v>
      </c>
      <c r="G538" s="3">
        <f t="shared" ca="1" si="17"/>
        <v>4.2220767588860522</v>
      </c>
      <c r="H538" s="2"/>
      <c r="I538" s="2"/>
      <c r="J538" s="2"/>
      <c r="K538" s="2"/>
    </row>
    <row r="539" spans="5:11" x14ac:dyDescent="0.25">
      <c r="E539" s="3">
        <f t="shared" ca="1" si="16"/>
        <v>6.4709589149861801E-2</v>
      </c>
      <c r="F539" s="3">
        <f t="shared" ca="1" si="16"/>
        <v>0.84754833748978931</v>
      </c>
      <c r="G539" s="3">
        <f t="shared" ca="1" si="17"/>
        <v>13.734476261620319</v>
      </c>
      <c r="H539" s="2"/>
      <c r="I539" s="2"/>
      <c r="J539" s="2"/>
      <c r="K539" s="2"/>
    </row>
    <row r="540" spans="5:11" x14ac:dyDescent="0.25">
      <c r="E540" s="3">
        <f t="shared" ca="1" si="16"/>
        <v>0.42938859086018211</v>
      </c>
      <c r="F540" s="3">
        <f t="shared" ca="1" si="16"/>
        <v>2.7688938255222451E-2</v>
      </c>
      <c r="G540" s="3">
        <f t="shared" ca="1" si="17"/>
        <v>5.9920100186175462</v>
      </c>
      <c r="H540" s="2"/>
      <c r="I540" s="2"/>
      <c r="J540" s="2"/>
      <c r="K540" s="2"/>
    </row>
    <row r="541" spans="5:11" x14ac:dyDescent="0.25">
      <c r="E541" s="3">
        <f t="shared" ca="1" si="16"/>
        <v>4.6577725454034491E-3</v>
      </c>
      <c r="F541" s="3">
        <f t="shared" ca="1" si="16"/>
        <v>0.79273093085543422</v>
      </c>
      <c r="G541" s="3">
        <f t="shared" ca="1" si="17"/>
        <v>17.475802976791481</v>
      </c>
      <c r="H541" s="2"/>
      <c r="I541" s="2"/>
      <c r="J541" s="2"/>
      <c r="K541" s="2"/>
    </row>
    <row r="542" spans="5:11" x14ac:dyDescent="0.25">
      <c r="E542" s="3">
        <f t="shared" ca="1" si="16"/>
        <v>0.43630165771325158</v>
      </c>
      <c r="F542" s="3">
        <f t="shared" ca="1" si="16"/>
        <v>0.26831948831188657</v>
      </c>
      <c r="G542" s="3">
        <f t="shared" ca="1" si="17"/>
        <v>3.3406957837887883</v>
      </c>
      <c r="H542" s="2"/>
      <c r="I542" s="2"/>
      <c r="J542" s="2"/>
      <c r="K542" s="2"/>
    </row>
    <row r="543" spans="5:11" x14ac:dyDescent="0.25">
      <c r="E543" s="3">
        <f t="shared" ca="1" si="16"/>
        <v>0.44337734205086787</v>
      </c>
      <c r="F543" s="3">
        <f t="shared" ca="1" si="16"/>
        <v>0.73522041789959092</v>
      </c>
      <c r="G543" s="3">
        <f t="shared" ca="1" si="17"/>
        <v>8.1658046018621171</v>
      </c>
      <c r="H543" s="2"/>
      <c r="I543" s="2"/>
      <c r="J543" s="2"/>
      <c r="K543" s="2"/>
    </row>
    <row r="544" spans="5:11" x14ac:dyDescent="0.25">
      <c r="E544" s="3">
        <f t="shared" ca="1" si="16"/>
        <v>0.73758302206554593</v>
      </c>
      <c r="F544" s="3">
        <f t="shared" ca="1" si="16"/>
        <v>0.29671439237977015</v>
      </c>
      <c r="G544" s="3">
        <f t="shared" ca="1" si="17"/>
        <v>2.0308345980069666</v>
      </c>
      <c r="H544" s="2"/>
      <c r="I544" s="2"/>
      <c r="J544" s="2"/>
      <c r="K544" s="2"/>
    </row>
    <row r="545" spans="5:11" x14ac:dyDescent="0.25">
      <c r="E545" s="3">
        <f t="shared" ca="1" si="16"/>
        <v>0.57619272725636561</v>
      </c>
      <c r="F545" s="3">
        <f t="shared" ca="1" si="16"/>
        <v>0.22370825334391586</v>
      </c>
      <c r="G545" s="3">
        <f t="shared" ca="1" si="17"/>
        <v>1.444974248180682</v>
      </c>
      <c r="H545" s="2"/>
      <c r="I545" s="2"/>
      <c r="J545" s="2"/>
      <c r="K545" s="2"/>
    </row>
    <row r="546" spans="5:11" x14ac:dyDescent="0.25">
      <c r="E546" s="3">
        <f t="shared" ca="1" si="16"/>
        <v>0.31519449293400992</v>
      </c>
      <c r="F546" s="3">
        <f t="shared" ca="1" si="16"/>
        <v>0.81871135027263375</v>
      </c>
      <c r="G546" s="3">
        <f t="shared" ca="1" si="17"/>
        <v>10.148390664105129</v>
      </c>
      <c r="H546" s="2"/>
      <c r="I546" s="2"/>
      <c r="J546" s="2"/>
      <c r="K546" s="2"/>
    </row>
    <row r="547" spans="5:11" x14ac:dyDescent="0.25">
      <c r="E547" s="3">
        <f t="shared" ca="1" si="16"/>
        <v>0.92538404598987034</v>
      </c>
      <c r="F547" s="3">
        <f t="shared" ca="1" si="16"/>
        <v>0.61606749969915664</v>
      </c>
      <c r="G547" s="3">
        <f t="shared" ca="1" si="17"/>
        <v>7.7500010283988638</v>
      </c>
      <c r="H547" s="2"/>
      <c r="I547" s="2"/>
      <c r="J547" s="2"/>
      <c r="K547" s="2"/>
    </row>
    <row r="548" spans="5:11" x14ac:dyDescent="0.25">
      <c r="E548" s="3">
        <f t="shared" ca="1" si="16"/>
        <v>0.87176047307371496</v>
      </c>
      <c r="F548" s="3">
        <f t="shared" ca="1" si="16"/>
        <v>0.95588591470283535</v>
      </c>
      <c r="G548" s="3">
        <f t="shared" ca="1" si="17"/>
        <v>13.440025230464624</v>
      </c>
      <c r="H548" s="2"/>
      <c r="I548" s="2"/>
      <c r="J548" s="2"/>
      <c r="K548" s="2"/>
    </row>
    <row r="549" spans="5:11" x14ac:dyDescent="0.25">
      <c r="E549" s="3">
        <f t="shared" ca="1" si="16"/>
        <v>0.26404531780493823</v>
      </c>
      <c r="F549" s="3">
        <f t="shared" ca="1" si="16"/>
        <v>0.98641726105014715</v>
      </c>
      <c r="G549" s="3">
        <f t="shared" ca="1" si="17"/>
        <v>16.426838152423802</v>
      </c>
      <c r="H549" s="2"/>
      <c r="I549" s="2"/>
      <c r="J549" s="2"/>
      <c r="K549" s="2"/>
    </row>
    <row r="550" spans="5:11" x14ac:dyDescent="0.25">
      <c r="E550" s="3">
        <f t="shared" ca="1" si="16"/>
        <v>0.70663674141513877</v>
      </c>
      <c r="F550" s="3">
        <f t="shared" ca="1" si="16"/>
        <v>0.73966262355951284</v>
      </c>
      <c r="G550" s="3">
        <f t="shared" ca="1" si="17"/>
        <v>7.696342232461836</v>
      </c>
      <c r="H550" s="2"/>
      <c r="I550" s="2"/>
      <c r="J550" s="2"/>
      <c r="K550" s="2"/>
    </row>
    <row r="551" spans="5:11" x14ac:dyDescent="0.25">
      <c r="E551" s="3">
        <f t="shared" ca="1" si="16"/>
        <v>0.9243315465080284</v>
      </c>
      <c r="F551" s="3">
        <f t="shared" ca="1" si="16"/>
        <v>0.75105785656338808</v>
      </c>
      <c r="G551" s="3">
        <f t="shared" ca="1" si="17"/>
        <v>9.2794046282747331</v>
      </c>
      <c r="H551" s="2"/>
      <c r="I551" s="2"/>
      <c r="J551" s="2"/>
      <c r="K551" s="2"/>
    </row>
    <row r="552" spans="5:11" x14ac:dyDescent="0.25">
      <c r="E552" s="3">
        <f t="shared" ca="1" si="16"/>
        <v>0.52975141286593574</v>
      </c>
      <c r="F552" s="3">
        <f t="shared" ca="1" si="16"/>
        <v>0.49252760710330978</v>
      </c>
      <c r="G552" s="3">
        <f t="shared" ca="1" si="17"/>
        <v>4.7579876419869711</v>
      </c>
      <c r="H552" s="2"/>
      <c r="I552" s="2"/>
      <c r="J552" s="2"/>
      <c r="K552" s="2"/>
    </row>
    <row r="553" spans="5:11" x14ac:dyDescent="0.25">
      <c r="E553" s="3">
        <f t="shared" ca="1" si="16"/>
        <v>0.72426882470218445</v>
      </c>
      <c r="F553" s="3">
        <f t="shared" ca="1" si="16"/>
        <v>0.5237784592020972</v>
      </c>
      <c r="G553" s="3">
        <f t="shared" ca="1" si="17"/>
        <v>4.824874134953836</v>
      </c>
      <c r="H553" s="2"/>
      <c r="I553" s="2"/>
      <c r="J553" s="2"/>
      <c r="K553" s="2"/>
    </row>
    <row r="554" spans="5:11" x14ac:dyDescent="0.25">
      <c r="E554" s="3">
        <f t="shared" ca="1" si="16"/>
        <v>0.49644026783452644</v>
      </c>
      <c r="F554" s="3">
        <f t="shared" ca="1" si="16"/>
        <v>0.41090464714951502</v>
      </c>
      <c r="G554" s="3">
        <f t="shared" ca="1" si="17"/>
        <v>4.0500313964438366</v>
      </c>
      <c r="H554" s="2"/>
      <c r="I554" s="2"/>
      <c r="J554" s="2"/>
      <c r="K554" s="2"/>
    </row>
    <row r="555" spans="5:11" x14ac:dyDescent="0.25">
      <c r="E555" s="3">
        <f t="shared" ca="1" si="16"/>
        <v>0.58050950875524887</v>
      </c>
      <c r="F555" s="3">
        <f t="shared" ca="1" si="16"/>
        <v>0.98693632823223998</v>
      </c>
      <c r="G555" s="3">
        <f t="shared" ca="1" si="17"/>
        <v>15.63955260307112</v>
      </c>
      <c r="H555" s="2"/>
      <c r="I555" s="2"/>
      <c r="J555" s="2"/>
      <c r="K555" s="2"/>
    </row>
    <row r="556" spans="5:11" x14ac:dyDescent="0.25">
      <c r="E556" s="3">
        <f t="shared" ca="1" si="16"/>
        <v>0.31030384447471315</v>
      </c>
      <c r="F556" s="3">
        <f t="shared" ca="1" si="16"/>
        <v>0.24775505558138988</v>
      </c>
      <c r="G556" s="3">
        <f t="shared" ca="1" si="17"/>
        <v>4.8334568031370972</v>
      </c>
      <c r="H556" s="2"/>
      <c r="I556" s="2"/>
      <c r="J556" s="2"/>
      <c r="K556" s="2"/>
    </row>
    <row r="557" spans="5:11" x14ac:dyDescent="0.25">
      <c r="E557" s="3">
        <f t="shared" ca="1" si="16"/>
        <v>0.25867151372524955</v>
      </c>
      <c r="F557" s="3">
        <f t="shared" ca="1" si="16"/>
        <v>0.2482750411326009</v>
      </c>
      <c r="G557" s="3">
        <f t="shared" ca="1" si="17"/>
        <v>5.5811953845207469</v>
      </c>
      <c r="H557" s="2"/>
      <c r="I557" s="2"/>
      <c r="J557" s="2"/>
      <c r="K557" s="2"/>
    </row>
    <row r="558" spans="5:11" x14ac:dyDescent="0.25">
      <c r="E558" s="3">
        <f t="shared" ca="1" si="16"/>
        <v>0.90708105204173961</v>
      </c>
      <c r="F558" s="3">
        <f t="shared" ca="1" si="16"/>
        <v>0.49449755361270109</v>
      </c>
      <c r="G558" s="3">
        <f t="shared" ca="1" si="17"/>
        <v>6.2053230633454213</v>
      </c>
      <c r="H558" s="2"/>
      <c r="I558" s="2"/>
      <c r="J558" s="2"/>
      <c r="K558" s="2"/>
    </row>
    <row r="559" spans="5:11" x14ac:dyDescent="0.25">
      <c r="E559" s="3">
        <f t="shared" ca="1" si="16"/>
        <v>0.24142377569732365</v>
      </c>
      <c r="F559" s="3">
        <f t="shared" ca="1" si="16"/>
        <v>0.54148728493100495</v>
      </c>
      <c r="G559" s="3">
        <f t="shared" ca="1" si="17"/>
        <v>7.6131592406557349</v>
      </c>
      <c r="H559" s="2"/>
      <c r="I559" s="2"/>
      <c r="J559" s="2"/>
      <c r="K559" s="2"/>
    </row>
    <row r="560" spans="5:11" x14ac:dyDescent="0.25">
      <c r="E560" s="3">
        <f t="shared" ca="1" si="16"/>
        <v>0.35729508162186085</v>
      </c>
      <c r="F560" s="3">
        <f t="shared" ca="1" si="16"/>
        <v>0.17968482145778031</v>
      </c>
      <c r="G560" s="3">
        <f t="shared" ca="1" si="17"/>
        <v>4.0704246058548517</v>
      </c>
      <c r="H560" s="2"/>
      <c r="I560" s="2"/>
      <c r="J560" s="2"/>
      <c r="K560" s="2"/>
    </row>
    <row r="561" spans="5:11" x14ac:dyDescent="0.25">
      <c r="E561" s="3">
        <f t="shared" ca="1" si="16"/>
        <v>0.1938920193313205</v>
      </c>
      <c r="F561" s="3">
        <f t="shared" ca="1" si="16"/>
        <v>0.34818603834131046</v>
      </c>
      <c r="G561" s="3">
        <f t="shared" ca="1" si="17"/>
        <v>7.025647551762682</v>
      </c>
      <c r="H561" s="2"/>
      <c r="I561" s="2"/>
      <c r="J561" s="2"/>
      <c r="K561" s="2"/>
    </row>
    <row r="562" spans="5:11" x14ac:dyDescent="0.25">
      <c r="E562" s="3">
        <f t="shared" ca="1" si="16"/>
        <v>0.78877660623875434</v>
      </c>
      <c r="F562" s="3">
        <f t="shared" ca="1" si="16"/>
        <v>0.9287638878875546</v>
      </c>
      <c r="G562" s="3">
        <f t="shared" ca="1" si="17"/>
        <v>11.935273698529629</v>
      </c>
      <c r="H562" s="2"/>
      <c r="I562" s="2"/>
      <c r="J562" s="2"/>
      <c r="K562" s="2"/>
    </row>
    <row r="563" spans="5:11" x14ac:dyDescent="0.25">
      <c r="E563" s="3">
        <f t="shared" ca="1" si="16"/>
        <v>0.4747975545534564</v>
      </c>
      <c r="F563" s="3">
        <f t="shared" ca="1" si="16"/>
        <v>0.18579930739475559</v>
      </c>
      <c r="G563" s="3">
        <f t="shared" ca="1" si="17"/>
        <v>2.5564455722993626</v>
      </c>
      <c r="H563" s="2"/>
      <c r="I563" s="2"/>
      <c r="J563" s="2"/>
      <c r="K563" s="2"/>
    </row>
    <row r="564" spans="5:11" x14ac:dyDescent="0.25">
      <c r="E564" s="3">
        <f t="shared" ca="1" si="16"/>
        <v>0.12728909669961996</v>
      </c>
      <c r="F564" s="3">
        <f t="shared" ca="1" si="16"/>
        <v>0.68533366176230948</v>
      </c>
      <c r="G564" s="3">
        <f t="shared" ca="1" si="17"/>
        <v>10.505897012064308</v>
      </c>
      <c r="H564" s="2"/>
      <c r="I564" s="2"/>
      <c r="J564" s="2"/>
      <c r="K564" s="2"/>
    </row>
    <row r="565" spans="5:11" x14ac:dyDescent="0.25">
      <c r="E565" s="3">
        <f t="shared" ca="1" si="16"/>
        <v>0.3898038977615359</v>
      </c>
      <c r="F565" s="3">
        <f t="shared" ca="1" si="16"/>
        <v>0.86455893801303096</v>
      </c>
      <c r="G565" s="3">
        <f t="shared" ca="1" si="17"/>
        <v>10.618367181379414</v>
      </c>
      <c r="H565" s="2"/>
      <c r="I565" s="2"/>
      <c r="J565" s="2"/>
      <c r="K565" s="2"/>
    </row>
    <row r="566" spans="5:11" x14ac:dyDescent="0.25">
      <c r="E566" s="3">
        <f t="shared" ca="1" si="16"/>
        <v>0.7307745426731449</v>
      </c>
      <c r="F566" s="3">
        <f t="shared" ca="1" si="16"/>
        <v>0.96706778852132302</v>
      </c>
      <c r="G566" s="3">
        <f t="shared" ca="1" si="17"/>
        <v>13.692219398770643</v>
      </c>
      <c r="H566" s="2"/>
      <c r="I566" s="2"/>
      <c r="J566" s="2"/>
      <c r="K566" s="2"/>
    </row>
    <row r="567" spans="5:11" x14ac:dyDescent="0.25">
      <c r="E567" s="3">
        <f t="shared" ca="1" si="16"/>
        <v>2.952362574512446E-2</v>
      </c>
      <c r="F567" s="3">
        <f t="shared" ca="1" si="16"/>
        <v>0.46332246038637614</v>
      </c>
      <c r="G567" s="3">
        <f t="shared" ca="1" si="17"/>
        <v>12.348674186346315</v>
      </c>
      <c r="H567" s="2"/>
      <c r="I567" s="2"/>
      <c r="J567" s="2"/>
      <c r="K567" s="2"/>
    </row>
    <row r="568" spans="5:11" x14ac:dyDescent="0.25">
      <c r="E568" s="3">
        <f t="shared" ca="1" si="16"/>
        <v>0.15818510201681857</v>
      </c>
      <c r="F568" s="3">
        <f t="shared" ca="1" si="16"/>
        <v>0.82691811943056681</v>
      </c>
      <c r="G568" s="3">
        <f t="shared" ca="1" si="17"/>
        <v>11.697910696272155</v>
      </c>
      <c r="H568" s="2"/>
      <c r="I568" s="2"/>
      <c r="J568" s="2"/>
      <c r="K568" s="2"/>
    </row>
    <row r="569" spans="5:11" x14ac:dyDescent="0.25">
      <c r="E569" s="3">
        <f t="shared" ca="1" si="16"/>
        <v>0.1591750819393033</v>
      </c>
      <c r="F569" s="3">
        <f t="shared" ca="1" si="16"/>
        <v>0.14141460993513011</v>
      </c>
      <c r="G569" s="3">
        <f t="shared" ca="1" si="17"/>
        <v>7.2854351291705006</v>
      </c>
      <c r="H569" s="2"/>
      <c r="I569" s="2"/>
      <c r="J569" s="2"/>
      <c r="K569" s="2"/>
    </row>
    <row r="570" spans="5:11" x14ac:dyDescent="0.25">
      <c r="E570" s="3">
        <f t="shared" ca="1" si="16"/>
        <v>0.14692359676887301</v>
      </c>
      <c r="F570" s="3">
        <f t="shared" ca="1" si="16"/>
        <v>0.13129142535259108</v>
      </c>
      <c r="G570" s="3">
        <f t="shared" ca="1" si="17"/>
        <v>7.5739686848693255</v>
      </c>
      <c r="H570" s="2"/>
      <c r="I570" s="2"/>
      <c r="J570" s="2"/>
      <c r="K570" s="2"/>
    </row>
    <row r="571" spans="5:11" x14ac:dyDescent="0.25">
      <c r="E571" s="3">
        <f t="shared" ca="1" si="16"/>
        <v>6.7117893338635715E-2</v>
      </c>
      <c r="F571" s="3">
        <f t="shared" ca="1" si="16"/>
        <v>0.10876330229293674</v>
      </c>
      <c r="G571" s="3">
        <f t="shared" ca="1" si="17"/>
        <v>9.8750692409481857</v>
      </c>
      <c r="H571" s="2"/>
      <c r="I571" s="2"/>
      <c r="J571" s="2"/>
      <c r="K571" s="2"/>
    </row>
    <row r="572" spans="5:11" x14ac:dyDescent="0.25">
      <c r="E572" s="3">
        <f t="shared" ca="1" si="16"/>
        <v>0.87633584693303967</v>
      </c>
      <c r="F572" s="3">
        <f t="shared" ca="1" si="16"/>
        <v>0.55403452047553592</v>
      </c>
      <c r="G572" s="3">
        <f t="shared" ca="1" si="17"/>
        <v>6.2509796207977022</v>
      </c>
      <c r="H572" s="2"/>
      <c r="I572" s="2"/>
      <c r="J572" s="2"/>
      <c r="K572" s="2"/>
    </row>
    <row r="573" spans="5:11" x14ac:dyDescent="0.25">
      <c r="E573" s="3">
        <f t="shared" ca="1" si="16"/>
        <v>2.4534231674671503E-2</v>
      </c>
      <c r="F573" s="3">
        <f t="shared" ca="1" si="16"/>
        <v>0.1560245000369479</v>
      </c>
      <c r="G573" s="3">
        <f t="shared" ca="1" si="17"/>
        <v>12.094490176053375</v>
      </c>
      <c r="H573" s="2"/>
      <c r="I573" s="2"/>
      <c r="J573" s="2"/>
      <c r="K573" s="2"/>
    </row>
    <row r="574" spans="5:11" x14ac:dyDescent="0.25">
      <c r="E574" s="3">
        <f t="shared" ca="1" si="16"/>
        <v>0.61783063995941645</v>
      </c>
      <c r="F574" s="3">
        <f t="shared" ca="1" si="16"/>
        <v>0.97186586648957629</v>
      </c>
      <c r="G574" s="3">
        <f t="shared" ca="1" si="17"/>
        <v>14.034342267571764</v>
      </c>
      <c r="H574" s="2"/>
      <c r="I574" s="2"/>
      <c r="J574" s="2"/>
      <c r="K574" s="2"/>
    </row>
    <row r="575" spans="5:11" x14ac:dyDescent="0.25">
      <c r="E575" s="3">
        <f t="shared" ca="1" si="16"/>
        <v>0.72983754010122615</v>
      </c>
      <c r="F575" s="3">
        <f t="shared" ca="1" si="16"/>
        <v>0.70931414242459345</v>
      </c>
      <c r="G575" s="3">
        <f t="shared" ca="1" si="17"/>
        <v>7.273406074160528</v>
      </c>
      <c r="H575" s="2"/>
      <c r="I575" s="2"/>
      <c r="J575" s="2"/>
      <c r="K575" s="2"/>
    </row>
    <row r="576" spans="5:11" x14ac:dyDescent="0.25">
      <c r="E576" s="3">
        <f t="shared" ca="1" si="16"/>
        <v>0.70555903862224967</v>
      </c>
      <c r="F576" s="3">
        <f t="shared" ca="1" si="16"/>
        <v>0.74610646017374682</v>
      </c>
      <c r="G576" s="3">
        <f t="shared" ca="1" si="17"/>
        <v>7.7951180714075701</v>
      </c>
      <c r="H576" s="2"/>
      <c r="I576" s="2"/>
      <c r="J576" s="2"/>
      <c r="K576" s="2"/>
    </row>
    <row r="577" spans="5:11" x14ac:dyDescent="0.25">
      <c r="E577" s="3">
        <f t="shared" ca="1" si="16"/>
        <v>0.9028872996576528</v>
      </c>
      <c r="F577" s="3">
        <f t="shared" ca="1" si="16"/>
        <v>0.46281721695570155</v>
      </c>
      <c r="G577" s="3">
        <f t="shared" ca="1" si="17"/>
        <v>5.8389518889977339</v>
      </c>
      <c r="H577" s="2"/>
      <c r="I577" s="2"/>
      <c r="J577" s="2"/>
      <c r="K577" s="2"/>
    </row>
    <row r="578" spans="5:11" x14ac:dyDescent="0.25">
      <c r="E578" s="3">
        <f t="shared" ca="1" si="16"/>
        <v>0.82111510585446523</v>
      </c>
      <c r="F578" s="3">
        <f t="shared" ca="1" si="16"/>
        <v>7.3325506881491975E-3</v>
      </c>
      <c r="G578" s="3">
        <f t="shared" ca="1" si="17"/>
        <v>8.0842005283221745</v>
      </c>
      <c r="H578" s="2"/>
      <c r="I578" s="2"/>
      <c r="J578" s="2"/>
      <c r="K578" s="2"/>
    </row>
    <row r="579" spans="5:11" x14ac:dyDescent="0.25">
      <c r="E579" s="3">
        <f t="shared" ca="1" si="16"/>
        <v>0.68515371212729814</v>
      </c>
      <c r="F579" s="3">
        <f t="shared" ca="1" si="16"/>
        <v>0.68775949837311356</v>
      </c>
      <c r="G579" s="3">
        <f t="shared" ca="1" si="17"/>
        <v>6.9196301657428592</v>
      </c>
      <c r="H579" s="2"/>
      <c r="I579" s="2"/>
      <c r="J579" s="2"/>
      <c r="K579" s="2"/>
    </row>
    <row r="580" spans="5:11" x14ac:dyDescent="0.25">
      <c r="E580" s="3">
        <f t="shared" ref="E580:F643" ca="1" si="18">RAND()</f>
        <v>0.53142839783375029</v>
      </c>
      <c r="F580" s="3">
        <f t="shared" ca="1" si="18"/>
        <v>0.93801008038718103</v>
      </c>
      <c r="G580" s="3">
        <f t="shared" ref="G580:G643" ca="1" si="19">SQRT(_xlfn.NORM.INV(E580,$C$3*COS($C$6),$C$4)^2+_xlfn.NORM.INV(F580,$C$3*SIN($C$6),$C$4)^2)</f>
        <v>12.300705549854603</v>
      </c>
      <c r="H580" s="2"/>
      <c r="I580" s="2"/>
      <c r="J580" s="2"/>
      <c r="K580" s="2"/>
    </row>
    <row r="581" spans="5:11" x14ac:dyDescent="0.25">
      <c r="E581" s="3">
        <f t="shared" ca="1" si="18"/>
        <v>0.59147073360520619</v>
      </c>
      <c r="F581" s="3">
        <f t="shared" ca="1" si="18"/>
        <v>0.72485098368966416</v>
      </c>
      <c r="G581" s="3">
        <f t="shared" ca="1" si="19"/>
        <v>7.5348923667770302</v>
      </c>
      <c r="H581" s="2"/>
      <c r="I581" s="2"/>
      <c r="J581" s="2"/>
      <c r="K581" s="2"/>
    </row>
    <row r="582" spans="5:11" x14ac:dyDescent="0.25">
      <c r="E582" s="3">
        <f t="shared" ca="1" si="18"/>
        <v>1.1293433731508706E-2</v>
      </c>
      <c r="F582" s="3">
        <f t="shared" ca="1" si="18"/>
        <v>0.2704462387756752</v>
      </c>
      <c r="G582" s="3">
        <f t="shared" ca="1" si="19"/>
        <v>13.715070824712704</v>
      </c>
      <c r="H582" s="2"/>
      <c r="I582" s="2"/>
      <c r="J582" s="2"/>
      <c r="K582" s="2"/>
    </row>
    <row r="583" spans="5:11" x14ac:dyDescent="0.25">
      <c r="E583" s="3">
        <f t="shared" ca="1" si="18"/>
        <v>0.45378000890426951</v>
      </c>
      <c r="F583" s="3">
        <f t="shared" ca="1" si="18"/>
        <v>0.92814979848053547</v>
      </c>
      <c r="G583" s="3">
        <f t="shared" ca="1" si="19"/>
        <v>12.113765742795698</v>
      </c>
      <c r="H583" s="2"/>
      <c r="I583" s="2"/>
      <c r="J583" s="2"/>
      <c r="K583" s="2"/>
    </row>
    <row r="584" spans="5:11" x14ac:dyDescent="0.25">
      <c r="E584" s="3">
        <f t="shared" ca="1" si="18"/>
        <v>0.81235364668421561</v>
      </c>
      <c r="F584" s="3">
        <f t="shared" ca="1" si="18"/>
        <v>0.54903010434714461</v>
      </c>
      <c r="G584" s="3">
        <f t="shared" ca="1" si="19"/>
        <v>5.5385466961847296</v>
      </c>
      <c r="H584" s="2"/>
      <c r="I584" s="2"/>
      <c r="J584" s="2"/>
      <c r="K584" s="2"/>
    </row>
    <row r="585" spans="5:11" x14ac:dyDescent="0.25">
      <c r="E585" s="3">
        <f t="shared" ca="1" si="18"/>
        <v>0.55851322408715698</v>
      </c>
      <c r="F585" s="3">
        <f t="shared" ca="1" si="18"/>
        <v>0.59962624036665946</v>
      </c>
      <c r="G585" s="3">
        <f t="shared" ca="1" si="19"/>
        <v>5.9260092895224146</v>
      </c>
      <c r="H585" s="2"/>
      <c r="I585" s="2"/>
      <c r="J585" s="2"/>
      <c r="K585" s="2"/>
    </row>
    <row r="586" spans="5:11" x14ac:dyDescent="0.25">
      <c r="E586" s="3">
        <f t="shared" ca="1" si="18"/>
        <v>0.16117749088097222</v>
      </c>
      <c r="F586" s="3">
        <f t="shared" ca="1" si="18"/>
        <v>0.15152417535862439</v>
      </c>
      <c r="G586" s="3">
        <f t="shared" ca="1" si="19"/>
        <v>7.2205721678855461</v>
      </c>
      <c r="H586" s="2"/>
      <c r="I586" s="2"/>
      <c r="J586" s="2"/>
      <c r="K586" s="2"/>
    </row>
    <row r="587" spans="5:11" x14ac:dyDescent="0.25">
      <c r="E587" s="3">
        <f t="shared" ca="1" si="18"/>
        <v>0.76084675657390277</v>
      </c>
      <c r="F587" s="3">
        <f t="shared" ca="1" si="18"/>
        <v>0.80902261988482482</v>
      </c>
      <c r="G587" s="3">
        <f t="shared" ca="1" si="19"/>
        <v>8.9372418863080618</v>
      </c>
      <c r="H587" s="2"/>
      <c r="I587" s="2"/>
      <c r="J587" s="2"/>
      <c r="K587" s="2"/>
    </row>
    <row r="588" spans="5:11" x14ac:dyDescent="0.25">
      <c r="E588" s="3">
        <f t="shared" ca="1" si="18"/>
        <v>0.61776394827042835</v>
      </c>
      <c r="F588" s="3">
        <f t="shared" ca="1" si="18"/>
        <v>0.52684406055983468</v>
      </c>
      <c r="G588" s="3">
        <f t="shared" ca="1" si="19"/>
        <v>4.8636575527763153</v>
      </c>
      <c r="H588" s="2"/>
      <c r="I588" s="2"/>
      <c r="J588" s="2"/>
      <c r="K588" s="2"/>
    </row>
    <row r="589" spans="5:11" x14ac:dyDescent="0.25">
      <c r="E589" s="3">
        <f t="shared" ca="1" si="18"/>
        <v>0.39820544339895847</v>
      </c>
      <c r="F589" s="3">
        <f t="shared" ca="1" si="18"/>
        <v>0.42671019702871094</v>
      </c>
      <c r="G589" s="3">
        <f t="shared" ca="1" si="19"/>
        <v>5.0038858419597227</v>
      </c>
      <c r="H589" s="2"/>
      <c r="I589" s="2"/>
      <c r="J589" s="2"/>
      <c r="K589" s="2"/>
    </row>
    <row r="590" spans="5:11" x14ac:dyDescent="0.25">
      <c r="E590" s="3">
        <f t="shared" ca="1" si="18"/>
        <v>9.3643690561781234E-2</v>
      </c>
      <c r="F590" s="3">
        <f t="shared" ca="1" si="18"/>
        <v>0.44719999058720594</v>
      </c>
      <c r="G590" s="3">
        <f t="shared" ca="1" si="19"/>
        <v>9.6187485013105167</v>
      </c>
      <c r="H590" s="2"/>
      <c r="I590" s="2"/>
      <c r="J590" s="2"/>
      <c r="K590" s="2"/>
    </row>
    <row r="591" spans="5:11" x14ac:dyDescent="0.25">
      <c r="E591" s="3">
        <f t="shared" ca="1" si="18"/>
        <v>0.45492873032623815</v>
      </c>
      <c r="F591" s="3">
        <f t="shared" ca="1" si="18"/>
        <v>0.91929702309340966</v>
      </c>
      <c r="G591" s="3">
        <f t="shared" ca="1" si="19"/>
        <v>11.810074975772189</v>
      </c>
      <c r="H591" s="2"/>
      <c r="I591" s="2"/>
      <c r="J591" s="2"/>
      <c r="K591" s="2"/>
    </row>
    <row r="592" spans="5:11" x14ac:dyDescent="0.25">
      <c r="E592" s="3">
        <f t="shared" ca="1" si="18"/>
        <v>0.87300944759022148</v>
      </c>
      <c r="F592" s="3">
        <f t="shared" ca="1" si="18"/>
        <v>0.70389942279586426</v>
      </c>
      <c r="G592" s="3">
        <f t="shared" ca="1" si="19"/>
        <v>7.9430214213691883</v>
      </c>
      <c r="H592" s="2"/>
      <c r="I592" s="2"/>
      <c r="J592" s="2"/>
      <c r="K592" s="2"/>
    </row>
    <row r="593" spans="5:11" x14ac:dyDescent="0.25">
      <c r="E593" s="3">
        <f t="shared" ca="1" si="18"/>
        <v>0.56757493313216689</v>
      </c>
      <c r="F593" s="3">
        <f t="shared" ca="1" si="18"/>
        <v>0.67363052170075344</v>
      </c>
      <c r="G593" s="3">
        <f t="shared" ca="1" si="19"/>
        <v>6.8619103683272291</v>
      </c>
      <c r="H593" s="2"/>
      <c r="I593" s="2"/>
      <c r="J593" s="2"/>
      <c r="K593" s="2"/>
    </row>
    <row r="594" spans="5:11" x14ac:dyDescent="0.25">
      <c r="E594" s="3">
        <f t="shared" ca="1" si="18"/>
        <v>0.77778278584445404</v>
      </c>
      <c r="F594" s="3">
        <f t="shared" ca="1" si="18"/>
        <v>0.38012179459116846</v>
      </c>
      <c r="G594" s="3">
        <f t="shared" ca="1" si="19"/>
        <v>3.3428900929558298</v>
      </c>
      <c r="H594" s="2"/>
      <c r="I594" s="2"/>
      <c r="J594" s="2"/>
      <c r="K594" s="2"/>
    </row>
    <row r="595" spans="5:11" x14ac:dyDescent="0.25">
      <c r="E595" s="3">
        <f t="shared" ca="1" si="18"/>
        <v>0.67388024254504231</v>
      </c>
      <c r="F595" s="3">
        <f t="shared" ca="1" si="18"/>
        <v>0.75028121274147064</v>
      </c>
      <c r="G595" s="3">
        <f t="shared" ca="1" si="19"/>
        <v>7.8468686835865071</v>
      </c>
      <c r="H595" s="2"/>
      <c r="I595" s="2"/>
      <c r="J595" s="2"/>
      <c r="K595" s="2"/>
    </row>
    <row r="596" spans="5:11" x14ac:dyDescent="0.25">
      <c r="E596" s="3">
        <f t="shared" ca="1" si="18"/>
        <v>0.1222144892094662</v>
      </c>
      <c r="F596" s="3">
        <f t="shared" ca="1" si="18"/>
        <v>0.65267926935749343</v>
      </c>
      <c r="G596" s="3">
        <f t="shared" ca="1" si="19"/>
        <v>10.312589904459513</v>
      </c>
      <c r="H596" s="2"/>
      <c r="I596" s="2"/>
      <c r="J596" s="2"/>
      <c r="K596" s="2"/>
    </row>
    <row r="597" spans="5:11" x14ac:dyDescent="0.25">
      <c r="E597" s="3">
        <f t="shared" ca="1" si="18"/>
        <v>0.37561263833932601</v>
      </c>
      <c r="F597" s="3">
        <f t="shared" ca="1" si="18"/>
        <v>0.92513263642366872</v>
      </c>
      <c r="G597" s="3">
        <f t="shared" ca="1" si="19"/>
        <v>12.28322532822013</v>
      </c>
      <c r="H597" s="2"/>
      <c r="I597" s="2"/>
      <c r="J597" s="2"/>
      <c r="K597" s="2"/>
    </row>
    <row r="598" spans="5:11" x14ac:dyDescent="0.25">
      <c r="E598" s="3">
        <f t="shared" ca="1" si="18"/>
        <v>0.61091981750905533</v>
      </c>
      <c r="F598" s="3">
        <f t="shared" ca="1" si="18"/>
        <v>0.76812801573172129</v>
      </c>
      <c r="G598" s="3">
        <f t="shared" ca="1" si="19"/>
        <v>8.17588362587985</v>
      </c>
      <c r="H598" s="2"/>
      <c r="I598" s="2"/>
      <c r="J598" s="2"/>
      <c r="K598" s="2"/>
    </row>
    <row r="599" spans="5:11" x14ac:dyDescent="0.25">
      <c r="E599" s="3">
        <f t="shared" ca="1" si="18"/>
        <v>0.44576728380024488</v>
      </c>
      <c r="F599" s="3">
        <f t="shared" ca="1" si="18"/>
        <v>0.67965879062384982</v>
      </c>
      <c r="G599" s="3">
        <f t="shared" ca="1" si="19"/>
        <v>7.4047000836405452</v>
      </c>
      <c r="H599" s="2"/>
      <c r="I599" s="2"/>
      <c r="J599" s="2"/>
      <c r="K599" s="2"/>
    </row>
    <row r="600" spans="5:11" x14ac:dyDescent="0.25">
      <c r="E600" s="3">
        <f t="shared" ca="1" si="18"/>
        <v>0.55284177997891559</v>
      </c>
      <c r="F600" s="3">
        <f t="shared" ca="1" si="18"/>
        <v>0.94713056277965502</v>
      </c>
      <c r="G600" s="3">
        <f t="shared" ca="1" si="19"/>
        <v>12.656736495787532</v>
      </c>
      <c r="H600" s="2"/>
      <c r="I600" s="2"/>
      <c r="J600" s="2"/>
      <c r="K600" s="2"/>
    </row>
    <row r="601" spans="5:11" x14ac:dyDescent="0.25">
      <c r="E601" s="3">
        <f t="shared" ca="1" si="18"/>
        <v>0.88880780551697014</v>
      </c>
      <c r="F601" s="3">
        <f t="shared" ca="1" si="18"/>
        <v>0.78680522043756695</v>
      </c>
      <c r="G601" s="3">
        <f t="shared" ca="1" si="19"/>
        <v>9.2873687822607174</v>
      </c>
      <c r="H601" s="2"/>
      <c r="I601" s="2"/>
      <c r="J601" s="2"/>
      <c r="K601" s="2"/>
    </row>
    <row r="602" spans="5:11" x14ac:dyDescent="0.25">
      <c r="E602" s="3">
        <f t="shared" ca="1" si="18"/>
        <v>7.5771475046032544E-2</v>
      </c>
      <c r="F602" s="3">
        <f t="shared" ca="1" si="18"/>
        <v>0.2897931409633091</v>
      </c>
      <c r="G602" s="3">
        <f t="shared" ca="1" si="19"/>
        <v>9.5632014815194832</v>
      </c>
      <c r="H602" s="2"/>
      <c r="I602" s="2"/>
      <c r="J602" s="2"/>
      <c r="K602" s="2"/>
    </row>
    <row r="603" spans="5:11" x14ac:dyDescent="0.25">
      <c r="E603" s="3">
        <f t="shared" ca="1" si="18"/>
        <v>0.39110539846335335</v>
      </c>
      <c r="F603" s="3">
        <f t="shared" ca="1" si="18"/>
        <v>0.78977888776673588</v>
      </c>
      <c r="G603" s="3">
        <f t="shared" ca="1" si="19"/>
        <v>9.2381437943995302</v>
      </c>
      <c r="H603" s="2"/>
      <c r="I603" s="2"/>
      <c r="J603" s="2"/>
      <c r="K603" s="2"/>
    </row>
    <row r="604" spans="5:11" x14ac:dyDescent="0.25">
      <c r="E604" s="3">
        <f t="shared" ca="1" si="18"/>
        <v>0.98107921106678897</v>
      </c>
      <c r="F604" s="3">
        <f t="shared" ca="1" si="18"/>
        <v>0.67797531019798463</v>
      </c>
      <c r="G604" s="3">
        <f t="shared" ca="1" si="19"/>
        <v>10.595797705766881</v>
      </c>
      <c r="H604" s="2"/>
      <c r="I604" s="2"/>
      <c r="J604" s="2"/>
      <c r="K604" s="2"/>
    </row>
    <row r="605" spans="5:11" x14ac:dyDescent="0.25">
      <c r="E605" s="3">
        <f t="shared" ca="1" si="18"/>
        <v>0.9223610885585416</v>
      </c>
      <c r="F605" s="3">
        <f t="shared" ca="1" si="18"/>
        <v>5.7380339719280471E-2</v>
      </c>
      <c r="G605" s="3">
        <f t="shared" ca="1" si="19"/>
        <v>5.944633879942681</v>
      </c>
      <c r="H605" s="2"/>
      <c r="I605" s="2"/>
      <c r="J605" s="2"/>
      <c r="K605" s="2"/>
    </row>
    <row r="606" spans="5:11" x14ac:dyDescent="0.25">
      <c r="E606" s="3">
        <f t="shared" ca="1" si="18"/>
        <v>0.58083762042391451</v>
      </c>
      <c r="F606" s="3">
        <f t="shared" ca="1" si="18"/>
        <v>0.52245341666998713</v>
      </c>
      <c r="G606" s="3">
        <f t="shared" ca="1" si="19"/>
        <v>4.9057128839388611</v>
      </c>
      <c r="H606" s="2"/>
      <c r="I606" s="2"/>
      <c r="J606" s="2"/>
      <c r="K606" s="2"/>
    </row>
    <row r="607" spans="5:11" x14ac:dyDescent="0.25">
      <c r="E607" s="3">
        <f t="shared" ca="1" si="18"/>
        <v>0.87362225396422921</v>
      </c>
      <c r="F607" s="3">
        <f t="shared" ca="1" si="18"/>
        <v>0.77829370080619287</v>
      </c>
      <c r="G607" s="3">
        <f t="shared" ca="1" si="19"/>
        <v>9.0012942693222193</v>
      </c>
      <c r="H607" s="2"/>
      <c r="I607" s="2"/>
      <c r="J607" s="2"/>
      <c r="K607" s="2"/>
    </row>
    <row r="608" spans="5:11" x14ac:dyDescent="0.25">
      <c r="E608" s="3">
        <f t="shared" ca="1" si="18"/>
        <v>0.18321884947779787</v>
      </c>
      <c r="F608" s="3">
        <f t="shared" ca="1" si="18"/>
        <v>0.19248848071142899</v>
      </c>
      <c r="G608" s="3">
        <f t="shared" ca="1" si="19"/>
        <v>6.7573770224334542</v>
      </c>
      <c r="H608" s="2"/>
      <c r="I608" s="2"/>
      <c r="J608" s="2"/>
      <c r="K608" s="2"/>
    </row>
    <row r="609" spans="5:11" x14ac:dyDescent="0.25">
      <c r="E609" s="3">
        <f t="shared" ca="1" si="18"/>
        <v>7.0600620499755462E-2</v>
      </c>
      <c r="F609" s="3">
        <f t="shared" ca="1" si="18"/>
        <v>0.27561708171056043</v>
      </c>
      <c r="G609" s="3">
        <f t="shared" ca="1" si="19"/>
        <v>9.7120725292086156</v>
      </c>
      <c r="H609" s="2"/>
      <c r="I609" s="2"/>
      <c r="J609" s="2"/>
      <c r="K609" s="2"/>
    </row>
    <row r="610" spans="5:11" x14ac:dyDescent="0.25">
      <c r="E610" s="3">
        <f t="shared" ca="1" si="18"/>
        <v>0.68913142346708978</v>
      </c>
      <c r="F610" s="3">
        <f t="shared" ca="1" si="18"/>
        <v>0.61510046879470825</v>
      </c>
      <c r="G610" s="3">
        <f t="shared" ca="1" si="19"/>
        <v>5.9374968894170692</v>
      </c>
      <c r="H610" s="2"/>
      <c r="I610" s="2"/>
      <c r="J610" s="2"/>
      <c r="K610" s="2"/>
    </row>
    <row r="611" spans="5:11" x14ac:dyDescent="0.25">
      <c r="E611" s="3">
        <f t="shared" ca="1" si="18"/>
        <v>0.46307594463915669</v>
      </c>
      <c r="F611" s="3">
        <f t="shared" ca="1" si="18"/>
        <v>0.11201545473995156</v>
      </c>
      <c r="G611" s="3">
        <f t="shared" ca="1" si="19"/>
        <v>3.1465493972048644</v>
      </c>
      <c r="H611" s="2"/>
      <c r="I611" s="2"/>
      <c r="J611" s="2"/>
      <c r="K611" s="2"/>
    </row>
    <row r="612" spans="5:11" x14ac:dyDescent="0.25">
      <c r="E612" s="3">
        <f t="shared" ca="1" si="18"/>
        <v>0.82241069950987233</v>
      </c>
      <c r="F612" s="3">
        <f t="shared" ca="1" si="18"/>
        <v>0.50374500014928159</v>
      </c>
      <c r="G612" s="3">
        <f t="shared" ca="1" si="19"/>
        <v>5.1067892764523348</v>
      </c>
      <c r="H612" s="2"/>
      <c r="I612" s="2"/>
      <c r="J612" s="2"/>
      <c r="K612" s="2"/>
    </row>
    <row r="613" spans="5:11" x14ac:dyDescent="0.25">
      <c r="E613" s="3">
        <f t="shared" ca="1" si="18"/>
        <v>0.10651363689148152</v>
      </c>
      <c r="F613" s="3">
        <f t="shared" ca="1" si="18"/>
        <v>0.25250842415025077</v>
      </c>
      <c r="G613" s="3">
        <f t="shared" ca="1" si="19"/>
        <v>8.5427783659299799</v>
      </c>
      <c r="H613" s="2"/>
      <c r="I613" s="2"/>
      <c r="J613" s="2"/>
      <c r="K613" s="2"/>
    </row>
    <row r="614" spans="5:11" x14ac:dyDescent="0.25">
      <c r="E614" s="3">
        <f t="shared" ca="1" si="18"/>
        <v>0.9730625812007192</v>
      </c>
      <c r="F614" s="3">
        <f t="shared" ca="1" si="18"/>
        <v>0.71482463924412054</v>
      </c>
      <c r="G614" s="3">
        <f t="shared" ca="1" si="19"/>
        <v>10.399264502740962</v>
      </c>
      <c r="H614" s="2"/>
      <c r="I614" s="2"/>
      <c r="J614" s="2"/>
      <c r="K614" s="2"/>
    </row>
    <row r="615" spans="5:11" x14ac:dyDescent="0.25">
      <c r="E615" s="3">
        <f t="shared" ca="1" si="18"/>
        <v>0.28561512598251038</v>
      </c>
      <c r="F615" s="3">
        <f t="shared" ca="1" si="18"/>
        <v>0.64717346969227429</v>
      </c>
      <c r="G615" s="3">
        <f t="shared" ca="1" si="19"/>
        <v>8.1333373733340348</v>
      </c>
      <c r="H615" s="2"/>
      <c r="I615" s="2"/>
      <c r="J615" s="2"/>
      <c r="K615" s="2"/>
    </row>
    <row r="616" spans="5:11" x14ac:dyDescent="0.25">
      <c r="E616" s="3">
        <f t="shared" ca="1" si="18"/>
        <v>0.98612787557803272</v>
      </c>
      <c r="F616" s="3">
        <f t="shared" ca="1" si="18"/>
        <v>0.59801966970284082</v>
      </c>
      <c r="G616" s="3">
        <f t="shared" ca="1" si="19"/>
        <v>10.460656034159172</v>
      </c>
      <c r="H616" s="2"/>
      <c r="I616" s="2"/>
      <c r="J616" s="2"/>
      <c r="K616" s="2"/>
    </row>
    <row r="617" spans="5:11" x14ac:dyDescent="0.25">
      <c r="E617" s="3">
        <f t="shared" ca="1" si="18"/>
        <v>0.65369114297034481</v>
      </c>
      <c r="F617" s="3">
        <f t="shared" ca="1" si="18"/>
        <v>0.69909190429824619</v>
      </c>
      <c r="G617" s="3">
        <f t="shared" ca="1" si="19"/>
        <v>7.0838511073602248</v>
      </c>
      <c r="H617" s="2"/>
      <c r="I617" s="2"/>
      <c r="J617" s="2"/>
      <c r="K617" s="2"/>
    </row>
    <row r="618" spans="5:11" x14ac:dyDescent="0.25">
      <c r="E618" s="3">
        <f t="shared" ca="1" si="18"/>
        <v>0.69158792530506452</v>
      </c>
      <c r="F618" s="3">
        <f t="shared" ca="1" si="18"/>
        <v>0.95560186847630668</v>
      </c>
      <c r="G618" s="3">
        <f t="shared" ca="1" si="19"/>
        <v>12.981525118901324</v>
      </c>
      <c r="H618" s="2"/>
      <c r="I618" s="2"/>
      <c r="J618" s="2"/>
      <c r="K618" s="2"/>
    </row>
    <row r="619" spans="5:11" x14ac:dyDescent="0.25">
      <c r="E619" s="3">
        <f t="shared" ca="1" si="18"/>
        <v>0.94462714233218603</v>
      </c>
      <c r="F619" s="3">
        <f t="shared" ca="1" si="18"/>
        <v>0.63081924616525786</v>
      </c>
      <c r="G619" s="3">
        <f t="shared" ca="1" si="19"/>
        <v>8.4010882103380755</v>
      </c>
      <c r="H619" s="2"/>
      <c r="I619" s="2"/>
      <c r="J619" s="2"/>
      <c r="K619" s="2"/>
    </row>
    <row r="620" spans="5:11" x14ac:dyDescent="0.25">
      <c r="E620" s="3">
        <f t="shared" ca="1" si="18"/>
        <v>0.58284515378462398</v>
      </c>
      <c r="F620" s="3">
        <f t="shared" ca="1" si="18"/>
        <v>0.33200932593017651</v>
      </c>
      <c r="G620" s="3">
        <f t="shared" ca="1" si="19"/>
        <v>2.5900125805128753</v>
      </c>
      <c r="H620" s="2"/>
      <c r="I620" s="2"/>
      <c r="J620" s="2"/>
      <c r="K620" s="2"/>
    </row>
    <row r="621" spans="5:11" x14ac:dyDescent="0.25">
      <c r="E621" s="3">
        <f t="shared" ca="1" si="18"/>
        <v>0.57041722737708489</v>
      </c>
      <c r="F621" s="3">
        <f t="shared" ca="1" si="18"/>
        <v>0.86005214274421404</v>
      </c>
      <c r="G621" s="3">
        <f t="shared" ca="1" si="19"/>
        <v>9.9650556328968136</v>
      </c>
      <c r="H621" s="2"/>
      <c r="I621" s="2"/>
      <c r="J621" s="2"/>
      <c r="K621" s="2"/>
    </row>
    <row r="622" spans="5:11" x14ac:dyDescent="0.25">
      <c r="E622" s="3">
        <f t="shared" ca="1" si="18"/>
        <v>0.34560116941194563</v>
      </c>
      <c r="F622" s="3">
        <f t="shared" ca="1" si="18"/>
        <v>4.8596845874873895E-2</v>
      </c>
      <c r="G622" s="3">
        <f t="shared" ca="1" si="19"/>
        <v>5.6990501497245969</v>
      </c>
      <c r="H622" s="2"/>
      <c r="I622" s="2"/>
      <c r="J622" s="2"/>
      <c r="K622" s="2"/>
    </row>
    <row r="623" spans="5:11" x14ac:dyDescent="0.25">
      <c r="E623" s="3">
        <f t="shared" ca="1" si="18"/>
        <v>0.10440058875441538</v>
      </c>
      <c r="F623" s="3">
        <f t="shared" ca="1" si="18"/>
        <v>0.13262561938001116</v>
      </c>
      <c r="G623" s="3">
        <f t="shared" ca="1" si="19"/>
        <v>8.5954326560025773</v>
      </c>
      <c r="H623" s="2"/>
      <c r="I623" s="2"/>
      <c r="J623" s="2"/>
      <c r="K623" s="2"/>
    </row>
    <row r="624" spans="5:11" x14ac:dyDescent="0.25">
      <c r="E624" s="3">
        <f t="shared" ca="1" si="18"/>
        <v>0.74548031484535071</v>
      </c>
      <c r="F624" s="3">
        <f t="shared" ca="1" si="18"/>
        <v>0.15548481839957085</v>
      </c>
      <c r="G624" s="3">
        <f t="shared" ca="1" si="19"/>
        <v>1.2171843346279048</v>
      </c>
      <c r="H624" s="2"/>
      <c r="I624" s="2"/>
      <c r="J624" s="2"/>
      <c r="K624" s="2"/>
    </row>
    <row r="625" spans="5:11" x14ac:dyDescent="0.25">
      <c r="E625" s="3">
        <f t="shared" ca="1" si="18"/>
        <v>0.29812696660471838</v>
      </c>
      <c r="F625" s="3">
        <f t="shared" ca="1" si="18"/>
        <v>0.81448835192241242</v>
      </c>
      <c r="G625" s="3">
        <f t="shared" ca="1" si="19"/>
        <v>10.192099859872767</v>
      </c>
      <c r="H625" s="2"/>
      <c r="I625" s="2"/>
      <c r="J625" s="2"/>
      <c r="K625" s="2"/>
    </row>
    <row r="626" spans="5:11" x14ac:dyDescent="0.25">
      <c r="E626" s="3">
        <f t="shared" ca="1" si="18"/>
        <v>0.52897464355284218</v>
      </c>
      <c r="F626" s="3">
        <f t="shared" ca="1" si="18"/>
        <v>0.4449317257461709</v>
      </c>
      <c r="G626" s="3">
        <f t="shared" ca="1" si="19"/>
        <v>4.2181775008900066</v>
      </c>
      <c r="H626" s="2"/>
      <c r="I626" s="2"/>
      <c r="J626" s="2"/>
      <c r="K626" s="2"/>
    </row>
    <row r="627" spans="5:11" x14ac:dyDescent="0.25">
      <c r="E627" s="3">
        <f t="shared" ca="1" si="18"/>
        <v>0.62473945410962706</v>
      </c>
      <c r="F627" s="3">
        <f t="shared" ca="1" si="18"/>
        <v>0.58689515725005947</v>
      </c>
      <c r="G627" s="3">
        <f t="shared" ca="1" si="19"/>
        <v>5.6056932855655583</v>
      </c>
      <c r="H627" s="2"/>
      <c r="I627" s="2"/>
      <c r="J627" s="2"/>
      <c r="K627" s="2"/>
    </row>
    <row r="628" spans="5:11" x14ac:dyDescent="0.25">
      <c r="E628" s="3">
        <f t="shared" ca="1" si="18"/>
        <v>0.979872113134999</v>
      </c>
      <c r="F628" s="3">
        <f t="shared" ca="1" si="18"/>
        <v>0.39758475658394177</v>
      </c>
      <c r="G628" s="3">
        <f t="shared" ca="1" si="19"/>
        <v>8.6200280509728024</v>
      </c>
      <c r="H628" s="2"/>
      <c r="I628" s="2"/>
      <c r="J628" s="2"/>
      <c r="K628" s="2"/>
    </row>
    <row r="629" spans="5:11" x14ac:dyDescent="0.25">
      <c r="E629" s="3">
        <f t="shared" ca="1" si="18"/>
        <v>0.74402939627359599</v>
      </c>
      <c r="F629" s="3">
        <f t="shared" ca="1" si="18"/>
        <v>0.52061893544000859</v>
      </c>
      <c r="G629" s="3">
        <f t="shared" ca="1" si="19"/>
        <v>4.8412633611852209</v>
      </c>
      <c r="H629" s="2"/>
      <c r="I629" s="2"/>
      <c r="J629" s="2"/>
      <c r="K629" s="2"/>
    </row>
    <row r="630" spans="5:11" x14ac:dyDescent="0.25">
      <c r="E630" s="3">
        <f t="shared" ca="1" si="18"/>
        <v>0.50295553701619233</v>
      </c>
      <c r="F630" s="3">
        <f t="shared" ca="1" si="18"/>
        <v>0.58356544738118499</v>
      </c>
      <c r="G630" s="3">
        <f t="shared" ca="1" si="19"/>
        <v>5.9482241485927663</v>
      </c>
      <c r="H630" s="2"/>
      <c r="I630" s="2"/>
      <c r="J630" s="2"/>
      <c r="K630" s="2"/>
    </row>
    <row r="631" spans="5:11" x14ac:dyDescent="0.25">
      <c r="E631" s="3">
        <f t="shared" ca="1" si="18"/>
        <v>0.97476484217408688</v>
      </c>
      <c r="F631" s="3">
        <f t="shared" ca="1" si="18"/>
        <v>0.69178355181037054</v>
      </c>
      <c r="G631" s="3">
        <f t="shared" ca="1" si="19"/>
        <v>10.270687245938632</v>
      </c>
      <c r="H631" s="2"/>
      <c r="I631" s="2"/>
      <c r="J631" s="2"/>
      <c r="K631" s="2"/>
    </row>
    <row r="632" spans="5:11" x14ac:dyDescent="0.25">
      <c r="E632" s="3">
        <f t="shared" ca="1" si="18"/>
        <v>8.3293806215173349E-3</v>
      </c>
      <c r="F632" s="3">
        <f t="shared" ca="1" si="18"/>
        <v>0.19864506561102191</v>
      </c>
      <c r="G632" s="3">
        <f t="shared" ca="1" si="19"/>
        <v>14.213123732749535</v>
      </c>
      <c r="H632" s="2"/>
      <c r="I632" s="2"/>
      <c r="J632" s="2"/>
      <c r="K632" s="2"/>
    </row>
    <row r="633" spans="5:11" x14ac:dyDescent="0.25">
      <c r="E633" s="3">
        <f t="shared" ca="1" si="18"/>
        <v>0.89038880074453397</v>
      </c>
      <c r="F633" s="3">
        <f t="shared" ca="1" si="18"/>
        <v>0.11242125468977782</v>
      </c>
      <c r="G633" s="3">
        <f t="shared" ca="1" si="19"/>
        <v>4.2174114396961411</v>
      </c>
      <c r="H633" s="2"/>
      <c r="I633" s="2"/>
      <c r="J633" s="2"/>
      <c r="K633" s="2"/>
    </row>
    <row r="634" spans="5:11" x14ac:dyDescent="0.25">
      <c r="E634" s="3">
        <f t="shared" ca="1" si="18"/>
        <v>0.36294411641809121</v>
      </c>
      <c r="F634" s="3">
        <f t="shared" ca="1" si="18"/>
        <v>0.18094587168629883</v>
      </c>
      <c r="G634" s="3">
        <f t="shared" ca="1" si="19"/>
        <v>3.9943578396102728</v>
      </c>
      <c r="H634" s="2"/>
      <c r="I634" s="2"/>
      <c r="J634" s="2"/>
      <c r="K634" s="2"/>
    </row>
    <row r="635" spans="5:11" x14ac:dyDescent="0.25">
      <c r="E635" s="3">
        <f t="shared" ca="1" si="18"/>
        <v>0.41076868247766452</v>
      </c>
      <c r="F635" s="3">
        <f t="shared" ca="1" si="18"/>
        <v>0.20394456338660516</v>
      </c>
      <c r="G635" s="3">
        <f t="shared" ca="1" si="19"/>
        <v>3.3845228548569231</v>
      </c>
      <c r="H635" s="2"/>
      <c r="I635" s="2"/>
      <c r="J635" s="2"/>
      <c r="K635" s="2"/>
    </row>
    <row r="636" spans="5:11" x14ac:dyDescent="0.25">
      <c r="E636" s="3">
        <f t="shared" ca="1" si="18"/>
        <v>0.14758745526781314</v>
      </c>
      <c r="F636" s="3">
        <f t="shared" ca="1" si="18"/>
        <v>0.23583745699347303</v>
      </c>
      <c r="G636" s="3">
        <f t="shared" ca="1" si="19"/>
        <v>7.5251518483071935</v>
      </c>
      <c r="H636" s="2"/>
      <c r="I636" s="2"/>
      <c r="J636" s="2"/>
      <c r="K636" s="2"/>
    </row>
    <row r="637" spans="5:11" x14ac:dyDescent="0.25">
      <c r="E637" s="3">
        <f t="shared" ca="1" si="18"/>
        <v>0.40214694643585536</v>
      </c>
      <c r="F637" s="3">
        <f t="shared" ca="1" si="18"/>
        <v>0.7601791545279778</v>
      </c>
      <c r="G637" s="3">
        <f t="shared" ca="1" si="19"/>
        <v>8.7278782889442237</v>
      </c>
      <c r="H637" s="2"/>
      <c r="I637" s="2"/>
      <c r="J637" s="2"/>
      <c r="K637" s="2"/>
    </row>
    <row r="638" spans="5:11" x14ac:dyDescent="0.25">
      <c r="E638" s="3">
        <f t="shared" ca="1" si="18"/>
        <v>0.85904946376601088</v>
      </c>
      <c r="F638" s="3">
        <f t="shared" ca="1" si="18"/>
        <v>0.4205830626264998</v>
      </c>
      <c r="G638" s="3">
        <f t="shared" ca="1" si="19"/>
        <v>4.6782435492767078</v>
      </c>
      <c r="H638" s="2"/>
      <c r="I638" s="2"/>
      <c r="J638" s="2"/>
      <c r="K638" s="2"/>
    </row>
    <row r="639" spans="5:11" x14ac:dyDescent="0.25">
      <c r="E639" s="3">
        <f t="shared" ca="1" si="18"/>
        <v>0.98595604395695968</v>
      </c>
      <c r="F639" s="3">
        <f t="shared" ca="1" si="18"/>
        <v>0.2805081553494474</v>
      </c>
      <c r="G639" s="3">
        <f t="shared" ca="1" si="19"/>
        <v>8.8786293522733164</v>
      </c>
      <c r="H639" s="2"/>
      <c r="I639" s="2"/>
      <c r="J639" s="2"/>
      <c r="K639" s="2"/>
    </row>
    <row r="640" spans="5:11" x14ac:dyDescent="0.25">
      <c r="E640" s="3">
        <f t="shared" ca="1" si="18"/>
        <v>0.36472525475701445</v>
      </c>
      <c r="F640" s="3">
        <f t="shared" ca="1" si="18"/>
        <v>0.41272044509523775</v>
      </c>
      <c r="G640" s="3">
        <f t="shared" ca="1" si="19"/>
        <v>5.2054110818325885</v>
      </c>
      <c r="H640" s="2"/>
      <c r="I640" s="2"/>
      <c r="J640" s="2"/>
      <c r="K640" s="2"/>
    </row>
    <row r="641" spans="5:11" x14ac:dyDescent="0.25">
      <c r="E641" s="3">
        <f t="shared" ca="1" si="18"/>
        <v>0.42157785959938299</v>
      </c>
      <c r="F641" s="3">
        <f t="shared" ca="1" si="18"/>
        <v>0.21452778161815145</v>
      </c>
      <c r="G641" s="3">
        <f t="shared" ca="1" si="19"/>
        <v>3.270612026936409</v>
      </c>
      <c r="H641" s="2"/>
      <c r="I641" s="2"/>
      <c r="J641" s="2"/>
      <c r="K641" s="2"/>
    </row>
    <row r="642" spans="5:11" x14ac:dyDescent="0.25">
      <c r="E642" s="3">
        <f t="shared" ca="1" si="18"/>
        <v>7.5178333846019241E-2</v>
      </c>
      <c r="F642" s="3">
        <f t="shared" ca="1" si="18"/>
        <v>0.70054216080271814</v>
      </c>
      <c r="G642" s="3">
        <f t="shared" ca="1" si="19"/>
        <v>11.805275326771667</v>
      </c>
      <c r="H642" s="2"/>
      <c r="I642" s="2"/>
      <c r="J642" s="2"/>
      <c r="K642" s="2"/>
    </row>
    <row r="643" spans="5:11" x14ac:dyDescent="0.25">
      <c r="E643" s="3">
        <f t="shared" ca="1" si="18"/>
        <v>0.93689555940220115</v>
      </c>
      <c r="F643" s="3">
        <f t="shared" ca="1" si="18"/>
        <v>0.48943858285034181</v>
      </c>
      <c r="G643" s="3">
        <f t="shared" ca="1" si="19"/>
        <v>6.9308684652049184</v>
      </c>
      <c r="H643" s="2"/>
      <c r="I643" s="2"/>
      <c r="J643" s="2"/>
      <c r="K643" s="2"/>
    </row>
    <row r="644" spans="5:11" x14ac:dyDescent="0.25">
      <c r="E644" s="3">
        <f t="shared" ref="E644:F707" ca="1" si="20">RAND()</f>
        <v>0.80803630444806074</v>
      </c>
      <c r="F644" s="3">
        <f t="shared" ca="1" si="20"/>
        <v>0.97525129308009095</v>
      </c>
      <c r="G644" s="3">
        <f t="shared" ref="G644:G707" ca="1" si="21">SQRT(_xlfn.NORM.INV(E644,$C$3*COS($C$6),$C$4)^2+_xlfn.NORM.INV(F644,$C$3*SIN($C$6),$C$4)^2)</f>
        <v>14.44675969530115</v>
      </c>
      <c r="H644" s="2"/>
      <c r="I644" s="2"/>
      <c r="J644" s="2"/>
      <c r="K644" s="2"/>
    </row>
    <row r="645" spans="5:11" x14ac:dyDescent="0.25">
      <c r="E645" s="3">
        <f t="shared" ca="1" si="20"/>
        <v>0.93990718195452494</v>
      </c>
      <c r="F645" s="3">
        <f t="shared" ca="1" si="20"/>
        <v>0.77093296245772092</v>
      </c>
      <c r="G645" s="3">
        <f t="shared" ca="1" si="21"/>
        <v>9.8733157341531292</v>
      </c>
      <c r="H645" s="2"/>
      <c r="I645" s="2"/>
      <c r="J645" s="2"/>
      <c r="K645" s="2"/>
    </row>
    <row r="646" spans="5:11" x14ac:dyDescent="0.25">
      <c r="E646" s="3">
        <f t="shared" ca="1" si="20"/>
        <v>0.31452599687262783</v>
      </c>
      <c r="F646" s="3">
        <f t="shared" ca="1" si="20"/>
        <v>0.80869687284290581</v>
      </c>
      <c r="G646" s="3">
        <f t="shared" ca="1" si="21"/>
        <v>9.9870647130594499</v>
      </c>
      <c r="H646" s="2"/>
      <c r="I646" s="2"/>
      <c r="J646" s="2"/>
      <c r="K646" s="2"/>
    </row>
    <row r="647" spans="5:11" x14ac:dyDescent="0.25">
      <c r="E647" s="3">
        <f t="shared" ca="1" si="20"/>
        <v>0.3032725343606959</v>
      </c>
      <c r="F647" s="3">
        <f t="shared" ca="1" si="20"/>
        <v>0.34503397262883362</v>
      </c>
      <c r="G647" s="3">
        <f t="shared" ca="1" si="21"/>
        <v>5.4147696791303659</v>
      </c>
      <c r="H647" s="2"/>
      <c r="I647" s="2"/>
      <c r="J647" s="2"/>
      <c r="K647" s="2"/>
    </row>
    <row r="648" spans="5:11" x14ac:dyDescent="0.25">
      <c r="E648" s="3">
        <f t="shared" ca="1" si="20"/>
        <v>0.22712512931189954</v>
      </c>
      <c r="F648" s="3">
        <f t="shared" ca="1" si="20"/>
        <v>0.87226101211140183</v>
      </c>
      <c r="G648" s="3">
        <f t="shared" ca="1" si="21"/>
        <v>11.78660075685039</v>
      </c>
      <c r="H648" s="2"/>
      <c r="I648" s="2"/>
      <c r="J648" s="2"/>
      <c r="K648" s="2"/>
    </row>
    <row r="649" spans="5:11" x14ac:dyDescent="0.25">
      <c r="E649" s="3">
        <f t="shared" ca="1" si="20"/>
        <v>0.66396753497791394</v>
      </c>
      <c r="F649" s="3">
        <f t="shared" ca="1" si="20"/>
        <v>0.14360867334895067</v>
      </c>
      <c r="G649" s="3">
        <f t="shared" ca="1" si="21"/>
        <v>0.86019961577060011</v>
      </c>
      <c r="H649" s="2"/>
      <c r="I649" s="2"/>
      <c r="J649" s="2"/>
      <c r="K649" s="2"/>
    </row>
    <row r="650" spans="5:11" x14ac:dyDescent="0.25">
      <c r="E650" s="3">
        <f t="shared" ca="1" si="20"/>
        <v>0.56615605149302739</v>
      </c>
      <c r="F650" s="3">
        <f t="shared" ca="1" si="20"/>
        <v>0.41887077688821395</v>
      </c>
      <c r="G650" s="3">
        <f t="shared" ca="1" si="21"/>
        <v>3.7223812490463932</v>
      </c>
      <c r="H650" s="2"/>
      <c r="I650" s="2"/>
      <c r="J650" s="2"/>
      <c r="K650" s="2"/>
    </row>
    <row r="651" spans="5:11" x14ac:dyDescent="0.25">
      <c r="E651" s="3">
        <f t="shared" ca="1" si="20"/>
        <v>5.5449022407186188E-2</v>
      </c>
      <c r="F651" s="3">
        <f t="shared" ca="1" si="20"/>
        <v>0.53078663062144349</v>
      </c>
      <c r="G651" s="3">
        <f t="shared" ca="1" si="21"/>
        <v>11.307157613615692</v>
      </c>
      <c r="H651" s="2"/>
      <c r="I651" s="2"/>
      <c r="J651" s="2"/>
      <c r="K651" s="2"/>
    </row>
    <row r="652" spans="5:11" x14ac:dyDescent="0.25">
      <c r="E652" s="3">
        <f t="shared" ca="1" si="20"/>
        <v>0.44649574171679252</v>
      </c>
      <c r="F652" s="3">
        <f t="shared" ca="1" si="20"/>
        <v>0.50992922335151891</v>
      </c>
      <c r="G652" s="3">
        <f t="shared" ca="1" si="21"/>
        <v>5.440060995133436</v>
      </c>
      <c r="H652" s="2"/>
      <c r="I652" s="2"/>
      <c r="J652" s="2"/>
      <c r="K652" s="2"/>
    </row>
    <row r="653" spans="5:11" x14ac:dyDescent="0.25">
      <c r="E653" s="3">
        <f t="shared" ca="1" si="20"/>
        <v>2.7681951628307444E-2</v>
      </c>
      <c r="F653" s="3">
        <f t="shared" ca="1" si="20"/>
        <v>2.7768828915155308E-2</v>
      </c>
      <c r="G653" s="3">
        <f t="shared" ca="1" si="21"/>
        <v>12.874988865960056</v>
      </c>
      <c r="H653" s="2"/>
      <c r="I653" s="2"/>
      <c r="J653" s="2"/>
      <c r="K653" s="2"/>
    </row>
    <row r="654" spans="5:11" x14ac:dyDescent="0.25">
      <c r="E654" s="3">
        <f t="shared" ca="1" si="20"/>
        <v>0.30271109095410853</v>
      </c>
      <c r="F654" s="3">
        <f t="shared" ca="1" si="20"/>
        <v>0.58026829083021636</v>
      </c>
      <c r="G654" s="3">
        <f t="shared" ca="1" si="21"/>
        <v>7.3025883558806939</v>
      </c>
      <c r="H654" s="2"/>
      <c r="I654" s="2"/>
      <c r="J654" s="2"/>
      <c r="K654" s="2"/>
    </row>
    <row r="655" spans="5:11" x14ac:dyDescent="0.25">
      <c r="E655" s="3">
        <f t="shared" ca="1" si="20"/>
        <v>0.82395876511615307</v>
      </c>
      <c r="F655" s="3">
        <f t="shared" ca="1" si="20"/>
        <v>0.5007856023452012</v>
      </c>
      <c r="G655" s="3">
        <f t="shared" ca="1" si="21"/>
        <v>5.0880881060133216</v>
      </c>
      <c r="H655" s="2"/>
      <c r="I655" s="2"/>
      <c r="J655" s="2"/>
      <c r="K655" s="2"/>
    </row>
    <row r="656" spans="5:11" x14ac:dyDescent="0.25">
      <c r="E656" s="3">
        <f t="shared" ca="1" si="20"/>
        <v>0.55994735200734402</v>
      </c>
      <c r="F656" s="3">
        <f t="shared" ca="1" si="20"/>
        <v>0.45081080144638175</v>
      </c>
      <c r="G656" s="3">
        <f t="shared" ca="1" si="21"/>
        <v>4.1286836886022495</v>
      </c>
      <c r="H656" s="2"/>
      <c r="I656" s="2"/>
      <c r="J656" s="2"/>
      <c r="K656" s="2"/>
    </row>
    <row r="657" spans="5:11" x14ac:dyDescent="0.25">
      <c r="E657" s="3">
        <f t="shared" ca="1" si="20"/>
        <v>0.59251213711821593</v>
      </c>
      <c r="F657" s="3">
        <f t="shared" ca="1" si="20"/>
        <v>0.52338466744008605</v>
      </c>
      <c r="G657" s="3">
        <f t="shared" ca="1" si="21"/>
        <v>4.8820042037876288</v>
      </c>
      <c r="H657" s="2"/>
      <c r="I657" s="2"/>
      <c r="J657" s="2"/>
      <c r="K657" s="2"/>
    </row>
    <row r="658" spans="5:11" x14ac:dyDescent="0.25">
      <c r="E658" s="3">
        <f t="shared" ca="1" si="20"/>
        <v>0.50215682208985113</v>
      </c>
      <c r="F658" s="3">
        <f t="shared" ca="1" si="20"/>
        <v>0.3012242959274376</v>
      </c>
      <c r="G658" s="3">
        <f t="shared" ca="1" si="21"/>
        <v>2.8946866217583618</v>
      </c>
      <c r="H658" s="2"/>
      <c r="I658" s="2"/>
      <c r="J658" s="2"/>
      <c r="K658" s="2"/>
    </row>
    <row r="659" spans="5:11" x14ac:dyDescent="0.25">
      <c r="E659" s="3">
        <f t="shared" ca="1" si="20"/>
        <v>7.0555267991225246E-2</v>
      </c>
      <c r="F659" s="3">
        <f t="shared" ca="1" si="20"/>
        <v>0.37118506339466506</v>
      </c>
      <c r="G659" s="3">
        <f t="shared" ca="1" si="21"/>
        <v>10.006185579467127</v>
      </c>
      <c r="H659" s="2"/>
      <c r="I659" s="2"/>
      <c r="J659" s="2"/>
      <c r="K659" s="2"/>
    </row>
    <row r="660" spans="5:11" x14ac:dyDescent="0.25">
      <c r="E660" s="3">
        <f t="shared" ca="1" si="20"/>
        <v>0.20815977246984918</v>
      </c>
      <c r="F660" s="3">
        <f t="shared" ca="1" si="20"/>
        <v>0.6691321349087096</v>
      </c>
      <c r="G660" s="3">
        <f t="shared" ca="1" si="21"/>
        <v>9.1689579077254386</v>
      </c>
      <c r="H660" s="2"/>
      <c r="I660" s="2"/>
      <c r="J660" s="2"/>
      <c r="K660" s="2"/>
    </row>
    <row r="661" spans="5:11" x14ac:dyDescent="0.25">
      <c r="E661" s="3">
        <f t="shared" ca="1" si="20"/>
        <v>0.40010581361888953</v>
      </c>
      <c r="F661" s="3">
        <f t="shared" ca="1" si="20"/>
        <v>0.7542808009648696</v>
      </c>
      <c r="G661" s="3">
        <f t="shared" ca="1" si="21"/>
        <v>8.6521566782927763</v>
      </c>
      <c r="H661" s="2"/>
      <c r="I661" s="2"/>
      <c r="J661" s="2"/>
      <c r="K661" s="2"/>
    </row>
    <row r="662" spans="5:11" x14ac:dyDescent="0.25">
      <c r="E662" s="3">
        <f t="shared" ca="1" si="20"/>
        <v>0.4570502535554325</v>
      </c>
      <c r="F662" s="3">
        <f t="shared" ca="1" si="20"/>
        <v>0.17500549144228661</v>
      </c>
      <c r="G662" s="3">
        <f t="shared" ca="1" si="21"/>
        <v>2.787099588135487</v>
      </c>
      <c r="H662" s="2"/>
      <c r="I662" s="2"/>
      <c r="J662" s="2"/>
      <c r="K662" s="2"/>
    </row>
    <row r="663" spans="5:11" x14ac:dyDescent="0.25">
      <c r="E663" s="3">
        <f t="shared" ca="1" si="20"/>
        <v>0.98038037921812959</v>
      </c>
      <c r="F663" s="3">
        <f t="shared" ca="1" si="20"/>
        <v>0.79947062805889135</v>
      </c>
      <c r="G663" s="3">
        <f t="shared" ca="1" si="21"/>
        <v>11.842197105569241</v>
      </c>
      <c r="H663" s="2"/>
      <c r="I663" s="2"/>
      <c r="J663" s="2"/>
      <c r="K663" s="2"/>
    </row>
    <row r="664" spans="5:11" x14ac:dyDescent="0.25">
      <c r="E664" s="3">
        <f t="shared" ca="1" si="20"/>
        <v>0.25878819240991791</v>
      </c>
      <c r="F664" s="3">
        <f t="shared" ca="1" si="20"/>
        <v>0.20525838167817756</v>
      </c>
      <c r="G664" s="3">
        <f t="shared" ca="1" si="21"/>
        <v>5.4872966141174109</v>
      </c>
      <c r="H664" s="2"/>
      <c r="I664" s="2"/>
      <c r="J664" s="2"/>
      <c r="K664" s="2"/>
    </row>
    <row r="665" spans="5:11" x14ac:dyDescent="0.25">
      <c r="E665" s="3">
        <f t="shared" ca="1" si="20"/>
        <v>0.29871372992618861</v>
      </c>
      <c r="F665" s="3">
        <f t="shared" ca="1" si="20"/>
        <v>0.95803267000674819</v>
      </c>
      <c r="G665" s="3">
        <f t="shared" ca="1" si="21"/>
        <v>13.990492857537552</v>
      </c>
      <c r="H665" s="2"/>
      <c r="I665" s="2"/>
      <c r="J665" s="2"/>
      <c r="K665" s="2"/>
    </row>
    <row r="666" spans="5:11" x14ac:dyDescent="0.25">
      <c r="E666" s="3">
        <f t="shared" ca="1" si="20"/>
        <v>6.0796531847302715E-2</v>
      </c>
      <c r="F666" s="3">
        <f t="shared" ca="1" si="20"/>
        <v>0.66130212377377739</v>
      </c>
      <c r="G666" s="3">
        <f t="shared" ca="1" si="21"/>
        <v>11.938317450012157</v>
      </c>
      <c r="H666" s="2"/>
      <c r="I666" s="2"/>
      <c r="J666" s="2"/>
      <c r="K666" s="2"/>
    </row>
    <row r="667" spans="5:11" x14ac:dyDescent="0.25">
      <c r="E667" s="3">
        <f t="shared" ca="1" si="20"/>
        <v>0.80078613843249591</v>
      </c>
      <c r="F667" s="3">
        <f t="shared" ca="1" si="20"/>
        <v>8.8330945969748886E-2</v>
      </c>
      <c r="G667" s="3">
        <f t="shared" ca="1" si="21"/>
        <v>3.0250958534972123</v>
      </c>
      <c r="H667" s="2"/>
      <c r="I667" s="2"/>
      <c r="J667" s="2"/>
      <c r="K667" s="2"/>
    </row>
    <row r="668" spans="5:11" x14ac:dyDescent="0.25">
      <c r="E668" s="3">
        <f t="shared" ca="1" si="20"/>
        <v>0.18974084708792438</v>
      </c>
      <c r="F668" s="3">
        <f t="shared" ca="1" si="20"/>
        <v>0.94025183896121534</v>
      </c>
      <c r="G668" s="3">
        <f t="shared" ca="1" si="21"/>
        <v>13.935191094098032</v>
      </c>
      <c r="H668" s="2"/>
      <c r="I668" s="2"/>
      <c r="J668" s="2"/>
      <c r="K668" s="2"/>
    </row>
    <row r="669" spans="5:11" x14ac:dyDescent="0.25">
      <c r="E669" s="3">
        <f t="shared" ca="1" si="20"/>
        <v>0.40066640472194692</v>
      </c>
      <c r="F669" s="3">
        <f t="shared" ca="1" si="20"/>
        <v>0.69669215361514936</v>
      </c>
      <c r="G669" s="3">
        <f t="shared" ca="1" si="21"/>
        <v>7.8654205702012403</v>
      </c>
      <c r="H669" s="2"/>
      <c r="I669" s="2"/>
      <c r="J669" s="2"/>
      <c r="K669" s="2"/>
    </row>
    <row r="670" spans="5:11" x14ac:dyDescent="0.25">
      <c r="E670" s="3">
        <f t="shared" ca="1" si="20"/>
        <v>0.51195034116539595</v>
      </c>
      <c r="F670" s="3">
        <f t="shared" ca="1" si="20"/>
        <v>0.5225128509538185</v>
      </c>
      <c r="G670" s="3">
        <f t="shared" ca="1" si="21"/>
        <v>5.1917958852028248</v>
      </c>
      <c r="H670" s="2"/>
      <c r="I670" s="2"/>
      <c r="J670" s="2"/>
      <c r="K670" s="2"/>
    </row>
    <row r="671" spans="5:11" x14ac:dyDescent="0.25">
      <c r="E671" s="3">
        <f t="shared" ca="1" si="20"/>
        <v>0.45067985699606694</v>
      </c>
      <c r="F671" s="3">
        <f t="shared" ca="1" si="20"/>
        <v>0.25325052786127145</v>
      </c>
      <c r="G671" s="3">
        <f t="shared" ca="1" si="21"/>
        <v>3.0820712598482416</v>
      </c>
      <c r="H671" s="2"/>
      <c r="I671" s="2"/>
      <c r="J671" s="2"/>
      <c r="K671" s="2"/>
    </row>
    <row r="672" spans="5:11" x14ac:dyDescent="0.25">
      <c r="E672" s="3">
        <f t="shared" ca="1" si="20"/>
        <v>4.2144872979572479E-2</v>
      </c>
      <c r="F672" s="3">
        <f t="shared" ca="1" si="20"/>
        <v>0.35413706105444576</v>
      </c>
      <c r="G672" s="3">
        <f t="shared" ca="1" si="21"/>
        <v>11.178332722819832</v>
      </c>
      <c r="H672" s="2"/>
      <c r="I672" s="2"/>
      <c r="J672" s="2"/>
      <c r="K672" s="2"/>
    </row>
    <row r="673" spans="5:11" x14ac:dyDescent="0.25">
      <c r="E673" s="3">
        <f t="shared" ca="1" si="20"/>
        <v>0.50649294606730877</v>
      </c>
      <c r="F673" s="3">
        <f t="shared" ca="1" si="20"/>
        <v>0.60022938876502885</v>
      </c>
      <c r="G673" s="3">
        <f t="shared" ca="1" si="21"/>
        <v>6.1323113696257758</v>
      </c>
      <c r="H673" s="2"/>
      <c r="I673" s="2"/>
      <c r="J673" s="2"/>
      <c r="K673" s="2"/>
    </row>
    <row r="674" spans="5:11" x14ac:dyDescent="0.25">
      <c r="E674" s="3">
        <f t="shared" ca="1" si="20"/>
        <v>0.40139683958858952</v>
      </c>
      <c r="F674" s="3">
        <f t="shared" ca="1" si="20"/>
        <v>0.574731217092604</v>
      </c>
      <c r="G674" s="3">
        <f t="shared" ca="1" si="21"/>
        <v>6.439307831248855</v>
      </c>
      <c r="H674" s="2"/>
      <c r="I674" s="2"/>
      <c r="J674" s="2"/>
      <c r="K674" s="2"/>
    </row>
    <row r="675" spans="5:11" x14ac:dyDescent="0.25">
      <c r="E675" s="3">
        <f t="shared" ca="1" si="20"/>
        <v>0.29977696349030503</v>
      </c>
      <c r="F675" s="3">
        <f t="shared" ca="1" si="20"/>
        <v>8.1851638740528809E-3</v>
      </c>
      <c r="G675" s="3">
        <f t="shared" ca="1" si="21"/>
        <v>8.9675326299355334</v>
      </c>
      <c r="H675" s="2"/>
      <c r="I675" s="2"/>
      <c r="J675" s="2"/>
      <c r="K675" s="2"/>
    </row>
    <row r="676" spans="5:11" x14ac:dyDescent="0.25">
      <c r="E676" s="3">
        <f t="shared" ca="1" si="20"/>
        <v>0.1506063340304008</v>
      </c>
      <c r="F676" s="3">
        <f t="shared" ca="1" si="20"/>
        <v>0.18547284799095198</v>
      </c>
      <c r="G676" s="3">
        <f t="shared" ca="1" si="21"/>
        <v>7.4095507478976037</v>
      </c>
      <c r="H676" s="2"/>
      <c r="I676" s="2"/>
      <c r="J676" s="2"/>
      <c r="K676" s="2"/>
    </row>
    <row r="677" spans="5:11" x14ac:dyDescent="0.25">
      <c r="E677" s="3">
        <f t="shared" ca="1" si="20"/>
        <v>0.17266991106189844</v>
      </c>
      <c r="F677" s="3">
        <f t="shared" ca="1" si="20"/>
        <v>0.28366115755550103</v>
      </c>
      <c r="G677" s="3">
        <f t="shared" ca="1" si="21"/>
        <v>7.1425209634956284</v>
      </c>
      <c r="H677" s="2"/>
      <c r="I677" s="2"/>
      <c r="J677" s="2"/>
      <c r="K677" s="2"/>
    </row>
    <row r="678" spans="5:11" x14ac:dyDescent="0.25">
      <c r="E678" s="3">
        <f t="shared" ca="1" si="20"/>
        <v>0.70760094827657838</v>
      </c>
      <c r="F678" s="3">
        <f t="shared" ca="1" si="20"/>
        <v>0.38945575909806884</v>
      </c>
      <c r="G678" s="3">
        <f t="shared" ca="1" si="21"/>
        <v>3.1054487948434648</v>
      </c>
      <c r="H678" s="2"/>
      <c r="I678" s="2"/>
      <c r="J678" s="2"/>
      <c r="K678" s="2"/>
    </row>
    <row r="679" spans="5:11" x14ac:dyDescent="0.25">
      <c r="E679" s="3">
        <f t="shared" ca="1" si="20"/>
        <v>0.33501937621422073</v>
      </c>
      <c r="F679" s="3">
        <f t="shared" ca="1" si="20"/>
        <v>0.78689377124952553</v>
      </c>
      <c r="G679" s="3">
        <f t="shared" ca="1" si="21"/>
        <v>9.5121109912319355</v>
      </c>
      <c r="H679" s="2"/>
      <c r="I679" s="2"/>
      <c r="J679" s="2"/>
      <c r="K679" s="2"/>
    </row>
    <row r="680" spans="5:11" x14ac:dyDescent="0.25">
      <c r="E680" s="3">
        <f t="shared" ca="1" si="20"/>
        <v>0.39880061523308752</v>
      </c>
      <c r="F680" s="3">
        <f t="shared" ca="1" si="20"/>
        <v>0.51642316044927727</v>
      </c>
      <c r="G680" s="3">
        <f t="shared" ca="1" si="21"/>
        <v>5.8542929587421701</v>
      </c>
      <c r="H680" s="2"/>
      <c r="I680" s="2"/>
      <c r="J680" s="2"/>
      <c r="K680" s="2"/>
    </row>
    <row r="681" spans="5:11" x14ac:dyDescent="0.25">
      <c r="E681" s="3">
        <f t="shared" ca="1" si="20"/>
        <v>0.55762142415451244</v>
      </c>
      <c r="F681" s="3">
        <f t="shared" ca="1" si="20"/>
        <v>0.15233489159519642</v>
      </c>
      <c r="G681" s="3">
        <f t="shared" ca="1" si="21"/>
        <v>1.6540746032323899</v>
      </c>
      <c r="H681" s="2"/>
      <c r="I681" s="2"/>
      <c r="J681" s="2"/>
      <c r="K681" s="2"/>
    </row>
    <row r="682" spans="5:11" x14ac:dyDescent="0.25">
      <c r="E682" s="3">
        <f t="shared" ca="1" si="20"/>
        <v>0.73822928035758884</v>
      </c>
      <c r="F682" s="3">
        <f t="shared" ca="1" si="20"/>
        <v>0.90639466798143065</v>
      </c>
      <c r="G682" s="3">
        <f t="shared" ca="1" si="21"/>
        <v>11.104995155925218</v>
      </c>
      <c r="H682" s="2"/>
      <c r="I682" s="2"/>
      <c r="J682" s="2"/>
      <c r="K682" s="2"/>
    </row>
    <row r="683" spans="5:11" x14ac:dyDescent="0.25">
      <c r="E683" s="3">
        <f t="shared" ca="1" si="20"/>
        <v>0.25556560941850393</v>
      </c>
      <c r="F683" s="3">
        <f t="shared" ca="1" si="20"/>
        <v>0.67603363758272772</v>
      </c>
      <c r="G683" s="3">
        <f t="shared" ca="1" si="21"/>
        <v>8.7257765071016902</v>
      </c>
      <c r="H683" s="2"/>
      <c r="I683" s="2"/>
      <c r="J683" s="2"/>
      <c r="K683" s="2"/>
    </row>
    <row r="684" spans="5:11" x14ac:dyDescent="0.25">
      <c r="E684" s="3">
        <f t="shared" ca="1" si="20"/>
        <v>1.5607758362313429E-2</v>
      </c>
      <c r="F684" s="3">
        <f t="shared" ca="1" si="20"/>
        <v>0.55787424759265181</v>
      </c>
      <c r="G684" s="3">
        <f t="shared" ca="1" si="21"/>
        <v>14.011733795506775</v>
      </c>
      <c r="H684" s="2"/>
      <c r="I684" s="2"/>
      <c r="J684" s="2"/>
      <c r="K684" s="2"/>
    </row>
    <row r="685" spans="5:11" x14ac:dyDescent="0.25">
      <c r="E685" s="3">
        <f t="shared" ca="1" si="20"/>
        <v>0.23665356014846206</v>
      </c>
      <c r="F685" s="3">
        <f t="shared" ca="1" si="20"/>
        <v>0.16923011034105506</v>
      </c>
      <c r="G685" s="3">
        <f t="shared" ca="1" si="21"/>
        <v>5.8344787045299782</v>
      </c>
      <c r="H685" s="2"/>
      <c r="I685" s="2"/>
      <c r="J685" s="2"/>
      <c r="K685" s="2"/>
    </row>
    <row r="686" spans="5:11" x14ac:dyDescent="0.25">
      <c r="E686" s="3">
        <f t="shared" ca="1" si="20"/>
        <v>0.77016976350290089</v>
      </c>
      <c r="F686" s="3">
        <f t="shared" ca="1" si="20"/>
        <v>0.97032428726636033</v>
      </c>
      <c r="G686" s="3">
        <f t="shared" ca="1" si="21"/>
        <v>13.974017998078455</v>
      </c>
      <c r="H686" s="2"/>
      <c r="I686" s="2"/>
      <c r="J686" s="2"/>
      <c r="K686" s="2"/>
    </row>
    <row r="687" spans="5:11" x14ac:dyDescent="0.25">
      <c r="E687" s="3">
        <f t="shared" ca="1" si="20"/>
        <v>0.16836721149982081</v>
      </c>
      <c r="F687" s="3">
        <f t="shared" ca="1" si="20"/>
        <v>0.1697968072168029</v>
      </c>
      <c r="G687" s="3">
        <f t="shared" ca="1" si="21"/>
        <v>7.050150389619942</v>
      </c>
      <c r="H687" s="2"/>
      <c r="I687" s="2"/>
      <c r="J687" s="2"/>
      <c r="K687" s="2"/>
    </row>
    <row r="688" spans="5:11" x14ac:dyDescent="0.25">
      <c r="E688" s="3">
        <f t="shared" ca="1" si="20"/>
        <v>0.97685519166021284</v>
      </c>
      <c r="F688" s="3">
        <f t="shared" ca="1" si="20"/>
        <v>0.80713321334186416</v>
      </c>
      <c r="G688" s="3">
        <f t="shared" ca="1" si="21"/>
        <v>11.713723118266934</v>
      </c>
      <c r="H688" s="2"/>
      <c r="I688" s="2"/>
      <c r="J688" s="2"/>
      <c r="K688" s="2"/>
    </row>
    <row r="689" spans="5:11" x14ac:dyDescent="0.25">
      <c r="E689" s="3">
        <f t="shared" ca="1" si="20"/>
        <v>0.45515673180815397</v>
      </c>
      <c r="F689" s="3">
        <f t="shared" ca="1" si="20"/>
        <v>0.56071895858851906</v>
      </c>
      <c r="G689" s="3">
        <f t="shared" ca="1" si="21"/>
        <v>5.9375298044295457</v>
      </c>
      <c r="H689" s="2"/>
      <c r="I689" s="2"/>
      <c r="J689" s="2"/>
      <c r="K689" s="2"/>
    </row>
    <row r="690" spans="5:11" x14ac:dyDescent="0.25">
      <c r="E690" s="3">
        <f t="shared" ca="1" si="20"/>
        <v>0.98397390218128056</v>
      </c>
      <c r="F690" s="3">
        <f t="shared" ca="1" si="20"/>
        <v>3.8216327281345275E-2</v>
      </c>
      <c r="G690" s="3">
        <f t="shared" ca="1" si="21"/>
        <v>9.547036414918356</v>
      </c>
      <c r="H690" s="2"/>
      <c r="I690" s="2"/>
      <c r="J690" s="2"/>
      <c r="K690" s="2"/>
    </row>
    <row r="691" spans="5:11" x14ac:dyDescent="0.25">
      <c r="E691" s="3">
        <f t="shared" ca="1" si="20"/>
        <v>0.80194562872426212</v>
      </c>
      <c r="F691" s="3">
        <f t="shared" ca="1" si="20"/>
        <v>0.51534700427275193</v>
      </c>
      <c r="G691" s="3">
        <f t="shared" ca="1" si="21"/>
        <v>5.0742604915732628</v>
      </c>
      <c r="H691" s="2"/>
      <c r="I691" s="2"/>
      <c r="J691" s="2"/>
      <c r="K691" s="2"/>
    </row>
    <row r="692" spans="5:11" x14ac:dyDescent="0.25">
      <c r="E692" s="3">
        <f t="shared" ca="1" si="20"/>
        <v>0.47759220625868992</v>
      </c>
      <c r="F692" s="3">
        <f t="shared" ca="1" si="20"/>
        <v>0.69573861787354163</v>
      </c>
      <c r="G692" s="3">
        <f t="shared" ca="1" si="21"/>
        <v>7.4693229047211709</v>
      </c>
      <c r="H692" s="2"/>
      <c r="I692" s="2"/>
      <c r="J692" s="2"/>
      <c r="K692" s="2"/>
    </row>
    <row r="693" spans="5:11" x14ac:dyDescent="0.25">
      <c r="E693" s="3">
        <f t="shared" ca="1" si="20"/>
        <v>0.92439849522474649</v>
      </c>
      <c r="F693" s="3">
        <f t="shared" ca="1" si="20"/>
        <v>0.51724734052773291</v>
      </c>
      <c r="G693" s="3">
        <f t="shared" ca="1" si="21"/>
        <v>6.8063030385814809</v>
      </c>
      <c r="H693" s="2"/>
      <c r="I693" s="2"/>
      <c r="J693" s="2"/>
      <c r="K693" s="2"/>
    </row>
    <row r="694" spans="5:11" x14ac:dyDescent="0.25">
      <c r="E694" s="3">
        <f t="shared" ca="1" si="20"/>
        <v>0.2605485466954186</v>
      </c>
      <c r="F694" s="3">
        <f t="shared" ca="1" si="20"/>
        <v>0.83225463011436651</v>
      </c>
      <c r="G694" s="3">
        <f t="shared" ca="1" si="21"/>
        <v>10.766110887042396</v>
      </c>
      <c r="H694" s="2"/>
      <c r="I694" s="2"/>
      <c r="J694" s="2"/>
      <c r="K694" s="2"/>
    </row>
    <row r="695" spans="5:11" x14ac:dyDescent="0.25">
      <c r="E695" s="3">
        <f t="shared" ca="1" si="20"/>
        <v>0.27539437868247207</v>
      </c>
      <c r="F695" s="3">
        <f t="shared" ca="1" si="20"/>
        <v>1.606237092952767E-2</v>
      </c>
      <c r="G695" s="3">
        <f t="shared" ca="1" si="21"/>
        <v>8.1408621448076239</v>
      </c>
      <c r="H695" s="2"/>
      <c r="I695" s="2"/>
      <c r="J695" s="2"/>
      <c r="K695" s="2"/>
    </row>
    <row r="696" spans="5:11" x14ac:dyDescent="0.25">
      <c r="E696" s="3">
        <f t="shared" ca="1" si="20"/>
        <v>0.91502486797735783</v>
      </c>
      <c r="F696" s="3">
        <f t="shared" ca="1" si="20"/>
        <v>3.2770782297702916E-2</v>
      </c>
      <c r="G696" s="3">
        <f t="shared" ca="1" si="21"/>
        <v>6.6184629376746811</v>
      </c>
      <c r="H696" s="2"/>
      <c r="I696" s="2"/>
      <c r="J696" s="2"/>
      <c r="K696" s="2"/>
    </row>
    <row r="697" spans="5:11" x14ac:dyDescent="0.25">
      <c r="E697" s="3">
        <f t="shared" ca="1" si="20"/>
        <v>0.40180719645530172</v>
      </c>
      <c r="F697" s="3">
        <f t="shared" ca="1" si="20"/>
        <v>0.20129865243480694</v>
      </c>
      <c r="G697" s="3">
        <f t="shared" ca="1" si="21"/>
        <v>3.4953692354820238</v>
      </c>
      <c r="H697" s="2"/>
      <c r="I697" s="2"/>
      <c r="J697" s="2"/>
      <c r="K697" s="2"/>
    </row>
    <row r="698" spans="5:11" x14ac:dyDescent="0.25">
      <c r="E698" s="3">
        <f t="shared" ca="1" si="20"/>
        <v>0.3607931578008865</v>
      </c>
      <c r="F698" s="3">
        <f t="shared" ca="1" si="20"/>
        <v>0.30112887614710515</v>
      </c>
      <c r="G698" s="3">
        <f t="shared" ca="1" si="21"/>
        <v>4.4330866242276397</v>
      </c>
      <c r="H698" s="2"/>
      <c r="I698" s="2"/>
      <c r="J698" s="2"/>
      <c r="K698" s="2"/>
    </row>
    <row r="699" spans="5:11" x14ac:dyDescent="0.25">
      <c r="E699" s="3">
        <f t="shared" ca="1" si="20"/>
        <v>0.77685565226063913</v>
      </c>
      <c r="F699" s="3">
        <f t="shared" ca="1" si="20"/>
        <v>0.77848064285479734</v>
      </c>
      <c r="G699" s="3">
        <f t="shared" ca="1" si="21"/>
        <v>8.4520093068401074</v>
      </c>
      <c r="H699" s="2"/>
      <c r="I699" s="2"/>
      <c r="J699" s="2"/>
      <c r="K699" s="2"/>
    </row>
    <row r="700" spans="5:11" x14ac:dyDescent="0.25">
      <c r="E700" s="3">
        <f t="shared" ca="1" si="20"/>
        <v>0.64084484150738796</v>
      </c>
      <c r="F700" s="3">
        <f t="shared" ca="1" si="20"/>
        <v>0.5300214829904637</v>
      </c>
      <c r="G700" s="3">
        <f t="shared" ca="1" si="21"/>
        <v>4.8662441937390417</v>
      </c>
      <c r="H700" s="2"/>
      <c r="I700" s="2"/>
      <c r="J700" s="2"/>
      <c r="K700" s="2"/>
    </row>
    <row r="701" spans="5:11" x14ac:dyDescent="0.25">
      <c r="E701" s="3">
        <f t="shared" ca="1" si="20"/>
        <v>0.87862617471518933</v>
      </c>
      <c r="F701" s="3">
        <f t="shared" ca="1" si="20"/>
        <v>0.58984755484418439</v>
      </c>
      <c r="G701" s="3">
        <f t="shared" ca="1" si="21"/>
        <v>6.6623593419057192</v>
      </c>
      <c r="H701" s="2"/>
      <c r="I701" s="2"/>
      <c r="J701" s="2"/>
      <c r="K701" s="2"/>
    </row>
    <row r="702" spans="5:11" x14ac:dyDescent="0.25">
      <c r="E702" s="3">
        <f t="shared" ca="1" si="20"/>
        <v>0.9159927815861636</v>
      </c>
      <c r="F702" s="3">
        <f t="shared" ca="1" si="20"/>
        <v>3.741518576590297E-2</v>
      </c>
      <c r="G702" s="3">
        <f t="shared" ca="1" si="21"/>
        <v>6.4295575959904134</v>
      </c>
      <c r="H702" s="2"/>
      <c r="I702" s="2"/>
      <c r="J702" s="2"/>
      <c r="K702" s="2"/>
    </row>
    <row r="703" spans="5:11" x14ac:dyDescent="0.25">
      <c r="E703" s="3">
        <f t="shared" ca="1" si="20"/>
        <v>2.6911502386565589E-2</v>
      </c>
      <c r="F703" s="3">
        <f t="shared" ca="1" si="20"/>
        <v>0.31822186557894261</v>
      </c>
      <c r="G703" s="3">
        <f t="shared" ca="1" si="21"/>
        <v>12.06696294139719</v>
      </c>
      <c r="H703" s="2"/>
      <c r="I703" s="2"/>
      <c r="J703" s="2"/>
      <c r="K703" s="2"/>
    </row>
    <row r="704" spans="5:11" x14ac:dyDescent="0.25">
      <c r="E704" s="3">
        <f t="shared" ca="1" si="20"/>
        <v>0.56967897473405527</v>
      </c>
      <c r="F704" s="3">
        <f t="shared" ca="1" si="20"/>
        <v>0.15538896852109052</v>
      </c>
      <c r="G704" s="3">
        <f t="shared" ca="1" si="21"/>
        <v>1.4880201962749573</v>
      </c>
      <c r="H704" s="2"/>
      <c r="I704" s="2"/>
      <c r="J704" s="2"/>
      <c r="K704" s="2"/>
    </row>
    <row r="705" spans="5:11" x14ac:dyDescent="0.25">
      <c r="E705" s="3">
        <f t="shared" ca="1" si="20"/>
        <v>0.80890861662115798</v>
      </c>
      <c r="F705" s="3">
        <f t="shared" ca="1" si="20"/>
        <v>0.5122776747785257</v>
      </c>
      <c r="G705" s="3">
        <f t="shared" ca="1" si="21"/>
        <v>5.0904937319976336</v>
      </c>
      <c r="H705" s="2"/>
      <c r="I705" s="2"/>
      <c r="J705" s="2"/>
      <c r="K705" s="2"/>
    </row>
    <row r="706" spans="5:11" x14ac:dyDescent="0.25">
      <c r="E706" s="3">
        <f t="shared" ca="1" si="20"/>
        <v>0.44271734378961214</v>
      </c>
      <c r="F706" s="3">
        <f t="shared" ca="1" si="20"/>
        <v>0.11208544489075978</v>
      </c>
      <c r="G706" s="3">
        <f t="shared" ca="1" si="21"/>
        <v>3.3690573824994634</v>
      </c>
      <c r="H706" s="2"/>
      <c r="I706" s="2"/>
      <c r="J706" s="2"/>
      <c r="K706" s="2"/>
    </row>
    <row r="707" spans="5:11" x14ac:dyDescent="0.25">
      <c r="E707" s="3">
        <f t="shared" ca="1" si="20"/>
        <v>0.58798645464016974</v>
      </c>
      <c r="F707" s="3">
        <f t="shared" ca="1" si="20"/>
        <v>0.86457990259037654</v>
      </c>
      <c r="G707" s="3">
        <f t="shared" ca="1" si="21"/>
        <v>10.039263173512825</v>
      </c>
      <c r="H707" s="2"/>
      <c r="I707" s="2"/>
      <c r="J707" s="2"/>
      <c r="K707" s="2"/>
    </row>
    <row r="708" spans="5:11" x14ac:dyDescent="0.25">
      <c r="E708" s="3">
        <f t="shared" ref="E708:F771" ca="1" si="22">RAND()</f>
        <v>0.15737492646784812</v>
      </c>
      <c r="F708" s="3">
        <f t="shared" ca="1" si="22"/>
        <v>0.80371474511336083</v>
      </c>
      <c r="G708" s="3">
        <f t="shared" ref="G708:G771" ca="1" si="23">SQRT(_xlfn.NORM.INV(E708,$C$3*COS($C$6),$C$4)^2+_xlfn.NORM.INV(F708,$C$3*SIN($C$6),$C$4)^2)</f>
        <v>11.370111401779857</v>
      </c>
      <c r="H708" s="2"/>
      <c r="I708" s="2"/>
      <c r="J708" s="2"/>
      <c r="K708" s="2"/>
    </row>
    <row r="709" spans="5:11" x14ac:dyDescent="0.25">
      <c r="E709" s="3">
        <f t="shared" ca="1" si="22"/>
        <v>0.45540914955250478</v>
      </c>
      <c r="F709" s="3">
        <f t="shared" ca="1" si="22"/>
        <v>0.43851625196182997</v>
      </c>
      <c r="G709" s="3">
        <f t="shared" ca="1" si="23"/>
        <v>4.6373530460392018</v>
      </c>
      <c r="H709" s="2"/>
      <c r="I709" s="2"/>
      <c r="J709" s="2"/>
      <c r="K709" s="2"/>
    </row>
    <row r="710" spans="5:11" x14ac:dyDescent="0.25">
      <c r="E710" s="3">
        <f t="shared" ca="1" si="22"/>
        <v>0.42281901153395562</v>
      </c>
      <c r="F710" s="3">
        <f t="shared" ca="1" si="22"/>
        <v>8.0188036120329542E-2</v>
      </c>
      <c r="G710" s="3">
        <f t="shared" ca="1" si="23"/>
        <v>4.1019770009874055</v>
      </c>
      <c r="H710" s="2"/>
      <c r="I710" s="2"/>
      <c r="J710" s="2"/>
      <c r="K710" s="2"/>
    </row>
    <row r="711" spans="5:11" x14ac:dyDescent="0.25">
      <c r="E711" s="3">
        <f t="shared" ca="1" si="22"/>
        <v>0.6352497696741165</v>
      </c>
      <c r="F711" s="3">
        <f t="shared" ca="1" si="22"/>
        <v>9.6820460536767627E-2</v>
      </c>
      <c r="G711" s="3">
        <f t="shared" ca="1" si="23"/>
        <v>2.0928807472014612</v>
      </c>
      <c r="H711" s="2"/>
      <c r="I711" s="2"/>
      <c r="J711" s="2"/>
      <c r="K711" s="2"/>
    </row>
    <row r="712" spans="5:11" x14ac:dyDescent="0.25">
      <c r="E712" s="3">
        <f t="shared" ca="1" si="22"/>
        <v>0.63716842375827853</v>
      </c>
      <c r="F712" s="3">
        <f t="shared" ca="1" si="22"/>
        <v>0.39183792984044818</v>
      </c>
      <c r="G712" s="3">
        <f t="shared" ca="1" si="23"/>
        <v>3.1352001359423256</v>
      </c>
      <c r="H712" s="2"/>
      <c r="I712" s="2"/>
      <c r="J712" s="2"/>
      <c r="K712" s="2"/>
    </row>
    <row r="713" spans="5:11" x14ac:dyDescent="0.25">
      <c r="E713" s="3">
        <f t="shared" ca="1" si="22"/>
        <v>0.7793396917471882</v>
      </c>
      <c r="F713" s="3">
        <f t="shared" ca="1" si="22"/>
        <v>0.25536079617913876</v>
      </c>
      <c r="G713" s="3">
        <f t="shared" ca="1" si="23"/>
        <v>1.9965179511886006</v>
      </c>
      <c r="H713" s="2"/>
      <c r="I713" s="2"/>
      <c r="J713" s="2"/>
      <c r="K713" s="2"/>
    </row>
    <row r="714" spans="5:11" x14ac:dyDescent="0.25">
      <c r="E714" s="3">
        <f t="shared" ca="1" si="22"/>
        <v>0.65990031511676139</v>
      </c>
      <c r="F714" s="3">
        <f t="shared" ca="1" si="22"/>
        <v>0.8800090972415292</v>
      </c>
      <c r="G714" s="3">
        <f t="shared" ca="1" si="23"/>
        <v>10.34670030151084</v>
      </c>
      <c r="H714" s="2"/>
      <c r="I714" s="2"/>
      <c r="J714" s="2"/>
      <c r="K714" s="2"/>
    </row>
    <row r="715" spans="5:11" x14ac:dyDescent="0.25">
      <c r="E715" s="3">
        <f t="shared" ca="1" si="22"/>
        <v>0.44974185193163818</v>
      </c>
      <c r="F715" s="3">
        <f t="shared" ca="1" si="22"/>
        <v>0.59895031459436276</v>
      </c>
      <c r="G715" s="3">
        <f t="shared" ca="1" si="23"/>
        <v>6.4033063059913031</v>
      </c>
      <c r="H715" s="2"/>
      <c r="I715" s="2"/>
      <c r="J715" s="2"/>
      <c r="K715" s="2"/>
    </row>
    <row r="716" spans="5:11" x14ac:dyDescent="0.25">
      <c r="E716" s="3">
        <f t="shared" ca="1" si="22"/>
        <v>0.9683462650172221</v>
      </c>
      <c r="F716" s="3">
        <f t="shared" ca="1" si="22"/>
        <v>0.51999802602692058</v>
      </c>
      <c r="G716" s="3">
        <f t="shared" ca="1" si="23"/>
        <v>8.4802076325128173</v>
      </c>
      <c r="H716" s="2"/>
      <c r="I716" s="2"/>
      <c r="J716" s="2"/>
      <c r="K716" s="2"/>
    </row>
    <row r="717" spans="5:11" x14ac:dyDescent="0.25">
      <c r="E717" s="3">
        <f t="shared" ca="1" si="22"/>
        <v>0.25723481477274679</v>
      </c>
      <c r="F717" s="3">
        <f t="shared" ca="1" si="22"/>
        <v>0.6443204388501792</v>
      </c>
      <c r="G717" s="3">
        <f t="shared" ca="1" si="23"/>
        <v>8.3780895142453247</v>
      </c>
      <c r="H717" s="2"/>
      <c r="I717" s="2"/>
      <c r="J717" s="2"/>
      <c r="K717" s="2"/>
    </row>
    <row r="718" spans="5:11" x14ac:dyDescent="0.25">
      <c r="E718" s="3">
        <f t="shared" ca="1" si="22"/>
        <v>0.7612665606299901</v>
      </c>
      <c r="F718" s="3">
        <f t="shared" ca="1" si="22"/>
        <v>0.32058167854476072</v>
      </c>
      <c r="G718" s="3">
        <f t="shared" ca="1" si="23"/>
        <v>2.5096056514712743</v>
      </c>
      <c r="H718" s="2"/>
      <c r="I718" s="2"/>
      <c r="J718" s="2"/>
      <c r="K718" s="2"/>
    </row>
    <row r="719" spans="5:11" x14ac:dyDescent="0.25">
      <c r="E719" s="3">
        <f t="shared" ca="1" si="22"/>
        <v>0.35784875730145294</v>
      </c>
      <c r="F719" s="3">
        <f t="shared" ca="1" si="22"/>
        <v>0.84004817920272168</v>
      </c>
      <c r="G719" s="3">
        <f t="shared" ca="1" si="23"/>
        <v>10.279617286160732</v>
      </c>
      <c r="H719" s="2"/>
      <c r="I719" s="2"/>
      <c r="J719" s="2"/>
      <c r="K719" s="2"/>
    </row>
    <row r="720" spans="5:11" x14ac:dyDescent="0.25">
      <c r="E720" s="3">
        <f t="shared" ca="1" si="22"/>
        <v>0.58054430042424021</v>
      </c>
      <c r="F720" s="3">
        <f t="shared" ca="1" si="22"/>
        <v>0.60749009146438238</v>
      </c>
      <c r="G720" s="3">
        <f t="shared" ca="1" si="23"/>
        <v>5.9609066837206113</v>
      </c>
      <c r="H720" s="2"/>
      <c r="I720" s="2"/>
      <c r="J720" s="2"/>
      <c r="K720" s="2"/>
    </row>
    <row r="721" spans="5:11" x14ac:dyDescent="0.25">
      <c r="E721" s="3">
        <f t="shared" ca="1" si="22"/>
        <v>0.56298898834620514</v>
      </c>
      <c r="F721" s="3">
        <f t="shared" ca="1" si="22"/>
        <v>0.81664581723375229</v>
      </c>
      <c r="G721" s="3">
        <f t="shared" ca="1" si="23"/>
        <v>9.0991545868952688</v>
      </c>
      <c r="H721" s="2"/>
      <c r="I721" s="2"/>
      <c r="J721" s="2"/>
      <c r="K721" s="2"/>
    </row>
    <row r="722" spans="5:11" x14ac:dyDescent="0.25">
      <c r="E722" s="3">
        <f t="shared" ca="1" si="22"/>
        <v>0.22100970979811141</v>
      </c>
      <c r="F722" s="3">
        <f t="shared" ca="1" si="22"/>
        <v>0.12751641210904641</v>
      </c>
      <c r="G722" s="3">
        <f t="shared" ca="1" si="23"/>
        <v>6.2056250999237363</v>
      </c>
      <c r="H722" s="2"/>
      <c r="I722" s="2"/>
      <c r="J722" s="2"/>
      <c r="K722" s="2"/>
    </row>
    <row r="723" spans="5:11" x14ac:dyDescent="0.25">
      <c r="E723" s="3">
        <f t="shared" ca="1" si="22"/>
        <v>0.15491710399507452</v>
      </c>
      <c r="F723" s="3">
        <f t="shared" ca="1" si="22"/>
        <v>5.7858683834128954E-2</v>
      </c>
      <c r="G723" s="3">
        <f t="shared" ca="1" si="23"/>
        <v>8.0673827924774404</v>
      </c>
      <c r="H723" s="2"/>
      <c r="I723" s="2"/>
      <c r="J723" s="2"/>
      <c r="K723" s="2"/>
    </row>
    <row r="724" spans="5:11" x14ac:dyDescent="0.25">
      <c r="E724" s="3">
        <f t="shared" ca="1" si="22"/>
        <v>2.5376416118773615E-2</v>
      </c>
      <c r="F724" s="3">
        <f t="shared" ca="1" si="22"/>
        <v>0.3760486070169512</v>
      </c>
      <c r="G724" s="3">
        <f t="shared" ca="1" si="23"/>
        <v>12.351200738265854</v>
      </c>
      <c r="H724" s="2"/>
      <c r="I724" s="2"/>
      <c r="J724" s="2"/>
      <c r="K724" s="2"/>
    </row>
    <row r="725" spans="5:11" x14ac:dyDescent="0.25">
      <c r="E725" s="3">
        <f t="shared" ca="1" si="22"/>
        <v>0.99833646818775501</v>
      </c>
      <c r="F725" s="3">
        <f t="shared" ca="1" si="22"/>
        <v>0.6781322422681838</v>
      </c>
      <c r="G725" s="3">
        <f t="shared" ca="1" si="23"/>
        <v>14.16751205465903</v>
      </c>
      <c r="H725" s="2"/>
      <c r="I725" s="2"/>
      <c r="J725" s="2"/>
      <c r="K725" s="2"/>
    </row>
    <row r="726" spans="5:11" x14ac:dyDescent="0.25">
      <c r="E726" s="3">
        <f t="shared" ca="1" si="22"/>
        <v>0.36965800393615944</v>
      </c>
      <c r="F726" s="3">
        <f t="shared" ca="1" si="22"/>
        <v>0.49842320443833987</v>
      </c>
      <c r="G726" s="3">
        <f t="shared" ca="1" si="23"/>
        <v>5.9200479142712341</v>
      </c>
      <c r="H726" s="2"/>
      <c r="I726" s="2"/>
      <c r="J726" s="2"/>
      <c r="K726" s="2"/>
    </row>
    <row r="727" spans="5:11" x14ac:dyDescent="0.25">
      <c r="E727" s="3">
        <f t="shared" ca="1" si="22"/>
        <v>0.1774292171244819</v>
      </c>
      <c r="F727" s="3">
        <f t="shared" ca="1" si="22"/>
        <v>0.68828147471896217</v>
      </c>
      <c r="G727" s="3">
        <f t="shared" ca="1" si="23"/>
        <v>9.7520162960191179</v>
      </c>
      <c r="H727" s="2"/>
      <c r="I727" s="2"/>
      <c r="J727" s="2"/>
      <c r="K727" s="2"/>
    </row>
    <row r="728" spans="5:11" x14ac:dyDescent="0.25">
      <c r="E728" s="3">
        <f t="shared" ca="1" si="22"/>
        <v>0.47037465320213934</v>
      </c>
      <c r="F728" s="3">
        <f t="shared" ca="1" si="22"/>
        <v>3.2805094914512667E-2</v>
      </c>
      <c r="G728" s="3">
        <f t="shared" ca="1" si="23"/>
        <v>5.4080168304987453</v>
      </c>
      <c r="H728" s="2"/>
      <c r="I728" s="2"/>
      <c r="J728" s="2"/>
      <c r="K728" s="2"/>
    </row>
    <row r="729" spans="5:11" x14ac:dyDescent="0.25">
      <c r="E729" s="3">
        <f t="shared" ca="1" si="22"/>
        <v>0.67248064662629203</v>
      </c>
      <c r="F729" s="3">
        <f t="shared" ca="1" si="22"/>
        <v>0.89192547925145971</v>
      </c>
      <c r="G729" s="3">
        <f t="shared" ca="1" si="23"/>
        <v>10.654150927922652</v>
      </c>
      <c r="H729" s="2"/>
      <c r="I729" s="2"/>
      <c r="J729" s="2"/>
      <c r="K729" s="2"/>
    </row>
    <row r="730" spans="5:11" x14ac:dyDescent="0.25">
      <c r="E730" s="3">
        <f t="shared" ca="1" si="22"/>
        <v>0.53063596841281102</v>
      </c>
      <c r="F730" s="3">
        <f t="shared" ca="1" si="22"/>
        <v>0.64415943025737865</v>
      </c>
      <c r="G730" s="3">
        <f t="shared" ca="1" si="23"/>
        <v>6.5849595363717111</v>
      </c>
      <c r="H730" s="2"/>
      <c r="I730" s="2"/>
      <c r="J730" s="2"/>
      <c r="K730" s="2"/>
    </row>
    <row r="731" spans="5:11" x14ac:dyDescent="0.25">
      <c r="E731" s="3">
        <f t="shared" ca="1" si="22"/>
        <v>0.49374994195262456</v>
      </c>
      <c r="F731" s="3">
        <f t="shared" ca="1" si="22"/>
        <v>0.5144341208159009</v>
      </c>
      <c r="G731" s="3">
        <f t="shared" ca="1" si="23"/>
        <v>5.1968757175249261</v>
      </c>
      <c r="H731" s="2"/>
      <c r="I731" s="2"/>
      <c r="J731" s="2"/>
      <c r="K731" s="2"/>
    </row>
    <row r="732" spans="5:11" x14ac:dyDescent="0.25">
      <c r="E732" s="3">
        <f t="shared" ca="1" si="22"/>
        <v>0.79971375172689441</v>
      </c>
      <c r="F732" s="3">
        <f t="shared" ca="1" si="22"/>
        <v>0.34373873665458887</v>
      </c>
      <c r="G732" s="3">
        <f t="shared" ca="1" si="23"/>
        <v>3.1458741218021711</v>
      </c>
      <c r="H732" s="2"/>
      <c r="I732" s="2"/>
      <c r="J732" s="2"/>
      <c r="K732" s="2"/>
    </row>
    <row r="733" spans="5:11" x14ac:dyDescent="0.25">
      <c r="E733" s="3">
        <f t="shared" ca="1" si="22"/>
        <v>0.58407530624464976</v>
      </c>
      <c r="F733" s="3">
        <f t="shared" ca="1" si="22"/>
        <v>2.0269107862912472E-3</v>
      </c>
      <c r="G733" s="3">
        <f t="shared" ca="1" si="23"/>
        <v>9.9696568413459232</v>
      </c>
      <c r="H733" s="2"/>
      <c r="I733" s="2"/>
      <c r="J733" s="2"/>
      <c r="K733" s="2"/>
    </row>
    <row r="734" spans="5:11" x14ac:dyDescent="0.25">
      <c r="E734" s="3">
        <f t="shared" ca="1" si="22"/>
        <v>7.5309766967570413E-2</v>
      </c>
      <c r="F734" s="3">
        <f t="shared" ca="1" si="22"/>
        <v>0.77857052673840033</v>
      </c>
      <c r="G734" s="3">
        <f t="shared" ca="1" si="23"/>
        <v>12.564795255194916</v>
      </c>
      <c r="H734" s="2"/>
      <c r="I734" s="2"/>
      <c r="J734" s="2"/>
      <c r="K734" s="2"/>
    </row>
    <row r="735" spans="5:11" x14ac:dyDescent="0.25">
      <c r="E735" s="3">
        <f t="shared" ca="1" si="22"/>
        <v>0.64758742765306121</v>
      </c>
      <c r="F735" s="3">
        <f t="shared" ca="1" si="22"/>
        <v>0.19897917159170175</v>
      </c>
      <c r="G735" s="3">
        <f t="shared" ca="1" si="23"/>
        <v>0.42340041689828661</v>
      </c>
      <c r="H735" s="2"/>
      <c r="I735" s="2"/>
      <c r="J735" s="2"/>
      <c r="K735" s="2"/>
    </row>
    <row r="736" spans="5:11" x14ac:dyDescent="0.25">
      <c r="E736" s="3">
        <f t="shared" ca="1" si="22"/>
        <v>0.41661717943221921</v>
      </c>
      <c r="F736" s="3">
        <f t="shared" ca="1" si="22"/>
        <v>8.9341334129467764E-2</v>
      </c>
      <c r="G736" s="3">
        <f t="shared" ca="1" si="23"/>
        <v>3.9907254409318829</v>
      </c>
      <c r="H736" s="2"/>
      <c r="I736" s="2"/>
      <c r="J736" s="2"/>
      <c r="K736" s="2"/>
    </row>
    <row r="737" spans="5:11" x14ac:dyDescent="0.25">
      <c r="E737" s="3">
        <f t="shared" ca="1" si="22"/>
        <v>0.86244401345020016</v>
      </c>
      <c r="F737" s="3">
        <f t="shared" ca="1" si="22"/>
        <v>0.32713352674976326</v>
      </c>
      <c r="G737" s="3">
        <f t="shared" ca="1" si="23"/>
        <v>3.9143279970801976</v>
      </c>
      <c r="H737" s="2"/>
      <c r="I737" s="2"/>
      <c r="J737" s="2"/>
      <c r="K737" s="2"/>
    </row>
    <row r="738" spans="5:11" x14ac:dyDescent="0.25">
      <c r="E738" s="3">
        <f t="shared" ca="1" si="22"/>
        <v>0.44109457319419298</v>
      </c>
      <c r="F738" s="3">
        <f t="shared" ca="1" si="22"/>
        <v>0.50967165690845828</v>
      </c>
      <c r="G738" s="3">
        <f t="shared" ca="1" si="23"/>
        <v>5.4742687984733989</v>
      </c>
      <c r="H738" s="2"/>
      <c r="I738" s="2"/>
      <c r="J738" s="2"/>
      <c r="K738" s="2"/>
    </row>
    <row r="739" spans="5:11" x14ac:dyDescent="0.25">
      <c r="E739" s="3">
        <f t="shared" ca="1" si="22"/>
        <v>0.50529993823994168</v>
      </c>
      <c r="F739" s="3">
        <f t="shared" ca="1" si="22"/>
        <v>0.70233092782414086</v>
      </c>
      <c r="G739" s="3">
        <f t="shared" ca="1" si="23"/>
        <v>7.4498120233650456</v>
      </c>
      <c r="H739" s="2"/>
      <c r="I739" s="2"/>
      <c r="J739" s="2"/>
      <c r="K739" s="2"/>
    </row>
    <row r="740" spans="5:11" x14ac:dyDescent="0.25">
      <c r="E740" s="3">
        <f t="shared" ca="1" si="22"/>
        <v>0.6336466195620778</v>
      </c>
      <c r="F740" s="3">
        <f t="shared" ca="1" si="22"/>
        <v>0.49263113396952896</v>
      </c>
      <c r="G740" s="3">
        <f t="shared" ca="1" si="23"/>
        <v>4.409919164095137</v>
      </c>
      <c r="H740" s="2"/>
      <c r="I740" s="2"/>
      <c r="J740" s="2"/>
      <c r="K740" s="2"/>
    </row>
    <row r="741" spans="5:11" x14ac:dyDescent="0.25">
      <c r="E741" s="3">
        <f t="shared" ca="1" si="22"/>
        <v>0.28926993979317428</v>
      </c>
      <c r="F741" s="3">
        <f t="shared" ca="1" si="22"/>
        <v>0.21259593571850333</v>
      </c>
      <c r="G741" s="3">
        <f t="shared" ca="1" si="23"/>
        <v>5.0411299200768811</v>
      </c>
      <c r="H741" s="2"/>
      <c r="I741" s="2"/>
      <c r="J741" s="2"/>
      <c r="K741" s="2"/>
    </row>
    <row r="742" spans="5:11" x14ac:dyDescent="0.25">
      <c r="E742" s="3">
        <f t="shared" ca="1" si="22"/>
        <v>0.7100340344854762</v>
      </c>
      <c r="F742" s="3">
        <f t="shared" ca="1" si="22"/>
        <v>0.18397731169159448</v>
      </c>
      <c r="G742" s="3">
        <f t="shared" ca="1" si="23"/>
        <v>0.52799751261878325</v>
      </c>
      <c r="H742" s="2"/>
      <c r="I742" s="2"/>
      <c r="J742" s="2"/>
      <c r="K742" s="2"/>
    </row>
    <row r="743" spans="5:11" x14ac:dyDescent="0.25">
      <c r="E743" s="3">
        <f t="shared" ca="1" si="22"/>
        <v>0.17200993363158112</v>
      </c>
      <c r="F743" s="3">
        <f t="shared" ca="1" si="22"/>
        <v>0.61572372577395684</v>
      </c>
      <c r="G743" s="3">
        <f t="shared" ca="1" si="23"/>
        <v>9.1598577041775116</v>
      </c>
      <c r="H743" s="2"/>
      <c r="I743" s="2"/>
      <c r="J743" s="2"/>
      <c r="K743" s="2"/>
    </row>
    <row r="744" spans="5:11" x14ac:dyDescent="0.25">
      <c r="E744" s="3">
        <f t="shared" ca="1" si="22"/>
        <v>0.33286605146665671</v>
      </c>
      <c r="F744" s="3">
        <f t="shared" ca="1" si="22"/>
        <v>0.29211623899093653</v>
      </c>
      <c r="G744" s="3">
        <f t="shared" ca="1" si="23"/>
        <v>4.7297227703437237</v>
      </c>
      <c r="H744" s="2"/>
      <c r="I744" s="2"/>
      <c r="J744" s="2"/>
      <c r="K744" s="2"/>
    </row>
    <row r="745" spans="5:11" x14ac:dyDescent="0.25">
      <c r="E745" s="3">
        <f t="shared" ca="1" si="22"/>
        <v>0.12511612575516229</v>
      </c>
      <c r="F745" s="3">
        <f t="shared" ca="1" si="22"/>
        <v>0.22339010332898579</v>
      </c>
      <c r="G745" s="3">
        <f t="shared" ca="1" si="23"/>
        <v>8.0170078082078717</v>
      </c>
      <c r="H745" s="2"/>
      <c r="I745" s="2"/>
      <c r="J745" s="2"/>
      <c r="K745" s="2"/>
    </row>
    <row r="746" spans="5:11" x14ac:dyDescent="0.25">
      <c r="E746" s="3">
        <f t="shared" ca="1" si="22"/>
        <v>0.99447166678885368</v>
      </c>
      <c r="F746" s="3">
        <f t="shared" ca="1" si="22"/>
        <v>4.5646654730586378E-2</v>
      </c>
      <c r="G746" s="3">
        <f t="shared" ca="1" si="23"/>
        <v>11.193024076694318</v>
      </c>
      <c r="H746" s="2"/>
      <c r="I746" s="2"/>
      <c r="J746" s="2"/>
      <c r="K746" s="2"/>
    </row>
    <row r="747" spans="5:11" x14ac:dyDescent="0.25">
      <c r="E747" s="3">
        <f t="shared" ca="1" si="22"/>
        <v>0.98612142969771877</v>
      </c>
      <c r="F747" s="3">
        <f t="shared" ca="1" si="22"/>
        <v>0.51870451005012741</v>
      </c>
      <c r="G747" s="3">
        <f t="shared" ca="1" si="23"/>
        <v>9.9461006395528457</v>
      </c>
      <c r="H747" s="2"/>
      <c r="I747" s="2"/>
      <c r="J747" s="2"/>
      <c r="K747" s="2"/>
    </row>
    <row r="748" spans="5:11" x14ac:dyDescent="0.25">
      <c r="E748" s="3">
        <f t="shared" ca="1" si="22"/>
        <v>9.0418065211871679E-2</v>
      </c>
      <c r="F748" s="3">
        <f t="shared" ca="1" si="22"/>
        <v>0.91422943574900173</v>
      </c>
      <c r="G748" s="3">
        <f t="shared" ca="1" si="23"/>
        <v>14.408366091051356</v>
      </c>
      <c r="H748" s="2"/>
      <c r="I748" s="2"/>
      <c r="J748" s="2"/>
      <c r="K748" s="2"/>
    </row>
    <row r="749" spans="5:11" x14ac:dyDescent="0.25">
      <c r="E749" s="3">
        <f t="shared" ca="1" si="22"/>
        <v>0.14190528297245419</v>
      </c>
      <c r="F749" s="3">
        <f t="shared" ca="1" si="22"/>
        <v>0.75959470935148576</v>
      </c>
      <c r="G749" s="3">
        <f t="shared" ca="1" si="23"/>
        <v>11.030412138507351</v>
      </c>
      <c r="H749" s="2"/>
      <c r="I749" s="2"/>
      <c r="J749" s="2"/>
      <c r="K749" s="2"/>
    </row>
    <row r="750" spans="5:11" x14ac:dyDescent="0.25">
      <c r="E750" s="3">
        <f t="shared" ca="1" si="22"/>
        <v>0.32549926054438361</v>
      </c>
      <c r="F750" s="3">
        <f t="shared" ca="1" si="22"/>
        <v>0.45162862947069315</v>
      </c>
      <c r="G750" s="3">
        <f t="shared" ca="1" si="23"/>
        <v>5.9318757347664892</v>
      </c>
      <c r="H750" s="2"/>
      <c r="I750" s="2"/>
      <c r="J750" s="2"/>
      <c r="K750" s="2"/>
    </row>
    <row r="751" spans="5:11" x14ac:dyDescent="0.25">
      <c r="E751" s="3">
        <f t="shared" ca="1" si="22"/>
        <v>0.93646685358574489</v>
      </c>
      <c r="F751" s="3">
        <f t="shared" ca="1" si="22"/>
        <v>0.26216788856461337</v>
      </c>
      <c r="G751" s="3">
        <f t="shared" ca="1" si="23"/>
        <v>5.5399701480407533</v>
      </c>
      <c r="H751" s="2"/>
      <c r="I751" s="2"/>
      <c r="J751" s="2"/>
      <c r="K751" s="2"/>
    </row>
    <row r="752" spans="5:11" x14ac:dyDescent="0.25">
      <c r="E752" s="3">
        <f t="shared" ca="1" si="22"/>
        <v>0.28785779312075277</v>
      </c>
      <c r="F752" s="3">
        <f t="shared" ca="1" si="22"/>
        <v>0.18088800140961159</v>
      </c>
      <c r="G752" s="3">
        <f t="shared" ca="1" si="23"/>
        <v>5.0394399736176387</v>
      </c>
      <c r="H752" s="2"/>
      <c r="I752" s="2"/>
      <c r="J752" s="2"/>
      <c r="K752" s="2"/>
    </row>
    <row r="753" spans="5:11" x14ac:dyDescent="0.25">
      <c r="E753" s="3">
        <f t="shared" ca="1" si="22"/>
        <v>9.1066747959089533E-2</v>
      </c>
      <c r="F753" s="3">
        <f t="shared" ca="1" si="22"/>
        <v>0.58268643261951081</v>
      </c>
      <c r="G753" s="3">
        <f t="shared" ca="1" si="23"/>
        <v>10.479322368804127</v>
      </c>
      <c r="H753" s="2"/>
      <c r="I753" s="2"/>
      <c r="J753" s="2"/>
      <c r="K753" s="2"/>
    </row>
    <row r="754" spans="5:11" x14ac:dyDescent="0.25">
      <c r="E754" s="3">
        <f t="shared" ca="1" si="22"/>
        <v>0.45658398508723408</v>
      </c>
      <c r="F754" s="3">
        <f t="shared" ca="1" si="22"/>
        <v>0.42826812428627448</v>
      </c>
      <c r="G754" s="3">
        <f t="shared" ca="1" si="23"/>
        <v>4.5250696731420419</v>
      </c>
      <c r="H754" s="2"/>
      <c r="I754" s="2"/>
      <c r="J754" s="2"/>
      <c r="K754" s="2"/>
    </row>
    <row r="755" spans="5:11" x14ac:dyDescent="0.25">
      <c r="E755" s="3">
        <f t="shared" ca="1" si="22"/>
        <v>0.63896990241425866</v>
      </c>
      <c r="F755" s="3">
        <f t="shared" ca="1" si="22"/>
        <v>9.3575381660758961E-2</v>
      </c>
      <c r="G755" s="3">
        <f t="shared" ca="1" si="23"/>
        <v>2.1748915681354348</v>
      </c>
      <c r="H755" s="2"/>
      <c r="I755" s="2"/>
      <c r="J755" s="2"/>
      <c r="K755" s="2"/>
    </row>
    <row r="756" spans="5:11" x14ac:dyDescent="0.25">
      <c r="E756" s="3">
        <f t="shared" ca="1" si="22"/>
        <v>0.47392783094845792</v>
      </c>
      <c r="F756" s="3">
        <f t="shared" ca="1" si="22"/>
        <v>5.0292027670632011E-3</v>
      </c>
      <c r="G756" s="3">
        <f t="shared" ca="1" si="23"/>
        <v>8.7827166055627526</v>
      </c>
      <c r="H756" s="2"/>
      <c r="I756" s="2"/>
      <c r="J756" s="2"/>
      <c r="K756" s="2"/>
    </row>
    <row r="757" spans="5:11" x14ac:dyDescent="0.25">
      <c r="E757" s="3">
        <f t="shared" ca="1" si="22"/>
        <v>0.45421498240801883</v>
      </c>
      <c r="F757" s="3">
        <f t="shared" ca="1" si="22"/>
        <v>0.98050984121743967</v>
      </c>
      <c r="G757" s="3">
        <f t="shared" ca="1" si="23"/>
        <v>15.057516671183434</v>
      </c>
      <c r="H757" s="2"/>
      <c r="I757" s="2"/>
      <c r="J757" s="2"/>
      <c r="K757" s="2"/>
    </row>
    <row r="758" spans="5:11" x14ac:dyDescent="0.25">
      <c r="E758" s="3">
        <f t="shared" ca="1" si="22"/>
        <v>0.34971923880599998</v>
      </c>
      <c r="F758" s="3">
        <f t="shared" ca="1" si="22"/>
        <v>0.85386954823016636</v>
      </c>
      <c r="G758" s="3">
        <f t="shared" ca="1" si="23"/>
        <v>10.591608038515314</v>
      </c>
      <c r="H758" s="2"/>
      <c r="I758" s="2"/>
      <c r="J758" s="2"/>
      <c r="K758" s="2"/>
    </row>
    <row r="759" spans="5:11" x14ac:dyDescent="0.25">
      <c r="E759" s="3">
        <f t="shared" ca="1" si="22"/>
        <v>0.2312666062993719</v>
      </c>
      <c r="F759" s="3">
        <f t="shared" ca="1" si="22"/>
        <v>0.60185671274865793</v>
      </c>
      <c r="G759" s="3">
        <f t="shared" ca="1" si="23"/>
        <v>8.2558559835459082</v>
      </c>
      <c r="H759" s="2"/>
      <c r="I759" s="2"/>
      <c r="J759" s="2"/>
      <c r="K759" s="2"/>
    </row>
    <row r="760" spans="5:11" x14ac:dyDescent="0.25">
      <c r="E760" s="3">
        <f t="shared" ca="1" si="22"/>
        <v>0.39915584448815966</v>
      </c>
      <c r="F760" s="3">
        <f t="shared" ca="1" si="22"/>
        <v>0.88948604286943644</v>
      </c>
      <c r="G760" s="3">
        <f t="shared" ca="1" si="23"/>
        <v>11.158093451358436</v>
      </c>
      <c r="H760" s="2"/>
      <c r="I760" s="2"/>
      <c r="J760" s="2"/>
      <c r="K760" s="2"/>
    </row>
    <row r="761" spans="5:11" x14ac:dyDescent="0.25">
      <c r="E761" s="3">
        <f t="shared" ca="1" si="22"/>
        <v>0.49448464362247457</v>
      </c>
      <c r="F761" s="3">
        <f t="shared" ca="1" si="22"/>
        <v>0.46398474206843299</v>
      </c>
      <c r="G761" s="3">
        <f t="shared" ca="1" si="23"/>
        <v>4.6344323981956181</v>
      </c>
      <c r="H761" s="2"/>
      <c r="I761" s="2"/>
      <c r="J761" s="2"/>
      <c r="K761" s="2"/>
    </row>
    <row r="762" spans="5:11" x14ac:dyDescent="0.25">
      <c r="E762" s="3">
        <f t="shared" ca="1" si="22"/>
        <v>0.94230730697292286</v>
      </c>
      <c r="F762" s="3">
        <f t="shared" ca="1" si="22"/>
        <v>0.88430966597248395</v>
      </c>
      <c r="G762" s="3">
        <f t="shared" ca="1" si="23"/>
        <v>11.874528292450357</v>
      </c>
      <c r="H762" s="2"/>
      <c r="I762" s="2"/>
      <c r="J762" s="2"/>
      <c r="K762" s="2"/>
    </row>
    <row r="763" spans="5:11" x14ac:dyDescent="0.25">
      <c r="E763" s="3">
        <f t="shared" ca="1" si="22"/>
        <v>0.39890585401347411</v>
      </c>
      <c r="F763" s="3">
        <f t="shared" ca="1" si="22"/>
        <v>0.68849688629712058</v>
      </c>
      <c r="G763" s="3">
        <f t="shared" ca="1" si="23"/>
        <v>7.7714791464972146</v>
      </c>
      <c r="H763" s="2"/>
      <c r="I763" s="2"/>
      <c r="J763" s="2"/>
      <c r="K763" s="2"/>
    </row>
    <row r="764" spans="5:11" x14ac:dyDescent="0.25">
      <c r="E764" s="3">
        <f t="shared" ca="1" si="22"/>
        <v>0.42607349826249319</v>
      </c>
      <c r="F764" s="3">
        <f t="shared" ca="1" si="22"/>
        <v>0.39433429446547974</v>
      </c>
      <c r="G764" s="3">
        <f t="shared" ca="1" si="23"/>
        <v>4.4563238064420263</v>
      </c>
      <c r="H764" s="2"/>
      <c r="I764" s="2"/>
      <c r="J764" s="2"/>
      <c r="K764" s="2"/>
    </row>
    <row r="765" spans="5:11" x14ac:dyDescent="0.25">
      <c r="E765" s="3">
        <f t="shared" ca="1" si="22"/>
        <v>0.74889510542737747</v>
      </c>
      <c r="F765" s="3">
        <f t="shared" ca="1" si="22"/>
        <v>0.24284405304623813</v>
      </c>
      <c r="G765" s="3">
        <f t="shared" ca="1" si="23"/>
        <v>1.4869364553504782</v>
      </c>
      <c r="H765" s="2"/>
      <c r="I765" s="2"/>
      <c r="J765" s="2"/>
      <c r="K765" s="2"/>
    </row>
    <row r="766" spans="5:11" x14ac:dyDescent="0.25">
      <c r="E766" s="3">
        <f t="shared" ca="1" si="22"/>
        <v>0.27738257672003319</v>
      </c>
      <c r="F766" s="3">
        <f t="shared" ca="1" si="22"/>
        <v>0.51866060654703172</v>
      </c>
      <c r="G766" s="3">
        <f t="shared" ca="1" si="23"/>
        <v>7.0071373696720096</v>
      </c>
      <c r="H766" s="2"/>
      <c r="I766" s="2"/>
      <c r="J766" s="2"/>
      <c r="K766" s="2"/>
    </row>
    <row r="767" spans="5:11" x14ac:dyDescent="0.25">
      <c r="E767" s="3">
        <f t="shared" ca="1" si="22"/>
        <v>0.22047591745906536</v>
      </c>
      <c r="F767" s="3">
        <f t="shared" ca="1" si="22"/>
        <v>0.40305255518044569</v>
      </c>
      <c r="G767" s="3">
        <f t="shared" ca="1" si="23"/>
        <v>6.9024295175833101</v>
      </c>
      <c r="H767" s="2"/>
      <c r="I767" s="2"/>
      <c r="J767" s="2"/>
      <c r="K767" s="2"/>
    </row>
    <row r="768" spans="5:11" x14ac:dyDescent="0.25">
      <c r="E768" s="3">
        <f t="shared" ca="1" si="22"/>
        <v>9.2149022648296386E-2</v>
      </c>
      <c r="F768" s="3">
        <f t="shared" ca="1" si="22"/>
        <v>4.0924292365003168E-2</v>
      </c>
      <c r="G768" s="3">
        <f t="shared" ca="1" si="23"/>
        <v>9.834849372200706</v>
      </c>
      <c r="H768" s="2"/>
      <c r="I768" s="2"/>
      <c r="J768" s="2"/>
      <c r="K768" s="2"/>
    </row>
    <row r="769" spans="5:11" x14ac:dyDescent="0.25">
      <c r="E769" s="3">
        <f t="shared" ca="1" si="22"/>
        <v>0.37681746772691671</v>
      </c>
      <c r="F769" s="3">
        <f t="shared" ca="1" si="22"/>
        <v>0.78100049500396784</v>
      </c>
      <c r="G769" s="3">
        <f t="shared" ca="1" si="23"/>
        <v>9.1760593478298986</v>
      </c>
      <c r="H769" s="2"/>
      <c r="I769" s="2"/>
      <c r="J769" s="2"/>
      <c r="K769" s="2"/>
    </row>
    <row r="770" spans="5:11" x14ac:dyDescent="0.25">
      <c r="E770" s="3">
        <f t="shared" ca="1" si="22"/>
        <v>0.31865887445351759</v>
      </c>
      <c r="F770" s="3">
        <f t="shared" ca="1" si="22"/>
        <v>0.25525239233793495</v>
      </c>
      <c r="G770" s="3">
        <f t="shared" ca="1" si="23"/>
        <v>4.7465722151126819</v>
      </c>
      <c r="H770" s="2"/>
      <c r="I770" s="2"/>
      <c r="J770" s="2"/>
      <c r="K770" s="2"/>
    </row>
    <row r="771" spans="5:11" x14ac:dyDescent="0.25">
      <c r="E771" s="3">
        <f t="shared" ca="1" si="22"/>
        <v>0.48575139928337496</v>
      </c>
      <c r="F771" s="3">
        <f t="shared" ca="1" si="22"/>
        <v>0.94586078778171245</v>
      </c>
      <c r="G771" s="3">
        <f t="shared" ca="1" si="23"/>
        <v>12.731791191018822</v>
      </c>
      <c r="H771" s="2"/>
      <c r="I771" s="2"/>
      <c r="J771" s="2"/>
      <c r="K771" s="2"/>
    </row>
    <row r="772" spans="5:11" x14ac:dyDescent="0.25">
      <c r="E772" s="3">
        <f t="shared" ref="E772:F835" ca="1" si="24">RAND()</f>
        <v>0.75363884276594251</v>
      </c>
      <c r="F772" s="3">
        <f t="shared" ca="1" si="24"/>
        <v>0.67340855709937952</v>
      </c>
      <c r="G772" s="3">
        <f t="shared" ref="G772:G835" ca="1" si="25">SQRT(_xlfn.NORM.INV(E772,$C$3*COS($C$6),$C$4)^2+_xlfn.NORM.INV(F772,$C$3*SIN($C$6),$C$4)^2)</f>
        <v>6.8212325219634522</v>
      </c>
      <c r="H772" s="2"/>
      <c r="I772" s="2"/>
      <c r="J772" s="2"/>
      <c r="K772" s="2"/>
    </row>
    <row r="773" spans="5:11" x14ac:dyDescent="0.25">
      <c r="E773" s="3">
        <f t="shared" ca="1" si="24"/>
        <v>0.54712388539125756</v>
      </c>
      <c r="F773" s="3">
        <f t="shared" ca="1" si="24"/>
        <v>0.62454119693270838</v>
      </c>
      <c r="G773" s="3">
        <f t="shared" ca="1" si="25"/>
        <v>6.2774192087384941</v>
      </c>
      <c r="H773" s="2"/>
      <c r="I773" s="2"/>
      <c r="J773" s="2"/>
      <c r="K773" s="2"/>
    </row>
    <row r="774" spans="5:11" x14ac:dyDescent="0.25">
      <c r="E774" s="3">
        <f t="shared" ca="1" si="24"/>
        <v>0.82276805670706155</v>
      </c>
      <c r="F774" s="3">
        <f t="shared" ca="1" si="24"/>
        <v>7.4769240589448449E-3</v>
      </c>
      <c r="G774" s="3">
        <f t="shared" ca="1" si="25"/>
        <v>8.0598315175639126</v>
      </c>
      <c r="H774" s="2"/>
      <c r="I774" s="2"/>
      <c r="J774" s="2"/>
      <c r="K774" s="2"/>
    </row>
    <row r="775" spans="5:11" x14ac:dyDescent="0.25">
      <c r="E775" s="3">
        <f t="shared" ca="1" si="24"/>
        <v>0.50113962995504024</v>
      </c>
      <c r="F775" s="3">
        <f t="shared" ca="1" si="24"/>
        <v>2.0364336977136799E-2</v>
      </c>
      <c r="G775" s="3">
        <f t="shared" ca="1" si="25"/>
        <v>6.1765255476246796</v>
      </c>
      <c r="H775" s="2"/>
      <c r="I775" s="2"/>
      <c r="J775" s="2"/>
      <c r="K775" s="2"/>
    </row>
    <row r="776" spans="5:11" x14ac:dyDescent="0.25">
      <c r="E776" s="3">
        <f t="shared" ca="1" si="24"/>
        <v>0.44381123464177474</v>
      </c>
      <c r="F776" s="3">
        <f t="shared" ca="1" si="24"/>
        <v>0.27992209976141036</v>
      </c>
      <c r="G776" s="3">
        <f t="shared" ca="1" si="25"/>
        <v>3.3318555646267272</v>
      </c>
      <c r="H776" s="2"/>
      <c r="I776" s="2"/>
      <c r="J776" s="2"/>
      <c r="K776" s="2"/>
    </row>
    <row r="777" spans="5:11" x14ac:dyDescent="0.25">
      <c r="E777" s="3">
        <f t="shared" ca="1" si="24"/>
        <v>0.76885261098628821</v>
      </c>
      <c r="F777" s="3">
        <f t="shared" ca="1" si="24"/>
        <v>0.12946838343968259</v>
      </c>
      <c r="G777" s="3">
        <f t="shared" ca="1" si="25"/>
        <v>1.8544007876341595</v>
      </c>
      <c r="H777" s="2"/>
      <c r="I777" s="2"/>
      <c r="J777" s="2"/>
      <c r="K777" s="2"/>
    </row>
    <row r="778" spans="5:11" x14ac:dyDescent="0.25">
      <c r="E778" s="3">
        <f t="shared" ca="1" si="24"/>
        <v>0.48616394791216466</v>
      </c>
      <c r="F778" s="3">
        <f t="shared" ca="1" si="24"/>
        <v>0.44589641918761613</v>
      </c>
      <c r="G778" s="3">
        <f t="shared" ca="1" si="25"/>
        <v>4.4932280861094895</v>
      </c>
      <c r="H778" s="2"/>
      <c r="I778" s="2"/>
      <c r="J778" s="2"/>
      <c r="K778" s="2"/>
    </row>
    <row r="779" spans="5:11" x14ac:dyDescent="0.25">
      <c r="E779" s="3">
        <f t="shared" ca="1" si="24"/>
        <v>0.15239162632041137</v>
      </c>
      <c r="F779" s="3">
        <f t="shared" ca="1" si="24"/>
        <v>0.80762387101615618</v>
      </c>
      <c r="G779" s="3">
        <f t="shared" ca="1" si="25"/>
        <v>11.49167049256496</v>
      </c>
      <c r="H779" s="2"/>
      <c r="I779" s="2"/>
      <c r="J779" s="2"/>
      <c r="K779" s="2"/>
    </row>
    <row r="780" spans="5:11" x14ac:dyDescent="0.25">
      <c r="E780" s="3">
        <f t="shared" ca="1" si="24"/>
        <v>0.16217180565482348</v>
      </c>
      <c r="F780" s="3">
        <f t="shared" ca="1" si="24"/>
        <v>0.14753201651430836</v>
      </c>
      <c r="G780" s="3">
        <f t="shared" ca="1" si="25"/>
        <v>7.2089716093840694</v>
      </c>
      <c r="H780" s="2"/>
      <c r="I780" s="2"/>
      <c r="J780" s="2"/>
      <c r="K780" s="2"/>
    </row>
    <row r="781" spans="5:11" x14ac:dyDescent="0.25">
      <c r="E781" s="3">
        <f t="shared" ca="1" si="24"/>
        <v>0.20794300090186446</v>
      </c>
      <c r="F781" s="3">
        <f t="shared" ca="1" si="24"/>
        <v>0.78664026331561576</v>
      </c>
      <c r="G781" s="3">
        <f t="shared" ca="1" si="25"/>
        <v>10.540235402519659</v>
      </c>
      <c r="H781" s="2"/>
      <c r="I781" s="2"/>
      <c r="J781" s="2"/>
      <c r="K781" s="2"/>
    </row>
    <row r="782" spans="5:11" x14ac:dyDescent="0.25">
      <c r="E782" s="3">
        <f t="shared" ca="1" si="24"/>
        <v>0.23681914385810443</v>
      </c>
      <c r="F782" s="3">
        <f t="shared" ca="1" si="24"/>
        <v>0.2590350653461001</v>
      </c>
      <c r="G782" s="3">
        <f t="shared" ca="1" si="25"/>
        <v>5.953447266266461</v>
      </c>
      <c r="H782" s="2"/>
      <c r="I782" s="2"/>
      <c r="J782" s="2"/>
      <c r="K782" s="2"/>
    </row>
    <row r="783" spans="5:11" x14ac:dyDescent="0.25">
      <c r="E783" s="3">
        <f t="shared" ca="1" si="24"/>
        <v>0.29118503185476041</v>
      </c>
      <c r="F783" s="3">
        <f t="shared" ca="1" si="24"/>
        <v>0.94110793068518495</v>
      </c>
      <c r="G783" s="3">
        <f t="shared" ca="1" si="25"/>
        <v>13.265039496961164</v>
      </c>
      <c r="H783" s="2"/>
      <c r="I783" s="2"/>
      <c r="J783" s="2"/>
      <c r="K783" s="2"/>
    </row>
    <row r="784" spans="5:11" x14ac:dyDescent="0.25">
      <c r="E784" s="3">
        <f t="shared" ca="1" si="24"/>
        <v>2.4377146577005071E-2</v>
      </c>
      <c r="F784" s="3">
        <f t="shared" ca="1" si="24"/>
        <v>0.84542160488389284</v>
      </c>
      <c r="G784" s="3">
        <f t="shared" ca="1" si="25"/>
        <v>15.413072550057676</v>
      </c>
      <c r="H784" s="2"/>
      <c r="I784" s="2"/>
      <c r="J784" s="2"/>
      <c r="K784" s="2"/>
    </row>
    <row r="785" spans="5:11" x14ac:dyDescent="0.25">
      <c r="E785" s="3">
        <f t="shared" ca="1" si="24"/>
        <v>0.56040228200831044</v>
      </c>
      <c r="F785" s="3">
        <f t="shared" ca="1" si="24"/>
        <v>6.0014143691712096E-2</v>
      </c>
      <c r="G785" s="3">
        <f t="shared" ca="1" si="25"/>
        <v>3.6198592466672572</v>
      </c>
      <c r="H785" s="2"/>
      <c r="I785" s="2"/>
      <c r="J785" s="2"/>
      <c r="K785" s="2"/>
    </row>
    <row r="786" spans="5:11" x14ac:dyDescent="0.25">
      <c r="E786" s="3">
        <f t="shared" ca="1" si="24"/>
        <v>0.6507784682915102</v>
      </c>
      <c r="F786" s="3">
        <f t="shared" ca="1" si="24"/>
        <v>0.19510018409265528</v>
      </c>
      <c r="G786" s="3">
        <f t="shared" ca="1" si="25"/>
        <v>0.34948332275917687</v>
      </c>
      <c r="H786" s="2"/>
      <c r="I786" s="2"/>
      <c r="J786" s="2"/>
      <c r="K786" s="2"/>
    </row>
    <row r="787" spans="5:11" x14ac:dyDescent="0.25">
      <c r="E787" s="3">
        <f t="shared" ca="1" si="24"/>
        <v>0.96173339505393263</v>
      </c>
      <c r="F787" s="3">
        <f t="shared" ca="1" si="24"/>
        <v>0.95829939782155205</v>
      </c>
      <c r="G787" s="3">
        <f t="shared" ca="1" si="25"/>
        <v>14.699207390418268</v>
      </c>
      <c r="H787" s="2"/>
      <c r="I787" s="2"/>
      <c r="J787" s="2"/>
      <c r="K787" s="2"/>
    </row>
    <row r="788" spans="5:11" x14ac:dyDescent="0.25">
      <c r="E788" s="3">
        <f t="shared" ca="1" si="24"/>
        <v>1.2064013789260031E-2</v>
      </c>
      <c r="F788" s="3">
        <f t="shared" ca="1" si="24"/>
        <v>0.70723958979144108</v>
      </c>
      <c r="G788" s="3">
        <f t="shared" ca="1" si="25"/>
        <v>15.31237158546393</v>
      </c>
      <c r="H788" s="2"/>
      <c r="I788" s="2"/>
      <c r="J788" s="2"/>
      <c r="K788" s="2"/>
    </row>
    <row r="789" spans="5:11" x14ac:dyDescent="0.25">
      <c r="E789" s="3">
        <f t="shared" ca="1" si="24"/>
        <v>5.1528964638354879E-2</v>
      </c>
      <c r="F789" s="3">
        <f t="shared" ca="1" si="24"/>
        <v>0.33173712280464762</v>
      </c>
      <c r="G789" s="3">
        <f t="shared" ca="1" si="25"/>
        <v>10.641679044462567</v>
      </c>
      <c r="H789" s="2"/>
      <c r="I789" s="2"/>
      <c r="J789" s="2"/>
      <c r="K789" s="2"/>
    </row>
    <row r="790" spans="5:11" x14ac:dyDescent="0.25">
      <c r="E790" s="3">
        <f t="shared" ca="1" si="24"/>
        <v>0.8766298246318236</v>
      </c>
      <c r="F790" s="3">
        <f t="shared" ca="1" si="24"/>
        <v>0.89893520911418412</v>
      </c>
      <c r="G790" s="3">
        <f t="shared" ca="1" si="25"/>
        <v>11.413999505974807</v>
      </c>
      <c r="H790" s="2"/>
      <c r="I790" s="2"/>
      <c r="J790" s="2"/>
      <c r="K790" s="2"/>
    </row>
    <row r="791" spans="5:11" x14ac:dyDescent="0.25">
      <c r="E791" s="3">
        <f t="shared" ca="1" si="24"/>
        <v>0.25733001890983942</v>
      </c>
      <c r="F791" s="3">
        <f t="shared" ca="1" si="24"/>
        <v>0.8288933869532854</v>
      </c>
      <c r="G791" s="3">
        <f t="shared" ca="1" si="25"/>
        <v>10.734139804047137</v>
      </c>
      <c r="H791" s="2"/>
      <c r="I791" s="2"/>
      <c r="J791" s="2"/>
      <c r="K791" s="2"/>
    </row>
    <row r="792" spans="5:11" x14ac:dyDescent="0.25">
      <c r="E792" s="3">
        <f t="shared" ca="1" si="24"/>
        <v>0.87295171924594617</v>
      </c>
      <c r="F792" s="3">
        <f t="shared" ca="1" si="24"/>
        <v>0.7800974595057325</v>
      </c>
      <c r="G792" s="3">
        <f t="shared" ca="1" si="25"/>
        <v>9.0231349237741405</v>
      </c>
      <c r="H792" s="2"/>
      <c r="I792" s="2"/>
      <c r="J792" s="2"/>
      <c r="K792" s="2"/>
    </row>
    <row r="793" spans="5:11" x14ac:dyDescent="0.25">
      <c r="E793" s="3">
        <f t="shared" ca="1" si="24"/>
        <v>0.50357016182955128</v>
      </c>
      <c r="F793" s="3">
        <f t="shared" ca="1" si="24"/>
        <v>7.7525791352426765E-2</v>
      </c>
      <c r="G793" s="3">
        <f t="shared" ca="1" si="25"/>
        <v>3.4333862758247671</v>
      </c>
      <c r="H793" s="2"/>
      <c r="I793" s="2"/>
      <c r="J793" s="2"/>
      <c r="K793" s="2"/>
    </row>
    <row r="794" spans="5:11" x14ac:dyDescent="0.25">
      <c r="E794" s="3">
        <f t="shared" ca="1" si="24"/>
        <v>0.10636533854942543</v>
      </c>
      <c r="F794" s="3">
        <f t="shared" ca="1" si="24"/>
        <v>0.85842051106267336</v>
      </c>
      <c r="G794" s="3">
        <f t="shared" ca="1" si="25"/>
        <v>12.981001426108218</v>
      </c>
      <c r="H794" s="2"/>
      <c r="I794" s="2"/>
      <c r="J794" s="2"/>
      <c r="K794" s="2"/>
    </row>
    <row r="795" spans="5:11" x14ac:dyDescent="0.25">
      <c r="E795" s="3">
        <f t="shared" ca="1" si="24"/>
        <v>0.70327903774516953</v>
      </c>
      <c r="F795" s="3">
        <f t="shared" ca="1" si="24"/>
        <v>0.85466291953096052</v>
      </c>
      <c r="G795" s="3">
        <f t="shared" ca="1" si="25"/>
        <v>9.7626287884128935</v>
      </c>
      <c r="H795" s="2"/>
      <c r="I795" s="2"/>
      <c r="J795" s="2"/>
      <c r="K795" s="2"/>
    </row>
    <row r="796" spans="5:11" x14ac:dyDescent="0.25">
      <c r="E796" s="3">
        <f t="shared" ca="1" si="24"/>
        <v>0.87816563970250361</v>
      </c>
      <c r="F796" s="3">
        <f t="shared" ca="1" si="24"/>
        <v>0.71520836532483101</v>
      </c>
      <c r="G796" s="3">
        <f t="shared" ca="1" si="25"/>
        <v>8.1464804219597102</v>
      </c>
      <c r="H796" s="2"/>
      <c r="I796" s="2"/>
      <c r="J796" s="2"/>
      <c r="K796" s="2"/>
    </row>
    <row r="797" spans="5:11" x14ac:dyDescent="0.25">
      <c r="E797" s="3">
        <f t="shared" ca="1" si="24"/>
        <v>0.4936760556928339</v>
      </c>
      <c r="F797" s="3">
        <f t="shared" ca="1" si="24"/>
        <v>0.17553494084213384</v>
      </c>
      <c r="G797" s="3">
        <f t="shared" ca="1" si="25"/>
        <v>2.3276121468363198</v>
      </c>
      <c r="H797" s="2"/>
      <c r="I797" s="2"/>
      <c r="J797" s="2"/>
      <c r="K797" s="2"/>
    </row>
    <row r="798" spans="5:11" x14ac:dyDescent="0.25">
      <c r="E798" s="3">
        <f t="shared" ca="1" si="24"/>
        <v>0.27322178213647463</v>
      </c>
      <c r="F798" s="3">
        <f t="shared" ca="1" si="24"/>
        <v>0.88193585278889663</v>
      </c>
      <c r="G798" s="3">
        <f t="shared" ca="1" si="25"/>
        <v>11.646912933857136</v>
      </c>
      <c r="H798" s="2"/>
      <c r="I798" s="2"/>
      <c r="J798" s="2"/>
      <c r="K798" s="2"/>
    </row>
    <row r="799" spans="5:11" x14ac:dyDescent="0.25">
      <c r="E799" s="3">
        <f t="shared" ca="1" si="24"/>
        <v>0.26956405012463203</v>
      </c>
      <c r="F799" s="3">
        <f t="shared" ca="1" si="24"/>
        <v>0.41107063646792452</v>
      </c>
      <c r="G799" s="3">
        <f t="shared" ca="1" si="25"/>
        <v>6.277172889164885</v>
      </c>
      <c r="H799" s="2"/>
      <c r="I799" s="2"/>
      <c r="J799" s="2"/>
      <c r="K799" s="2"/>
    </row>
    <row r="800" spans="5:11" x14ac:dyDescent="0.25">
      <c r="E800" s="3">
        <f t="shared" ca="1" si="24"/>
        <v>0.52769170085936312</v>
      </c>
      <c r="F800" s="3">
        <f t="shared" ca="1" si="24"/>
        <v>0.38709139679917748</v>
      </c>
      <c r="G800" s="3">
        <f t="shared" ca="1" si="25"/>
        <v>3.5773538516431342</v>
      </c>
      <c r="H800" s="2"/>
      <c r="I800" s="2"/>
      <c r="J800" s="2"/>
      <c r="K800" s="2"/>
    </row>
    <row r="801" spans="5:11" x14ac:dyDescent="0.25">
      <c r="E801" s="3">
        <f t="shared" ca="1" si="24"/>
        <v>0.6403283572473919</v>
      </c>
      <c r="F801" s="3">
        <f t="shared" ca="1" si="24"/>
        <v>0.42963569219802256</v>
      </c>
      <c r="G801" s="3">
        <f t="shared" ca="1" si="25"/>
        <v>3.6108374001959715</v>
      </c>
      <c r="H801" s="2"/>
      <c r="I801" s="2"/>
      <c r="J801" s="2"/>
      <c r="K801" s="2"/>
    </row>
    <row r="802" spans="5:11" x14ac:dyDescent="0.25">
      <c r="E802" s="3">
        <f t="shared" ca="1" si="24"/>
        <v>0.25159728021761329</v>
      </c>
      <c r="F802" s="3">
        <f t="shared" ca="1" si="24"/>
        <v>0.3389542620822581</v>
      </c>
      <c r="G802" s="3">
        <f t="shared" ca="1" si="25"/>
        <v>6.0787339230988549</v>
      </c>
      <c r="H802" s="2"/>
      <c r="I802" s="2"/>
      <c r="J802" s="2"/>
      <c r="K802" s="2"/>
    </row>
    <row r="803" spans="5:11" x14ac:dyDescent="0.25">
      <c r="E803" s="3">
        <f t="shared" ca="1" si="24"/>
        <v>7.0911301139130467E-3</v>
      </c>
      <c r="F803" s="3">
        <f t="shared" ca="1" si="24"/>
        <v>8.5814710263191873E-2</v>
      </c>
      <c r="G803" s="3">
        <f t="shared" ca="1" si="25"/>
        <v>14.694987147016215</v>
      </c>
      <c r="H803" s="2"/>
      <c r="I803" s="2"/>
      <c r="J803" s="2"/>
      <c r="K803" s="2"/>
    </row>
    <row r="804" spans="5:11" x14ac:dyDescent="0.25">
      <c r="E804" s="3">
        <f t="shared" ca="1" si="24"/>
        <v>0.61995859946503939</v>
      </c>
      <c r="F804" s="3">
        <f t="shared" ca="1" si="24"/>
        <v>0.89405974433899726</v>
      </c>
      <c r="G804" s="3">
        <f t="shared" ca="1" si="25"/>
        <v>10.735775668181757</v>
      </c>
      <c r="H804" s="2"/>
      <c r="I804" s="2"/>
      <c r="J804" s="2"/>
      <c r="K804" s="2"/>
    </row>
    <row r="805" spans="5:11" x14ac:dyDescent="0.25">
      <c r="E805" s="3">
        <f t="shared" ca="1" si="24"/>
        <v>0.1775200487190447</v>
      </c>
      <c r="F805" s="3">
        <f t="shared" ca="1" si="24"/>
        <v>0.16511816322913642</v>
      </c>
      <c r="G805" s="3">
        <f t="shared" ca="1" si="25"/>
        <v>6.8761949221784837</v>
      </c>
      <c r="H805" s="2"/>
      <c r="I805" s="2"/>
      <c r="J805" s="2"/>
      <c r="K805" s="2"/>
    </row>
    <row r="806" spans="5:11" x14ac:dyDescent="0.25">
      <c r="E806" s="3">
        <f t="shared" ca="1" si="24"/>
        <v>0.37320793727398793</v>
      </c>
      <c r="F806" s="3">
        <f t="shared" ca="1" si="24"/>
        <v>0.71589020824387661</v>
      </c>
      <c r="G806" s="3">
        <f t="shared" ca="1" si="25"/>
        <v>8.2770591258646924</v>
      </c>
      <c r="H806" s="2"/>
      <c r="I806" s="2"/>
      <c r="J806" s="2"/>
      <c r="K806" s="2"/>
    </row>
    <row r="807" spans="5:11" x14ac:dyDescent="0.25">
      <c r="E807" s="3">
        <f t="shared" ca="1" si="24"/>
        <v>0.71821751264533162</v>
      </c>
      <c r="F807" s="3">
        <f t="shared" ca="1" si="24"/>
        <v>1.4860439155315319E-2</v>
      </c>
      <c r="G807" s="3">
        <f t="shared" ca="1" si="25"/>
        <v>6.4316353732876026</v>
      </c>
      <c r="H807" s="2"/>
      <c r="I807" s="2"/>
      <c r="J807" s="2"/>
      <c r="K807" s="2"/>
    </row>
    <row r="808" spans="5:11" x14ac:dyDescent="0.25">
      <c r="E808" s="3">
        <f t="shared" ca="1" si="24"/>
        <v>0.82659709537495951</v>
      </c>
      <c r="F808" s="3">
        <f t="shared" ca="1" si="24"/>
        <v>0.73693579386451713</v>
      </c>
      <c r="G808" s="3">
        <f t="shared" ca="1" si="25"/>
        <v>8.0270374933947934</v>
      </c>
      <c r="H808" s="2"/>
      <c r="I808" s="2"/>
      <c r="J808" s="2"/>
      <c r="K808" s="2"/>
    </row>
    <row r="809" spans="5:11" x14ac:dyDescent="0.25">
      <c r="E809" s="3">
        <f t="shared" ca="1" si="24"/>
        <v>0.25257235102927267</v>
      </c>
      <c r="F809" s="3">
        <f t="shared" ca="1" si="24"/>
        <v>0.86422487413070237</v>
      </c>
      <c r="G809" s="3">
        <f t="shared" ca="1" si="25"/>
        <v>11.419408841545355</v>
      </c>
      <c r="H809" s="2"/>
      <c r="I809" s="2"/>
      <c r="J809" s="2"/>
      <c r="K809" s="2"/>
    </row>
    <row r="810" spans="5:11" x14ac:dyDescent="0.25">
      <c r="E810" s="3">
        <f t="shared" ca="1" si="24"/>
        <v>0.84903448747284083</v>
      </c>
      <c r="F810" s="3">
        <f t="shared" ca="1" si="24"/>
        <v>0.83937836844838776</v>
      </c>
      <c r="G810" s="3">
        <f t="shared" ca="1" si="25"/>
        <v>9.8716154711056809</v>
      </c>
      <c r="H810" s="2"/>
      <c r="I810" s="2"/>
      <c r="J810" s="2"/>
      <c r="K810" s="2"/>
    </row>
    <row r="811" spans="5:11" x14ac:dyDescent="0.25">
      <c r="E811" s="3">
        <f t="shared" ca="1" si="24"/>
        <v>0.65598130992699755</v>
      </c>
      <c r="F811" s="3">
        <f t="shared" ca="1" si="24"/>
        <v>7.7823711040347465E-2</v>
      </c>
      <c r="G811" s="3">
        <f t="shared" ca="1" si="25"/>
        <v>2.6396173183603522</v>
      </c>
      <c r="H811" s="2"/>
      <c r="I811" s="2"/>
      <c r="J811" s="2"/>
      <c r="K811" s="2"/>
    </row>
    <row r="812" spans="5:11" x14ac:dyDescent="0.25">
      <c r="E812" s="3">
        <f t="shared" ca="1" si="24"/>
        <v>7.1012299435854409E-2</v>
      </c>
      <c r="F812" s="3">
        <f t="shared" ca="1" si="24"/>
        <v>0.86219541577081138</v>
      </c>
      <c r="G812" s="3">
        <f t="shared" ca="1" si="25"/>
        <v>13.792789139803594</v>
      </c>
      <c r="H812" s="2"/>
      <c r="I812" s="2"/>
      <c r="J812" s="2"/>
      <c r="K812" s="2"/>
    </row>
    <row r="813" spans="5:11" x14ac:dyDescent="0.25">
      <c r="E813" s="3">
        <f t="shared" ca="1" si="24"/>
        <v>0.9872414586820053</v>
      </c>
      <c r="F813" s="3">
        <f t="shared" ca="1" si="24"/>
        <v>0.28264805002674676</v>
      </c>
      <c r="G813" s="3">
        <f t="shared" ca="1" si="25"/>
        <v>9.0684226333390257</v>
      </c>
      <c r="H813" s="2"/>
      <c r="I813" s="2"/>
      <c r="J813" s="2"/>
      <c r="K813" s="2"/>
    </row>
    <row r="814" spans="5:11" x14ac:dyDescent="0.25">
      <c r="E814" s="3">
        <f t="shared" ca="1" si="24"/>
        <v>0.43354919713256068</v>
      </c>
      <c r="F814" s="3">
        <f t="shared" ca="1" si="24"/>
        <v>0.42272211817902217</v>
      </c>
      <c r="G814" s="3">
        <f t="shared" ca="1" si="25"/>
        <v>4.6567916022677114</v>
      </c>
      <c r="H814" s="2"/>
      <c r="I814" s="2"/>
      <c r="J814" s="2"/>
      <c r="K814" s="2"/>
    </row>
    <row r="815" spans="5:11" x14ac:dyDescent="0.25">
      <c r="E815" s="3">
        <f t="shared" ca="1" si="24"/>
        <v>0.8198633092120039</v>
      </c>
      <c r="F815" s="3">
        <f t="shared" ca="1" si="24"/>
        <v>0.42633684642675329</v>
      </c>
      <c r="G815" s="3">
        <f t="shared" ca="1" si="25"/>
        <v>4.2413075190130769</v>
      </c>
      <c r="H815" s="2"/>
      <c r="I815" s="2"/>
      <c r="J815" s="2"/>
      <c r="K815" s="2"/>
    </row>
    <row r="816" spans="5:11" x14ac:dyDescent="0.25">
      <c r="E816" s="3">
        <f t="shared" ca="1" si="24"/>
        <v>0.10760003970793375</v>
      </c>
      <c r="F816" s="3">
        <f t="shared" ca="1" si="24"/>
        <v>0.61813591269702484</v>
      </c>
      <c r="G816" s="3">
        <f t="shared" ca="1" si="25"/>
        <v>10.33752496945942</v>
      </c>
      <c r="H816" s="2"/>
      <c r="I816" s="2"/>
      <c r="J816" s="2"/>
      <c r="K816" s="2"/>
    </row>
    <row r="817" spans="5:11" x14ac:dyDescent="0.25">
      <c r="E817" s="3">
        <f t="shared" ca="1" si="24"/>
        <v>0.62769466160769793</v>
      </c>
      <c r="F817" s="3">
        <f t="shared" ca="1" si="24"/>
        <v>0.69831597976906512</v>
      </c>
      <c r="G817" s="3">
        <f t="shared" ca="1" si="25"/>
        <v>7.0942118807130035</v>
      </c>
      <c r="H817" s="2"/>
      <c r="I817" s="2"/>
      <c r="J817" s="2"/>
      <c r="K817" s="2"/>
    </row>
    <row r="818" spans="5:11" x14ac:dyDescent="0.25">
      <c r="E818" s="3">
        <f t="shared" ca="1" si="24"/>
        <v>0.68276993897508398</v>
      </c>
      <c r="F818" s="3">
        <f t="shared" ca="1" si="24"/>
        <v>0.80834404600846965</v>
      </c>
      <c r="G818" s="3">
        <f t="shared" ca="1" si="25"/>
        <v>8.8300961985799269</v>
      </c>
      <c r="H818" s="2"/>
      <c r="I818" s="2"/>
      <c r="J818" s="2"/>
      <c r="K818" s="2"/>
    </row>
    <row r="819" spans="5:11" x14ac:dyDescent="0.25">
      <c r="E819" s="3">
        <f t="shared" ca="1" si="24"/>
        <v>0.34255565074927885</v>
      </c>
      <c r="F819" s="3">
        <f t="shared" ca="1" si="24"/>
        <v>0.42175094179981076</v>
      </c>
      <c r="G819" s="3">
        <f t="shared" ca="1" si="25"/>
        <v>5.5086507737161199</v>
      </c>
      <c r="H819" s="2"/>
      <c r="I819" s="2"/>
      <c r="J819" s="2"/>
      <c r="K819" s="2"/>
    </row>
    <row r="820" spans="5:11" x14ac:dyDescent="0.25">
      <c r="E820" s="3">
        <f t="shared" ca="1" si="24"/>
        <v>0.93680582851134542</v>
      </c>
      <c r="F820" s="3">
        <f t="shared" ca="1" si="24"/>
        <v>0.15426122798275121</v>
      </c>
      <c r="G820" s="3">
        <f t="shared" ca="1" si="25"/>
        <v>5.4377848085138147</v>
      </c>
      <c r="H820" s="2"/>
      <c r="I820" s="2"/>
      <c r="J820" s="2"/>
      <c r="K820" s="2"/>
    </row>
    <row r="821" spans="5:11" x14ac:dyDescent="0.25">
      <c r="E821" s="3">
        <f t="shared" ca="1" si="24"/>
        <v>0.33629960186364061</v>
      </c>
      <c r="F821" s="3">
        <f t="shared" ca="1" si="24"/>
        <v>0.52139106717319983</v>
      </c>
      <c r="G821" s="3">
        <f t="shared" ca="1" si="25"/>
        <v>6.4344167889080328</v>
      </c>
      <c r="H821" s="2"/>
      <c r="I821" s="2"/>
      <c r="J821" s="2"/>
      <c r="K821" s="2"/>
    </row>
    <row r="822" spans="5:11" x14ac:dyDescent="0.25">
      <c r="E822" s="3">
        <f t="shared" ca="1" si="24"/>
        <v>0.79634131998562419</v>
      </c>
      <c r="F822" s="3">
        <f t="shared" ca="1" si="24"/>
        <v>0.36710998747985424</v>
      </c>
      <c r="G822" s="3">
        <f t="shared" ca="1" si="25"/>
        <v>3.362534807041897</v>
      </c>
      <c r="H822" s="2"/>
      <c r="I822" s="2"/>
      <c r="J822" s="2"/>
      <c r="K822" s="2"/>
    </row>
    <row r="823" spans="5:11" x14ac:dyDescent="0.25">
      <c r="E823" s="3">
        <f t="shared" ca="1" si="24"/>
        <v>0.54618590346968066</v>
      </c>
      <c r="F823" s="3">
        <f t="shared" ca="1" si="24"/>
        <v>0.34623486411797821</v>
      </c>
      <c r="G823" s="3">
        <f t="shared" ca="1" si="25"/>
        <v>2.9947693594616394</v>
      </c>
      <c r="H823" s="2"/>
      <c r="I823" s="2"/>
      <c r="J823" s="2"/>
      <c r="K823" s="2"/>
    </row>
    <row r="824" spans="5:11" x14ac:dyDescent="0.25">
      <c r="E824" s="3">
        <f t="shared" ca="1" si="24"/>
        <v>0.59257024900539912</v>
      </c>
      <c r="F824" s="3">
        <f t="shared" ca="1" si="24"/>
        <v>0.48749240251505122</v>
      </c>
      <c r="G824" s="3">
        <f t="shared" ca="1" si="25"/>
        <v>4.4438313029856902</v>
      </c>
      <c r="H824" s="2"/>
      <c r="I824" s="2"/>
      <c r="J824" s="2"/>
      <c r="K824" s="2"/>
    </row>
    <row r="825" spans="5:11" x14ac:dyDescent="0.25">
      <c r="E825" s="3">
        <f t="shared" ca="1" si="24"/>
        <v>0.20413022324826313</v>
      </c>
      <c r="F825" s="3">
        <f t="shared" ca="1" si="24"/>
        <v>1.1155680574989502E-2</v>
      </c>
      <c r="G825" s="3">
        <f t="shared" ca="1" si="25"/>
        <v>9.4348653720929132</v>
      </c>
      <c r="H825" s="2"/>
      <c r="I825" s="2"/>
      <c r="J825" s="2"/>
      <c r="K825" s="2"/>
    </row>
    <row r="826" spans="5:11" x14ac:dyDescent="0.25">
      <c r="E826" s="3">
        <f t="shared" ca="1" si="24"/>
        <v>0.99550704515997024</v>
      </c>
      <c r="F826" s="3">
        <f t="shared" ca="1" si="24"/>
        <v>0.61864802193886914</v>
      </c>
      <c r="G826" s="3">
        <f t="shared" ca="1" si="25"/>
        <v>12.364642394894449</v>
      </c>
      <c r="H826" s="2"/>
      <c r="I826" s="2"/>
      <c r="J826" s="2"/>
      <c r="K826" s="2"/>
    </row>
    <row r="827" spans="5:11" x14ac:dyDescent="0.25">
      <c r="E827" s="3">
        <f t="shared" ca="1" si="24"/>
        <v>0.97676065761254316</v>
      </c>
      <c r="F827" s="3">
        <f t="shared" ca="1" si="24"/>
        <v>0.44594900557760109</v>
      </c>
      <c r="G827" s="3">
        <f t="shared" ca="1" si="25"/>
        <v>8.5956235115734749</v>
      </c>
      <c r="H827" s="2"/>
      <c r="I827" s="2"/>
      <c r="J827" s="2"/>
      <c r="K827" s="2"/>
    </row>
    <row r="828" spans="5:11" x14ac:dyDescent="0.25">
      <c r="E828" s="3">
        <f t="shared" ca="1" si="24"/>
        <v>0.28193623953574043</v>
      </c>
      <c r="F828" s="3">
        <f t="shared" ca="1" si="24"/>
        <v>0.2403124461460715</v>
      </c>
      <c r="G828" s="3">
        <f t="shared" ca="1" si="25"/>
        <v>5.2119728448301066</v>
      </c>
      <c r="H828" s="2"/>
      <c r="I828" s="2"/>
      <c r="J828" s="2"/>
      <c r="K828" s="2"/>
    </row>
    <row r="829" spans="5:11" x14ac:dyDescent="0.25">
      <c r="E829" s="3">
        <f t="shared" ca="1" si="24"/>
        <v>0.1094686925785967</v>
      </c>
      <c r="F829" s="3">
        <f t="shared" ca="1" si="24"/>
        <v>0.15077048599940268</v>
      </c>
      <c r="G829" s="3">
        <f t="shared" ca="1" si="25"/>
        <v>8.4159642503395773</v>
      </c>
      <c r="H829" s="2"/>
      <c r="I829" s="2"/>
      <c r="J829" s="2"/>
      <c r="K829" s="2"/>
    </row>
    <row r="830" spans="5:11" x14ac:dyDescent="0.25">
      <c r="E830" s="3">
        <f t="shared" ca="1" si="24"/>
        <v>0.96440439618461771</v>
      </c>
      <c r="F830" s="3">
        <f t="shared" ca="1" si="24"/>
        <v>0.90658538601658234</v>
      </c>
      <c r="G830" s="3">
        <f t="shared" ca="1" si="25"/>
        <v>12.981802906156972</v>
      </c>
      <c r="H830" s="2"/>
      <c r="I830" s="2"/>
      <c r="J830" s="2"/>
      <c r="K830" s="2"/>
    </row>
    <row r="831" spans="5:11" x14ac:dyDescent="0.25">
      <c r="E831" s="3">
        <f t="shared" ca="1" si="24"/>
        <v>0.60679255306708868</v>
      </c>
      <c r="F831" s="3">
        <f t="shared" ca="1" si="24"/>
        <v>0.44120485939574539</v>
      </c>
      <c r="G831" s="3">
        <f t="shared" ca="1" si="25"/>
        <v>3.8340698160297757</v>
      </c>
      <c r="H831" s="2"/>
      <c r="I831" s="2"/>
      <c r="J831" s="2"/>
      <c r="K831" s="2"/>
    </row>
    <row r="832" spans="5:11" x14ac:dyDescent="0.25">
      <c r="E832" s="3">
        <f t="shared" ca="1" si="24"/>
        <v>0.85614236058999471</v>
      </c>
      <c r="F832" s="3">
        <f t="shared" ca="1" si="24"/>
        <v>0.22129857294724475</v>
      </c>
      <c r="G832" s="3">
        <f t="shared" ca="1" si="25"/>
        <v>3.1394153010744779</v>
      </c>
      <c r="H832" s="2"/>
      <c r="I832" s="2"/>
      <c r="J832" s="2"/>
      <c r="K832" s="2"/>
    </row>
    <row r="833" spans="5:11" x14ac:dyDescent="0.25">
      <c r="E833" s="3">
        <f t="shared" ca="1" si="24"/>
        <v>0.75720706582692943</v>
      </c>
      <c r="F833" s="3">
        <f t="shared" ca="1" si="24"/>
        <v>0.78918882839245763</v>
      </c>
      <c r="G833" s="3">
        <f t="shared" ca="1" si="25"/>
        <v>8.5790513285998351</v>
      </c>
      <c r="H833" s="2"/>
      <c r="I833" s="2"/>
      <c r="J833" s="2"/>
      <c r="K833" s="2"/>
    </row>
    <row r="834" spans="5:11" x14ac:dyDescent="0.25">
      <c r="E834" s="3">
        <f t="shared" ca="1" si="24"/>
        <v>0.51591361023255866</v>
      </c>
      <c r="F834" s="3">
        <f t="shared" ca="1" si="24"/>
        <v>0.28429563806297908</v>
      </c>
      <c r="G834" s="3">
        <f t="shared" ca="1" si="25"/>
        <v>2.6052682780511773</v>
      </c>
      <c r="H834" s="2"/>
      <c r="I834" s="2"/>
      <c r="J834" s="2"/>
      <c r="K834" s="2"/>
    </row>
    <row r="835" spans="5:11" x14ac:dyDescent="0.25">
      <c r="E835" s="3">
        <f t="shared" ca="1" si="24"/>
        <v>0.64008260681918894</v>
      </c>
      <c r="F835" s="3">
        <f t="shared" ca="1" si="24"/>
        <v>0.26787309976579665</v>
      </c>
      <c r="G835" s="3">
        <f t="shared" ca="1" si="25"/>
        <v>1.4445799399876782</v>
      </c>
      <c r="H835" s="2"/>
      <c r="I835" s="2"/>
      <c r="J835" s="2"/>
      <c r="K835" s="2"/>
    </row>
    <row r="836" spans="5:11" x14ac:dyDescent="0.25">
      <c r="E836" s="3">
        <f t="shared" ref="E836:F899" ca="1" si="26">RAND()</f>
        <v>0.30905104587932619</v>
      </c>
      <c r="F836" s="3">
        <f t="shared" ca="1" si="26"/>
        <v>0.69418450087189409</v>
      </c>
      <c r="G836" s="3">
        <f t="shared" ref="G836:G899" ca="1" si="27">SQRT(_xlfn.NORM.INV(E836,$C$3*COS($C$6),$C$4)^2+_xlfn.NORM.INV(F836,$C$3*SIN($C$6),$C$4)^2)</f>
        <v>8.4571944432557089</v>
      </c>
      <c r="H836" s="2"/>
      <c r="I836" s="2"/>
      <c r="J836" s="2"/>
      <c r="K836" s="2"/>
    </row>
    <row r="837" spans="5:11" x14ac:dyDescent="0.25">
      <c r="E837" s="3">
        <f t="shared" ca="1" si="26"/>
        <v>0.23820500149403045</v>
      </c>
      <c r="F837" s="3">
        <f t="shared" ca="1" si="26"/>
        <v>0.22892104567989979</v>
      </c>
      <c r="G837" s="3">
        <f t="shared" ca="1" si="27"/>
        <v>5.8501198999007755</v>
      </c>
      <c r="H837" s="2"/>
      <c r="I837" s="2"/>
      <c r="J837" s="2"/>
      <c r="K837" s="2"/>
    </row>
    <row r="838" spans="5:11" x14ac:dyDescent="0.25">
      <c r="E838" s="3">
        <f t="shared" ca="1" si="26"/>
        <v>0.41717601744960731</v>
      </c>
      <c r="F838" s="3">
        <f t="shared" ca="1" si="26"/>
        <v>0.99691601913041006</v>
      </c>
      <c r="G838" s="3">
        <f t="shared" ca="1" si="27"/>
        <v>18.458405563791704</v>
      </c>
      <c r="H838" s="2"/>
      <c r="I838" s="2"/>
      <c r="J838" s="2"/>
      <c r="K838" s="2"/>
    </row>
    <row r="839" spans="5:11" x14ac:dyDescent="0.25">
      <c r="E839" s="3">
        <f t="shared" ca="1" si="26"/>
        <v>0.78986126558799208</v>
      </c>
      <c r="F839" s="3">
        <f t="shared" ca="1" si="26"/>
        <v>0.56623528279652202</v>
      </c>
      <c r="G839" s="3">
        <f t="shared" ca="1" si="27"/>
        <v>5.597661223131472</v>
      </c>
      <c r="H839" s="2"/>
      <c r="I839" s="2"/>
      <c r="J839" s="2"/>
      <c r="K839" s="2"/>
    </row>
    <row r="840" spans="5:11" x14ac:dyDescent="0.25">
      <c r="E840" s="3">
        <f t="shared" ca="1" si="26"/>
        <v>0.28534658075271979</v>
      </c>
      <c r="F840" s="3">
        <f t="shared" ca="1" si="26"/>
        <v>0.56981982647773288</v>
      </c>
      <c r="G840" s="3">
        <f t="shared" ca="1" si="27"/>
        <v>7.3741935902209121</v>
      </c>
      <c r="H840" s="2"/>
      <c r="I840" s="2"/>
      <c r="J840" s="2"/>
      <c r="K840" s="2"/>
    </row>
    <row r="841" spans="5:11" x14ac:dyDescent="0.25">
      <c r="E841" s="3">
        <f t="shared" ca="1" si="26"/>
        <v>0.28753432937204004</v>
      </c>
      <c r="F841" s="3">
        <f t="shared" ca="1" si="26"/>
        <v>0.87071599969155533</v>
      </c>
      <c r="G841" s="3">
        <f t="shared" ca="1" si="27"/>
        <v>11.306091454347987</v>
      </c>
      <c r="H841" s="2"/>
      <c r="I841" s="2"/>
      <c r="J841" s="2"/>
      <c r="K841" s="2"/>
    </row>
    <row r="842" spans="5:11" x14ac:dyDescent="0.25">
      <c r="E842" s="3">
        <f t="shared" ca="1" si="26"/>
        <v>6.4596176044873221E-2</v>
      </c>
      <c r="F842" s="3">
        <f t="shared" ca="1" si="26"/>
        <v>0.25628562369746588</v>
      </c>
      <c r="G842" s="3">
        <f t="shared" ca="1" si="27"/>
        <v>9.8993282623679804</v>
      </c>
      <c r="H842" s="2"/>
      <c r="I842" s="2"/>
      <c r="J842" s="2"/>
      <c r="K842" s="2"/>
    </row>
    <row r="843" spans="5:11" x14ac:dyDescent="0.25">
      <c r="E843" s="3">
        <f t="shared" ca="1" si="26"/>
        <v>0.45700999225356742</v>
      </c>
      <c r="F843" s="3">
        <f t="shared" ca="1" si="26"/>
        <v>0.26404114135142043</v>
      </c>
      <c r="G843" s="3">
        <f t="shared" ca="1" si="27"/>
        <v>3.0756489159020606</v>
      </c>
      <c r="H843" s="2"/>
      <c r="I843" s="2"/>
      <c r="J843" s="2"/>
      <c r="K843" s="2"/>
    </row>
    <row r="844" spans="5:11" x14ac:dyDescent="0.25">
      <c r="E844" s="3">
        <f t="shared" ca="1" si="26"/>
        <v>0.48099843889044702</v>
      </c>
      <c r="F844" s="3">
        <f t="shared" ca="1" si="26"/>
        <v>0.88305085913692394</v>
      </c>
      <c r="G844" s="3">
        <f t="shared" ca="1" si="27"/>
        <v>10.712554568952877</v>
      </c>
      <c r="H844" s="2"/>
      <c r="I844" s="2"/>
      <c r="J844" s="2"/>
      <c r="K844" s="2"/>
    </row>
    <row r="845" spans="5:11" x14ac:dyDescent="0.25">
      <c r="E845" s="3">
        <f t="shared" ca="1" si="26"/>
        <v>0.51317977795299341</v>
      </c>
      <c r="F845" s="3">
        <f t="shared" ca="1" si="26"/>
        <v>0.28704813920326111</v>
      </c>
      <c r="G845" s="3">
        <f t="shared" ca="1" si="27"/>
        <v>2.6573159012051319</v>
      </c>
      <c r="H845" s="2"/>
      <c r="I845" s="2"/>
      <c r="J845" s="2"/>
      <c r="K845" s="2"/>
    </row>
    <row r="846" spans="5:11" x14ac:dyDescent="0.25">
      <c r="E846" s="3">
        <f t="shared" ca="1" si="26"/>
        <v>0.78644406979621428</v>
      </c>
      <c r="F846" s="3">
        <f t="shared" ca="1" si="26"/>
        <v>0.77351051743024113</v>
      </c>
      <c r="G846" s="3">
        <f t="shared" ca="1" si="27"/>
        <v>8.4023735452118764</v>
      </c>
      <c r="H846" s="2"/>
      <c r="I846" s="2"/>
      <c r="J846" s="2"/>
      <c r="K846" s="2"/>
    </row>
    <row r="847" spans="5:11" x14ac:dyDescent="0.25">
      <c r="E847" s="3">
        <f t="shared" ca="1" si="26"/>
        <v>0.19130225918899157</v>
      </c>
      <c r="F847" s="3">
        <f t="shared" ca="1" si="26"/>
        <v>0.73329037978653289</v>
      </c>
      <c r="G847" s="3">
        <f t="shared" ca="1" si="27"/>
        <v>10.057554816558167</v>
      </c>
      <c r="H847" s="2"/>
      <c r="I847" s="2"/>
      <c r="J847" s="2"/>
      <c r="K847" s="2"/>
    </row>
    <row r="848" spans="5:11" x14ac:dyDescent="0.25">
      <c r="E848" s="3">
        <f t="shared" ca="1" si="26"/>
        <v>0.63264031949655186</v>
      </c>
      <c r="F848" s="3">
        <f t="shared" ca="1" si="26"/>
        <v>0.34031557097585563</v>
      </c>
      <c r="G848" s="3">
        <f t="shared" ca="1" si="27"/>
        <v>2.4730214377742707</v>
      </c>
      <c r="H848" s="2"/>
      <c r="I848" s="2"/>
      <c r="J848" s="2"/>
      <c r="K848" s="2"/>
    </row>
    <row r="849" spans="5:11" x14ac:dyDescent="0.25">
      <c r="E849" s="3">
        <f t="shared" ca="1" si="26"/>
        <v>0.86454611334488563</v>
      </c>
      <c r="F849" s="3">
        <f t="shared" ca="1" si="26"/>
        <v>6.5406385983121984E-2</v>
      </c>
      <c r="G849" s="3">
        <f t="shared" ca="1" si="27"/>
        <v>4.4912549713298349</v>
      </c>
      <c r="H849" s="2"/>
      <c r="I849" s="2"/>
      <c r="J849" s="2"/>
      <c r="K849" s="2"/>
    </row>
    <row r="850" spans="5:11" x14ac:dyDescent="0.25">
      <c r="E850" s="3">
        <f t="shared" ca="1" si="26"/>
        <v>7.0059507382921771E-2</v>
      </c>
      <c r="F850" s="3">
        <f t="shared" ca="1" si="26"/>
        <v>0.4039163253854775</v>
      </c>
      <c r="G850" s="3">
        <f t="shared" ca="1" si="27"/>
        <v>10.152656027079463</v>
      </c>
      <c r="H850" s="2"/>
      <c r="I850" s="2"/>
      <c r="J850" s="2"/>
      <c r="K850" s="2"/>
    </row>
    <row r="851" spans="5:11" x14ac:dyDescent="0.25">
      <c r="E851" s="3">
        <f t="shared" ca="1" si="26"/>
        <v>0.4422467865302403</v>
      </c>
      <c r="F851" s="3">
        <f t="shared" ca="1" si="26"/>
        <v>0.97275625842117575</v>
      </c>
      <c r="G851" s="3">
        <f t="shared" ca="1" si="27"/>
        <v>14.3937483026279</v>
      </c>
      <c r="H851" s="2"/>
      <c r="I851" s="2"/>
      <c r="J851" s="2"/>
      <c r="K851" s="2"/>
    </row>
    <row r="852" spans="5:11" x14ac:dyDescent="0.25">
      <c r="E852" s="3">
        <f t="shared" ca="1" si="26"/>
        <v>0.70652276770205169</v>
      </c>
      <c r="F852" s="3">
        <f t="shared" ca="1" si="26"/>
        <v>0.20540573139621621</v>
      </c>
      <c r="G852" s="3">
        <f t="shared" ca="1" si="27"/>
        <v>0.59531511083868371</v>
      </c>
      <c r="H852" s="2"/>
      <c r="I852" s="2"/>
      <c r="J852" s="2"/>
      <c r="K852" s="2"/>
    </row>
    <row r="853" spans="5:11" x14ac:dyDescent="0.25">
      <c r="E853" s="3">
        <f t="shared" ca="1" si="26"/>
        <v>0.27899997245687413</v>
      </c>
      <c r="F853" s="3">
        <f t="shared" ca="1" si="26"/>
        <v>0.34987274233780108</v>
      </c>
      <c r="G853" s="3">
        <f t="shared" ca="1" si="27"/>
        <v>5.7604847737997886</v>
      </c>
      <c r="H853" s="2"/>
      <c r="I853" s="2"/>
      <c r="J853" s="2"/>
      <c r="K853" s="2"/>
    </row>
    <row r="854" spans="5:11" x14ac:dyDescent="0.25">
      <c r="E854" s="3">
        <f t="shared" ca="1" si="26"/>
        <v>0.44385948805799924</v>
      </c>
      <c r="F854" s="3">
        <f t="shared" ca="1" si="26"/>
        <v>0.5921928003208291</v>
      </c>
      <c r="G854" s="3">
        <f t="shared" ca="1" si="27"/>
        <v>6.3596012972109595</v>
      </c>
      <c r="H854" s="2"/>
      <c r="I854" s="2"/>
      <c r="J854" s="2"/>
      <c r="K854" s="2"/>
    </row>
    <row r="855" spans="5:11" x14ac:dyDescent="0.25">
      <c r="E855" s="3">
        <f t="shared" ca="1" si="26"/>
        <v>0.13949392814265527</v>
      </c>
      <c r="F855" s="3">
        <f t="shared" ca="1" si="26"/>
        <v>0.61932115196394821</v>
      </c>
      <c r="G855" s="3">
        <f t="shared" ca="1" si="27"/>
        <v>9.717796018051974</v>
      </c>
      <c r="H855" s="2"/>
      <c r="I855" s="2"/>
      <c r="J855" s="2"/>
      <c r="K855" s="2"/>
    </row>
    <row r="856" spans="5:11" x14ac:dyDescent="0.25">
      <c r="E856" s="3">
        <f t="shared" ca="1" si="26"/>
        <v>9.6667635853959211E-2</v>
      </c>
      <c r="F856" s="3">
        <f t="shared" ca="1" si="26"/>
        <v>0.30991069662195692</v>
      </c>
      <c r="G856" s="3">
        <f t="shared" ca="1" si="27"/>
        <v>8.9677095738481416</v>
      </c>
      <c r="H856" s="2"/>
      <c r="I856" s="2"/>
      <c r="J856" s="2"/>
      <c r="K856" s="2"/>
    </row>
    <row r="857" spans="5:11" x14ac:dyDescent="0.25">
      <c r="E857" s="3">
        <f t="shared" ca="1" si="26"/>
        <v>0.39850119324480737</v>
      </c>
      <c r="F857" s="3">
        <f t="shared" ca="1" si="26"/>
        <v>9.1959487661617989E-2</v>
      </c>
      <c r="G857" s="3">
        <f t="shared" ca="1" si="27"/>
        <v>4.1427400423552339</v>
      </c>
      <c r="H857" s="2"/>
      <c r="I857" s="2"/>
      <c r="J857" s="2"/>
      <c r="K857" s="2"/>
    </row>
    <row r="858" spans="5:11" x14ac:dyDescent="0.25">
      <c r="E858" s="3">
        <f t="shared" ca="1" si="26"/>
        <v>0.65230842555160451</v>
      </c>
      <c r="F858" s="3">
        <f t="shared" ca="1" si="26"/>
        <v>6.5864711320870795E-2</v>
      </c>
      <c r="G858" s="3">
        <f t="shared" ca="1" si="27"/>
        <v>3.0795924688948846</v>
      </c>
      <c r="H858" s="2"/>
      <c r="I858" s="2"/>
      <c r="J858" s="2"/>
      <c r="K858" s="2"/>
    </row>
    <row r="859" spans="5:11" x14ac:dyDescent="0.25">
      <c r="E859" s="3">
        <f t="shared" ca="1" si="26"/>
        <v>0.97589583464752006</v>
      </c>
      <c r="F859" s="3">
        <f t="shared" ca="1" si="26"/>
        <v>0.10356989367931602</v>
      </c>
      <c r="G859" s="3">
        <f t="shared" ca="1" si="27"/>
        <v>7.8551753497406667</v>
      </c>
      <c r="H859" s="2"/>
      <c r="I859" s="2"/>
      <c r="J859" s="2"/>
      <c r="K859" s="2"/>
    </row>
    <row r="860" spans="5:11" x14ac:dyDescent="0.25">
      <c r="E860" s="3">
        <f t="shared" ca="1" si="26"/>
        <v>0.63482409353902269</v>
      </c>
      <c r="F860" s="3">
        <f t="shared" ca="1" si="26"/>
        <v>0.94866347919566241</v>
      </c>
      <c r="G860" s="3">
        <f t="shared" ca="1" si="27"/>
        <v>12.640716531557509</v>
      </c>
      <c r="H860" s="2"/>
      <c r="I860" s="2"/>
      <c r="J860" s="2"/>
      <c r="K860" s="2"/>
    </row>
    <row r="861" spans="5:11" x14ac:dyDescent="0.25">
      <c r="E861" s="3">
        <f t="shared" ca="1" si="26"/>
        <v>0.91716783018960313</v>
      </c>
      <c r="F861" s="3">
        <f t="shared" ca="1" si="26"/>
        <v>0.77674926252919718</v>
      </c>
      <c r="G861" s="3">
        <f t="shared" ca="1" si="27"/>
        <v>9.5132665691022247</v>
      </c>
      <c r="H861" s="2"/>
      <c r="I861" s="2"/>
      <c r="J861" s="2"/>
      <c r="K861" s="2"/>
    </row>
    <row r="862" spans="5:11" x14ac:dyDescent="0.25">
      <c r="E862" s="3">
        <f t="shared" ca="1" si="26"/>
        <v>0.34358320172619783</v>
      </c>
      <c r="F862" s="3">
        <f t="shared" ca="1" si="26"/>
        <v>0.53713580251723581</v>
      </c>
      <c r="G862" s="3">
        <f t="shared" ca="1" si="27"/>
        <v>6.5161708666891647</v>
      </c>
      <c r="H862" s="2"/>
      <c r="I862" s="2"/>
      <c r="J862" s="2"/>
      <c r="K862" s="2"/>
    </row>
    <row r="863" spans="5:11" x14ac:dyDescent="0.25">
      <c r="E863" s="3">
        <f t="shared" ca="1" si="26"/>
        <v>0.34578491929818111</v>
      </c>
      <c r="F863" s="3">
        <f t="shared" ca="1" si="26"/>
        <v>0.40004968535005436</v>
      </c>
      <c r="G863" s="3">
        <f t="shared" ca="1" si="27"/>
        <v>5.3016090174337895</v>
      </c>
      <c r="H863" s="2"/>
      <c r="I863" s="2"/>
      <c r="J863" s="2"/>
      <c r="K863" s="2"/>
    </row>
    <row r="864" spans="5:11" x14ac:dyDescent="0.25">
      <c r="E864" s="3">
        <f t="shared" ca="1" si="26"/>
        <v>0.95430682617065243</v>
      </c>
      <c r="F864" s="3">
        <f t="shared" ca="1" si="26"/>
        <v>0.56582664379516445</v>
      </c>
      <c r="G864" s="3">
        <f t="shared" ca="1" si="27"/>
        <v>8.156011153696868</v>
      </c>
      <c r="H864" s="2"/>
      <c r="I864" s="2"/>
      <c r="J864" s="2"/>
      <c r="K864" s="2"/>
    </row>
    <row r="865" spans="5:11" x14ac:dyDescent="0.25">
      <c r="E865" s="3">
        <f t="shared" ca="1" si="26"/>
        <v>0.30584650282516179</v>
      </c>
      <c r="F865" s="3">
        <f t="shared" ca="1" si="26"/>
        <v>0.16178378694962459</v>
      </c>
      <c r="G865" s="3">
        <f t="shared" ca="1" si="27"/>
        <v>4.8013060733532349</v>
      </c>
      <c r="H865" s="2"/>
      <c r="I865" s="2"/>
      <c r="J865" s="2"/>
      <c r="K865" s="2"/>
    </row>
    <row r="866" spans="5:11" x14ac:dyDescent="0.25">
      <c r="E866" s="3">
        <f t="shared" ca="1" si="26"/>
        <v>0.4582889113156321</v>
      </c>
      <c r="F866" s="3">
        <f t="shared" ca="1" si="26"/>
        <v>0.23340292176552813</v>
      </c>
      <c r="G866" s="3">
        <f t="shared" ca="1" si="27"/>
        <v>2.8864690007876215</v>
      </c>
      <c r="H866" s="2"/>
      <c r="I866" s="2"/>
      <c r="J866" s="2"/>
      <c r="K866" s="2"/>
    </row>
    <row r="867" spans="5:11" x14ac:dyDescent="0.25">
      <c r="E867" s="3">
        <f t="shared" ca="1" si="26"/>
        <v>0.89176363232644229</v>
      </c>
      <c r="F867" s="3">
        <f t="shared" ca="1" si="26"/>
        <v>0.54551519607366661</v>
      </c>
      <c r="G867" s="3">
        <f t="shared" ca="1" si="27"/>
        <v>6.3982562960942744</v>
      </c>
      <c r="H867" s="2"/>
      <c r="I867" s="2"/>
      <c r="J867" s="2"/>
      <c r="K867" s="2"/>
    </row>
    <row r="868" spans="5:11" x14ac:dyDescent="0.25">
      <c r="E868" s="3">
        <f t="shared" ca="1" si="26"/>
        <v>0.28818290964142046</v>
      </c>
      <c r="F868" s="3">
        <f t="shared" ca="1" si="26"/>
        <v>0.14461730929353944</v>
      </c>
      <c r="G868" s="3">
        <f t="shared" ca="1" si="27"/>
        <v>5.1016823707592982</v>
      </c>
      <c r="H868" s="2"/>
      <c r="I868" s="2"/>
      <c r="J868" s="2"/>
      <c r="K868" s="2"/>
    </row>
    <row r="869" spans="5:11" x14ac:dyDescent="0.25">
      <c r="E869" s="3">
        <f t="shared" ca="1" si="26"/>
        <v>0.83766285850071676</v>
      </c>
      <c r="F869" s="3">
        <f t="shared" ca="1" si="26"/>
        <v>0.54244702424447344</v>
      </c>
      <c r="G869" s="3">
        <f t="shared" ca="1" si="27"/>
        <v>5.6775320213462379</v>
      </c>
      <c r="H869" s="2"/>
      <c r="I869" s="2"/>
      <c r="J869" s="2"/>
      <c r="K869" s="2"/>
    </row>
    <row r="870" spans="5:11" x14ac:dyDescent="0.25">
      <c r="E870" s="3">
        <f t="shared" ca="1" si="26"/>
        <v>0.13081859249371541</v>
      </c>
      <c r="F870" s="3">
        <f t="shared" ca="1" si="26"/>
        <v>0.23439550579301482</v>
      </c>
      <c r="G870" s="3">
        <f t="shared" ca="1" si="27"/>
        <v>7.8986429673543119</v>
      </c>
      <c r="H870" s="2"/>
      <c r="I870" s="2"/>
      <c r="J870" s="2"/>
      <c r="K870" s="2"/>
    </row>
    <row r="871" spans="5:11" x14ac:dyDescent="0.25">
      <c r="E871" s="3">
        <f t="shared" ca="1" si="26"/>
        <v>0.38769705039964053</v>
      </c>
      <c r="F871" s="3">
        <f t="shared" ca="1" si="26"/>
        <v>0.27540004857959</v>
      </c>
      <c r="G871" s="3">
        <f t="shared" ca="1" si="27"/>
        <v>3.9570922457521367</v>
      </c>
      <c r="H871" s="2"/>
      <c r="I871" s="2"/>
      <c r="J871" s="2"/>
      <c r="K871" s="2"/>
    </row>
    <row r="872" spans="5:11" x14ac:dyDescent="0.25">
      <c r="E872" s="3">
        <f t="shared" ca="1" si="26"/>
        <v>0.52693604270841499</v>
      </c>
      <c r="F872" s="3">
        <f t="shared" ca="1" si="26"/>
        <v>0.15395043779076933</v>
      </c>
      <c r="G872" s="3">
        <f t="shared" ca="1" si="27"/>
        <v>2.0035490698634297</v>
      </c>
      <c r="H872" s="2"/>
      <c r="I872" s="2"/>
      <c r="J872" s="2"/>
      <c r="K872" s="2"/>
    </row>
    <row r="873" spans="5:11" x14ac:dyDescent="0.25">
      <c r="E873" s="3">
        <f t="shared" ca="1" si="26"/>
        <v>0.30372068983094169</v>
      </c>
      <c r="F873" s="3">
        <f t="shared" ca="1" si="26"/>
        <v>0.68794495930308219</v>
      </c>
      <c r="G873" s="3">
        <f t="shared" ca="1" si="27"/>
        <v>8.4270464333278898</v>
      </c>
      <c r="H873" s="2"/>
      <c r="I873" s="2"/>
      <c r="J873" s="2"/>
      <c r="K873" s="2"/>
    </row>
    <row r="874" spans="5:11" x14ac:dyDescent="0.25">
      <c r="E874" s="3">
        <f t="shared" ca="1" si="26"/>
        <v>0.37965972338168119</v>
      </c>
      <c r="F874" s="3">
        <f t="shared" ca="1" si="26"/>
        <v>6.2902127443131617E-2</v>
      </c>
      <c r="G874" s="3">
        <f t="shared" ca="1" si="27"/>
        <v>4.9365617798194537</v>
      </c>
      <c r="H874" s="2"/>
      <c r="I874" s="2"/>
      <c r="J874" s="2"/>
      <c r="K874" s="2"/>
    </row>
    <row r="875" spans="5:11" x14ac:dyDescent="0.25">
      <c r="E875" s="3">
        <f t="shared" ca="1" si="26"/>
        <v>0.90265674914341987</v>
      </c>
      <c r="F875" s="3">
        <f t="shared" ca="1" si="26"/>
        <v>0.59130211857929083</v>
      </c>
      <c r="G875" s="3">
        <f t="shared" ca="1" si="27"/>
        <v>7.045896206028063</v>
      </c>
      <c r="H875" s="2"/>
      <c r="I875" s="2"/>
      <c r="J875" s="2"/>
      <c r="K875" s="2"/>
    </row>
    <row r="876" spans="5:11" x14ac:dyDescent="0.25">
      <c r="E876" s="3">
        <f t="shared" ca="1" si="26"/>
        <v>5.8049922111291785E-2</v>
      </c>
      <c r="F876" s="3">
        <f t="shared" ca="1" si="26"/>
        <v>0.18242953003721973</v>
      </c>
      <c r="G876" s="3">
        <f t="shared" ca="1" si="27"/>
        <v>10.097333713984032</v>
      </c>
      <c r="H876" s="2"/>
      <c r="I876" s="2"/>
      <c r="J876" s="2"/>
      <c r="K876" s="2"/>
    </row>
    <row r="877" spans="5:11" x14ac:dyDescent="0.25">
      <c r="E877" s="3">
        <f t="shared" ca="1" si="26"/>
        <v>0.17828193304436557</v>
      </c>
      <c r="F877" s="3">
        <f t="shared" ca="1" si="26"/>
        <v>0.8119614160646359</v>
      </c>
      <c r="G877" s="3">
        <f t="shared" ca="1" si="27"/>
        <v>11.227499424379976</v>
      </c>
      <c r="H877" s="2"/>
      <c r="I877" s="2"/>
      <c r="J877" s="2"/>
      <c r="K877" s="2"/>
    </row>
    <row r="878" spans="5:11" x14ac:dyDescent="0.25">
      <c r="E878" s="3">
        <f t="shared" ca="1" si="26"/>
        <v>0.8058621087697756</v>
      </c>
      <c r="F878" s="3">
        <f t="shared" ca="1" si="26"/>
        <v>0.10519888787462173</v>
      </c>
      <c r="G878" s="3">
        <f t="shared" ca="1" si="27"/>
        <v>2.740711978748219</v>
      </c>
      <c r="H878" s="2"/>
      <c r="I878" s="2"/>
      <c r="J878" s="2"/>
      <c r="K878" s="2"/>
    </row>
    <row r="879" spans="5:11" x14ac:dyDescent="0.25">
      <c r="E879" s="3">
        <f t="shared" ca="1" si="26"/>
        <v>0.43589995689315941</v>
      </c>
      <c r="F879" s="3">
        <f t="shared" ca="1" si="26"/>
        <v>0.43675727903453665</v>
      </c>
      <c r="G879" s="3">
        <f t="shared" ca="1" si="27"/>
        <v>4.7732508499785782</v>
      </c>
      <c r="H879" s="2"/>
      <c r="I879" s="2"/>
      <c r="J879" s="2"/>
      <c r="K879" s="2"/>
    </row>
    <row r="880" spans="5:11" x14ac:dyDescent="0.25">
      <c r="E880" s="3">
        <f t="shared" ca="1" si="26"/>
        <v>0.52988242974216282</v>
      </c>
      <c r="F880" s="3">
        <f t="shared" ca="1" si="26"/>
        <v>0.12307403453075916</v>
      </c>
      <c r="G880" s="3">
        <f t="shared" ca="1" si="27"/>
        <v>2.2903669408376222</v>
      </c>
      <c r="H880" s="2"/>
      <c r="I880" s="2"/>
      <c r="J880" s="2"/>
      <c r="K880" s="2"/>
    </row>
    <row r="881" spans="5:11" x14ac:dyDescent="0.25">
      <c r="E881" s="3">
        <f t="shared" ca="1" si="26"/>
        <v>6.8492388535871251E-2</v>
      </c>
      <c r="F881" s="3">
        <f t="shared" ca="1" si="26"/>
        <v>0.5768850303110965</v>
      </c>
      <c r="G881" s="3">
        <f t="shared" ca="1" si="27"/>
        <v>11.100153789649289</v>
      </c>
      <c r="H881" s="2"/>
      <c r="I881" s="2"/>
      <c r="J881" s="2"/>
      <c r="K881" s="2"/>
    </row>
    <row r="882" spans="5:11" x14ac:dyDescent="0.25">
      <c r="E882" s="3">
        <f t="shared" ca="1" si="26"/>
        <v>0.96043470702320755</v>
      </c>
      <c r="F882" s="3">
        <f t="shared" ca="1" si="26"/>
        <v>0.59438997731285914</v>
      </c>
      <c r="G882" s="3">
        <f t="shared" ca="1" si="27"/>
        <v>8.6506827050571466</v>
      </c>
      <c r="H882" s="2"/>
      <c r="I882" s="2"/>
      <c r="J882" s="2"/>
      <c r="K882" s="2"/>
    </row>
    <row r="883" spans="5:11" x14ac:dyDescent="0.25">
      <c r="E883" s="3">
        <f t="shared" ca="1" si="26"/>
        <v>0.27162833597198399</v>
      </c>
      <c r="F883" s="3">
        <f t="shared" ca="1" si="26"/>
        <v>0.33873663251959907</v>
      </c>
      <c r="G883" s="3">
        <f t="shared" ca="1" si="27"/>
        <v>5.7957626698337741</v>
      </c>
      <c r="H883" s="2"/>
      <c r="I883" s="2"/>
      <c r="J883" s="2"/>
      <c r="K883" s="2"/>
    </row>
    <row r="884" spans="5:11" x14ac:dyDescent="0.25">
      <c r="E884" s="3">
        <f t="shared" ca="1" si="26"/>
        <v>0.40906853629427409</v>
      </c>
      <c r="F884" s="3">
        <f t="shared" ca="1" si="26"/>
        <v>0.59975698376565934</v>
      </c>
      <c r="G884" s="3">
        <f t="shared" ca="1" si="27"/>
        <v>6.6608175164671675</v>
      </c>
      <c r="H884" s="2"/>
      <c r="I884" s="2"/>
      <c r="J884" s="2"/>
      <c r="K884" s="2"/>
    </row>
    <row r="885" spans="5:11" x14ac:dyDescent="0.25">
      <c r="E885" s="3">
        <f t="shared" ca="1" si="26"/>
        <v>0.70217238870516385</v>
      </c>
      <c r="F885" s="3">
        <f t="shared" ca="1" si="26"/>
        <v>0.5355084522662954</v>
      </c>
      <c r="G885" s="3">
        <f t="shared" ca="1" si="27"/>
        <v>4.9329180530420933</v>
      </c>
      <c r="H885" s="2"/>
      <c r="I885" s="2"/>
      <c r="J885" s="2"/>
      <c r="K885" s="2"/>
    </row>
    <row r="886" spans="5:11" x14ac:dyDescent="0.25">
      <c r="E886" s="3">
        <f t="shared" ca="1" si="26"/>
        <v>6.2466515544006618E-2</v>
      </c>
      <c r="F886" s="3">
        <f t="shared" ca="1" si="26"/>
        <v>0.88074406373750891</v>
      </c>
      <c r="G886" s="3">
        <f t="shared" ca="1" si="27"/>
        <v>14.340767940400196</v>
      </c>
      <c r="H886" s="2"/>
      <c r="I886" s="2"/>
      <c r="J886" s="2"/>
      <c r="K886" s="2"/>
    </row>
    <row r="887" spans="5:11" x14ac:dyDescent="0.25">
      <c r="E887" s="3">
        <f t="shared" ca="1" si="26"/>
        <v>2.3567611220881357E-2</v>
      </c>
      <c r="F887" s="3">
        <f t="shared" ca="1" si="26"/>
        <v>0.98896931863752047</v>
      </c>
      <c r="G887" s="3">
        <f t="shared" ca="1" si="27"/>
        <v>20.033529015907789</v>
      </c>
      <c r="H887" s="2"/>
      <c r="I887" s="2"/>
      <c r="J887" s="2"/>
      <c r="K887" s="2"/>
    </row>
    <row r="888" spans="5:11" x14ac:dyDescent="0.25">
      <c r="E888" s="3">
        <f t="shared" ca="1" si="26"/>
        <v>0.96390588276973099</v>
      </c>
      <c r="F888" s="3">
        <f t="shared" ca="1" si="26"/>
        <v>0.37940382560990993</v>
      </c>
      <c r="G888" s="3">
        <f t="shared" ca="1" si="27"/>
        <v>7.359721426262805</v>
      </c>
      <c r="H888" s="2"/>
      <c r="I888" s="2"/>
      <c r="J888" s="2"/>
      <c r="K888" s="2"/>
    </row>
    <row r="889" spans="5:11" x14ac:dyDescent="0.25">
      <c r="E889" s="3">
        <f t="shared" ca="1" si="26"/>
        <v>0.13435710890539254</v>
      </c>
      <c r="F889" s="3">
        <f t="shared" ca="1" si="26"/>
        <v>0.63701059204807742</v>
      </c>
      <c r="G889" s="3">
        <f t="shared" ca="1" si="27"/>
        <v>9.9548408486841797</v>
      </c>
      <c r="H889" s="2"/>
      <c r="I889" s="2"/>
      <c r="J889" s="2"/>
      <c r="K889" s="2"/>
    </row>
    <row r="890" spans="5:11" x14ac:dyDescent="0.25">
      <c r="E890" s="3">
        <f t="shared" ca="1" si="26"/>
        <v>0.28649447125389715</v>
      </c>
      <c r="F890" s="3">
        <f t="shared" ca="1" si="26"/>
        <v>0.84418321801088747</v>
      </c>
      <c r="G890" s="3">
        <f t="shared" ca="1" si="27"/>
        <v>10.788485455372616</v>
      </c>
      <c r="H890" s="2"/>
      <c r="I890" s="2"/>
      <c r="J890" s="2"/>
      <c r="K890" s="2"/>
    </row>
    <row r="891" spans="5:11" x14ac:dyDescent="0.25">
      <c r="E891" s="3">
        <f t="shared" ca="1" si="26"/>
        <v>6.7578664001759936E-2</v>
      </c>
      <c r="F891" s="3">
        <f t="shared" ca="1" si="26"/>
        <v>0.54144521114021915</v>
      </c>
      <c r="G891" s="3">
        <f t="shared" ca="1" si="27"/>
        <v>10.917954764394068</v>
      </c>
      <c r="H891" s="2"/>
      <c r="I891" s="2"/>
      <c r="J891" s="2"/>
      <c r="K891" s="2"/>
    </row>
    <row r="892" spans="5:11" x14ac:dyDescent="0.25">
      <c r="E892" s="3">
        <f t="shared" ca="1" si="26"/>
        <v>0.60159324179362472</v>
      </c>
      <c r="F892" s="3">
        <f t="shared" ca="1" si="26"/>
        <v>0.38157549526327927</v>
      </c>
      <c r="G892" s="3">
        <f t="shared" ca="1" si="27"/>
        <v>3.1127312675427463</v>
      </c>
      <c r="H892" s="2"/>
      <c r="I892" s="2"/>
      <c r="J892" s="2"/>
      <c r="K892" s="2"/>
    </row>
    <row r="893" spans="5:11" x14ac:dyDescent="0.25">
      <c r="E893" s="3">
        <f t="shared" ca="1" si="26"/>
        <v>0.92670997635920727</v>
      </c>
      <c r="F893" s="3">
        <f t="shared" ca="1" si="26"/>
        <v>0.66483217952425389</v>
      </c>
      <c r="G893" s="3">
        <f t="shared" ca="1" si="27"/>
        <v>8.2898552182621881</v>
      </c>
      <c r="H893" s="2"/>
      <c r="I893" s="2"/>
      <c r="J893" s="2"/>
      <c r="K893" s="2"/>
    </row>
    <row r="894" spans="5:11" x14ac:dyDescent="0.25">
      <c r="E894" s="3">
        <f t="shared" ca="1" si="26"/>
        <v>0.65372598435644713</v>
      </c>
      <c r="F894" s="3">
        <f t="shared" ca="1" si="26"/>
        <v>0.40547071548338931</v>
      </c>
      <c r="G894" s="3">
        <f t="shared" ca="1" si="27"/>
        <v>3.2845011220614748</v>
      </c>
      <c r="H894" s="2"/>
      <c r="I894" s="2"/>
      <c r="J894" s="2"/>
      <c r="K894" s="2"/>
    </row>
    <row r="895" spans="5:11" x14ac:dyDescent="0.25">
      <c r="E895" s="3">
        <f t="shared" ca="1" si="26"/>
        <v>0.98035759902243502</v>
      </c>
      <c r="F895" s="3">
        <f t="shared" ca="1" si="26"/>
        <v>0.15694171805198875</v>
      </c>
      <c r="G895" s="3">
        <f t="shared" ca="1" si="27"/>
        <v>8.0853915758512596</v>
      </c>
      <c r="H895" s="2"/>
      <c r="I895" s="2"/>
      <c r="J895" s="2"/>
      <c r="K895" s="2"/>
    </row>
    <row r="896" spans="5:11" x14ac:dyDescent="0.25">
      <c r="E896" s="3">
        <f t="shared" ca="1" si="26"/>
        <v>0.53304268698563628</v>
      </c>
      <c r="F896" s="3">
        <f t="shared" ca="1" si="26"/>
        <v>0.43275678434762843</v>
      </c>
      <c r="G896" s="3">
        <f t="shared" ca="1" si="27"/>
        <v>4.0572007923905096</v>
      </c>
      <c r="H896" s="2"/>
      <c r="I896" s="2"/>
      <c r="J896" s="2"/>
      <c r="K896" s="2"/>
    </row>
    <row r="897" spans="5:11" x14ac:dyDescent="0.25">
      <c r="E897" s="3">
        <f t="shared" ca="1" si="26"/>
        <v>0.36263352892965284</v>
      </c>
      <c r="F897" s="3">
        <f t="shared" ca="1" si="26"/>
        <v>0.71191034129266839</v>
      </c>
      <c r="G897" s="3">
        <f t="shared" ca="1" si="27"/>
        <v>8.292055960994368</v>
      </c>
      <c r="H897" s="2"/>
      <c r="I897" s="2"/>
      <c r="J897" s="2"/>
      <c r="K897" s="2"/>
    </row>
    <row r="898" spans="5:11" x14ac:dyDescent="0.25">
      <c r="E898" s="3">
        <f t="shared" ca="1" si="26"/>
        <v>0.5774525446726273</v>
      </c>
      <c r="F898" s="3">
        <f t="shared" ca="1" si="26"/>
        <v>0.10291268801067277</v>
      </c>
      <c r="G898" s="3">
        <f t="shared" ca="1" si="27"/>
        <v>2.2449516529445153</v>
      </c>
      <c r="H898" s="2"/>
      <c r="I898" s="2"/>
      <c r="J898" s="2"/>
      <c r="K898" s="2"/>
    </row>
    <row r="899" spans="5:11" x14ac:dyDescent="0.25">
      <c r="E899" s="3">
        <f t="shared" ca="1" si="26"/>
        <v>0.16178976292362635</v>
      </c>
      <c r="F899" s="3">
        <f t="shared" ca="1" si="26"/>
        <v>0.39222480170359875</v>
      </c>
      <c r="G899" s="3">
        <f t="shared" ca="1" si="27"/>
        <v>7.8179133941523</v>
      </c>
      <c r="H899" s="2"/>
      <c r="I899" s="2"/>
      <c r="J899" s="2"/>
      <c r="K899" s="2"/>
    </row>
    <row r="900" spans="5:11" x14ac:dyDescent="0.25">
      <c r="E900" s="3">
        <f t="shared" ref="E900:F963" ca="1" si="28">RAND()</f>
        <v>0.35711223426231908</v>
      </c>
      <c r="F900" s="3">
        <f t="shared" ca="1" si="28"/>
        <v>0.91240544338430951</v>
      </c>
      <c r="G900" s="3">
        <f t="shared" ref="G900:G963" ca="1" si="29">SQRT(_xlfn.NORM.INV(E900,$C$3*COS($C$6),$C$4)^2+_xlfn.NORM.INV(F900,$C$3*SIN($C$6),$C$4)^2)</f>
        <v>11.962687709576009</v>
      </c>
      <c r="H900" s="2"/>
      <c r="I900" s="2"/>
      <c r="J900" s="2"/>
      <c r="K900" s="2"/>
    </row>
    <row r="901" spans="5:11" x14ac:dyDescent="0.25">
      <c r="E901" s="3">
        <f t="shared" ca="1" si="28"/>
        <v>0.97706772680526366</v>
      </c>
      <c r="F901" s="3">
        <f t="shared" ca="1" si="28"/>
        <v>0.63542340118906671</v>
      </c>
      <c r="G901" s="3">
        <f t="shared" ca="1" si="29"/>
        <v>9.920015323638216</v>
      </c>
      <c r="H901" s="2"/>
      <c r="I901" s="2"/>
      <c r="J901" s="2"/>
      <c r="K901" s="2"/>
    </row>
    <row r="902" spans="5:11" x14ac:dyDescent="0.25">
      <c r="E902" s="3">
        <f t="shared" ca="1" si="28"/>
        <v>0.47149132716876729</v>
      </c>
      <c r="F902" s="3">
        <f t="shared" ca="1" si="28"/>
        <v>0.63509308517241481</v>
      </c>
      <c r="G902" s="3">
        <f t="shared" ca="1" si="29"/>
        <v>6.7194062183766183</v>
      </c>
      <c r="H902" s="2"/>
      <c r="I902" s="2"/>
      <c r="J902" s="2"/>
      <c r="K902" s="2"/>
    </row>
    <row r="903" spans="5:11" x14ac:dyDescent="0.25">
      <c r="E903" s="3">
        <f t="shared" ca="1" si="28"/>
        <v>0.76513315288236472</v>
      </c>
      <c r="F903" s="3">
        <f t="shared" ca="1" si="28"/>
        <v>0.92641204387298082</v>
      </c>
      <c r="G903" s="3">
        <f t="shared" ca="1" si="29"/>
        <v>11.798182048132734</v>
      </c>
      <c r="H903" s="2"/>
      <c r="I903" s="2"/>
      <c r="J903" s="2"/>
      <c r="K903" s="2"/>
    </row>
    <row r="904" spans="5:11" x14ac:dyDescent="0.25">
      <c r="E904" s="3">
        <f t="shared" ca="1" si="28"/>
        <v>3.8913523137423356E-2</v>
      </c>
      <c r="F904" s="3">
        <f t="shared" ca="1" si="28"/>
        <v>0.27808805503810874</v>
      </c>
      <c r="G904" s="3">
        <f t="shared" ca="1" si="29"/>
        <v>11.16252944389449</v>
      </c>
      <c r="H904" s="2"/>
      <c r="I904" s="2"/>
      <c r="J904" s="2"/>
      <c r="K904" s="2"/>
    </row>
    <row r="905" spans="5:11" x14ac:dyDescent="0.25">
      <c r="E905" s="3">
        <f t="shared" ca="1" si="28"/>
        <v>0.43861053808902817</v>
      </c>
      <c r="F905" s="3">
        <f t="shared" ca="1" si="28"/>
        <v>0.80318013980405878</v>
      </c>
      <c r="G905" s="3">
        <f t="shared" ca="1" si="29"/>
        <v>9.2401395979186187</v>
      </c>
      <c r="H905" s="2"/>
      <c r="I905" s="2"/>
      <c r="J905" s="2"/>
      <c r="K905" s="2"/>
    </row>
    <row r="906" spans="5:11" x14ac:dyDescent="0.25">
      <c r="E906" s="3">
        <f t="shared" ca="1" si="28"/>
        <v>0.38136800241011959</v>
      </c>
      <c r="F906" s="3">
        <f t="shared" ca="1" si="28"/>
        <v>0.20525202382185004</v>
      </c>
      <c r="G906" s="3">
        <f t="shared" ca="1" si="29"/>
        <v>3.7665793435238606</v>
      </c>
      <c r="H906" s="2"/>
      <c r="I906" s="2"/>
      <c r="J906" s="2"/>
      <c r="K906" s="2"/>
    </row>
    <row r="907" spans="5:11" x14ac:dyDescent="0.25">
      <c r="E907" s="3">
        <f t="shared" ca="1" si="28"/>
        <v>0.88749457288778866</v>
      </c>
      <c r="F907" s="3">
        <f t="shared" ca="1" si="28"/>
        <v>0.77794301500737539</v>
      </c>
      <c r="G907" s="3">
        <f t="shared" ca="1" si="29"/>
        <v>9.1361051548914016</v>
      </c>
      <c r="H907" s="2"/>
      <c r="I907" s="2"/>
      <c r="J907" s="2"/>
      <c r="K907" s="2"/>
    </row>
    <row r="908" spans="5:11" x14ac:dyDescent="0.25">
      <c r="E908" s="3">
        <f t="shared" ca="1" si="28"/>
        <v>0.2041705005320984</v>
      </c>
      <c r="F908" s="3">
        <f t="shared" ca="1" si="28"/>
        <v>2.9336562878533812E-2</v>
      </c>
      <c r="G908" s="3">
        <f t="shared" ca="1" si="29"/>
        <v>8.0910946552377219</v>
      </c>
      <c r="H908" s="2"/>
      <c r="I908" s="2"/>
      <c r="J908" s="2"/>
      <c r="K908" s="2"/>
    </row>
    <row r="909" spans="5:11" x14ac:dyDescent="0.25">
      <c r="E909" s="3">
        <f t="shared" ca="1" si="28"/>
        <v>0.81797379240752377</v>
      </c>
      <c r="F909" s="3">
        <f t="shared" ca="1" si="28"/>
        <v>0.10148206223692879</v>
      </c>
      <c r="G909" s="3">
        <f t="shared" ca="1" si="29"/>
        <v>2.9790430193340169</v>
      </c>
      <c r="H909" s="2"/>
      <c r="I909" s="2"/>
      <c r="J909" s="2"/>
      <c r="K909" s="2"/>
    </row>
    <row r="910" spans="5:11" x14ac:dyDescent="0.25">
      <c r="E910" s="3">
        <f t="shared" ca="1" si="28"/>
        <v>0.49197130929187061</v>
      </c>
      <c r="F910" s="3">
        <f t="shared" ca="1" si="28"/>
        <v>0.19545272492109622</v>
      </c>
      <c r="G910" s="3">
        <f t="shared" ca="1" si="29"/>
        <v>2.3479172506759594</v>
      </c>
      <c r="H910" s="2"/>
      <c r="I910" s="2"/>
      <c r="J910" s="2"/>
      <c r="K910" s="2"/>
    </row>
    <row r="911" spans="5:11" x14ac:dyDescent="0.25">
      <c r="E911" s="3">
        <f t="shared" ca="1" si="28"/>
        <v>7.2097583968666945E-2</v>
      </c>
      <c r="F911" s="3">
        <f t="shared" ca="1" si="28"/>
        <v>7.2887886637375332E-2</v>
      </c>
      <c r="G911" s="3">
        <f t="shared" ca="1" si="29"/>
        <v>9.9452960136052528</v>
      </c>
      <c r="H911" s="2"/>
      <c r="I911" s="2"/>
      <c r="J911" s="2"/>
      <c r="K911" s="2"/>
    </row>
    <row r="912" spans="5:11" x14ac:dyDescent="0.25">
      <c r="E912" s="3">
        <f t="shared" ca="1" si="28"/>
        <v>0.63742312168365833</v>
      </c>
      <c r="F912" s="3">
        <f t="shared" ca="1" si="28"/>
        <v>0.66259101897939909</v>
      </c>
      <c r="G912" s="3">
        <f t="shared" ca="1" si="29"/>
        <v>6.5854053240153068</v>
      </c>
      <c r="H912" s="2"/>
      <c r="I912" s="2"/>
      <c r="J912" s="2"/>
      <c r="K912" s="2"/>
    </row>
    <row r="913" spans="5:11" x14ac:dyDescent="0.25">
      <c r="E913" s="3">
        <f t="shared" ca="1" si="28"/>
        <v>8.0390806946572191E-2</v>
      </c>
      <c r="F913" s="3">
        <f t="shared" ca="1" si="28"/>
        <v>0.38016066887099365</v>
      </c>
      <c r="G913" s="3">
        <f t="shared" ca="1" si="29"/>
        <v>9.7098876155591505</v>
      </c>
      <c r="H913" s="2"/>
      <c r="I913" s="2"/>
      <c r="J913" s="2"/>
      <c r="K913" s="2"/>
    </row>
    <row r="914" spans="5:11" x14ac:dyDescent="0.25">
      <c r="E914" s="3">
        <f t="shared" ca="1" si="28"/>
        <v>0.51633684208995856</v>
      </c>
      <c r="F914" s="3">
        <f t="shared" ca="1" si="28"/>
        <v>0.34766356533745435</v>
      </c>
      <c r="G914" s="3">
        <f t="shared" ca="1" si="29"/>
        <v>3.2330564479980684</v>
      </c>
      <c r="H914" s="2"/>
      <c r="I914" s="2"/>
      <c r="J914" s="2"/>
      <c r="K914" s="2"/>
    </row>
    <row r="915" spans="5:11" x14ac:dyDescent="0.25">
      <c r="E915" s="3">
        <f t="shared" ca="1" si="28"/>
        <v>0.72673752490316168</v>
      </c>
      <c r="F915" s="3">
        <f t="shared" ca="1" si="28"/>
        <v>0.88299207524380696</v>
      </c>
      <c r="G915" s="3">
        <f t="shared" ca="1" si="29"/>
        <v>10.449115529111058</v>
      </c>
      <c r="H915" s="2"/>
      <c r="I915" s="2"/>
      <c r="J915" s="2"/>
      <c r="K915" s="2"/>
    </row>
    <row r="916" spans="5:11" x14ac:dyDescent="0.25">
      <c r="E916" s="3">
        <f t="shared" ca="1" si="28"/>
        <v>0.58461330560446301</v>
      </c>
      <c r="F916" s="3">
        <f t="shared" ca="1" si="28"/>
        <v>0.51868385329206812</v>
      </c>
      <c r="G916" s="3">
        <f t="shared" ca="1" si="29"/>
        <v>4.8479892743107218</v>
      </c>
      <c r="H916" s="2"/>
      <c r="I916" s="2"/>
      <c r="J916" s="2"/>
      <c r="K916" s="2"/>
    </row>
    <row r="917" spans="5:11" x14ac:dyDescent="0.25">
      <c r="E917" s="3">
        <f t="shared" ca="1" si="28"/>
        <v>0.63469302269672001</v>
      </c>
      <c r="F917" s="3">
        <f t="shared" ca="1" si="28"/>
        <v>0.27639358591119989</v>
      </c>
      <c r="G917" s="3">
        <f t="shared" ca="1" si="29"/>
        <v>1.5891191643271425</v>
      </c>
      <c r="H917" s="2"/>
      <c r="I917" s="2"/>
      <c r="J917" s="2"/>
      <c r="K917" s="2"/>
    </row>
    <row r="918" spans="5:11" x14ac:dyDescent="0.25">
      <c r="E918" s="3">
        <f t="shared" ca="1" si="28"/>
        <v>0.74693912650915473</v>
      </c>
      <c r="F918" s="3">
        <f t="shared" ca="1" si="28"/>
        <v>0.67478751497167</v>
      </c>
      <c r="G918" s="3">
        <f t="shared" ca="1" si="29"/>
        <v>6.8225212667016564</v>
      </c>
      <c r="H918" s="2"/>
      <c r="I918" s="2"/>
      <c r="J918" s="2"/>
      <c r="K918" s="2"/>
    </row>
    <row r="919" spans="5:11" x14ac:dyDescent="0.25">
      <c r="E919" s="3">
        <f t="shared" ca="1" si="28"/>
        <v>0.57208536159684076</v>
      </c>
      <c r="F919" s="3">
        <f t="shared" ca="1" si="28"/>
        <v>0.71580889986152652</v>
      </c>
      <c r="G919" s="3">
        <f t="shared" ca="1" si="29"/>
        <v>7.4423193403648122</v>
      </c>
      <c r="H919" s="2"/>
      <c r="I919" s="2"/>
      <c r="J919" s="2"/>
      <c r="K919" s="2"/>
    </row>
    <row r="920" spans="5:11" x14ac:dyDescent="0.25">
      <c r="E920" s="3">
        <f t="shared" ca="1" si="28"/>
        <v>0.41560461872097554</v>
      </c>
      <c r="F920" s="3">
        <f t="shared" ca="1" si="28"/>
        <v>0.37062929653160215</v>
      </c>
      <c r="G920" s="3">
        <f t="shared" ca="1" si="29"/>
        <v>4.344822003358737</v>
      </c>
      <c r="H920" s="2"/>
      <c r="I920" s="2"/>
      <c r="J920" s="2"/>
      <c r="K920" s="2"/>
    </row>
    <row r="921" spans="5:11" x14ac:dyDescent="0.25">
      <c r="E921" s="3">
        <f t="shared" ca="1" si="28"/>
        <v>0.89617478702208664</v>
      </c>
      <c r="F921" s="3">
        <f t="shared" ca="1" si="28"/>
        <v>0.59290728622728439</v>
      </c>
      <c r="G921" s="3">
        <f t="shared" ca="1" si="29"/>
        <v>6.9534361418775337</v>
      </c>
      <c r="H921" s="2"/>
      <c r="I921" s="2"/>
      <c r="J921" s="2"/>
      <c r="K921" s="2"/>
    </row>
    <row r="922" spans="5:11" x14ac:dyDescent="0.25">
      <c r="E922" s="3">
        <f t="shared" ca="1" si="28"/>
        <v>0.70898265755636947</v>
      </c>
      <c r="F922" s="3">
        <f t="shared" ca="1" si="28"/>
        <v>0.83321934344157289</v>
      </c>
      <c r="G922" s="3">
        <f t="shared" ca="1" si="29"/>
        <v>9.3188702575136126</v>
      </c>
      <c r="H922" s="2"/>
      <c r="I922" s="2"/>
      <c r="J922" s="2"/>
      <c r="K922" s="2"/>
    </row>
    <row r="923" spans="5:11" x14ac:dyDescent="0.25">
      <c r="E923" s="3">
        <f t="shared" ca="1" si="28"/>
        <v>0.5563015465720379</v>
      </c>
      <c r="F923" s="3">
        <f t="shared" ca="1" si="28"/>
        <v>0.56452956147120248</v>
      </c>
      <c r="G923" s="3">
        <f t="shared" ca="1" si="29"/>
        <v>5.500079233099056</v>
      </c>
      <c r="H923" s="2"/>
      <c r="I923" s="2"/>
      <c r="J923" s="2"/>
      <c r="K923" s="2"/>
    </row>
    <row r="924" spans="5:11" x14ac:dyDescent="0.25">
      <c r="E924" s="3">
        <f t="shared" ca="1" si="28"/>
        <v>0.41537868954417556</v>
      </c>
      <c r="F924" s="3">
        <f t="shared" ca="1" si="28"/>
        <v>0.43579038106269208</v>
      </c>
      <c r="G924" s="3">
        <f t="shared" ca="1" si="29"/>
        <v>4.935369100313574</v>
      </c>
      <c r="H924" s="2"/>
      <c r="I924" s="2"/>
      <c r="J924" s="2"/>
      <c r="K924" s="2"/>
    </row>
    <row r="925" spans="5:11" x14ac:dyDescent="0.25">
      <c r="E925" s="3">
        <f t="shared" ca="1" si="28"/>
        <v>5.358588554525634E-2</v>
      </c>
      <c r="F925" s="3">
        <f t="shared" ca="1" si="28"/>
        <v>6.5181137391070565E-2</v>
      </c>
      <c r="G925" s="3">
        <f t="shared" ca="1" si="29"/>
        <v>10.750229156673177</v>
      </c>
      <c r="H925" s="2"/>
      <c r="I925" s="2"/>
      <c r="J925" s="2"/>
      <c r="K925" s="2"/>
    </row>
    <row r="926" spans="5:11" x14ac:dyDescent="0.25">
      <c r="E926" s="3">
        <f t="shared" ca="1" si="28"/>
        <v>0.88768395894568641</v>
      </c>
      <c r="F926" s="3">
        <f t="shared" ca="1" si="28"/>
        <v>0.4826969953000706</v>
      </c>
      <c r="G926" s="3">
        <f t="shared" ca="1" si="29"/>
        <v>5.7241727114143313</v>
      </c>
      <c r="H926" s="2"/>
      <c r="I926" s="2"/>
      <c r="J926" s="2"/>
      <c r="K926" s="2"/>
    </row>
    <row r="927" spans="5:11" x14ac:dyDescent="0.25">
      <c r="E927" s="3">
        <f t="shared" ca="1" si="28"/>
        <v>0.74383884888213836</v>
      </c>
      <c r="F927" s="3">
        <f t="shared" ca="1" si="28"/>
        <v>0.60994508560819882</v>
      </c>
      <c r="G927" s="3">
        <f t="shared" ca="1" si="29"/>
        <v>5.9566055183241806</v>
      </c>
      <c r="H927" s="2"/>
      <c r="I927" s="2"/>
      <c r="J927" s="2"/>
      <c r="K927" s="2"/>
    </row>
    <row r="928" spans="5:11" x14ac:dyDescent="0.25">
      <c r="E928" s="3">
        <f t="shared" ca="1" si="28"/>
        <v>0.52534606378337434</v>
      </c>
      <c r="F928" s="3">
        <f t="shared" ca="1" si="28"/>
        <v>0.82014005710924176</v>
      </c>
      <c r="G928" s="3">
        <f t="shared" ca="1" si="29"/>
        <v>9.2514332125661394</v>
      </c>
      <c r="H928" s="2"/>
      <c r="I928" s="2"/>
      <c r="J928" s="2"/>
      <c r="K928" s="2"/>
    </row>
    <row r="929" spans="5:11" x14ac:dyDescent="0.25">
      <c r="E929" s="3">
        <f t="shared" ca="1" si="28"/>
        <v>0.22663194138644271</v>
      </c>
      <c r="F929" s="3">
        <f t="shared" ca="1" si="28"/>
        <v>0.77660624127424516</v>
      </c>
      <c r="G929" s="3">
        <f t="shared" ca="1" si="29"/>
        <v>10.214738158879593</v>
      </c>
      <c r="H929" s="2"/>
      <c r="I929" s="2"/>
      <c r="J929" s="2"/>
      <c r="K929" s="2"/>
    </row>
    <row r="930" spans="5:11" x14ac:dyDescent="0.25">
      <c r="E930" s="3">
        <f t="shared" ca="1" si="28"/>
        <v>0.28389360100774064</v>
      </c>
      <c r="F930" s="3">
        <f t="shared" ca="1" si="28"/>
        <v>0.8992298311467688</v>
      </c>
      <c r="G930" s="3">
        <f t="shared" ca="1" si="29"/>
        <v>11.992849928088928</v>
      </c>
      <c r="H930" s="2"/>
      <c r="I930" s="2"/>
      <c r="J930" s="2"/>
      <c r="K930" s="2"/>
    </row>
    <row r="931" spans="5:11" x14ac:dyDescent="0.25">
      <c r="E931" s="3">
        <f t="shared" ca="1" si="28"/>
        <v>0.85901614371551804</v>
      </c>
      <c r="F931" s="3">
        <f t="shared" ca="1" si="28"/>
        <v>0.86270195810867778</v>
      </c>
      <c r="G931" s="3">
        <f t="shared" ca="1" si="29"/>
        <v>10.416937497505636</v>
      </c>
      <c r="H931" s="2"/>
      <c r="I931" s="2"/>
      <c r="J931" s="2"/>
      <c r="K931" s="2"/>
    </row>
    <row r="932" spans="5:11" x14ac:dyDescent="0.25">
      <c r="E932" s="3">
        <f t="shared" ca="1" si="28"/>
        <v>0.63556103487533455</v>
      </c>
      <c r="F932" s="3">
        <f t="shared" ca="1" si="28"/>
        <v>0.47059943552920469</v>
      </c>
      <c r="G932" s="3">
        <f t="shared" ca="1" si="29"/>
        <v>4.1324211983801966</v>
      </c>
      <c r="H932" s="2"/>
      <c r="I932" s="2"/>
      <c r="J932" s="2"/>
      <c r="K932" s="2"/>
    </row>
    <row r="933" spans="5:11" x14ac:dyDescent="0.25">
      <c r="E933" s="3">
        <f t="shared" ca="1" si="28"/>
        <v>0.78823946837946735</v>
      </c>
      <c r="F933" s="3">
        <f t="shared" ca="1" si="28"/>
        <v>0.88830450174443776</v>
      </c>
      <c r="G933" s="3">
        <f t="shared" ca="1" si="29"/>
        <v>10.703687294055664</v>
      </c>
      <c r="H933" s="2"/>
      <c r="I933" s="2"/>
      <c r="J933" s="2"/>
      <c r="K933" s="2"/>
    </row>
    <row r="934" spans="5:11" x14ac:dyDescent="0.25">
      <c r="E934" s="3">
        <f t="shared" ca="1" si="28"/>
        <v>0.63332707291518708</v>
      </c>
      <c r="F934" s="3">
        <f t="shared" ca="1" si="28"/>
        <v>0.69304939676163002</v>
      </c>
      <c r="G934" s="3">
        <f t="shared" ca="1" si="29"/>
        <v>7.0131340198601029</v>
      </c>
      <c r="H934" s="2"/>
      <c r="I934" s="2"/>
      <c r="J934" s="2"/>
      <c r="K934" s="2"/>
    </row>
    <row r="935" spans="5:11" x14ac:dyDescent="0.25">
      <c r="E935" s="3">
        <f t="shared" ca="1" si="28"/>
        <v>0.17309136233796907</v>
      </c>
      <c r="F935" s="3">
        <f t="shared" ca="1" si="28"/>
        <v>0.98240084236360858</v>
      </c>
      <c r="G935" s="3">
        <f t="shared" ca="1" si="29"/>
        <v>16.532358814164432</v>
      </c>
      <c r="H935" s="2"/>
      <c r="I935" s="2"/>
      <c r="J935" s="2"/>
      <c r="K935" s="2"/>
    </row>
    <row r="936" spans="5:11" x14ac:dyDescent="0.25">
      <c r="E936" s="3">
        <f t="shared" ca="1" si="28"/>
        <v>0.30915706014213629</v>
      </c>
      <c r="F936" s="3">
        <f t="shared" ca="1" si="28"/>
        <v>0.74440348083201313</v>
      </c>
      <c r="G936" s="3">
        <f t="shared" ca="1" si="29"/>
        <v>9.0843873005140878</v>
      </c>
      <c r="H936" s="2"/>
      <c r="I936" s="2"/>
      <c r="J936" s="2"/>
      <c r="K936" s="2"/>
    </row>
    <row r="937" spans="5:11" x14ac:dyDescent="0.25">
      <c r="E937" s="3">
        <f t="shared" ca="1" si="28"/>
        <v>0.38407346498264006</v>
      </c>
      <c r="F937" s="3">
        <f t="shared" ca="1" si="28"/>
        <v>0.75142041939604343</v>
      </c>
      <c r="G937" s="3">
        <f t="shared" ca="1" si="29"/>
        <v>8.6978064034155338</v>
      </c>
      <c r="H937" s="2"/>
      <c r="I937" s="2"/>
      <c r="J937" s="2"/>
      <c r="K937" s="2"/>
    </row>
    <row r="938" spans="5:11" x14ac:dyDescent="0.25">
      <c r="E938" s="3">
        <f t="shared" ca="1" si="28"/>
        <v>0.57709071060662898</v>
      </c>
      <c r="F938" s="3">
        <f t="shared" ca="1" si="28"/>
        <v>0.68388592327279352</v>
      </c>
      <c r="G938" s="3">
        <f t="shared" ca="1" si="29"/>
        <v>6.9791193636418205</v>
      </c>
      <c r="H938" s="2"/>
      <c r="I938" s="2"/>
      <c r="J938" s="2"/>
      <c r="K938" s="2"/>
    </row>
    <row r="939" spans="5:11" x14ac:dyDescent="0.25">
      <c r="E939" s="3">
        <f t="shared" ca="1" si="28"/>
        <v>0.97382952531046607</v>
      </c>
      <c r="F939" s="3">
        <f t="shared" ca="1" si="28"/>
        <v>0.62786208219587103</v>
      </c>
      <c r="G939" s="3">
        <f t="shared" ca="1" si="29"/>
        <v>9.6380324559576529</v>
      </c>
      <c r="H939" s="2"/>
      <c r="I939" s="2"/>
      <c r="J939" s="2"/>
      <c r="K939" s="2"/>
    </row>
    <row r="940" spans="5:11" x14ac:dyDescent="0.25">
      <c r="E940" s="3">
        <f t="shared" ca="1" si="28"/>
        <v>6.2258886681911818E-3</v>
      </c>
      <c r="F940" s="3">
        <f t="shared" ca="1" si="28"/>
        <v>0.764122720924994</v>
      </c>
      <c r="G940" s="3">
        <f t="shared" ca="1" si="29"/>
        <v>16.799903274316097</v>
      </c>
      <c r="H940" s="2"/>
      <c r="I940" s="2"/>
      <c r="J940" s="2"/>
      <c r="K940" s="2"/>
    </row>
    <row r="941" spans="5:11" x14ac:dyDescent="0.25">
      <c r="E941" s="3">
        <f t="shared" ca="1" si="28"/>
        <v>0.66811139255234042</v>
      </c>
      <c r="F941" s="3">
        <f t="shared" ca="1" si="28"/>
        <v>0.63846435094639054</v>
      </c>
      <c r="G941" s="3">
        <f t="shared" ca="1" si="29"/>
        <v>6.2421266495814249</v>
      </c>
      <c r="H941" s="2"/>
      <c r="I941" s="2"/>
      <c r="J941" s="2"/>
      <c r="K941" s="2"/>
    </row>
    <row r="942" spans="5:11" x14ac:dyDescent="0.25">
      <c r="E942" s="3">
        <f t="shared" ca="1" si="28"/>
        <v>0.16489044303809053</v>
      </c>
      <c r="F942" s="3">
        <f t="shared" ca="1" si="28"/>
        <v>0.16402803711885894</v>
      </c>
      <c r="G942" s="3">
        <f t="shared" ca="1" si="29"/>
        <v>7.125545328477001</v>
      </c>
      <c r="H942" s="2"/>
      <c r="I942" s="2"/>
      <c r="J942" s="2"/>
      <c r="K942" s="2"/>
    </row>
    <row r="943" spans="5:11" x14ac:dyDescent="0.25">
      <c r="E943" s="3">
        <f t="shared" ca="1" si="28"/>
        <v>0.11999801014953404</v>
      </c>
      <c r="F943" s="3">
        <f t="shared" ca="1" si="28"/>
        <v>0.56017474142242918</v>
      </c>
      <c r="G943" s="3">
        <f t="shared" ca="1" si="29"/>
        <v>9.6530269876736412</v>
      </c>
      <c r="H943" s="2"/>
      <c r="I943" s="2"/>
      <c r="J943" s="2"/>
      <c r="K943" s="2"/>
    </row>
    <row r="944" spans="5:11" x14ac:dyDescent="0.25">
      <c r="E944" s="3">
        <f t="shared" ca="1" si="28"/>
        <v>0.78835567359286618</v>
      </c>
      <c r="F944" s="3">
        <f t="shared" ca="1" si="28"/>
        <v>0.24787147191975101</v>
      </c>
      <c r="G944" s="3">
        <f t="shared" ca="1" si="29"/>
        <v>2.0594099060633289</v>
      </c>
      <c r="H944" s="2"/>
      <c r="I944" s="2"/>
      <c r="J944" s="2"/>
      <c r="K944" s="2"/>
    </row>
    <row r="945" spans="5:11" x14ac:dyDescent="0.25">
      <c r="E945" s="3">
        <f t="shared" ca="1" si="28"/>
        <v>1.9595972975588127E-2</v>
      </c>
      <c r="F945" s="3">
        <f t="shared" ca="1" si="28"/>
        <v>0.76283540238295833</v>
      </c>
      <c r="G945" s="3">
        <f t="shared" ca="1" si="29"/>
        <v>14.909418524854864</v>
      </c>
      <c r="H945" s="2"/>
      <c r="I945" s="2"/>
      <c r="J945" s="2"/>
      <c r="K945" s="2"/>
    </row>
    <row r="946" spans="5:11" x14ac:dyDescent="0.25">
      <c r="E946" s="3">
        <f t="shared" ca="1" si="28"/>
        <v>0.52095660955859413</v>
      </c>
      <c r="F946" s="3">
        <f t="shared" ca="1" si="28"/>
        <v>0.17981396670116823</v>
      </c>
      <c r="G946" s="3">
        <f t="shared" ca="1" si="29"/>
        <v>1.9806735193119647</v>
      </c>
      <c r="H946" s="2"/>
      <c r="I946" s="2"/>
      <c r="J946" s="2"/>
      <c r="K946" s="2"/>
    </row>
    <row r="947" spans="5:11" x14ac:dyDescent="0.25">
      <c r="E947" s="3">
        <f t="shared" ca="1" si="28"/>
        <v>0.58140568747389965</v>
      </c>
      <c r="F947" s="3">
        <f t="shared" ca="1" si="28"/>
        <v>0.78275636473377974</v>
      </c>
      <c r="G947" s="3">
        <f t="shared" ca="1" si="29"/>
        <v>8.4650108204432595</v>
      </c>
      <c r="H947" s="2"/>
      <c r="I947" s="2"/>
      <c r="J947" s="2"/>
      <c r="K947" s="2"/>
    </row>
    <row r="948" spans="5:11" x14ac:dyDescent="0.25">
      <c r="E948" s="3">
        <f t="shared" ca="1" si="28"/>
        <v>0.68990818617488903</v>
      </c>
      <c r="F948" s="3">
        <f t="shared" ca="1" si="28"/>
        <v>0.98044079317172217</v>
      </c>
      <c r="G948" s="3">
        <f t="shared" ca="1" si="29"/>
        <v>14.786587663124536</v>
      </c>
      <c r="H948" s="2"/>
      <c r="I948" s="2"/>
      <c r="J948" s="2"/>
      <c r="K948" s="2"/>
    </row>
    <row r="949" spans="5:11" x14ac:dyDescent="0.25">
      <c r="E949" s="3">
        <f t="shared" ca="1" si="28"/>
        <v>0.72009266050118581</v>
      </c>
      <c r="F949" s="3">
        <f t="shared" ca="1" si="28"/>
        <v>3.0200486578935259E-2</v>
      </c>
      <c r="G949" s="3">
        <f t="shared" ca="1" si="29"/>
        <v>4.9654162136658497</v>
      </c>
      <c r="H949" s="2"/>
      <c r="I949" s="2"/>
      <c r="J949" s="2"/>
      <c r="K949" s="2"/>
    </row>
    <row r="950" spans="5:11" x14ac:dyDescent="0.25">
      <c r="E950" s="3">
        <f t="shared" ca="1" si="28"/>
        <v>0.13666288301924445</v>
      </c>
      <c r="F950" s="3">
        <f t="shared" ca="1" si="28"/>
        <v>0.47946905821324137</v>
      </c>
      <c r="G950" s="3">
        <f t="shared" ca="1" si="29"/>
        <v>8.7923904255261078</v>
      </c>
      <c r="H950" s="2"/>
      <c r="I950" s="2"/>
      <c r="J950" s="2"/>
      <c r="K950" s="2"/>
    </row>
    <row r="951" spans="5:11" x14ac:dyDescent="0.25">
      <c r="E951" s="3">
        <f t="shared" ca="1" si="28"/>
        <v>0.33966542400866062</v>
      </c>
      <c r="F951" s="3">
        <f t="shared" ca="1" si="28"/>
        <v>0.75857340977268373</v>
      </c>
      <c r="G951" s="3">
        <f t="shared" ca="1" si="29"/>
        <v>9.0669881904538983</v>
      </c>
      <c r="H951" s="2"/>
      <c r="I951" s="2"/>
      <c r="J951" s="2"/>
      <c r="K951" s="2"/>
    </row>
    <row r="952" spans="5:11" x14ac:dyDescent="0.25">
      <c r="E952" s="3">
        <f t="shared" ca="1" si="28"/>
        <v>0.87857864392517959</v>
      </c>
      <c r="F952" s="3">
        <f t="shared" ca="1" si="28"/>
        <v>0.81667154667067832</v>
      </c>
      <c r="G952" s="3">
        <f t="shared" ca="1" si="29"/>
        <v>9.67790742696425</v>
      </c>
      <c r="H952" s="2"/>
      <c r="I952" s="2"/>
      <c r="J952" s="2"/>
      <c r="K952" s="2"/>
    </row>
    <row r="953" spans="5:11" x14ac:dyDescent="0.25">
      <c r="E953" s="3">
        <f t="shared" ca="1" si="28"/>
        <v>0.16598707452739836</v>
      </c>
      <c r="F953" s="3">
        <f t="shared" ca="1" si="28"/>
        <v>0.70833918556943964</v>
      </c>
      <c r="G953" s="3">
        <f t="shared" ca="1" si="29"/>
        <v>10.11466084084244</v>
      </c>
      <c r="H953" s="2"/>
      <c r="I953" s="2"/>
      <c r="J953" s="2"/>
      <c r="K953" s="2"/>
    </row>
    <row r="954" spans="5:11" x14ac:dyDescent="0.25">
      <c r="E954" s="3">
        <f t="shared" ca="1" si="28"/>
        <v>0.43170919155008569</v>
      </c>
      <c r="F954" s="3">
        <f t="shared" ca="1" si="28"/>
        <v>0.46622402257773876</v>
      </c>
      <c r="G954" s="3">
        <f t="shared" ca="1" si="29"/>
        <v>5.0974920861130038</v>
      </c>
      <c r="H954" s="2"/>
      <c r="I954" s="2"/>
      <c r="J954" s="2"/>
      <c r="K954" s="2"/>
    </row>
    <row r="955" spans="5:11" x14ac:dyDescent="0.25">
      <c r="E955" s="3">
        <f t="shared" ca="1" si="28"/>
        <v>0.14023074204553043</v>
      </c>
      <c r="F955" s="3">
        <f t="shared" ca="1" si="28"/>
        <v>0.88352634651224748</v>
      </c>
      <c r="G955" s="3">
        <f t="shared" ca="1" si="29"/>
        <v>12.930142653580953</v>
      </c>
      <c r="H955" s="2"/>
      <c r="I955" s="2"/>
      <c r="J955" s="2"/>
      <c r="K955" s="2"/>
    </row>
    <row r="956" spans="5:11" x14ac:dyDescent="0.25">
      <c r="E956" s="3">
        <f t="shared" ca="1" si="28"/>
        <v>0.18277427529097612</v>
      </c>
      <c r="F956" s="3">
        <f t="shared" ca="1" si="28"/>
        <v>0.43274226308128672</v>
      </c>
      <c r="G956" s="3">
        <f t="shared" ca="1" si="29"/>
        <v>7.673702486021317</v>
      </c>
      <c r="H956" s="2"/>
      <c r="I956" s="2"/>
      <c r="J956" s="2"/>
      <c r="K956" s="2"/>
    </row>
    <row r="957" spans="5:11" x14ac:dyDescent="0.25">
      <c r="E957" s="3">
        <f t="shared" ca="1" si="28"/>
        <v>0.66717606975925547</v>
      </c>
      <c r="F957" s="3">
        <f t="shared" ca="1" si="28"/>
        <v>0.83677756198653463</v>
      </c>
      <c r="G957" s="3">
        <f t="shared" ca="1" si="29"/>
        <v>9.3768217041481829</v>
      </c>
      <c r="H957" s="2"/>
      <c r="I957" s="2"/>
      <c r="J957" s="2"/>
      <c r="K957" s="2"/>
    </row>
    <row r="958" spans="5:11" x14ac:dyDescent="0.25">
      <c r="E958" s="3">
        <f t="shared" ca="1" si="28"/>
        <v>0.53730115044304649</v>
      </c>
      <c r="F958" s="3">
        <f t="shared" ca="1" si="28"/>
        <v>0.71067673940951548</v>
      </c>
      <c r="G958" s="3">
        <f t="shared" ca="1" si="29"/>
        <v>7.4603424474113194</v>
      </c>
      <c r="H958" s="2"/>
      <c r="I958" s="2"/>
      <c r="J958" s="2"/>
      <c r="K958" s="2"/>
    </row>
    <row r="959" spans="5:11" x14ac:dyDescent="0.25">
      <c r="E959" s="3">
        <f t="shared" ca="1" si="28"/>
        <v>0.51453291904510112</v>
      </c>
      <c r="F959" s="3">
        <f t="shared" ca="1" si="28"/>
        <v>0.59510131002657785</v>
      </c>
      <c r="G959" s="3">
        <f t="shared" ca="1" si="29"/>
        <v>6.0352153236332562</v>
      </c>
      <c r="H959" s="2"/>
      <c r="I959" s="2"/>
      <c r="J959" s="2"/>
      <c r="K959" s="2"/>
    </row>
    <row r="960" spans="5:11" x14ac:dyDescent="0.25">
      <c r="E960" s="3">
        <f t="shared" ca="1" si="28"/>
        <v>0.30820523424889268</v>
      </c>
      <c r="F960" s="3">
        <f t="shared" ca="1" si="28"/>
        <v>0.74392193983067922</v>
      </c>
      <c r="G960" s="3">
        <f t="shared" ca="1" si="29"/>
        <v>9.0850498776600652</v>
      </c>
      <c r="H960" s="2"/>
      <c r="I960" s="2"/>
      <c r="J960" s="2"/>
      <c r="K960" s="2"/>
    </row>
    <row r="961" spans="5:11" x14ac:dyDescent="0.25">
      <c r="E961" s="3">
        <f t="shared" ca="1" si="28"/>
        <v>0.91113234868223947</v>
      </c>
      <c r="F961" s="3">
        <f t="shared" ca="1" si="28"/>
        <v>0.31574774330103694</v>
      </c>
      <c r="G961" s="3">
        <f t="shared" ca="1" si="29"/>
        <v>4.952632407633871</v>
      </c>
      <c r="H961" s="2"/>
      <c r="I961" s="2"/>
      <c r="J961" s="2"/>
      <c r="K961" s="2"/>
    </row>
    <row r="962" spans="5:11" x14ac:dyDescent="0.25">
      <c r="E962" s="3">
        <f t="shared" ca="1" si="28"/>
        <v>0.92067412561563822</v>
      </c>
      <c r="F962" s="3">
        <f t="shared" ca="1" si="28"/>
        <v>0.13965351592470698</v>
      </c>
      <c r="G962" s="3">
        <f t="shared" ca="1" si="29"/>
        <v>4.8986521172289681</v>
      </c>
      <c r="H962" s="2"/>
      <c r="I962" s="2"/>
      <c r="J962" s="2"/>
      <c r="K962" s="2"/>
    </row>
    <row r="963" spans="5:11" x14ac:dyDescent="0.25">
      <c r="E963" s="3">
        <f t="shared" ca="1" si="28"/>
        <v>0.5569642398686947</v>
      </c>
      <c r="F963" s="3">
        <f t="shared" ca="1" si="28"/>
        <v>0.51471253144928875</v>
      </c>
      <c r="G963" s="3">
        <f t="shared" ca="1" si="29"/>
        <v>4.8975653197063487</v>
      </c>
      <c r="H963" s="2"/>
      <c r="I963" s="2"/>
      <c r="J963" s="2"/>
      <c r="K963" s="2"/>
    </row>
    <row r="964" spans="5:11" x14ac:dyDescent="0.25">
      <c r="E964" s="3">
        <f t="shared" ref="E964:F1027" ca="1" si="30">RAND()</f>
        <v>0.76296405404082979</v>
      </c>
      <c r="F964" s="3">
        <f t="shared" ca="1" si="30"/>
        <v>0.23543198804430976</v>
      </c>
      <c r="G964" s="3">
        <f t="shared" ref="G964:G1027" ca="1" si="31">SQRT(_xlfn.NORM.INV(E964,$C$3*COS($C$6),$C$4)^2+_xlfn.NORM.INV(F964,$C$3*SIN($C$6),$C$4)^2)</f>
        <v>1.5938703882526664</v>
      </c>
      <c r="H964" s="2"/>
      <c r="I964" s="2"/>
      <c r="J964" s="2"/>
      <c r="K964" s="2"/>
    </row>
    <row r="965" spans="5:11" x14ac:dyDescent="0.25">
      <c r="E965" s="3">
        <f t="shared" ca="1" si="30"/>
        <v>0.6736981681426204</v>
      </c>
      <c r="F965" s="3">
        <f t="shared" ca="1" si="30"/>
        <v>0.25063064441541494</v>
      </c>
      <c r="G965" s="3">
        <f t="shared" ca="1" si="31"/>
        <v>1.1074992754214996</v>
      </c>
      <c r="H965" s="2"/>
      <c r="I965" s="2"/>
      <c r="J965" s="2"/>
      <c r="K965" s="2"/>
    </row>
    <row r="966" spans="5:11" x14ac:dyDescent="0.25">
      <c r="E966" s="3">
        <f t="shared" ca="1" si="30"/>
        <v>0.74776584189528172</v>
      </c>
      <c r="F966" s="3">
        <f t="shared" ca="1" si="30"/>
        <v>0.36504729204422748</v>
      </c>
      <c r="G966" s="3">
        <f t="shared" ca="1" si="31"/>
        <v>2.9560739572521584</v>
      </c>
      <c r="H966" s="2"/>
      <c r="I966" s="2"/>
      <c r="J966" s="2"/>
      <c r="K966" s="2"/>
    </row>
    <row r="967" spans="5:11" x14ac:dyDescent="0.25">
      <c r="E967" s="3">
        <f t="shared" ca="1" si="30"/>
        <v>0.58330512146564606</v>
      </c>
      <c r="F967" s="3">
        <f t="shared" ca="1" si="30"/>
        <v>0.91414560285592283</v>
      </c>
      <c r="G967" s="3">
        <f t="shared" ca="1" si="31"/>
        <v>11.365970422161645</v>
      </c>
      <c r="H967" s="2"/>
      <c r="I967" s="2"/>
      <c r="J967" s="2"/>
      <c r="K967" s="2"/>
    </row>
    <row r="968" spans="5:11" x14ac:dyDescent="0.25">
      <c r="E968" s="3">
        <f t="shared" ca="1" si="30"/>
        <v>0.74274515241315142</v>
      </c>
      <c r="F968" s="3">
        <f t="shared" ca="1" si="30"/>
        <v>0.5383701227247768</v>
      </c>
      <c r="G968" s="3">
        <f t="shared" ca="1" si="31"/>
        <v>5.0553464922445457</v>
      </c>
      <c r="H968" s="2"/>
      <c r="I968" s="2"/>
      <c r="J968" s="2"/>
      <c r="K968" s="2"/>
    </row>
    <row r="969" spans="5:11" x14ac:dyDescent="0.25">
      <c r="E969" s="3">
        <f t="shared" ca="1" si="30"/>
        <v>0.10187968061006203</v>
      </c>
      <c r="F969" s="3">
        <f t="shared" ca="1" si="30"/>
        <v>0.16510343300821984</v>
      </c>
      <c r="G969" s="3">
        <f t="shared" ca="1" si="31"/>
        <v>8.6041697637101677</v>
      </c>
      <c r="H969" s="2"/>
      <c r="I969" s="2"/>
      <c r="J969" s="2"/>
      <c r="K969" s="2"/>
    </row>
    <row r="970" spans="5:11" x14ac:dyDescent="0.25">
      <c r="E970" s="3">
        <f t="shared" ca="1" si="30"/>
        <v>0.77852947409835216</v>
      </c>
      <c r="F970" s="3">
        <f t="shared" ca="1" si="30"/>
        <v>0.78559357024352527</v>
      </c>
      <c r="G970" s="3">
        <f t="shared" ca="1" si="31"/>
        <v>8.5758905723093743</v>
      </c>
      <c r="H970" s="2"/>
      <c r="I970" s="2"/>
      <c r="J970" s="2"/>
      <c r="K970" s="2"/>
    </row>
    <row r="971" spans="5:11" x14ac:dyDescent="0.25">
      <c r="E971" s="3">
        <f t="shared" ca="1" si="30"/>
        <v>3.8817192959827995E-3</v>
      </c>
      <c r="F971" s="3">
        <f t="shared" ca="1" si="30"/>
        <v>0.92738048215057622</v>
      </c>
      <c r="G971" s="3">
        <f t="shared" ca="1" si="31"/>
        <v>19.492836764352134</v>
      </c>
      <c r="H971" s="2"/>
      <c r="I971" s="2"/>
      <c r="J971" s="2"/>
      <c r="K971" s="2"/>
    </row>
    <row r="972" spans="5:11" x14ac:dyDescent="0.25">
      <c r="E972" s="3">
        <f t="shared" ca="1" si="30"/>
        <v>0.69539040520236717</v>
      </c>
      <c r="F972" s="3">
        <f t="shared" ca="1" si="30"/>
        <v>0.22595842010767742</v>
      </c>
      <c r="G972" s="3">
        <f t="shared" ca="1" si="31"/>
        <v>0.77593782386770915</v>
      </c>
      <c r="H972" s="2"/>
      <c r="I972" s="2"/>
      <c r="J972" s="2"/>
      <c r="K972" s="2"/>
    </row>
    <row r="973" spans="5:11" x14ac:dyDescent="0.25">
      <c r="E973" s="3">
        <f t="shared" ca="1" si="30"/>
        <v>0.92563569703055604</v>
      </c>
      <c r="F973" s="3">
        <f t="shared" ca="1" si="30"/>
        <v>0.10485633332100519</v>
      </c>
      <c r="G973" s="3">
        <f t="shared" ca="1" si="31"/>
        <v>5.2957567588672934</v>
      </c>
      <c r="H973" s="2"/>
      <c r="I973" s="2"/>
      <c r="J973" s="2"/>
      <c r="K973" s="2"/>
    </row>
    <row r="974" spans="5:11" x14ac:dyDescent="0.25">
      <c r="E974" s="3">
        <f t="shared" ca="1" si="30"/>
        <v>0.90860999650532703</v>
      </c>
      <c r="F974" s="3">
        <f t="shared" ca="1" si="30"/>
        <v>0.19284881120979558</v>
      </c>
      <c r="G974" s="3">
        <f t="shared" ca="1" si="31"/>
        <v>4.4228449032505948</v>
      </c>
      <c r="H974" s="2"/>
      <c r="I974" s="2"/>
      <c r="J974" s="2"/>
      <c r="K974" s="2"/>
    </row>
    <row r="975" spans="5:11" x14ac:dyDescent="0.25">
      <c r="E975" s="3">
        <f t="shared" ca="1" si="30"/>
        <v>0.54416711213719815</v>
      </c>
      <c r="F975" s="3">
        <f t="shared" ca="1" si="30"/>
        <v>0.93220565520929288</v>
      </c>
      <c r="G975" s="3">
        <f t="shared" ca="1" si="31"/>
        <v>12.050572771504449</v>
      </c>
      <c r="H975" s="2"/>
      <c r="I975" s="2"/>
      <c r="J975" s="2"/>
      <c r="K975" s="2"/>
    </row>
    <row r="976" spans="5:11" x14ac:dyDescent="0.25">
      <c r="E976" s="3">
        <f t="shared" ca="1" si="30"/>
        <v>5.1298214755065574E-2</v>
      </c>
      <c r="F976" s="3">
        <f t="shared" ca="1" si="30"/>
        <v>0.14195255792448513</v>
      </c>
      <c r="G976" s="3">
        <f t="shared" ca="1" si="31"/>
        <v>10.440169812328545</v>
      </c>
      <c r="H976" s="2"/>
      <c r="I976" s="2"/>
      <c r="J976" s="2"/>
      <c r="K976" s="2"/>
    </row>
    <row r="977" spans="5:11" x14ac:dyDescent="0.25">
      <c r="E977" s="3">
        <f t="shared" ca="1" si="30"/>
        <v>0.72801551291617728</v>
      </c>
      <c r="F977" s="3">
        <f t="shared" ca="1" si="30"/>
        <v>0.67654498170221689</v>
      </c>
      <c r="G977" s="3">
        <f t="shared" ca="1" si="31"/>
        <v>6.8067166580321059</v>
      </c>
      <c r="H977" s="2"/>
      <c r="I977" s="2"/>
      <c r="J977" s="2"/>
      <c r="K977" s="2"/>
    </row>
    <row r="978" spans="5:11" x14ac:dyDescent="0.25">
      <c r="E978" s="3">
        <f t="shared" ca="1" si="30"/>
        <v>0.83458246197252539</v>
      </c>
      <c r="F978" s="3">
        <f t="shared" ca="1" si="30"/>
        <v>0.7389861752246365</v>
      </c>
      <c r="G978" s="3">
        <f t="shared" ca="1" si="31"/>
        <v>8.1067608804943951</v>
      </c>
      <c r="H978" s="2"/>
      <c r="I978" s="2"/>
      <c r="J978" s="2"/>
      <c r="K978" s="2"/>
    </row>
    <row r="979" spans="5:11" x14ac:dyDescent="0.25">
      <c r="E979" s="3">
        <f t="shared" ca="1" si="30"/>
        <v>0.10486884509176242</v>
      </c>
      <c r="F979" s="3">
        <f t="shared" ca="1" si="30"/>
        <v>0.13780847118560957</v>
      </c>
      <c r="G979" s="3">
        <f t="shared" ca="1" si="31"/>
        <v>8.5681602530863685</v>
      </c>
      <c r="H979" s="2"/>
      <c r="I979" s="2"/>
      <c r="J979" s="2"/>
      <c r="K979" s="2"/>
    </row>
    <row r="980" spans="5:11" x14ac:dyDescent="0.25">
      <c r="E980" s="3">
        <f t="shared" ca="1" si="30"/>
        <v>0.9013094257382136</v>
      </c>
      <c r="F980" s="3">
        <f t="shared" ca="1" si="30"/>
        <v>0.44861227340132526</v>
      </c>
      <c r="G980" s="3">
        <f t="shared" ca="1" si="31"/>
        <v>5.6837524727244402</v>
      </c>
      <c r="H980" s="2"/>
      <c r="I980" s="2"/>
      <c r="J980" s="2"/>
      <c r="K980" s="2"/>
    </row>
    <row r="981" spans="5:11" x14ac:dyDescent="0.25">
      <c r="E981" s="3">
        <f t="shared" ca="1" si="30"/>
        <v>0.1071601172402884</v>
      </c>
      <c r="F981" s="3">
        <f t="shared" ca="1" si="30"/>
        <v>0.18574720374008125</v>
      </c>
      <c r="G981" s="3">
        <f t="shared" ca="1" si="31"/>
        <v>8.4492344880298571</v>
      </c>
      <c r="H981" s="2"/>
      <c r="I981" s="2"/>
      <c r="J981" s="2"/>
      <c r="K981" s="2"/>
    </row>
    <row r="982" spans="5:11" x14ac:dyDescent="0.25">
      <c r="E982" s="3">
        <f t="shared" ca="1" si="30"/>
        <v>0.91162979029009861</v>
      </c>
      <c r="F982" s="3">
        <f t="shared" ca="1" si="30"/>
        <v>0.96939018209767658</v>
      </c>
      <c r="G982" s="3">
        <f t="shared" ca="1" si="31"/>
        <v>14.547541869075319</v>
      </c>
      <c r="H982" s="2"/>
      <c r="I982" s="2"/>
      <c r="J982" s="2"/>
      <c r="K982" s="2"/>
    </row>
    <row r="983" spans="5:11" x14ac:dyDescent="0.25">
      <c r="E983" s="3">
        <f t="shared" ca="1" si="30"/>
        <v>0.43445437949789401</v>
      </c>
      <c r="F983" s="3">
        <f t="shared" ca="1" si="30"/>
        <v>0.14258113835952757</v>
      </c>
      <c r="G983" s="3">
        <f t="shared" ca="1" si="31"/>
        <v>3.1877437811725651</v>
      </c>
      <c r="H983" s="2"/>
      <c r="I983" s="2"/>
      <c r="J983" s="2"/>
      <c r="K983" s="2"/>
    </row>
    <row r="984" spans="5:11" x14ac:dyDescent="0.25">
      <c r="E984" s="3">
        <f t="shared" ca="1" si="30"/>
        <v>0.9900993949147191</v>
      </c>
      <c r="F984" s="3">
        <f t="shared" ca="1" si="30"/>
        <v>0.66311952939997609</v>
      </c>
      <c r="G984" s="3">
        <f t="shared" ca="1" si="31"/>
        <v>11.479540437616874</v>
      </c>
      <c r="H984" s="2"/>
      <c r="I984" s="2"/>
      <c r="J984" s="2"/>
      <c r="K984" s="2"/>
    </row>
    <row r="985" spans="5:11" x14ac:dyDescent="0.25">
      <c r="E985" s="3">
        <f t="shared" ca="1" si="30"/>
        <v>0.59728927860856629</v>
      </c>
      <c r="F985" s="3">
        <f t="shared" ca="1" si="30"/>
        <v>0.88498628547170544</v>
      </c>
      <c r="G985" s="3">
        <f t="shared" ca="1" si="31"/>
        <v>10.519894023271444</v>
      </c>
      <c r="H985" s="2"/>
      <c r="I985" s="2"/>
      <c r="J985" s="2"/>
      <c r="K985" s="2"/>
    </row>
    <row r="986" spans="5:11" x14ac:dyDescent="0.25">
      <c r="E986" s="3">
        <f t="shared" ca="1" si="30"/>
        <v>0.4885743259890355</v>
      </c>
      <c r="F986" s="3">
        <f t="shared" ca="1" si="30"/>
        <v>0.55174981864865535</v>
      </c>
      <c r="G986" s="3">
        <f t="shared" ca="1" si="31"/>
        <v>5.6480078629160779</v>
      </c>
      <c r="H986" s="2"/>
      <c r="I986" s="2"/>
      <c r="J986" s="2"/>
      <c r="K986" s="2"/>
    </row>
    <row r="987" spans="5:11" x14ac:dyDescent="0.25">
      <c r="E987" s="3">
        <f t="shared" ca="1" si="30"/>
        <v>0.30097278799128713</v>
      </c>
      <c r="F987" s="3">
        <f t="shared" ca="1" si="30"/>
        <v>0.6058947525884546</v>
      </c>
      <c r="G987" s="3">
        <f t="shared" ca="1" si="31"/>
        <v>7.5696576978683572</v>
      </c>
      <c r="H987" s="2"/>
      <c r="I987" s="2"/>
      <c r="J987" s="2"/>
      <c r="K987" s="2"/>
    </row>
    <row r="988" spans="5:11" x14ac:dyDescent="0.25">
      <c r="E988" s="3">
        <f t="shared" ca="1" si="30"/>
        <v>0.14865615863870507</v>
      </c>
      <c r="F988" s="3">
        <f t="shared" ca="1" si="30"/>
        <v>0.68487741862486895</v>
      </c>
      <c r="G988" s="3">
        <f t="shared" ca="1" si="31"/>
        <v>10.139802917741696</v>
      </c>
      <c r="H988" s="2"/>
      <c r="I988" s="2"/>
      <c r="J988" s="2"/>
      <c r="K988" s="2"/>
    </row>
    <row r="989" spans="5:11" x14ac:dyDescent="0.25">
      <c r="E989" s="3">
        <f t="shared" ca="1" si="30"/>
        <v>0.39197594431489802</v>
      </c>
      <c r="F989" s="3">
        <f t="shared" ca="1" si="30"/>
        <v>0.3046268130878641</v>
      </c>
      <c r="G989" s="3">
        <f t="shared" ca="1" si="31"/>
        <v>4.0872351708116801</v>
      </c>
      <c r="H989" s="2"/>
      <c r="I989" s="2"/>
      <c r="J989" s="2"/>
      <c r="K989" s="2"/>
    </row>
    <row r="990" spans="5:11" x14ac:dyDescent="0.25">
      <c r="E990" s="3">
        <f t="shared" ca="1" si="30"/>
        <v>0.28461924305109132</v>
      </c>
      <c r="F990" s="3">
        <f t="shared" ca="1" si="30"/>
        <v>0.1939284384031178</v>
      </c>
      <c r="G990" s="3">
        <f t="shared" ca="1" si="31"/>
        <v>5.088518581406249</v>
      </c>
      <c r="H990" s="2"/>
      <c r="I990" s="2"/>
      <c r="J990" s="2"/>
      <c r="K990" s="2"/>
    </row>
    <row r="991" spans="5:11" x14ac:dyDescent="0.25">
      <c r="E991" s="3">
        <f t="shared" ca="1" si="30"/>
        <v>0.59403640668217383</v>
      </c>
      <c r="F991" s="3">
        <f t="shared" ca="1" si="30"/>
        <v>0.22311780741544751</v>
      </c>
      <c r="G991" s="3">
        <f t="shared" ca="1" si="31"/>
        <v>1.2415390591565936</v>
      </c>
      <c r="H991" s="2"/>
      <c r="I991" s="2"/>
      <c r="J991" s="2"/>
      <c r="K991" s="2"/>
    </row>
    <row r="992" spans="5:11" x14ac:dyDescent="0.25">
      <c r="E992" s="3">
        <f t="shared" ca="1" si="30"/>
        <v>0.30828998807514063</v>
      </c>
      <c r="F992" s="3">
        <f t="shared" ca="1" si="30"/>
        <v>0.33041038580209892</v>
      </c>
      <c r="G992" s="3">
        <f t="shared" ca="1" si="31"/>
        <v>5.261652656334018</v>
      </c>
      <c r="H992" s="2"/>
      <c r="I992" s="2"/>
      <c r="J992" s="2"/>
      <c r="K992" s="2"/>
    </row>
    <row r="993" spans="5:11" x14ac:dyDescent="0.25">
      <c r="E993" s="3">
        <f t="shared" ca="1" si="30"/>
        <v>0.65391752954706073</v>
      </c>
      <c r="F993" s="3">
        <f t="shared" ca="1" si="30"/>
        <v>0.17814057745071066</v>
      </c>
      <c r="G993" s="3">
        <f t="shared" ca="1" si="31"/>
        <v>0.29711572305368</v>
      </c>
      <c r="H993" s="2"/>
      <c r="I993" s="2"/>
      <c r="J993" s="2"/>
      <c r="K993" s="2"/>
    </row>
    <row r="994" spans="5:11" x14ac:dyDescent="0.25">
      <c r="E994" s="3">
        <f t="shared" ca="1" si="30"/>
        <v>0.12573878762392643</v>
      </c>
      <c r="F994" s="3">
        <f t="shared" ca="1" si="30"/>
        <v>0.8311321782475386</v>
      </c>
      <c r="G994" s="3">
        <f t="shared" ca="1" si="31"/>
        <v>12.222740041319168</v>
      </c>
      <c r="H994" s="2"/>
      <c r="I994" s="2"/>
      <c r="J994" s="2"/>
      <c r="K994" s="2"/>
    </row>
    <row r="995" spans="5:11" x14ac:dyDescent="0.25">
      <c r="E995" s="3">
        <f t="shared" ca="1" si="30"/>
        <v>0.4220731163078999</v>
      </c>
      <c r="F995" s="3">
        <f t="shared" ca="1" si="30"/>
        <v>0.93556497939823513</v>
      </c>
      <c r="G995" s="3">
        <f t="shared" ca="1" si="31"/>
        <v>12.486078806504402</v>
      </c>
      <c r="H995" s="2"/>
      <c r="I995" s="2"/>
      <c r="J995" s="2"/>
      <c r="K995" s="2"/>
    </row>
    <row r="996" spans="5:11" x14ac:dyDescent="0.25">
      <c r="E996" s="3">
        <f t="shared" ca="1" si="30"/>
        <v>0.8453457535743828</v>
      </c>
      <c r="F996" s="3">
        <f t="shared" ca="1" si="30"/>
        <v>0.38961434188254029</v>
      </c>
      <c r="G996" s="3">
        <f t="shared" ca="1" si="31"/>
        <v>4.1830020151590865</v>
      </c>
      <c r="H996" s="2"/>
      <c r="I996" s="2"/>
      <c r="J996" s="2"/>
      <c r="K996" s="2"/>
    </row>
    <row r="997" spans="5:11" x14ac:dyDescent="0.25">
      <c r="E997" s="3">
        <f t="shared" ca="1" si="30"/>
        <v>0.43733520638225709</v>
      </c>
      <c r="F997" s="3">
        <f t="shared" ca="1" si="30"/>
        <v>0.89895898530407858</v>
      </c>
      <c r="G997" s="3">
        <f t="shared" ca="1" si="31"/>
        <v>11.263136227709099</v>
      </c>
      <c r="H997" s="2"/>
      <c r="I997" s="2"/>
      <c r="J997" s="2"/>
      <c r="K997" s="2"/>
    </row>
    <row r="998" spans="5:11" x14ac:dyDescent="0.25">
      <c r="E998" s="3">
        <f t="shared" ca="1" si="30"/>
        <v>0.12417739668351535</v>
      </c>
      <c r="F998" s="3">
        <f t="shared" ca="1" si="30"/>
        <v>0.54369967468089497</v>
      </c>
      <c r="G998" s="3">
        <f t="shared" ca="1" si="31"/>
        <v>9.4542337971729768</v>
      </c>
      <c r="H998" s="2"/>
      <c r="I998" s="2"/>
      <c r="J998" s="2"/>
      <c r="K998" s="2"/>
    </row>
    <row r="999" spans="5:11" x14ac:dyDescent="0.25">
      <c r="E999" s="3">
        <f t="shared" ca="1" si="30"/>
        <v>7.8841755610958408E-2</v>
      </c>
      <c r="F999" s="3">
        <f t="shared" ca="1" si="30"/>
        <v>0.54740497569689761</v>
      </c>
      <c r="G999" s="3">
        <f t="shared" ca="1" si="31"/>
        <v>10.594366052480799</v>
      </c>
      <c r="H999" s="2"/>
      <c r="I999" s="2"/>
      <c r="J999" s="2"/>
      <c r="K999" s="2"/>
    </row>
    <row r="1000" spans="5:11" x14ac:dyDescent="0.25">
      <c r="E1000" s="3">
        <f t="shared" ca="1" si="30"/>
        <v>0.43905283284634045</v>
      </c>
      <c r="F1000" s="3">
        <f t="shared" ca="1" si="30"/>
        <v>0.97599097080324204</v>
      </c>
      <c r="G1000" s="3">
        <f t="shared" ca="1" si="31"/>
        <v>14.667613335071099</v>
      </c>
      <c r="H1000" s="2"/>
      <c r="I1000" s="2"/>
      <c r="J1000" s="2"/>
      <c r="K1000" s="2"/>
    </row>
    <row r="1001" spans="5:11" x14ac:dyDescent="0.25">
      <c r="E1001" s="3">
        <f t="shared" ca="1" si="30"/>
        <v>0.45905704118072088</v>
      </c>
      <c r="F1001" s="3">
        <f t="shared" ca="1" si="30"/>
        <v>0.25492862510452041</v>
      </c>
      <c r="G1001" s="3">
        <f t="shared" ca="1" si="31"/>
        <v>2.9944430446016046</v>
      </c>
      <c r="H1001" s="2"/>
      <c r="I1001" s="2"/>
      <c r="J1001" s="2"/>
      <c r="K1001" s="2"/>
    </row>
    <row r="1002" spans="5:11" x14ac:dyDescent="0.25">
      <c r="E1002" s="3">
        <f t="shared" ca="1" si="30"/>
        <v>0.67136911621859408</v>
      </c>
      <c r="F1002" s="3">
        <f t="shared" ca="1" si="30"/>
        <v>0.90389328027355453</v>
      </c>
      <c r="G1002" s="3">
        <f t="shared" ca="1" si="31"/>
        <v>10.990300504922841</v>
      </c>
      <c r="H1002" s="2"/>
      <c r="I1002" s="2"/>
      <c r="J1002" s="2"/>
      <c r="K1002" s="2"/>
    </row>
    <row r="1003" spans="5:11" x14ac:dyDescent="0.25">
      <c r="E1003" s="3">
        <f t="shared" ca="1" si="30"/>
        <v>0.70499727920840138</v>
      </c>
      <c r="F1003" s="3">
        <f t="shared" ca="1" si="30"/>
        <v>0.82141147405726267</v>
      </c>
      <c r="G1003" s="3">
        <f t="shared" ca="1" si="31"/>
        <v>9.0851101186130041</v>
      </c>
      <c r="H1003" s="2"/>
      <c r="I1003" s="2"/>
      <c r="J1003" s="2"/>
      <c r="K1003" s="2"/>
    </row>
    <row r="1004" spans="5:11" x14ac:dyDescent="0.25">
      <c r="E1004" s="3">
        <f t="shared" ca="1" si="30"/>
        <v>1.4381384343865489E-2</v>
      </c>
      <c r="F1004" s="3">
        <f t="shared" ca="1" si="30"/>
        <v>0.3891627641089378</v>
      </c>
      <c r="G1004" s="3">
        <f t="shared" ca="1" si="31"/>
        <v>13.525255909929927</v>
      </c>
      <c r="H1004" s="2"/>
      <c r="I1004" s="2"/>
      <c r="J1004" s="2"/>
      <c r="K1004" s="2"/>
    </row>
    <row r="1005" spans="5:11" x14ac:dyDescent="0.25">
      <c r="E1005" s="3">
        <f t="shared" ca="1" si="30"/>
        <v>0.22829483249468174</v>
      </c>
      <c r="F1005" s="3">
        <f t="shared" ca="1" si="30"/>
        <v>0.48352080850025625</v>
      </c>
      <c r="G1005" s="3">
        <f t="shared" ca="1" si="31"/>
        <v>7.3301252974846953</v>
      </c>
      <c r="H1005" s="2"/>
      <c r="I1005" s="2"/>
      <c r="J1005" s="2"/>
      <c r="K1005" s="2"/>
    </row>
    <row r="1006" spans="5:11" x14ac:dyDescent="0.25">
      <c r="E1006" s="3">
        <f t="shared" ca="1" si="30"/>
        <v>0.94669042462002262</v>
      </c>
      <c r="F1006" s="3">
        <f t="shared" ca="1" si="30"/>
        <v>0.78132510905636932</v>
      </c>
      <c r="G1006" s="3">
        <f t="shared" ca="1" si="31"/>
        <v>10.185218289362748</v>
      </c>
      <c r="H1006" s="2"/>
      <c r="I1006" s="2"/>
      <c r="J1006" s="2"/>
      <c r="K1006" s="2"/>
    </row>
    <row r="1007" spans="5:11" x14ac:dyDescent="0.25">
      <c r="E1007" s="3">
        <f t="shared" ca="1" si="30"/>
        <v>6.4366311918113595E-2</v>
      </c>
      <c r="F1007" s="3">
        <f t="shared" ca="1" si="30"/>
        <v>0.73413217111509388</v>
      </c>
      <c r="G1007" s="3">
        <f t="shared" ca="1" si="31"/>
        <v>12.428079393463591</v>
      </c>
      <c r="H1007" s="2"/>
      <c r="I1007" s="2"/>
      <c r="J1007" s="2"/>
      <c r="K1007" s="2"/>
    </row>
    <row r="1008" spans="5:11" x14ac:dyDescent="0.25">
      <c r="E1008" s="3">
        <f t="shared" ca="1" si="30"/>
        <v>0.73691589579141881</v>
      </c>
      <c r="F1008" s="3">
        <f t="shared" ca="1" si="30"/>
        <v>0.85377037585526627</v>
      </c>
      <c r="G1008" s="3">
        <f t="shared" ca="1" si="31"/>
        <v>9.7779219661134036</v>
      </c>
      <c r="H1008" s="2"/>
      <c r="I1008" s="2"/>
      <c r="J1008" s="2"/>
      <c r="K1008" s="2"/>
    </row>
    <row r="1009" spans="5:11" x14ac:dyDescent="0.25">
      <c r="E1009" s="3">
        <f t="shared" ca="1" si="30"/>
        <v>0.41198016142091909</v>
      </c>
      <c r="F1009" s="3">
        <f t="shared" ca="1" si="30"/>
        <v>0.98634015758316107</v>
      </c>
      <c r="G1009" s="3">
        <f t="shared" ca="1" si="31"/>
        <v>15.862919432915282</v>
      </c>
      <c r="H1009" s="2"/>
      <c r="I1009" s="2"/>
      <c r="J1009" s="2"/>
      <c r="K1009" s="2"/>
    </row>
    <row r="1010" spans="5:11" x14ac:dyDescent="0.25">
      <c r="E1010" s="3">
        <f t="shared" ca="1" si="30"/>
        <v>0.9085222534219688</v>
      </c>
      <c r="F1010" s="3">
        <f t="shared" ca="1" si="30"/>
        <v>0.63956008167847511</v>
      </c>
      <c r="G1010" s="3">
        <f t="shared" ca="1" si="31"/>
        <v>7.6591685243739782</v>
      </c>
      <c r="H1010" s="2"/>
      <c r="I1010" s="2"/>
      <c r="J1010" s="2"/>
      <c r="K1010" s="2"/>
    </row>
    <row r="1011" spans="5:11" x14ac:dyDescent="0.25">
      <c r="E1011" s="3">
        <f t="shared" ca="1" si="30"/>
        <v>0.41758676767344183</v>
      </c>
      <c r="F1011" s="3">
        <f t="shared" ca="1" si="30"/>
        <v>4.1376845132253259E-2</v>
      </c>
      <c r="G1011" s="3">
        <f t="shared" ca="1" si="31"/>
        <v>5.3331276342842875</v>
      </c>
      <c r="H1011" s="2"/>
      <c r="I1011" s="2"/>
      <c r="J1011" s="2"/>
      <c r="K1011" s="2"/>
    </row>
    <row r="1012" spans="5:11" x14ac:dyDescent="0.25">
      <c r="E1012" s="3">
        <f t="shared" ca="1" si="30"/>
        <v>0.97245333933229028</v>
      </c>
      <c r="F1012" s="3">
        <f t="shared" ca="1" si="30"/>
        <v>0.90387411427921616</v>
      </c>
      <c r="G1012" s="3">
        <f t="shared" ca="1" si="31"/>
        <v>13.221241072848571</v>
      </c>
      <c r="H1012" s="2"/>
      <c r="I1012" s="2"/>
      <c r="J1012" s="2"/>
      <c r="K1012" s="2"/>
    </row>
    <row r="1013" spans="5:11" x14ac:dyDescent="0.25">
      <c r="E1013" s="3">
        <f t="shared" ca="1" si="30"/>
        <v>6.078211127859745E-2</v>
      </c>
      <c r="F1013" s="3">
        <f t="shared" ca="1" si="30"/>
        <v>0.96427931063342498</v>
      </c>
      <c r="G1013" s="3">
        <f t="shared" ca="1" si="31"/>
        <v>16.775904421931813</v>
      </c>
      <c r="H1013" s="2"/>
      <c r="I1013" s="2"/>
      <c r="J1013" s="2"/>
      <c r="K1013" s="2"/>
    </row>
    <row r="1014" spans="5:11" x14ac:dyDescent="0.25">
      <c r="E1014" s="3">
        <f t="shared" ca="1" si="30"/>
        <v>0.77001322320111931</v>
      </c>
      <c r="F1014" s="3">
        <f t="shared" ca="1" si="30"/>
        <v>0.34256842744989691</v>
      </c>
      <c r="G1014" s="3">
        <f t="shared" ca="1" si="31"/>
        <v>2.8427058780612606</v>
      </c>
      <c r="H1014" s="2"/>
      <c r="I1014" s="2"/>
      <c r="J1014" s="2"/>
      <c r="K1014" s="2"/>
    </row>
    <row r="1015" spans="5:11" x14ac:dyDescent="0.25">
      <c r="E1015" s="3">
        <f t="shared" ca="1" si="30"/>
        <v>0.18423151902326151</v>
      </c>
      <c r="F1015" s="3">
        <f t="shared" ca="1" si="30"/>
        <v>0.68896373222700791</v>
      </c>
      <c r="G1015" s="3">
        <f t="shared" ca="1" si="31"/>
        <v>9.6683648119006467</v>
      </c>
      <c r="H1015" s="2"/>
      <c r="I1015" s="2"/>
      <c r="J1015" s="2"/>
      <c r="K1015" s="2"/>
    </row>
    <row r="1016" spans="5:11" x14ac:dyDescent="0.25">
      <c r="E1016" s="3">
        <f t="shared" ca="1" si="30"/>
        <v>0.55916456615179688</v>
      </c>
      <c r="F1016" s="3">
        <f t="shared" ca="1" si="30"/>
        <v>0.54457769400853695</v>
      </c>
      <c r="G1016" s="3">
        <f t="shared" ca="1" si="31"/>
        <v>5.2476408881041534</v>
      </c>
      <c r="H1016" s="2"/>
      <c r="I1016" s="2"/>
      <c r="J1016" s="2"/>
      <c r="K1016" s="2"/>
    </row>
    <row r="1017" spans="5:11" x14ac:dyDescent="0.25">
      <c r="E1017" s="3">
        <f t="shared" ca="1" si="30"/>
        <v>0.29895241716139642</v>
      </c>
      <c r="F1017" s="3">
        <f t="shared" ca="1" si="30"/>
        <v>0.70459559604765809</v>
      </c>
      <c r="G1017" s="3">
        <f t="shared" ca="1" si="31"/>
        <v>8.6620334193757742</v>
      </c>
      <c r="H1017" s="2"/>
      <c r="I1017" s="2"/>
      <c r="J1017" s="2"/>
      <c r="K1017" s="2"/>
    </row>
    <row r="1018" spans="5:11" x14ac:dyDescent="0.25">
      <c r="E1018" s="3">
        <f t="shared" ca="1" si="30"/>
        <v>0.67515733871231209</v>
      </c>
      <c r="F1018" s="3">
        <f t="shared" ca="1" si="30"/>
        <v>0.9148360251630675</v>
      </c>
      <c r="G1018" s="3">
        <f t="shared" ca="1" si="31"/>
        <v>11.325778766641406</v>
      </c>
      <c r="H1018" s="2"/>
      <c r="I1018" s="2"/>
      <c r="J1018" s="2"/>
      <c r="K1018" s="2"/>
    </row>
    <row r="1019" spans="5:11" x14ac:dyDescent="0.25">
      <c r="E1019" s="3">
        <f t="shared" ca="1" si="30"/>
        <v>0.6132856051459471</v>
      </c>
      <c r="F1019" s="3">
        <f t="shared" ca="1" si="30"/>
        <v>0.91768473131419737</v>
      </c>
      <c r="G1019" s="3">
        <f t="shared" ca="1" si="31"/>
        <v>11.446363878582002</v>
      </c>
      <c r="H1019" s="2"/>
      <c r="I1019" s="2"/>
      <c r="J1019" s="2"/>
      <c r="K1019" s="2"/>
    </row>
    <row r="1020" spans="5:11" x14ac:dyDescent="0.25">
      <c r="E1020" s="3">
        <f t="shared" ca="1" si="30"/>
        <v>0.96808448109228784</v>
      </c>
      <c r="F1020" s="3">
        <f t="shared" ca="1" si="30"/>
        <v>0.41974617985484708</v>
      </c>
      <c r="G1020" s="3">
        <f t="shared" ca="1" si="31"/>
        <v>7.830921185835912</v>
      </c>
      <c r="H1020" s="2"/>
      <c r="I1020" s="2"/>
      <c r="J1020" s="2"/>
      <c r="K1020" s="2"/>
    </row>
    <row r="1021" spans="5:11" x14ac:dyDescent="0.25">
      <c r="E1021" s="3">
        <f t="shared" ca="1" si="30"/>
        <v>0.94517807118051034</v>
      </c>
      <c r="F1021" s="3">
        <f t="shared" ca="1" si="30"/>
        <v>0.11014187285165888</v>
      </c>
      <c r="G1021" s="3">
        <f t="shared" ca="1" si="31"/>
        <v>5.9927884035118968</v>
      </c>
      <c r="H1021" s="2"/>
      <c r="I1021" s="2"/>
      <c r="J1021" s="2"/>
      <c r="K1021" s="2"/>
    </row>
    <row r="1022" spans="5:11" x14ac:dyDescent="0.25">
      <c r="E1022" s="3">
        <f t="shared" ca="1" si="30"/>
        <v>0.51398636811906961</v>
      </c>
      <c r="F1022" s="3">
        <f t="shared" ca="1" si="30"/>
        <v>2.5506975435319879E-2</v>
      </c>
      <c r="G1022" s="3">
        <f t="shared" ca="1" si="31"/>
        <v>5.6758209742122929</v>
      </c>
      <c r="H1022" s="2"/>
      <c r="I1022" s="2"/>
      <c r="J1022" s="2"/>
      <c r="K1022" s="2"/>
    </row>
    <row r="1023" spans="5:11" x14ac:dyDescent="0.25">
      <c r="E1023" s="3">
        <f t="shared" ca="1" si="30"/>
        <v>0.85309246846366527</v>
      </c>
      <c r="F1023" s="3">
        <f t="shared" ca="1" si="30"/>
        <v>0.32002800501119755</v>
      </c>
      <c r="G1023" s="3">
        <f t="shared" ca="1" si="31"/>
        <v>3.6873372177869288</v>
      </c>
      <c r="H1023" s="2"/>
      <c r="I1023" s="2"/>
      <c r="J1023" s="2"/>
      <c r="K1023" s="2"/>
    </row>
    <row r="1024" spans="5:11" x14ac:dyDescent="0.25">
      <c r="E1024" s="3">
        <f t="shared" ca="1" si="30"/>
        <v>0.92602047231562012</v>
      </c>
      <c r="F1024" s="3">
        <f t="shared" ca="1" si="30"/>
        <v>0.71321775242350394</v>
      </c>
      <c r="G1024" s="3">
        <f t="shared" ca="1" si="31"/>
        <v>8.8313299262120619</v>
      </c>
      <c r="H1024" s="2"/>
      <c r="I1024" s="2"/>
      <c r="J1024" s="2"/>
      <c r="K1024" s="2"/>
    </row>
    <row r="1025" spans="5:11" x14ac:dyDescent="0.25">
      <c r="E1025" s="3">
        <f t="shared" ca="1" si="30"/>
        <v>0.32109757931438154</v>
      </c>
      <c r="F1025" s="3">
        <f t="shared" ca="1" si="30"/>
        <v>0.86364909746459795</v>
      </c>
      <c r="G1025" s="3">
        <f t="shared" ca="1" si="31"/>
        <v>10.950512126975777</v>
      </c>
      <c r="H1025" s="2"/>
      <c r="I1025" s="2"/>
      <c r="J1025" s="2"/>
      <c r="K1025" s="2"/>
    </row>
    <row r="1026" spans="5:11" x14ac:dyDescent="0.25">
      <c r="E1026" s="3">
        <f t="shared" ca="1" si="30"/>
        <v>0.37772178418253455</v>
      </c>
      <c r="F1026" s="3">
        <f t="shared" ca="1" si="30"/>
        <v>0.63172836798937892</v>
      </c>
      <c r="G1026" s="3">
        <f t="shared" ca="1" si="31"/>
        <v>7.2299149721551395</v>
      </c>
      <c r="H1026" s="2"/>
      <c r="I1026" s="2"/>
      <c r="J1026" s="2"/>
      <c r="K1026" s="2"/>
    </row>
    <row r="1027" spans="5:11" x14ac:dyDescent="0.25">
      <c r="E1027" s="3">
        <f t="shared" ca="1" si="30"/>
        <v>0.27148375918270584</v>
      </c>
      <c r="F1027" s="3">
        <f t="shared" ca="1" si="30"/>
        <v>2.1170177023700609E-2</v>
      </c>
      <c r="G1027" s="3">
        <f t="shared" ca="1" si="31"/>
        <v>7.7570251506935479</v>
      </c>
      <c r="H1027" s="2"/>
      <c r="I1027" s="2"/>
      <c r="J1027" s="2"/>
      <c r="K1027" s="2"/>
    </row>
    <row r="1028" spans="5:11" x14ac:dyDescent="0.25">
      <c r="E1028" s="3">
        <f t="shared" ref="E1028:F1091" ca="1" si="32">RAND()</f>
        <v>0.21661708570181093</v>
      </c>
      <c r="F1028" s="3">
        <f t="shared" ca="1" si="32"/>
        <v>0.65388804957451718</v>
      </c>
      <c r="G1028" s="3">
        <f t="shared" ref="G1028:G1091" ca="1" si="33">SQRT(_xlfn.NORM.INV(E1028,$C$3*COS($C$6),$C$4)^2+_xlfn.NORM.INV(F1028,$C$3*SIN($C$6),$C$4)^2)</f>
        <v>8.9174917317221478</v>
      </c>
      <c r="H1028" s="2"/>
      <c r="I1028" s="2"/>
      <c r="J1028" s="2"/>
      <c r="K1028" s="2"/>
    </row>
    <row r="1029" spans="5:11" x14ac:dyDescent="0.25">
      <c r="E1029" s="3">
        <f t="shared" ca="1" si="32"/>
        <v>0.2781380289653278</v>
      </c>
      <c r="F1029" s="3">
        <f t="shared" ca="1" si="32"/>
        <v>2.9582461616858846E-2</v>
      </c>
      <c r="G1029" s="3">
        <f t="shared" ca="1" si="33"/>
        <v>7.1767463933074005</v>
      </c>
      <c r="H1029" s="2"/>
      <c r="I1029" s="2"/>
      <c r="J1029" s="2"/>
      <c r="K1029" s="2"/>
    </row>
    <row r="1030" spans="5:11" x14ac:dyDescent="0.25">
      <c r="E1030" s="3">
        <f t="shared" ca="1" si="32"/>
        <v>0.8925097664294499</v>
      </c>
      <c r="F1030" s="3">
        <f t="shared" ca="1" si="32"/>
        <v>0.80175209969362926</v>
      </c>
      <c r="G1030" s="3">
        <f t="shared" ca="1" si="33"/>
        <v>9.5672831831637311</v>
      </c>
      <c r="H1030" s="2"/>
      <c r="I1030" s="2"/>
      <c r="J1030" s="2"/>
      <c r="K1030" s="2"/>
    </row>
    <row r="1031" spans="5:11" x14ac:dyDescent="0.25">
      <c r="E1031" s="3">
        <f t="shared" ca="1" si="32"/>
        <v>0.62744327292418434</v>
      </c>
      <c r="F1031" s="3">
        <f t="shared" ca="1" si="32"/>
        <v>0.62084462723053446</v>
      </c>
      <c r="G1031" s="3">
        <f t="shared" ca="1" si="33"/>
        <v>6.039866731427586</v>
      </c>
      <c r="H1031" s="2"/>
      <c r="I1031" s="2"/>
      <c r="J1031" s="2"/>
      <c r="K1031" s="2"/>
    </row>
    <row r="1032" spans="5:11" x14ac:dyDescent="0.25">
      <c r="E1032" s="3">
        <f t="shared" ca="1" si="32"/>
        <v>0.2911822993769021</v>
      </c>
      <c r="F1032" s="3">
        <f t="shared" ca="1" si="32"/>
        <v>0.52905911120153337</v>
      </c>
      <c r="G1032" s="3">
        <f t="shared" ca="1" si="33"/>
        <v>6.947873785904271</v>
      </c>
      <c r="H1032" s="2"/>
      <c r="I1032" s="2"/>
      <c r="J1032" s="2"/>
      <c r="K1032" s="2"/>
    </row>
    <row r="1033" spans="5:11" x14ac:dyDescent="0.25">
      <c r="E1033" s="3">
        <f t="shared" ca="1" si="32"/>
        <v>0.79021769603099135</v>
      </c>
      <c r="F1033" s="3">
        <f t="shared" ca="1" si="32"/>
        <v>0.63131951605745629</v>
      </c>
      <c r="G1033" s="3">
        <f t="shared" ca="1" si="33"/>
        <v>6.4036097450585503</v>
      </c>
      <c r="H1033" s="2"/>
      <c r="I1033" s="2"/>
      <c r="J1033" s="2"/>
      <c r="K1033" s="2"/>
    </row>
    <row r="1034" spans="5:11" x14ac:dyDescent="0.25">
      <c r="E1034" s="3">
        <f t="shared" ca="1" si="32"/>
        <v>0.90194762597767342</v>
      </c>
      <c r="F1034" s="3">
        <f t="shared" ca="1" si="32"/>
        <v>0.59367070813676481</v>
      </c>
      <c r="G1034" s="3">
        <f t="shared" ca="1" si="33"/>
        <v>7.0579586548155389</v>
      </c>
      <c r="H1034" s="2"/>
      <c r="I1034" s="2"/>
      <c r="J1034" s="2"/>
      <c r="K1034" s="2"/>
    </row>
    <row r="1035" spans="5:11" x14ac:dyDescent="0.25">
      <c r="E1035" s="3">
        <f t="shared" ca="1" si="32"/>
        <v>8.1306376313738049E-2</v>
      </c>
      <c r="F1035" s="3">
        <f t="shared" ca="1" si="32"/>
        <v>0.74674368977672689</v>
      </c>
      <c r="G1035" s="3">
        <f t="shared" ca="1" si="33"/>
        <v>12.072771898352473</v>
      </c>
      <c r="H1035" s="2"/>
      <c r="I1035" s="2"/>
      <c r="J1035" s="2"/>
      <c r="K1035" s="2"/>
    </row>
    <row r="1036" spans="5:11" x14ac:dyDescent="0.25">
      <c r="E1036" s="3">
        <f t="shared" ca="1" si="32"/>
        <v>0.98862405655775754</v>
      </c>
      <c r="F1036" s="3">
        <f t="shared" ca="1" si="32"/>
        <v>8.9312491937699301E-2</v>
      </c>
      <c r="G1036" s="3">
        <f t="shared" ca="1" si="33"/>
        <v>9.4213607402892912</v>
      </c>
      <c r="H1036" s="2"/>
      <c r="I1036" s="2"/>
      <c r="J1036" s="2"/>
      <c r="K1036" s="2"/>
    </row>
    <row r="1037" spans="5:11" x14ac:dyDescent="0.25">
      <c r="E1037" s="3">
        <f t="shared" ca="1" si="32"/>
        <v>0.1296073927250514</v>
      </c>
      <c r="F1037" s="3">
        <f t="shared" ca="1" si="32"/>
        <v>0.39396934168973952</v>
      </c>
      <c r="G1037" s="3">
        <f t="shared" ca="1" si="33"/>
        <v>8.4785440443386424</v>
      </c>
      <c r="H1037" s="2"/>
      <c r="I1037" s="2"/>
      <c r="J1037" s="2"/>
      <c r="K1037" s="2"/>
    </row>
    <row r="1038" spans="5:11" x14ac:dyDescent="0.25">
      <c r="E1038" s="3">
        <f t="shared" ca="1" si="32"/>
        <v>0.9240579196437928</v>
      </c>
      <c r="F1038" s="3">
        <f t="shared" ca="1" si="32"/>
        <v>0.15421919971876352</v>
      </c>
      <c r="G1038" s="3">
        <f t="shared" ca="1" si="33"/>
        <v>4.9633675239364914</v>
      </c>
      <c r="H1038" s="2"/>
      <c r="I1038" s="2"/>
      <c r="J1038" s="2"/>
      <c r="K1038" s="2"/>
    </row>
    <row r="1039" spans="5:11" x14ac:dyDescent="0.25">
      <c r="E1039" s="3">
        <f t="shared" ca="1" si="32"/>
        <v>0.66674847024708472</v>
      </c>
      <c r="F1039" s="3">
        <f t="shared" ca="1" si="32"/>
        <v>0.3371089787860525</v>
      </c>
      <c r="G1039" s="3">
        <f t="shared" ca="1" si="33"/>
        <v>2.369699126181593</v>
      </c>
      <c r="H1039" s="2"/>
      <c r="I1039" s="2"/>
      <c r="J1039" s="2"/>
      <c r="K1039" s="2"/>
    </row>
    <row r="1040" spans="5:11" x14ac:dyDescent="0.25">
      <c r="E1040" s="3">
        <f t="shared" ca="1" si="32"/>
        <v>0.65446413368345024</v>
      </c>
      <c r="F1040" s="3">
        <f t="shared" ca="1" si="32"/>
        <v>0.83754087712881631</v>
      </c>
      <c r="G1040" s="3">
        <f t="shared" ca="1" si="33"/>
        <v>9.3954065463973446</v>
      </c>
      <c r="H1040" s="2"/>
      <c r="I1040" s="2"/>
      <c r="J1040" s="2"/>
      <c r="K1040" s="2"/>
    </row>
    <row r="1041" spans="5:11" x14ac:dyDescent="0.25">
      <c r="E1041" s="3">
        <f t="shared" ca="1" si="32"/>
        <v>0.18264769805577441</v>
      </c>
      <c r="F1041" s="3">
        <f t="shared" ca="1" si="32"/>
        <v>0.74750007698415644</v>
      </c>
      <c r="G1041" s="3">
        <f t="shared" ca="1" si="33"/>
        <v>10.328691399804546</v>
      </c>
      <c r="H1041" s="2"/>
      <c r="I1041" s="2"/>
      <c r="J1041" s="2"/>
      <c r="K1041" s="2"/>
    </row>
    <row r="1042" spans="5:11" x14ac:dyDescent="0.25">
      <c r="E1042" s="3">
        <f t="shared" ca="1" si="32"/>
        <v>9.3297936198180054E-3</v>
      </c>
      <c r="F1042" s="3">
        <f t="shared" ca="1" si="32"/>
        <v>0.18441702994976017</v>
      </c>
      <c r="G1042" s="3">
        <f t="shared" ca="1" si="33"/>
        <v>14.001701416532834</v>
      </c>
      <c r="H1042" s="2"/>
      <c r="I1042" s="2"/>
      <c r="J1042" s="2"/>
      <c r="K1042" s="2"/>
    </row>
    <row r="1043" spans="5:11" x14ac:dyDescent="0.25">
      <c r="E1043" s="3">
        <f t="shared" ca="1" si="32"/>
        <v>0.4511645679188967</v>
      </c>
      <c r="F1043" s="3">
        <f t="shared" ca="1" si="32"/>
        <v>0.71136600138811823</v>
      </c>
      <c r="G1043" s="3">
        <f t="shared" ca="1" si="33"/>
        <v>7.7979138277808797</v>
      </c>
      <c r="H1043" s="2"/>
      <c r="I1043" s="2"/>
      <c r="J1043" s="2"/>
      <c r="K1043" s="2"/>
    </row>
    <row r="1044" spans="5:11" x14ac:dyDescent="0.25">
      <c r="E1044" s="3">
        <f t="shared" ca="1" si="32"/>
        <v>0.70352977727305521</v>
      </c>
      <c r="F1044" s="3">
        <f t="shared" ca="1" si="32"/>
        <v>0.61310214880174796</v>
      </c>
      <c r="G1044" s="3">
        <f t="shared" ca="1" si="33"/>
        <v>5.9228653715238568</v>
      </c>
      <c r="H1044" s="2"/>
      <c r="I1044" s="2"/>
      <c r="J1044" s="2"/>
      <c r="K1044" s="2"/>
    </row>
    <row r="1045" spans="5:11" x14ac:dyDescent="0.25">
      <c r="E1045" s="3">
        <f t="shared" ca="1" si="32"/>
        <v>0.61234759105349601</v>
      </c>
      <c r="F1045" s="3">
        <f t="shared" ca="1" si="32"/>
        <v>0.82271082441318011</v>
      </c>
      <c r="G1045" s="3">
        <f t="shared" ca="1" si="33"/>
        <v>9.1349734737556023</v>
      </c>
      <c r="H1045" s="2"/>
      <c r="I1045" s="2"/>
      <c r="J1045" s="2"/>
      <c r="K1045" s="2"/>
    </row>
    <row r="1046" spans="5:11" x14ac:dyDescent="0.25">
      <c r="E1046" s="3">
        <f t="shared" ca="1" si="32"/>
        <v>0.98253691021408629</v>
      </c>
      <c r="F1046" s="3">
        <f t="shared" ca="1" si="32"/>
        <v>0.88805037417541388</v>
      </c>
      <c r="G1046" s="3">
        <f t="shared" ca="1" si="33"/>
        <v>13.427974530794872</v>
      </c>
      <c r="H1046" s="2"/>
      <c r="I1046" s="2"/>
      <c r="J1046" s="2"/>
      <c r="K1046" s="2"/>
    </row>
    <row r="1047" spans="5:11" x14ac:dyDescent="0.25">
      <c r="E1047" s="3">
        <f t="shared" ca="1" si="32"/>
        <v>0.87821767465681277</v>
      </c>
      <c r="F1047" s="3">
        <f t="shared" ca="1" si="32"/>
        <v>0.81176771546468673</v>
      </c>
      <c r="G1047" s="3">
        <f t="shared" ca="1" si="33"/>
        <v>9.5895694526190614</v>
      </c>
      <c r="H1047" s="2"/>
      <c r="I1047" s="2"/>
      <c r="J1047" s="2"/>
      <c r="K1047" s="2"/>
    </row>
    <row r="1048" spans="5:11" x14ac:dyDescent="0.25">
      <c r="E1048" s="3">
        <f t="shared" ca="1" si="32"/>
        <v>0.81898139963789773</v>
      </c>
      <c r="F1048" s="3">
        <f t="shared" ca="1" si="32"/>
        <v>0.41277264011655335</v>
      </c>
      <c r="G1048" s="3">
        <f t="shared" ca="1" si="33"/>
        <v>4.0879776467868094</v>
      </c>
      <c r="H1048" s="2"/>
      <c r="I1048" s="2"/>
      <c r="J1048" s="2"/>
      <c r="K1048" s="2"/>
    </row>
    <row r="1049" spans="5:11" x14ac:dyDescent="0.25">
      <c r="E1049" s="3">
        <f t="shared" ca="1" si="32"/>
        <v>0.72617103570235431</v>
      </c>
      <c r="F1049" s="3">
        <f t="shared" ca="1" si="32"/>
        <v>0.92369077375637088</v>
      </c>
      <c r="G1049" s="3">
        <f t="shared" ca="1" si="33"/>
        <v>11.64691741376061</v>
      </c>
      <c r="H1049" s="2"/>
      <c r="I1049" s="2"/>
      <c r="J1049" s="2"/>
      <c r="K1049" s="2"/>
    </row>
    <row r="1050" spans="5:11" x14ac:dyDescent="0.25">
      <c r="E1050" s="3">
        <f t="shared" ca="1" si="32"/>
        <v>9.3799588469434592E-2</v>
      </c>
      <c r="F1050" s="3">
        <f t="shared" ca="1" si="32"/>
        <v>0.94710085391313248</v>
      </c>
      <c r="G1050" s="3">
        <f t="shared" ca="1" si="33"/>
        <v>15.350060442982352</v>
      </c>
      <c r="H1050" s="2"/>
      <c r="I1050" s="2"/>
      <c r="J1050" s="2"/>
      <c r="K1050" s="2"/>
    </row>
    <row r="1051" spans="5:11" x14ac:dyDescent="0.25">
      <c r="E1051" s="3">
        <f t="shared" ca="1" si="32"/>
        <v>0.6650954371892569</v>
      </c>
      <c r="F1051" s="3">
        <f t="shared" ca="1" si="32"/>
        <v>0.2886064553719605</v>
      </c>
      <c r="G1051" s="3">
        <f t="shared" ca="1" si="33"/>
        <v>1.6861640808313865</v>
      </c>
      <c r="H1051" s="2"/>
      <c r="I1051" s="2"/>
      <c r="J1051" s="2"/>
      <c r="K1051" s="2"/>
    </row>
    <row r="1052" spans="5:11" x14ac:dyDescent="0.25">
      <c r="E1052" s="3">
        <f t="shared" ca="1" si="32"/>
        <v>0.52519048211362573</v>
      </c>
      <c r="F1052" s="3">
        <f t="shared" ca="1" si="32"/>
        <v>0.27789351528627371</v>
      </c>
      <c r="G1052" s="3">
        <f t="shared" ca="1" si="33"/>
        <v>2.45506905462616</v>
      </c>
      <c r="H1052" s="2"/>
      <c r="I1052" s="2"/>
      <c r="J1052" s="2"/>
      <c r="K1052" s="2"/>
    </row>
    <row r="1053" spans="5:11" x14ac:dyDescent="0.25">
      <c r="E1053" s="3">
        <f t="shared" ca="1" si="32"/>
        <v>0.63753537231467317</v>
      </c>
      <c r="F1053" s="3">
        <f t="shared" ca="1" si="32"/>
        <v>0.93120317827945831</v>
      </c>
      <c r="G1053" s="3">
        <f t="shared" ca="1" si="33"/>
        <v>11.903764030535887</v>
      </c>
      <c r="H1053" s="2"/>
      <c r="I1053" s="2"/>
      <c r="J1053" s="2"/>
      <c r="K1053" s="2"/>
    </row>
    <row r="1054" spans="5:11" x14ac:dyDescent="0.25">
      <c r="E1054" s="3">
        <f t="shared" ca="1" si="32"/>
        <v>0.46906405659868933</v>
      </c>
      <c r="F1054" s="3">
        <f t="shared" ca="1" si="32"/>
        <v>0.54268312262346075</v>
      </c>
      <c r="G1054" s="3">
        <f t="shared" ca="1" si="33"/>
        <v>5.6540754982356702</v>
      </c>
      <c r="H1054" s="2"/>
      <c r="I1054" s="2"/>
      <c r="J1054" s="2"/>
      <c r="K1054" s="2"/>
    </row>
    <row r="1055" spans="5:11" x14ac:dyDescent="0.25">
      <c r="E1055" s="3">
        <f t="shared" ca="1" si="32"/>
        <v>0.74264203828530628</v>
      </c>
      <c r="F1055" s="3">
        <f t="shared" ca="1" si="32"/>
        <v>0.63001548443376176</v>
      </c>
      <c r="G1055" s="3">
        <f t="shared" ca="1" si="33"/>
        <v>6.2132842385409157</v>
      </c>
      <c r="H1055" s="2"/>
      <c r="I1055" s="2"/>
      <c r="J1055" s="2"/>
      <c r="K1055" s="2"/>
    </row>
    <row r="1056" spans="5:11" x14ac:dyDescent="0.25">
      <c r="E1056" s="3">
        <f t="shared" ca="1" si="32"/>
        <v>1.2100135214835106E-2</v>
      </c>
      <c r="F1056" s="3">
        <f t="shared" ca="1" si="32"/>
        <v>0.96257257283937925</v>
      </c>
      <c r="G1056" s="3">
        <f t="shared" ca="1" si="33"/>
        <v>19.012064279858294</v>
      </c>
      <c r="H1056" s="2"/>
      <c r="I1056" s="2"/>
      <c r="J1056" s="2"/>
      <c r="K1056" s="2"/>
    </row>
    <row r="1057" spans="5:11" x14ac:dyDescent="0.25">
      <c r="E1057" s="3">
        <f t="shared" ca="1" si="32"/>
        <v>0.3525957478701266</v>
      </c>
      <c r="F1057" s="3">
        <f t="shared" ca="1" si="32"/>
        <v>0.67696828661950326</v>
      </c>
      <c r="G1057" s="3">
        <f t="shared" ca="1" si="33"/>
        <v>7.9280718906730305</v>
      </c>
      <c r="H1057" s="2"/>
      <c r="I1057" s="2"/>
      <c r="J1057" s="2"/>
      <c r="K1057" s="2"/>
    </row>
    <row r="1058" spans="5:11" x14ac:dyDescent="0.25">
      <c r="E1058" s="3">
        <f t="shared" ca="1" si="32"/>
        <v>0.93528371330928695</v>
      </c>
      <c r="F1058" s="3">
        <f t="shared" ca="1" si="32"/>
        <v>0.20004050762226722</v>
      </c>
      <c r="G1058" s="3">
        <f t="shared" ca="1" si="33"/>
        <v>5.3477996301935207</v>
      </c>
      <c r="H1058" s="2"/>
      <c r="I1058" s="2"/>
      <c r="J1058" s="2"/>
      <c r="K1058" s="2"/>
    </row>
    <row r="1059" spans="5:11" x14ac:dyDescent="0.25">
      <c r="E1059" s="3">
        <f t="shared" ca="1" si="32"/>
        <v>0.71013815615271336</v>
      </c>
      <c r="F1059" s="3">
        <f t="shared" ca="1" si="32"/>
        <v>0.88485734909633862</v>
      </c>
      <c r="G1059" s="3">
        <f t="shared" ca="1" si="33"/>
        <v>10.481440937091962</v>
      </c>
      <c r="H1059" s="2"/>
      <c r="I1059" s="2"/>
      <c r="J1059" s="2"/>
      <c r="K1059" s="2"/>
    </row>
    <row r="1060" spans="5:11" x14ac:dyDescent="0.25">
      <c r="E1060" s="3">
        <f t="shared" ca="1" si="32"/>
        <v>0.39609076111592367</v>
      </c>
      <c r="F1060" s="3">
        <f t="shared" ca="1" si="32"/>
        <v>0.53350464202294445</v>
      </c>
      <c r="G1060" s="3">
        <f t="shared" ca="1" si="33"/>
        <v>6.0476153667808035</v>
      </c>
      <c r="H1060" s="2"/>
      <c r="I1060" s="2"/>
      <c r="J1060" s="2"/>
      <c r="K1060" s="2"/>
    </row>
    <row r="1061" spans="5:11" x14ac:dyDescent="0.25">
      <c r="E1061" s="3">
        <f t="shared" ca="1" si="32"/>
        <v>0.16536664934585721</v>
      </c>
      <c r="F1061" s="3">
        <f t="shared" ca="1" si="32"/>
        <v>3.2766523097731426E-2</v>
      </c>
      <c r="G1061" s="3">
        <f t="shared" ca="1" si="33"/>
        <v>8.5387082126898317</v>
      </c>
      <c r="H1061" s="2"/>
      <c r="I1061" s="2"/>
      <c r="J1061" s="2"/>
      <c r="K1061" s="2"/>
    </row>
    <row r="1062" spans="5:11" x14ac:dyDescent="0.25">
      <c r="E1062" s="3">
        <f t="shared" ca="1" si="32"/>
        <v>0.56949890928694369</v>
      </c>
      <c r="F1062" s="3">
        <f t="shared" ca="1" si="32"/>
        <v>0.26317340513555021</v>
      </c>
      <c r="G1062" s="3">
        <f t="shared" ca="1" si="33"/>
        <v>1.886304023371582</v>
      </c>
      <c r="H1062" s="2"/>
      <c r="I1062" s="2"/>
      <c r="J1062" s="2"/>
      <c r="K1062" s="2"/>
    </row>
    <row r="1063" spans="5:11" x14ac:dyDescent="0.25">
      <c r="E1063" s="3">
        <f t="shared" ca="1" si="32"/>
        <v>0.76655484497592608</v>
      </c>
      <c r="F1063" s="3">
        <f t="shared" ca="1" si="32"/>
        <v>0.22155037052214988</v>
      </c>
      <c r="G1063" s="3">
        <f t="shared" ca="1" si="33"/>
        <v>1.5349455106925514</v>
      </c>
      <c r="H1063" s="2"/>
      <c r="I1063" s="2"/>
      <c r="J1063" s="2"/>
      <c r="K1063" s="2"/>
    </row>
    <row r="1064" spans="5:11" x14ac:dyDescent="0.25">
      <c r="E1064" s="3">
        <f t="shared" ca="1" si="32"/>
        <v>0.8966219350434731</v>
      </c>
      <c r="F1064" s="3">
        <f t="shared" ca="1" si="32"/>
        <v>0.71338226378240754</v>
      </c>
      <c r="G1064" s="3">
        <f t="shared" ca="1" si="33"/>
        <v>8.3472167274791023</v>
      </c>
      <c r="H1064" s="2"/>
      <c r="I1064" s="2"/>
      <c r="J1064" s="2"/>
      <c r="K1064" s="2"/>
    </row>
    <row r="1065" spans="5:11" x14ac:dyDescent="0.25">
      <c r="E1065" s="3">
        <f t="shared" ca="1" si="32"/>
        <v>0.83754214908033864</v>
      </c>
      <c r="F1065" s="3">
        <f t="shared" ca="1" si="32"/>
        <v>0.43391986609034705</v>
      </c>
      <c r="G1065" s="3">
        <f t="shared" ca="1" si="33"/>
        <v>4.5195279386355489</v>
      </c>
      <c r="H1065" s="2"/>
      <c r="I1065" s="2"/>
      <c r="J1065" s="2"/>
      <c r="K1065" s="2"/>
    </row>
    <row r="1066" spans="5:11" x14ac:dyDescent="0.25">
      <c r="E1066" s="3">
        <f t="shared" ca="1" si="32"/>
        <v>0.89842358069141792</v>
      </c>
      <c r="F1066" s="3">
        <f t="shared" ca="1" si="32"/>
        <v>0.45447602469308801</v>
      </c>
      <c r="G1066" s="3">
        <f t="shared" ca="1" si="33"/>
        <v>5.6738648727834384</v>
      </c>
      <c r="H1066" s="2"/>
      <c r="I1066" s="2"/>
      <c r="J1066" s="2"/>
      <c r="K1066" s="2"/>
    </row>
    <row r="1067" spans="5:11" x14ac:dyDescent="0.25">
      <c r="E1067" s="3">
        <f t="shared" ca="1" si="32"/>
        <v>9.4387484541721522E-2</v>
      </c>
      <c r="F1067" s="3">
        <f t="shared" ca="1" si="32"/>
        <v>0.40754415303791092</v>
      </c>
      <c r="G1067" s="3">
        <f t="shared" ca="1" si="33"/>
        <v>9.4093316257518804</v>
      </c>
      <c r="H1067" s="2"/>
      <c r="I1067" s="2"/>
      <c r="J1067" s="2"/>
      <c r="K1067" s="2"/>
    </row>
    <row r="1068" spans="5:11" x14ac:dyDescent="0.25">
      <c r="E1068" s="3">
        <f t="shared" ca="1" si="32"/>
        <v>5.3832836111762594E-2</v>
      </c>
      <c r="F1068" s="3">
        <f t="shared" ca="1" si="32"/>
        <v>0.9846137299739115</v>
      </c>
      <c r="G1068" s="3">
        <f t="shared" ca="1" si="33"/>
        <v>18.410275499073876</v>
      </c>
      <c r="H1068" s="2"/>
      <c r="I1068" s="2"/>
      <c r="J1068" s="2"/>
      <c r="K1068" s="2"/>
    </row>
    <row r="1069" spans="5:11" x14ac:dyDescent="0.25">
      <c r="E1069" s="3">
        <f t="shared" ca="1" si="32"/>
        <v>0.90714238320180074</v>
      </c>
      <c r="F1069" s="3">
        <f t="shared" ca="1" si="32"/>
        <v>0.16663391928815052</v>
      </c>
      <c r="G1069" s="3">
        <f t="shared" ca="1" si="33"/>
        <v>4.3918649936173999</v>
      </c>
      <c r="H1069" s="2"/>
      <c r="I1069" s="2"/>
      <c r="J1069" s="2"/>
      <c r="K1069" s="2"/>
    </row>
    <row r="1070" spans="5:11" x14ac:dyDescent="0.25">
      <c r="E1070" s="3">
        <f t="shared" ca="1" si="32"/>
        <v>0.76977753637990076</v>
      </c>
      <c r="F1070" s="3">
        <f t="shared" ca="1" si="32"/>
        <v>0.16866777017734769</v>
      </c>
      <c r="G1070" s="3">
        <f t="shared" ca="1" si="33"/>
        <v>1.4866649486094718</v>
      </c>
      <c r="H1070" s="2"/>
      <c r="I1070" s="2"/>
      <c r="J1070" s="2"/>
      <c r="K1070" s="2"/>
    </row>
    <row r="1071" spans="5:11" x14ac:dyDescent="0.25">
      <c r="E1071" s="3">
        <f t="shared" ca="1" si="32"/>
        <v>0.20725051571888675</v>
      </c>
      <c r="F1071" s="3">
        <f t="shared" ca="1" si="32"/>
        <v>0.7319401523494834</v>
      </c>
      <c r="G1071" s="3">
        <f t="shared" ca="1" si="33"/>
        <v>9.8566008837707475</v>
      </c>
      <c r="H1071" s="2"/>
      <c r="I1071" s="2"/>
      <c r="J1071" s="2"/>
      <c r="K1071" s="2"/>
    </row>
    <row r="1072" spans="5:11" x14ac:dyDescent="0.25">
      <c r="E1072" s="3">
        <f t="shared" ca="1" si="32"/>
        <v>0.44352013621940556</v>
      </c>
      <c r="F1072" s="3">
        <f t="shared" ca="1" si="32"/>
        <v>7.7061957666632819E-2</v>
      </c>
      <c r="G1072" s="3">
        <f t="shared" ca="1" si="33"/>
        <v>3.9696759829190627</v>
      </c>
      <c r="H1072" s="2"/>
      <c r="I1072" s="2"/>
      <c r="J1072" s="2"/>
      <c r="K1072" s="2"/>
    </row>
    <row r="1073" spans="5:11" x14ac:dyDescent="0.25">
      <c r="E1073" s="3">
        <f t="shared" ca="1" si="32"/>
        <v>0.86666300706135146</v>
      </c>
      <c r="F1073" s="3">
        <f t="shared" ca="1" si="32"/>
        <v>0.66913437628629602</v>
      </c>
      <c r="G1073" s="3">
        <f t="shared" ca="1" si="33"/>
        <v>7.4365547360611117</v>
      </c>
      <c r="H1073" s="2"/>
      <c r="I1073" s="2"/>
      <c r="J1073" s="2"/>
      <c r="K1073" s="2"/>
    </row>
    <row r="1074" spans="5:11" x14ac:dyDescent="0.25">
      <c r="E1074" s="3">
        <f t="shared" ca="1" si="32"/>
        <v>0.99105771532170284</v>
      </c>
      <c r="F1074" s="3">
        <f t="shared" ca="1" si="32"/>
        <v>0.29217614974508765</v>
      </c>
      <c r="G1074" s="3">
        <f t="shared" ca="1" si="33"/>
        <v>9.7551199975209215</v>
      </c>
      <c r="H1074" s="2"/>
      <c r="I1074" s="2"/>
      <c r="J1074" s="2"/>
      <c r="K1074" s="2"/>
    </row>
    <row r="1075" spans="5:11" x14ac:dyDescent="0.25">
      <c r="E1075" s="3">
        <f t="shared" ca="1" si="32"/>
        <v>0.69175068601363066</v>
      </c>
      <c r="F1075" s="3">
        <f t="shared" ca="1" si="32"/>
        <v>0.97828560347083859</v>
      </c>
      <c r="G1075" s="3">
        <f t="shared" ca="1" si="33"/>
        <v>14.570182554250712</v>
      </c>
      <c r="H1075" s="2"/>
      <c r="I1075" s="2"/>
      <c r="J1075" s="2"/>
      <c r="K1075" s="2"/>
    </row>
    <row r="1076" spans="5:11" x14ac:dyDescent="0.25">
      <c r="E1076" s="3">
        <f t="shared" ca="1" si="32"/>
        <v>0.86644310990323914</v>
      </c>
      <c r="F1076" s="3">
        <f t="shared" ca="1" si="32"/>
        <v>0.24872798581232824</v>
      </c>
      <c r="G1076" s="3">
        <f t="shared" ca="1" si="33"/>
        <v>3.4793454019451757</v>
      </c>
      <c r="H1076" s="2"/>
      <c r="I1076" s="2"/>
      <c r="J1076" s="2"/>
      <c r="K1076" s="2"/>
    </row>
    <row r="1077" spans="5:11" x14ac:dyDescent="0.25">
      <c r="E1077" s="3">
        <f t="shared" ca="1" si="32"/>
        <v>0.27947770830334073</v>
      </c>
      <c r="F1077" s="3">
        <f t="shared" ca="1" si="32"/>
        <v>0.63408340452032319</v>
      </c>
      <c r="G1077" s="3">
        <f t="shared" ca="1" si="33"/>
        <v>8.0550882425415153</v>
      </c>
      <c r="H1077" s="2"/>
      <c r="I1077" s="2"/>
      <c r="J1077" s="2"/>
      <c r="K1077" s="2"/>
    </row>
    <row r="1078" spans="5:11" x14ac:dyDescent="0.25">
      <c r="E1078" s="3">
        <f t="shared" ca="1" si="32"/>
        <v>0.42863687309713883</v>
      </c>
      <c r="F1078" s="3">
        <f t="shared" ca="1" si="32"/>
        <v>0.83786401822003798</v>
      </c>
      <c r="G1078" s="3">
        <f t="shared" ca="1" si="33"/>
        <v>9.9090947816626667</v>
      </c>
      <c r="H1078" s="2"/>
      <c r="I1078" s="2"/>
      <c r="J1078" s="2"/>
      <c r="K1078" s="2"/>
    </row>
    <row r="1079" spans="5:11" x14ac:dyDescent="0.25">
      <c r="E1079" s="3">
        <f t="shared" ca="1" si="32"/>
        <v>0.56645954405591126</v>
      </c>
      <c r="F1079" s="3">
        <f t="shared" ca="1" si="32"/>
        <v>0.22770383219027091</v>
      </c>
      <c r="G1079" s="3">
        <f t="shared" ca="1" si="33"/>
        <v>1.5856531522490136</v>
      </c>
      <c r="H1079" s="2"/>
      <c r="I1079" s="2"/>
      <c r="J1079" s="2"/>
      <c r="K1079" s="2"/>
    </row>
    <row r="1080" spans="5:11" x14ac:dyDescent="0.25">
      <c r="E1080" s="3">
        <f t="shared" ca="1" si="32"/>
        <v>0.74453252128665171</v>
      </c>
      <c r="F1080" s="3">
        <f t="shared" ca="1" si="32"/>
        <v>0.66630204675529281</v>
      </c>
      <c r="G1080" s="3">
        <f t="shared" ca="1" si="33"/>
        <v>6.7008367243032891</v>
      </c>
      <c r="H1080" s="2"/>
      <c r="I1080" s="2"/>
      <c r="J1080" s="2"/>
      <c r="K1080" s="2"/>
    </row>
    <row r="1081" spans="5:11" x14ac:dyDescent="0.25">
      <c r="E1081" s="3">
        <f t="shared" ca="1" si="32"/>
        <v>0.94198636223075227</v>
      </c>
      <c r="F1081" s="3">
        <f t="shared" ca="1" si="32"/>
        <v>0.37342414267855373</v>
      </c>
      <c r="G1081" s="3">
        <f t="shared" ca="1" si="33"/>
        <v>6.3022519069874141</v>
      </c>
      <c r="H1081" s="2"/>
      <c r="I1081" s="2"/>
      <c r="J1081" s="2"/>
      <c r="K1081" s="2"/>
    </row>
    <row r="1082" spans="5:11" x14ac:dyDescent="0.25">
      <c r="E1082" s="3">
        <f t="shared" ca="1" si="32"/>
        <v>0.22256072934693627</v>
      </c>
      <c r="F1082" s="3">
        <f t="shared" ca="1" si="32"/>
        <v>3.8893079805594755E-2</v>
      </c>
      <c r="G1082" s="3">
        <f t="shared" ca="1" si="33"/>
        <v>7.4572696094980433</v>
      </c>
      <c r="H1082" s="2"/>
      <c r="I1082" s="2"/>
      <c r="J1082" s="2"/>
      <c r="K1082" s="2"/>
    </row>
    <row r="1083" spans="5:11" x14ac:dyDescent="0.25">
      <c r="E1083" s="3">
        <f t="shared" ca="1" si="32"/>
        <v>0.4343507578657303</v>
      </c>
      <c r="F1083" s="3">
        <f t="shared" ca="1" si="32"/>
        <v>2.1138240785721019E-2</v>
      </c>
      <c r="G1083" s="3">
        <f t="shared" ca="1" si="33"/>
        <v>6.458583714372379</v>
      </c>
      <c r="H1083" s="2"/>
      <c r="I1083" s="2"/>
      <c r="J1083" s="2"/>
      <c r="K1083" s="2"/>
    </row>
    <row r="1084" spans="5:11" x14ac:dyDescent="0.25">
      <c r="E1084" s="3">
        <f t="shared" ca="1" si="32"/>
        <v>0.66144005211146484</v>
      </c>
      <c r="F1084" s="3">
        <f t="shared" ca="1" si="32"/>
        <v>0.7514032932393121</v>
      </c>
      <c r="G1084" s="3">
        <f t="shared" ca="1" si="33"/>
        <v>7.8661396798377101</v>
      </c>
      <c r="H1084" s="2"/>
      <c r="I1084" s="2"/>
      <c r="J1084" s="2"/>
      <c r="K1084" s="2"/>
    </row>
    <row r="1085" spans="5:11" x14ac:dyDescent="0.25">
      <c r="E1085" s="3">
        <f t="shared" ca="1" si="32"/>
        <v>0.25023700480571665</v>
      </c>
      <c r="F1085" s="3">
        <f t="shared" ca="1" si="32"/>
        <v>9.7184265277253767E-2</v>
      </c>
      <c r="G1085" s="3">
        <f t="shared" ca="1" si="33"/>
        <v>5.9613397846255101</v>
      </c>
      <c r="H1085" s="2"/>
      <c r="I1085" s="2"/>
      <c r="J1085" s="2"/>
      <c r="K1085" s="2"/>
    </row>
    <row r="1086" spans="5:11" x14ac:dyDescent="0.25">
      <c r="E1086" s="3">
        <f t="shared" ca="1" si="32"/>
        <v>0.97830105952400748</v>
      </c>
      <c r="F1086" s="3">
        <f t="shared" ca="1" si="32"/>
        <v>0.70071705502402792</v>
      </c>
      <c r="G1086" s="3">
        <f t="shared" ca="1" si="33"/>
        <v>10.592711795133626</v>
      </c>
      <c r="H1086" s="2"/>
      <c r="I1086" s="2"/>
      <c r="J1086" s="2"/>
      <c r="K1086" s="2"/>
    </row>
    <row r="1087" spans="5:11" x14ac:dyDescent="0.25">
      <c r="E1087" s="3">
        <f t="shared" ca="1" si="32"/>
        <v>0.7962632093384252</v>
      </c>
      <c r="F1087" s="3">
        <f t="shared" ca="1" si="32"/>
        <v>0.17029635551802647</v>
      </c>
      <c r="G1087" s="3">
        <f t="shared" ca="1" si="33"/>
        <v>1.9241180097545998</v>
      </c>
      <c r="H1087" s="2"/>
      <c r="I1087" s="2"/>
      <c r="J1087" s="2"/>
      <c r="K1087" s="2"/>
    </row>
    <row r="1088" spans="5:11" x14ac:dyDescent="0.25">
      <c r="E1088" s="3">
        <f t="shared" ca="1" si="32"/>
        <v>0.75486577405056754</v>
      </c>
      <c r="F1088" s="3">
        <f t="shared" ca="1" si="32"/>
        <v>0.91269206530450275</v>
      </c>
      <c r="G1088" s="3">
        <f t="shared" ca="1" si="33"/>
        <v>11.322324187773154</v>
      </c>
      <c r="H1088" s="2"/>
      <c r="I1088" s="2"/>
      <c r="J1088" s="2"/>
      <c r="K1088" s="2"/>
    </row>
    <row r="1089" spans="5:11" x14ac:dyDescent="0.25">
      <c r="E1089" s="3">
        <f t="shared" ca="1" si="32"/>
        <v>0.6876686458407627</v>
      </c>
      <c r="F1089" s="3">
        <f t="shared" ca="1" si="32"/>
        <v>0.9781683142570663</v>
      </c>
      <c r="G1089" s="3">
        <f t="shared" ca="1" si="33"/>
        <v>14.55797987309872</v>
      </c>
      <c r="H1089" s="2"/>
      <c r="I1089" s="2"/>
      <c r="J1089" s="2"/>
      <c r="K1089" s="2"/>
    </row>
    <row r="1090" spans="5:11" x14ac:dyDescent="0.25">
      <c r="E1090" s="3">
        <f t="shared" ca="1" si="32"/>
        <v>0.11410227059924916</v>
      </c>
      <c r="F1090" s="3">
        <f t="shared" ca="1" si="32"/>
        <v>0.45025575755601288</v>
      </c>
      <c r="G1090" s="3">
        <f t="shared" ca="1" si="33"/>
        <v>9.1158848373215129</v>
      </c>
      <c r="H1090" s="2"/>
      <c r="I1090" s="2"/>
      <c r="J1090" s="2"/>
      <c r="K1090" s="2"/>
    </row>
    <row r="1091" spans="5:11" x14ac:dyDescent="0.25">
      <c r="E1091" s="3">
        <f t="shared" ca="1" si="32"/>
        <v>0.12133229271423285</v>
      </c>
      <c r="F1091" s="3">
        <f t="shared" ca="1" si="32"/>
        <v>0.68106853059427364</v>
      </c>
      <c r="G1091" s="3">
        <f t="shared" ca="1" si="33"/>
        <v>10.577334428238874</v>
      </c>
      <c r="H1091" s="2"/>
      <c r="I1091" s="2"/>
      <c r="J1091" s="2"/>
      <c r="K1091" s="2"/>
    </row>
    <row r="1092" spans="5:11" x14ac:dyDescent="0.25">
      <c r="E1092" s="3">
        <f t="shared" ref="E1092:F1155" ca="1" si="34">RAND()</f>
        <v>0.48688196873199641</v>
      </c>
      <c r="F1092" s="3">
        <f t="shared" ca="1" si="34"/>
        <v>0.35622347853919589</v>
      </c>
      <c r="G1092" s="3">
        <f t="shared" ref="G1092:G1155" ca="1" si="35">SQRT(_xlfn.NORM.INV(E1092,$C$3*COS($C$6),$C$4)^2+_xlfn.NORM.INV(F1092,$C$3*SIN($C$6),$C$4)^2)</f>
        <v>3.5615845339005268</v>
      </c>
      <c r="H1092" s="2"/>
      <c r="I1092" s="2"/>
      <c r="J1092" s="2"/>
      <c r="K1092" s="2"/>
    </row>
    <row r="1093" spans="5:11" x14ac:dyDescent="0.25">
      <c r="E1093" s="3">
        <f t="shared" ca="1" si="34"/>
        <v>0.26717744792974107</v>
      </c>
      <c r="F1093" s="3">
        <f t="shared" ca="1" si="34"/>
        <v>0.47246186774525645</v>
      </c>
      <c r="G1093" s="3">
        <f t="shared" ca="1" si="35"/>
        <v>6.7531415645857082</v>
      </c>
      <c r="H1093" s="2"/>
      <c r="I1093" s="2"/>
      <c r="J1093" s="2"/>
      <c r="K1093" s="2"/>
    </row>
    <row r="1094" spans="5:11" x14ac:dyDescent="0.25">
      <c r="E1094" s="3">
        <f t="shared" ca="1" si="34"/>
        <v>0.88649815839648605</v>
      </c>
      <c r="F1094" s="3">
        <f t="shared" ca="1" si="34"/>
        <v>0.74340265323432231</v>
      </c>
      <c r="G1094" s="3">
        <f t="shared" ca="1" si="35"/>
        <v>8.6220005125638934</v>
      </c>
      <c r="H1094" s="2"/>
      <c r="I1094" s="2"/>
      <c r="J1094" s="2"/>
      <c r="K1094" s="2"/>
    </row>
    <row r="1095" spans="5:11" x14ac:dyDescent="0.25">
      <c r="E1095" s="3">
        <f t="shared" ca="1" si="34"/>
        <v>0.15277126692734233</v>
      </c>
      <c r="F1095" s="3">
        <f t="shared" ca="1" si="34"/>
        <v>4.1216427190492788E-2</v>
      </c>
      <c r="G1095" s="3">
        <f t="shared" ca="1" si="35"/>
        <v>8.4838741901901127</v>
      </c>
      <c r="H1095" s="2"/>
      <c r="I1095" s="2"/>
      <c r="J1095" s="2"/>
      <c r="K1095" s="2"/>
    </row>
    <row r="1096" spans="5:11" x14ac:dyDescent="0.25">
      <c r="E1096" s="3">
        <f t="shared" ca="1" si="34"/>
        <v>0.80808717340880976</v>
      </c>
      <c r="F1096" s="3">
        <f t="shared" ca="1" si="34"/>
        <v>0.22630871700884503</v>
      </c>
      <c r="G1096" s="3">
        <f t="shared" ca="1" si="35"/>
        <v>2.2315202039775608</v>
      </c>
      <c r="H1096" s="2"/>
      <c r="I1096" s="2"/>
      <c r="J1096" s="2"/>
      <c r="K1096" s="2"/>
    </row>
    <row r="1097" spans="5:11" x14ac:dyDescent="0.25">
      <c r="E1097" s="3">
        <f t="shared" ca="1" si="34"/>
        <v>0.46277273460991464</v>
      </c>
      <c r="F1097" s="3">
        <f t="shared" ca="1" si="34"/>
        <v>0.71477912885539074</v>
      </c>
      <c r="G1097" s="3">
        <f t="shared" ca="1" si="35"/>
        <v>7.7925154781391983</v>
      </c>
      <c r="H1097" s="2"/>
      <c r="I1097" s="2"/>
      <c r="J1097" s="2"/>
      <c r="K1097" s="2"/>
    </row>
    <row r="1098" spans="5:11" x14ac:dyDescent="0.25">
      <c r="E1098" s="3">
        <f t="shared" ca="1" si="34"/>
        <v>0.22756976052691602</v>
      </c>
      <c r="F1098" s="3">
        <f t="shared" ca="1" si="34"/>
        <v>1.2960837168068284E-2</v>
      </c>
      <c r="G1098" s="3">
        <f t="shared" ca="1" si="35"/>
        <v>8.9524017104701663</v>
      </c>
      <c r="H1098" s="2"/>
      <c r="I1098" s="2"/>
      <c r="J1098" s="2"/>
      <c r="K1098" s="2"/>
    </row>
    <row r="1099" spans="5:11" x14ac:dyDescent="0.25">
      <c r="E1099" s="3">
        <f t="shared" ca="1" si="34"/>
        <v>0.99469338201135438</v>
      </c>
      <c r="F1099" s="3">
        <f t="shared" ca="1" si="34"/>
        <v>0.13498808002872942</v>
      </c>
      <c r="G1099" s="3">
        <f t="shared" ca="1" si="35"/>
        <v>10.587299303886626</v>
      </c>
      <c r="H1099" s="2"/>
      <c r="I1099" s="2"/>
      <c r="J1099" s="2"/>
      <c r="K1099" s="2"/>
    </row>
    <row r="1100" spans="5:11" x14ac:dyDescent="0.25">
      <c r="E1100" s="3">
        <f t="shared" ca="1" si="34"/>
        <v>0.250794861553016</v>
      </c>
      <c r="F1100" s="3">
        <f t="shared" ca="1" si="34"/>
        <v>0.98456501483303893</v>
      </c>
      <c r="G1100" s="3">
        <f t="shared" ca="1" si="35"/>
        <v>16.258670149067882</v>
      </c>
      <c r="H1100" s="2"/>
      <c r="I1100" s="2"/>
      <c r="J1100" s="2"/>
      <c r="K1100" s="2"/>
    </row>
    <row r="1101" spans="5:11" x14ac:dyDescent="0.25">
      <c r="E1101" s="3">
        <f t="shared" ca="1" si="34"/>
        <v>0.52880135634646475</v>
      </c>
      <c r="F1101" s="3">
        <f t="shared" ca="1" si="34"/>
        <v>0.87207566729804431</v>
      </c>
      <c r="G1101" s="3">
        <f t="shared" ca="1" si="35"/>
        <v>10.323724412718738</v>
      </c>
      <c r="H1101" s="2"/>
      <c r="I1101" s="2"/>
      <c r="J1101" s="2"/>
      <c r="K1101" s="2"/>
    </row>
    <row r="1102" spans="5:11" x14ac:dyDescent="0.25">
      <c r="E1102" s="3">
        <f t="shared" ca="1" si="34"/>
        <v>0.15175511611267967</v>
      </c>
      <c r="F1102" s="3">
        <f t="shared" ca="1" si="34"/>
        <v>0.1557245472741603</v>
      </c>
      <c r="G1102" s="3">
        <f t="shared" ca="1" si="35"/>
        <v>7.408648851339211</v>
      </c>
      <c r="H1102" s="2"/>
      <c r="I1102" s="2"/>
      <c r="J1102" s="2"/>
      <c r="K1102" s="2"/>
    </row>
    <row r="1103" spans="5:11" x14ac:dyDescent="0.25">
      <c r="E1103" s="3">
        <f t="shared" ca="1" si="34"/>
        <v>0.58413735406538558</v>
      </c>
      <c r="F1103" s="3">
        <f t="shared" ca="1" si="34"/>
        <v>0.79111523990000765</v>
      </c>
      <c r="G1103" s="3">
        <f t="shared" ca="1" si="35"/>
        <v>8.6024948665912717</v>
      </c>
      <c r="H1103" s="2"/>
      <c r="I1103" s="2"/>
      <c r="J1103" s="2"/>
      <c r="K1103" s="2"/>
    </row>
    <row r="1104" spans="5:11" x14ac:dyDescent="0.25">
      <c r="E1104" s="3">
        <f t="shared" ca="1" si="34"/>
        <v>8.4136159595272875E-2</v>
      </c>
      <c r="F1104" s="3">
        <f t="shared" ca="1" si="34"/>
        <v>0.90433284651239287</v>
      </c>
      <c r="G1104" s="3">
        <f t="shared" ca="1" si="35"/>
        <v>14.297324250863053</v>
      </c>
      <c r="H1104" s="2"/>
      <c r="I1104" s="2"/>
      <c r="J1104" s="2"/>
      <c r="K1104" s="2"/>
    </row>
    <row r="1105" spans="5:11" x14ac:dyDescent="0.25">
      <c r="E1105" s="3">
        <f t="shared" ca="1" si="34"/>
        <v>0.68594992278920841</v>
      </c>
      <c r="F1105" s="3">
        <f t="shared" ca="1" si="34"/>
        <v>2.0113522603230405E-2</v>
      </c>
      <c r="G1105" s="3">
        <f t="shared" ca="1" si="35"/>
        <v>5.7899162558681043</v>
      </c>
      <c r="H1105" s="2"/>
      <c r="I1105" s="2"/>
      <c r="J1105" s="2"/>
      <c r="K1105" s="2"/>
    </row>
    <row r="1106" spans="5:11" x14ac:dyDescent="0.25">
      <c r="E1106" s="3">
        <f t="shared" ca="1" si="34"/>
        <v>0.29556140019296584</v>
      </c>
      <c r="F1106" s="3">
        <f t="shared" ca="1" si="34"/>
        <v>0.16468110770203059</v>
      </c>
      <c r="G1106" s="3">
        <f t="shared" ca="1" si="35"/>
        <v>4.9432012034729969</v>
      </c>
      <c r="H1106" s="2"/>
      <c r="I1106" s="2"/>
      <c r="J1106" s="2"/>
      <c r="K1106" s="2"/>
    </row>
    <row r="1107" spans="5:11" x14ac:dyDescent="0.25">
      <c r="E1107" s="3">
        <f t="shared" ca="1" si="34"/>
        <v>0.12860572076831411</v>
      </c>
      <c r="F1107" s="3">
        <f t="shared" ca="1" si="34"/>
        <v>0.73136905895480275</v>
      </c>
      <c r="G1107" s="3">
        <f t="shared" ca="1" si="35"/>
        <v>10.934808472034456</v>
      </c>
      <c r="H1107" s="2"/>
      <c r="I1107" s="2"/>
      <c r="J1107" s="2"/>
      <c r="K1107" s="2"/>
    </row>
    <row r="1108" spans="5:11" x14ac:dyDescent="0.25">
      <c r="E1108" s="3">
        <f t="shared" ca="1" si="34"/>
        <v>2.6558455755987032E-2</v>
      </c>
      <c r="F1108" s="3">
        <f t="shared" ca="1" si="34"/>
        <v>0.96445884258780201</v>
      </c>
      <c r="G1108" s="3">
        <f t="shared" ca="1" si="35"/>
        <v>17.998922060667379</v>
      </c>
      <c r="H1108" s="2"/>
      <c r="I1108" s="2"/>
      <c r="J1108" s="2"/>
      <c r="K1108" s="2"/>
    </row>
    <row r="1109" spans="5:11" x14ac:dyDescent="0.25">
      <c r="E1109" s="3">
        <f t="shared" ca="1" si="34"/>
        <v>0.38350176092652177</v>
      </c>
      <c r="F1109" s="3">
        <f t="shared" ca="1" si="34"/>
        <v>0.23911149329582349</v>
      </c>
      <c r="G1109" s="3">
        <f t="shared" ca="1" si="35"/>
        <v>3.8348742295297393</v>
      </c>
      <c r="H1109" s="2"/>
      <c r="I1109" s="2"/>
      <c r="J1109" s="2"/>
      <c r="K1109" s="2"/>
    </row>
    <row r="1110" spans="5:11" x14ac:dyDescent="0.25">
      <c r="E1110" s="3">
        <f t="shared" ca="1" si="34"/>
        <v>0.41538551232449572</v>
      </c>
      <c r="F1110" s="3">
        <f t="shared" ca="1" si="34"/>
        <v>0.72130829667486629</v>
      </c>
      <c r="G1110" s="3">
        <f t="shared" ca="1" si="35"/>
        <v>8.1094389328191809</v>
      </c>
      <c r="H1110" s="2"/>
      <c r="I1110" s="2"/>
      <c r="J1110" s="2"/>
      <c r="K1110" s="2"/>
    </row>
    <row r="1111" spans="5:11" x14ac:dyDescent="0.25">
      <c r="E1111" s="3">
        <f t="shared" ca="1" si="34"/>
        <v>0.49088351948933251</v>
      </c>
      <c r="F1111" s="3">
        <f t="shared" ca="1" si="34"/>
        <v>0.69129219925162966</v>
      </c>
      <c r="G1111" s="3">
        <f t="shared" ca="1" si="35"/>
        <v>7.3546775161290938</v>
      </c>
      <c r="H1111" s="2"/>
      <c r="I1111" s="2"/>
      <c r="J1111" s="2"/>
      <c r="K1111" s="2"/>
    </row>
    <row r="1112" spans="5:11" x14ac:dyDescent="0.25">
      <c r="E1112" s="3">
        <f t="shared" ca="1" si="34"/>
        <v>0.21889760896453869</v>
      </c>
      <c r="F1112" s="3">
        <f t="shared" ca="1" si="34"/>
        <v>0.27710706307552502</v>
      </c>
      <c r="G1112" s="3">
        <f t="shared" ca="1" si="35"/>
        <v>6.3041547160913991</v>
      </c>
      <c r="H1112" s="2"/>
      <c r="I1112" s="2"/>
      <c r="J1112" s="2"/>
      <c r="K1112" s="2"/>
    </row>
    <row r="1113" spans="5:11" x14ac:dyDescent="0.25">
      <c r="E1113" s="3">
        <f t="shared" ca="1" si="34"/>
        <v>0.8204971012114598</v>
      </c>
      <c r="F1113" s="3">
        <f t="shared" ca="1" si="34"/>
        <v>0.29299607793168736</v>
      </c>
      <c r="G1113" s="3">
        <f t="shared" ca="1" si="35"/>
        <v>2.9247987934751509</v>
      </c>
      <c r="H1113" s="2"/>
      <c r="I1113" s="2"/>
      <c r="J1113" s="2"/>
      <c r="K1113" s="2"/>
    </row>
    <row r="1114" spans="5:11" x14ac:dyDescent="0.25">
      <c r="E1114" s="3">
        <f t="shared" ca="1" si="34"/>
        <v>0.88009256452499107</v>
      </c>
      <c r="F1114" s="3">
        <f t="shared" ca="1" si="34"/>
        <v>0.85978687485497229</v>
      </c>
      <c r="G1114" s="3">
        <f t="shared" ca="1" si="35"/>
        <v>10.515728088085506</v>
      </c>
      <c r="H1114" s="2"/>
      <c r="I1114" s="2"/>
      <c r="J1114" s="2"/>
      <c r="K1114" s="2"/>
    </row>
    <row r="1115" spans="5:11" x14ac:dyDescent="0.25">
      <c r="E1115" s="3">
        <f t="shared" ca="1" si="34"/>
        <v>0.12456613783699844</v>
      </c>
      <c r="F1115" s="3">
        <f t="shared" ca="1" si="34"/>
        <v>0.76751558127258956</v>
      </c>
      <c r="G1115" s="3">
        <f t="shared" ca="1" si="35"/>
        <v>11.40319205553882</v>
      </c>
      <c r="H1115" s="2"/>
      <c r="I1115" s="2"/>
      <c r="J1115" s="2"/>
      <c r="K1115" s="2"/>
    </row>
    <row r="1116" spans="5:11" x14ac:dyDescent="0.25">
      <c r="E1116" s="3">
        <f t="shared" ca="1" si="34"/>
        <v>0.46737625971609098</v>
      </c>
      <c r="F1116" s="3">
        <f t="shared" ca="1" si="34"/>
        <v>0.45734161028500875</v>
      </c>
      <c r="G1116" s="3">
        <f t="shared" ca="1" si="35"/>
        <v>4.7433926004144684</v>
      </c>
      <c r="H1116" s="2"/>
      <c r="I1116" s="2"/>
      <c r="J1116" s="2"/>
      <c r="K1116" s="2"/>
    </row>
    <row r="1117" spans="5:11" x14ac:dyDescent="0.25">
      <c r="E1117" s="3">
        <f t="shared" ca="1" si="34"/>
        <v>0.51918408533210714</v>
      </c>
      <c r="F1117" s="3">
        <f t="shared" ca="1" si="34"/>
        <v>0.81498170618628385</v>
      </c>
      <c r="G1117" s="3">
        <f t="shared" ca="1" si="35"/>
        <v>9.1726654713937066</v>
      </c>
      <c r="H1117" s="2"/>
      <c r="I1117" s="2"/>
      <c r="J1117" s="2"/>
      <c r="K1117" s="2"/>
    </row>
    <row r="1118" spans="5:11" x14ac:dyDescent="0.25">
      <c r="E1118" s="3">
        <f t="shared" ca="1" si="34"/>
        <v>0.29224960154893387</v>
      </c>
      <c r="F1118" s="3">
        <f t="shared" ca="1" si="34"/>
        <v>0.18236118420678371</v>
      </c>
      <c r="G1118" s="3">
        <f t="shared" ca="1" si="35"/>
        <v>4.9748781311907901</v>
      </c>
      <c r="H1118" s="2"/>
      <c r="I1118" s="2"/>
      <c r="J1118" s="2"/>
      <c r="K1118" s="2"/>
    </row>
    <row r="1119" spans="5:11" x14ac:dyDescent="0.25">
      <c r="E1119" s="3">
        <f t="shared" ca="1" si="34"/>
        <v>0.83003906548572981</v>
      </c>
      <c r="F1119" s="3">
        <f t="shared" ca="1" si="34"/>
        <v>0.23031072574897182</v>
      </c>
      <c r="G1119" s="3">
        <f t="shared" ca="1" si="35"/>
        <v>2.6489382838891129</v>
      </c>
      <c r="H1119" s="2"/>
      <c r="I1119" s="2"/>
      <c r="J1119" s="2"/>
      <c r="K1119" s="2"/>
    </row>
    <row r="1120" spans="5:11" x14ac:dyDescent="0.25">
      <c r="E1120" s="3">
        <f t="shared" ca="1" si="34"/>
        <v>0.43773677994404214</v>
      </c>
      <c r="F1120" s="3">
        <f t="shared" ca="1" si="34"/>
        <v>5.994755556814424E-2</v>
      </c>
      <c r="G1120" s="3">
        <f t="shared" ca="1" si="35"/>
        <v>4.4804334372807277</v>
      </c>
      <c r="H1120" s="2"/>
      <c r="I1120" s="2"/>
      <c r="J1120" s="2"/>
      <c r="K1120" s="2"/>
    </row>
    <row r="1121" spans="5:11" x14ac:dyDescent="0.25">
      <c r="E1121" s="3">
        <f t="shared" ca="1" si="34"/>
        <v>0.51924823922780861</v>
      </c>
      <c r="F1121" s="3">
        <f t="shared" ca="1" si="34"/>
        <v>0.93795886084960578</v>
      </c>
      <c r="G1121" s="3">
        <f t="shared" ca="1" si="35"/>
        <v>12.322523673899303</v>
      </c>
      <c r="H1121" s="2"/>
      <c r="I1121" s="2"/>
      <c r="J1121" s="2"/>
      <c r="K1121" s="2"/>
    </row>
    <row r="1122" spans="5:11" x14ac:dyDescent="0.25">
      <c r="E1122" s="3">
        <f t="shared" ca="1" si="34"/>
        <v>0.80920123249725551</v>
      </c>
      <c r="F1122" s="3">
        <f t="shared" ca="1" si="34"/>
        <v>0.90915461169777056</v>
      </c>
      <c r="G1122" s="3">
        <f t="shared" ca="1" si="35"/>
        <v>11.350312865470979</v>
      </c>
      <c r="H1122" s="2"/>
      <c r="I1122" s="2"/>
      <c r="J1122" s="2"/>
      <c r="K1122" s="2"/>
    </row>
    <row r="1123" spans="5:11" x14ac:dyDescent="0.25">
      <c r="E1123" s="3">
        <f t="shared" ca="1" si="34"/>
        <v>3.6998568385582131E-2</v>
      </c>
      <c r="F1123" s="3">
        <f t="shared" ca="1" si="34"/>
        <v>0.89614668399129238</v>
      </c>
      <c r="G1123" s="3">
        <f t="shared" ca="1" si="35"/>
        <v>15.518667483637094</v>
      </c>
      <c r="H1123" s="2"/>
      <c r="I1123" s="2"/>
      <c r="J1123" s="2"/>
      <c r="K1123" s="2"/>
    </row>
    <row r="1124" spans="5:11" x14ac:dyDescent="0.25">
      <c r="E1124" s="3">
        <f t="shared" ca="1" si="34"/>
        <v>0.16898272986701035</v>
      </c>
      <c r="F1124" s="3">
        <f t="shared" ca="1" si="34"/>
        <v>0.7233756017976497</v>
      </c>
      <c r="G1124" s="3">
        <f t="shared" ca="1" si="35"/>
        <v>10.232844444780866</v>
      </c>
      <c r="H1124" s="2"/>
      <c r="I1124" s="2"/>
      <c r="J1124" s="2"/>
      <c r="K1124" s="2"/>
    </row>
    <row r="1125" spans="5:11" x14ac:dyDescent="0.25">
      <c r="E1125" s="3">
        <f t="shared" ca="1" si="34"/>
        <v>0.43885453846270561</v>
      </c>
      <c r="F1125" s="3">
        <f t="shared" ca="1" si="34"/>
        <v>0.75285644091180304</v>
      </c>
      <c r="G1125" s="3">
        <f t="shared" ca="1" si="35"/>
        <v>8.4422387552898694</v>
      </c>
      <c r="H1125" s="2"/>
      <c r="I1125" s="2"/>
      <c r="J1125" s="2"/>
      <c r="K1125" s="2"/>
    </row>
    <row r="1126" spans="5:11" x14ac:dyDescent="0.25">
      <c r="E1126" s="3">
        <f t="shared" ca="1" si="34"/>
        <v>0.50825895590509818</v>
      </c>
      <c r="F1126" s="3">
        <f t="shared" ca="1" si="34"/>
        <v>0.62651026196729798</v>
      </c>
      <c r="G1126" s="3">
        <f t="shared" ca="1" si="35"/>
        <v>6.4475047365396909</v>
      </c>
      <c r="H1126" s="2"/>
      <c r="I1126" s="2"/>
      <c r="J1126" s="2"/>
      <c r="K1126" s="2"/>
    </row>
    <row r="1127" spans="5:11" x14ac:dyDescent="0.25">
      <c r="E1127" s="3">
        <f t="shared" ca="1" si="34"/>
        <v>0.93001693464612223</v>
      </c>
      <c r="F1127" s="3">
        <f t="shared" ca="1" si="34"/>
        <v>0.74646172933952459</v>
      </c>
      <c r="G1127" s="3">
        <f t="shared" ca="1" si="35"/>
        <v>9.3299736629831855</v>
      </c>
      <c r="H1127" s="2"/>
      <c r="I1127" s="2"/>
      <c r="J1127" s="2"/>
      <c r="K1127" s="2"/>
    </row>
    <row r="1128" spans="5:11" x14ac:dyDescent="0.25">
      <c r="E1128" s="3">
        <f t="shared" ca="1" si="34"/>
        <v>0.26115635852163877</v>
      </c>
      <c r="F1128" s="3">
        <f t="shared" ca="1" si="34"/>
        <v>0.53924774095203276</v>
      </c>
      <c r="G1128" s="3">
        <f t="shared" ca="1" si="35"/>
        <v>7.3630186935539195</v>
      </c>
      <c r="H1128" s="2"/>
      <c r="I1128" s="2"/>
      <c r="J1128" s="2"/>
      <c r="K1128" s="2"/>
    </row>
    <row r="1129" spans="5:11" x14ac:dyDescent="0.25">
      <c r="E1129" s="3">
        <f t="shared" ca="1" si="34"/>
        <v>0.47786020993809908</v>
      </c>
      <c r="F1129" s="3">
        <f t="shared" ca="1" si="34"/>
        <v>0.41744967758082419</v>
      </c>
      <c r="G1129" s="3">
        <f t="shared" ca="1" si="35"/>
        <v>4.2533037320450697</v>
      </c>
      <c r="H1129" s="2"/>
      <c r="I1129" s="2"/>
      <c r="J1129" s="2"/>
      <c r="K1129" s="2"/>
    </row>
    <row r="1130" spans="5:11" x14ac:dyDescent="0.25">
      <c r="E1130" s="3">
        <f t="shared" ca="1" si="34"/>
        <v>0.22217224948623948</v>
      </c>
      <c r="F1130" s="3">
        <f t="shared" ca="1" si="34"/>
        <v>0.31035526549307457</v>
      </c>
      <c r="G1130" s="3">
        <f t="shared" ca="1" si="35"/>
        <v>6.3846956881965733</v>
      </c>
      <c r="H1130" s="2"/>
      <c r="I1130" s="2"/>
      <c r="J1130" s="2"/>
      <c r="K1130" s="2"/>
    </row>
    <row r="1131" spans="5:11" x14ac:dyDescent="0.25">
      <c r="E1131" s="3">
        <f t="shared" ca="1" si="34"/>
        <v>0.35203280336504228</v>
      </c>
      <c r="F1131" s="3">
        <f t="shared" ca="1" si="34"/>
        <v>0.11283782765108386</v>
      </c>
      <c r="G1131" s="3">
        <f t="shared" ca="1" si="35"/>
        <v>4.4336578727825602</v>
      </c>
      <c r="H1131" s="2"/>
      <c r="I1131" s="2"/>
      <c r="J1131" s="2"/>
      <c r="K1131" s="2"/>
    </row>
    <row r="1132" spans="5:11" x14ac:dyDescent="0.25">
      <c r="E1132" s="3">
        <f t="shared" ca="1" si="34"/>
        <v>5.6153422595985991E-2</v>
      </c>
      <c r="F1132" s="3">
        <f t="shared" ca="1" si="34"/>
        <v>0.2298743660584176</v>
      </c>
      <c r="G1132" s="3">
        <f t="shared" ca="1" si="35"/>
        <v>10.209272446900618</v>
      </c>
      <c r="H1132" s="2"/>
      <c r="I1132" s="2"/>
      <c r="J1132" s="2"/>
      <c r="K1132" s="2"/>
    </row>
    <row r="1133" spans="5:11" x14ac:dyDescent="0.25">
      <c r="E1133" s="3">
        <f t="shared" ca="1" si="34"/>
        <v>0.87051418338886488</v>
      </c>
      <c r="F1133" s="3">
        <f t="shared" ca="1" si="34"/>
        <v>0.97226821800377117</v>
      </c>
      <c r="G1133" s="3">
        <f t="shared" ca="1" si="35"/>
        <v>14.452646807150469</v>
      </c>
      <c r="H1133" s="2"/>
      <c r="I1133" s="2"/>
      <c r="J1133" s="2"/>
      <c r="K1133" s="2"/>
    </row>
    <row r="1134" spans="5:11" x14ac:dyDescent="0.25">
      <c r="E1134" s="3">
        <f t="shared" ca="1" si="34"/>
        <v>0.54620044280957147</v>
      </c>
      <c r="F1134" s="3">
        <f t="shared" ca="1" si="34"/>
        <v>0.28321200967795901</v>
      </c>
      <c r="G1134" s="3">
        <f t="shared" ca="1" si="35"/>
        <v>2.3079093688363654</v>
      </c>
      <c r="H1134" s="2"/>
      <c r="I1134" s="2"/>
      <c r="J1134" s="2"/>
      <c r="K1134" s="2"/>
    </row>
    <row r="1135" spans="5:11" x14ac:dyDescent="0.25">
      <c r="E1135" s="3">
        <f t="shared" ca="1" si="34"/>
        <v>0.97477516723828106</v>
      </c>
      <c r="F1135" s="3">
        <f t="shared" ca="1" si="34"/>
        <v>0.37028341056266467</v>
      </c>
      <c r="G1135" s="3">
        <f t="shared" ca="1" si="35"/>
        <v>8.0484285007040821</v>
      </c>
      <c r="H1135" s="2"/>
      <c r="I1135" s="2"/>
      <c r="J1135" s="2"/>
      <c r="K1135" s="2"/>
    </row>
    <row r="1136" spans="5:11" x14ac:dyDescent="0.25">
      <c r="E1136" s="3">
        <f t="shared" ca="1" si="34"/>
        <v>0.50500313513950612</v>
      </c>
      <c r="F1136" s="3">
        <f t="shared" ca="1" si="34"/>
        <v>0.73053533697249129</v>
      </c>
      <c r="G1136" s="3">
        <f t="shared" ca="1" si="35"/>
        <v>7.8502356746694764</v>
      </c>
      <c r="H1136" s="2"/>
      <c r="I1136" s="2"/>
      <c r="J1136" s="2"/>
      <c r="K1136" s="2"/>
    </row>
    <row r="1137" spans="5:11" x14ac:dyDescent="0.25">
      <c r="E1137" s="3">
        <f t="shared" ca="1" si="34"/>
        <v>0.25367129195706417</v>
      </c>
      <c r="F1137" s="3">
        <f t="shared" ca="1" si="34"/>
        <v>0.26809447711759216</v>
      </c>
      <c r="G1137" s="3">
        <f t="shared" ca="1" si="35"/>
        <v>5.7234031202498858</v>
      </c>
      <c r="H1137" s="2"/>
      <c r="I1137" s="2"/>
      <c r="J1137" s="2"/>
      <c r="K1137" s="2"/>
    </row>
    <row r="1138" spans="5:11" x14ac:dyDescent="0.25">
      <c r="E1138" s="3">
        <f t="shared" ca="1" si="34"/>
        <v>0.92086773666607324</v>
      </c>
      <c r="F1138" s="3">
        <f t="shared" ca="1" si="34"/>
        <v>0.93821684547550976</v>
      </c>
      <c r="G1138" s="3">
        <f t="shared" ca="1" si="35"/>
        <v>13.087511219231542</v>
      </c>
      <c r="H1138" s="2"/>
      <c r="I1138" s="2"/>
      <c r="J1138" s="2"/>
      <c r="K1138" s="2"/>
    </row>
    <row r="1139" spans="5:11" x14ac:dyDescent="0.25">
      <c r="E1139" s="3">
        <f t="shared" ca="1" si="34"/>
        <v>0.36827863207807066</v>
      </c>
      <c r="F1139" s="3">
        <f t="shared" ca="1" si="34"/>
        <v>0.60213081882356956</v>
      </c>
      <c r="G1139" s="3">
        <f t="shared" ca="1" si="35"/>
        <v>6.972296827639207</v>
      </c>
      <c r="H1139" s="2"/>
      <c r="I1139" s="2"/>
      <c r="J1139" s="2"/>
      <c r="K1139" s="2"/>
    </row>
    <row r="1140" spans="5:11" x14ac:dyDescent="0.25">
      <c r="E1140" s="3">
        <f t="shared" ca="1" si="34"/>
        <v>0.5004122352343876</v>
      </c>
      <c r="F1140" s="3">
        <f t="shared" ca="1" si="34"/>
        <v>0.19993368312109305</v>
      </c>
      <c r="G1140" s="3">
        <f t="shared" ca="1" si="35"/>
        <v>2.2503524828325929</v>
      </c>
      <c r="H1140" s="2"/>
      <c r="I1140" s="2"/>
      <c r="J1140" s="2"/>
      <c r="K1140" s="2"/>
    </row>
    <row r="1141" spans="5:11" x14ac:dyDescent="0.25">
      <c r="E1141" s="3">
        <f t="shared" ca="1" si="34"/>
        <v>0.8651031307124426</v>
      </c>
      <c r="F1141" s="3">
        <f t="shared" ca="1" si="34"/>
        <v>0.10479879860339836</v>
      </c>
      <c r="G1141" s="3">
        <f t="shared" ca="1" si="35"/>
        <v>3.7407230095363166</v>
      </c>
      <c r="H1141" s="2"/>
      <c r="I1141" s="2"/>
      <c r="J1141" s="2"/>
      <c r="K1141" s="2"/>
    </row>
    <row r="1142" spans="5:11" x14ac:dyDescent="0.25">
      <c r="E1142" s="3">
        <f t="shared" ca="1" si="34"/>
        <v>0.3889722789867146</v>
      </c>
      <c r="F1142" s="3">
        <f t="shared" ca="1" si="34"/>
        <v>0.26923093208261195</v>
      </c>
      <c r="G1142" s="3">
        <f t="shared" ca="1" si="35"/>
        <v>3.9075765757184939</v>
      </c>
      <c r="H1142" s="2"/>
      <c r="I1142" s="2"/>
      <c r="J1142" s="2"/>
      <c r="K1142" s="2"/>
    </row>
    <row r="1143" spans="5:11" x14ac:dyDescent="0.25">
      <c r="E1143" s="3">
        <f t="shared" ca="1" si="34"/>
        <v>0.91135759574837705</v>
      </c>
      <c r="F1143" s="3">
        <f t="shared" ca="1" si="34"/>
        <v>0.42828434006640392</v>
      </c>
      <c r="G1143" s="3">
        <f t="shared" ca="1" si="35"/>
        <v>5.7460652866858801</v>
      </c>
      <c r="H1143" s="2"/>
      <c r="I1143" s="2"/>
      <c r="J1143" s="2"/>
      <c r="K1143" s="2"/>
    </row>
    <row r="1144" spans="5:11" x14ac:dyDescent="0.25">
      <c r="E1144" s="3">
        <f t="shared" ca="1" si="34"/>
        <v>0.61719021356643777</v>
      </c>
      <c r="F1144" s="3">
        <f t="shared" ca="1" si="34"/>
        <v>0.53540733394919759</v>
      </c>
      <c r="G1144" s="3">
        <f t="shared" ca="1" si="35"/>
        <v>4.9712067052583029</v>
      </c>
      <c r="H1144" s="2"/>
      <c r="I1144" s="2"/>
      <c r="J1144" s="2"/>
      <c r="K1144" s="2"/>
    </row>
    <row r="1145" spans="5:11" x14ac:dyDescent="0.25">
      <c r="E1145" s="3">
        <f t="shared" ca="1" si="34"/>
        <v>0.72141987765609772</v>
      </c>
      <c r="F1145" s="3">
        <f t="shared" ca="1" si="34"/>
        <v>0.39074464751490723</v>
      </c>
      <c r="G1145" s="3">
        <f t="shared" ca="1" si="35"/>
        <v>3.1604436950056263</v>
      </c>
      <c r="H1145" s="2"/>
      <c r="I1145" s="2"/>
      <c r="J1145" s="2"/>
      <c r="K1145" s="2"/>
    </row>
    <row r="1146" spans="5:11" x14ac:dyDescent="0.25">
      <c r="E1146" s="3">
        <f t="shared" ca="1" si="34"/>
        <v>0.38529458851497411</v>
      </c>
      <c r="F1146" s="3">
        <f t="shared" ca="1" si="34"/>
        <v>0.69254903548879809</v>
      </c>
      <c r="G1146" s="3">
        <f t="shared" ca="1" si="35"/>
        <v>7.9040668034495924</v>
      </c>
      <c r="H1146" s="2"/>
      <c r="I1146" s="2"/>
      <c r="J1146" s="2"/>
      <c r="K1146" s="2"/>
    </row>
    <row r="1147" spans="5:11" x14ac:dyDescent="0.25">
      <c r="E1147" s="3">
        <f t="shared" ca="1" si="34"/>
        <v>5.8131705667021416E-2</v>
      </c>
      <c r="F1147" s="3">
        <f t="shared" ca="1" si="34"/>
        <v>0.44295322747362653</v>
      </c>
      <c r="G1147" s="3">
        <f t="shared" ca="1" si="35"/>
        <v>10.768613132062054</v>
      </c>
      <c r="H1147" s="2"/>
      <c r="I1147" s="2"/>
      <c r="J1147" s="2"/>
      <c r="K1147" s="2"/>
    </row>
    <row r="1148" spans="5:11" x14ac:dyDescent="0.25">
      <c r="E1148" s="3">
        <f t="shared" ca="1" si="34"/>
        <v>0.85773496219255552</v>
      </c>
      <c r="F1148" s="3">
        <f t="shared" ca="1" si="34"/>
        <v>0.7114065887698805</v>
      </c>
      <c r="G1148" s="3">
        <f t="shared" ca="1" si="35"/>
        <v>7.8960077689460872</v>
      </c>
      <c r="H1148" s="2"/>
      <c r="I1148" s="2"/>
      <c r="J1148" s="2"/>
      <c r="K1148" s="2"/>
    </row>
    <row r="1149" spans="5:11" x14ac:dyDescent="0.25">
      <c r="E1149" s="3">
        <f t="shared" ca="1" si="34"/>
        <v>0.98588603054573642</v>
      </c>
      <c r="F1149" s="3">
        <f t="shared" ca="1" si="34"/>
        <v>0.63425062545484601</v>
      </c>
      <c r="G1149" s="3">
        <f t="shared" ca="1" si="35"/>
        <v>10.699428172464991</v>
      </c>
      <c r="H1149" s="2"/>
      <c r="I1149" s="2"/>
      <c r="J1149" s="2"/>
      <c r="K1149" s="2"/>
    </row>
    <row r="1150" spans="5:11" x14ac:dyDescent="0.25">
      <c r="E1150" s="3">
        <f t="shared" ca="1" si="34"/>
        <v>0.49750842032264808</v>
      </c>
      <c r="F1150" s="3">
        <f t="shared" ca="1" si="34"/>
        <v>0.36446189739305446</v>
      </c>
      <c r="G1150" s="3">
        <f t="shared" ca="1" si="35"/>
        <v>3.5570195523443808</v>
      </c>
      <c r="H1150" s="2"/>
      <c r="I1150" s="2"/>
      <c r="J1150" s="2"/>
      <c r="K1150" s="2"/>
    </row>
    <row r="1151" spans="5:11" x14ac:dyDescent="0.25">
      <c r="E1151" s="3">
        <f t="shared" ca="1" si="34"/>
        <v>0.33309107691759055</v>
      </c>
      <c r="F1151" s="3">
        <f t="shared" ca="1" si="34"/>
        <v>0.2955282153166533</v>
      </c>
      <c r="G1151" s="3">
        <f t="shared" ca="1" si="35"/>
        <v>4.7452373661522582</v>
      </c>
      <c r="H1151" s="2"/>
      <c r="I1151" s="2"/>
      <c r="J1151" s="2"/>
      <c r="K1151" s="2"/>
    </row>
    <row r="1152" spans="5:11" x14ac:dyDescent="0.25">
      <c r="E1152" s="3">
        <f t="shared" ca="1" si="34"/>
        <v>0.24178350428670237</v>
      </c>
      <c r="F1152" s="3">
        <f t="shared" ca="1" si="34"/>
        <v>0.89986734693145032</v>
      </c>
      <c r="G1152" s="3">
        <f t="shared" ca="1" si="35"/>
        <v>12.297481202652968</v>
      </c>
      <c r="H1152" s="2"/>
      <c r="I1152" s="2"/>
      <c r="J1152" s="2"/>
      <c r="K1152" s="2"/>
    </row>
    <row r="1153" spans="5:11" x14ac:dyDescent="0.25">
      <c r="E1153" s="3">
        <f t="shared" ca="1" si="34"/>
        <v>0.43181094364366601</v>
      </c>
      <c r="F1153" s="3">
        <f t="shared" ca="1" si="34"/>
        <v>0.218120307675849</v>
      </c>
      <c r="G1153" s="3">
        <f t="shared" ca="1" si="35"/>
        <v>3.1524863565607544</v>
      </c>
      <c r="H1153" s="2"/>
      <c r="I1153" s="2"/>
      <c r="J1153" s="2"/>
      <c r="K1153" s="2"/>
    </row>
    <row r="1154" spans="5:11" x14ac:dyDescent="0.25">
      <c r="E1154" s="3">
        <f t="shared" ca="1" si="34"/>
        <v>0.90437369355490504</v>
      </c>
      <c r="F1154" s="3">
        <f t="shared" ca="1" si="34"/>
        <v>0.95894474073819491</v>
      </c>
      <c r="G1154" s="3">
        <f t="shared" ca="1" si="35"/>
        <v>13.845538312148513</v>
      </c>
      <c r="H1154" s="2"/>
      <c r="I1154" s="2"/>
      <c r="J1154" s="2"/>
      <c r="K1154" s="2"/>
    </row>
    <row r="1155" spans="5:11" x14ac:dyDescent="0.25">
      <c r="E1155" s="3">
        <f t="shared" ca="1" si="34"/>
        <v>0.29938288316671058</v>
      </c>
      <c r="F1155" s="3">
        <f t="shared" ca="1" si="34"/>
        <v>0.25601396763761708</v>
      </c>
      <c r="G1155" s="3">
        <f t="shared" ca="1" si="35"/>
        <v>5.0148679949700723</v>
      </c>
      <c r="H1155" s="2"/>
      <c r="I1155" s="2"/>
      <c r="J1155" s="2"/>
      <c r="K1155" s="2"/>
    </row>
    <row r="1156" spans="5:11" x14ac:dyDescent="0.25">
      <c r="E1156" s="3">
        <f t="shared" ref="E1156:F1219" ca="1" si="36">RAND()</f>
        <v>0.24766961884323002</v>
      </c>
      <c r="F1156" s="3">
        <f t="shared" ca="1" si="36"/>
        <v>0.51759144341793184</v>
      </c>
      <c r="G1156" s="3">
        <f t="shared" ref="G1156:G1219" ca="1" si="37">SQRT(_xlfn.NORM.INV(E1156,$C$3*COS($C$6),$C$4)^2+_xlfn.NORM.INV(F1156,$C$3*SIN($C$6),$C$4)^2)</f>
        <v>7.3429407478787141</v>
      </c>
      <c r="H1156" s="2"/>
      <c r="I1156" s="2"/>
      <c r="J1156" s="2"/>
      <c r="K1156" s="2"/>
    </row>
    <row r="1157" spans="5:11" x14ac:dyDescent="0.25">
      <c r="E1157" s="3">
        <f t="shared" ca="1" si="36"/>
        <v>0.93040543614323701</v>
      </c>
      <c r="F1157" s="3">
        <f t="shared" ca="1" si="36"/>
        <v>0.52241920853168222</v>
      </c>
      <c r="G1157" s="3">
        <f t="shared" ca="1" si="37"/>
        <v>7.0095582500179852</v>
      </c>
      <c r="H1157" s="2"/>
      <c r="I1157" s="2"/>
      <c r="J1157" s="2"/>
      <c r="K1157" s="2"/>
    </row>
    <row r="1158" spans="5:11" x14ac:dyDescent="0.25">
      <c r="E1158" s="3">
        <f t="shared" ca="1" si="36"/>
        <v>0.98605271408935735</v>
      </c>
      <c r="F1158" s="3">
        <f t="shared" ca="1" si="36"/>
        <v>0.32425113081671564</v>
      </c>
      <c r="G1158" s="3">
        <f t="shared" ca="1" si="37"/>
        <v>9.0234436031745968</v>
      </c>
      <c r="H1158" s="2"/>
      <c r="I1158" s="2"/>
      <c r="J1158" s="2"/>
      <c r="K1158" s="2"/>
    </row>
    <row r="1159" spans="5:11" x14ac:dyDescent="0.25">
      <c r="E1159" s="3">
        <f t="shared" ca="1" si="36"/>
        <v>0.75515092755306978</v>
      </c>
      <c r="F1159" s="3">
        <f t="shared" ca="1" si="36"/>
        <v>0.38767106075430124</v>
      </c>
      <c r="G1159" s="3">
        <f t="shared" ca="1" si="37"/>
        <v>3.2760787286668429</v>
      </c>
      <c r="H1159" s="2"/>
      <c r="I1159" s="2"/>
      <c r="J1159" s="2"/>
      <c r="K1159" s="2"/>
    </row>
    <row r="1160" spans="5:11" x14ac:dyDescent="0.25">
      <c r="E1160" s="3">
        <f t="shared" ca="1" si="36"/>
        <v>0.3350214451900847</v>
      </c>
      <c r="F1160" s="3">
        <f t="shared" ca="1" si="36"/>
        <v>0.14196484858018055</v>
      </c>
      <c r="G1160" s="3">
        <f t="shared" ca="1" si="37"/>
        <v>4.4600442694696802</v>
      </c>
      <c r="H1160" s="2"/>
      <c r="I1160" s="2"/>
      <c r="J1160" s="2"/>
      <c r="K1160" s="2"/>
    </row>
    <row r="1161" spans="5:11" x14ac:dyDescent="0.25">
      <c r="E1161" s="3">
        <f t="shared" ca="1" si="36"/>
        <v>0.43400137806105676</v>
      </c>
      <c r="F1161" s="3">
        <f t="shared" ca="1" si="36"/>
        <v>0.15838293413325866</v>
      </c>
      <c r="G1161" s="3">
        <f t="shared" ca="1" si="37"/>
        <v>3.1177066579773336</v>
      </c>
      <c r="H1161" s="2"/>
      <c r="I1161" s="2"/>
      <c r="J1161" s="2"/>
      <c r="K1161" s="2"/>
    </row>
    <row r="1162" spans="5:11" x14ac:dyDescent="0.25">
      <c r="E1162" s="3">
        <f t="shared" ca="1" si="36"/>
        <v>0.65265353035557294</v>
      </c>
      <c r="F1162" s="3">
        <f t="shared" ca="1" si="36"/>
        <v>0.58900943281004248</v>
      </c>
      <c r="G1162" s="3">
        <f t="shared" ca="1" si="37"/>
        <v>5.6018685049288433</v>
      </c>
      <c r="H1162" s="2"/>
      <c r="I1162" s="2"/>
      <c r="J1162" s="2"/>
      <c r="K1162" s="2"/>
    </row>
    <row r="1163" spans="5:11" x14ac:dyDescent="0.25">
      <c r="E1163" s="3">
        <f t="shared" ca="1" si="36"/>
        <v>0.4898645500839145</v>
      </c>
      <c r="F1163" s="3">
        <f t="shared" ca="1" si="36"/>
        <v>0.72688106984247525</v>
      </c>
      <c r="G1163" s="3">
        <f t="shared" ca="1" si="37"/>
        <v>7.8523938415892216</v>
      </c>
      <c r="H1163" s="2"/>
      <c r="I1163" s="2"/>
      <c r="J1163" s="2"/>
      <c r="K1163" s="2"/>
    </row>
    <row r="1164" spans="5:11" x14ac:dyDescent="0.25">
      <c r="E1164" s="3">
        <f t="shared" ca="1" si="36"/>
        <v>0.67986745380283009</v>
      </c>
      <c r="F1164" s="3">
        <f t="shared" ca="1" si="36"/>
        <v>0.25762365513485941</v>
      </c>
      <c r="G1164" s="3">
        <f t="shared" ca="1" si="37"/>
        <v>1.2203420783162031</v>
      </c>
      <c r="H1164" s="2"/>
      <c r="I1164" s="2"/>
      <c r="J1164" s="2"/>
      <c r="K1164" s="2"/>
    </row>
    <row r="1165" spans="5:11" x14ac:dyDescent="0.25">
      <c r="E1165" s="3">
        <f t="shared" ca="1" si="36"/>
        <v>0.49863751239724874</v>
      </c>
      <c r="F1165" s="3">
        <f t="shared" ca="1" si="36"/>
        <v>0.12031393476433572</v>
      </c>
      <c r="G1165" s="3">
        <f t="shared" ca="1" si="37"/>
        <v>2.6548021462952489</v>
      </c>
      <c r="H1165" s="2"/>
      <c r="I1165" s="2"/>
      <c r="J1165" s="2"/>
      <c r="K1165" s="2"/>
    </row>
    <row r="1166" spans="5:11" x14ac:dyDescent="0.25">
      <c r="E1166" s="3">
        <f t="shared" ca="1" si="36"/>
        <v>0.90025231103278347</v>
      </c>
      <c r="F1166" s="3">
        <f t="shared" ca="1" si="36"/>
        <v>0.6301012191951274</v>
      </c>
      <c r="G1166" s="3">
        <f t="shared" ca="1" si="37"/>
        <v>7.4169601794644482</v>
      </c>
      <c r="H1166" s="2"/>
      <c r="I1166" s="2"/>
      <c r="J1166" s="2"/>
      <c r="K1166" s="2"/>
    </row>
    <row r="1167" spans="5:11" x14ac:dyDescent="0.25">
      <c r="E1167" s="3">
        <f t="shared" ca="1" si="36"/>
        <v>0.46822169410945957</v>
      </c>
      <c r="F1167" s="3">
        <f t="shared" ca="1" si="36"/>
        <v>0.40146863306286318</v>
      </c>
      <c r="G1167" s="3">
        <f t="shared" ca="1" si="37"/>
        <v>4.1650412615843342</v>
      </c>
      <c r="H1167" s="2"/>
      <c r="I1167" s="2"/>
      <c r="J1167" s="2"/>
      <c r="K1167" s="2"/>
    </row>
    <row r="1168" spans="5:11" x14ac:dyDescent="0.25">
      <c r="E1168" s="3">
        <f t="shared" ca="1" si="36"/>
        <v>0.2115716364867023</v>
      </c>
      <c r="F1168" s="3">
        <f t="shared" ca="1" si="36"/>
        <v>0.84876011121410566</v>
      </c>
      <c r="G1168" s="3">
        <f t="shared" ca="1" si="37"/>
        <v>11.474153654383223</v>
      </c>
      <c r="H1168" s="2"/>
      <c r="I1168" s="2"/>
      <c r="J1168" s="2"/>
      <c r="K1168" s="2"/>
    </row>
    <row r="1169" spans="5:11" x14ac:dyDescent="0.25">
      <c r="E1169" s="3">
        <f t="shared" ca="1" si="36"/>
        <v>0.23627438714248683</v>
      </c>
      <c r="F1169" s="3">
        <f t="shared" ca="1" si="36"/>
        <v>0.68876361984741075</v>
      </c>
      <c r="G1169" s="3">
        <f t="shared" ca="1" si="37"/>
        <v>9.0587946280529614</v>
      </c>
      <c r="H1169" s="2"/>
      <c r="I1169" s="2"/>
      <c r="J1169" s="2"/>
      <c r="K1169" s="2"/>
    </row>
    <row r="1170" spans="5:11" x14ac:dyDescent="0.25">
      <c r="E1170" s="3">
        <f t="shared" ca="1" si="36"/>
        <v>0.9392082404596177</v>
      </c>
      <c r="F1170" s="3">
        <f t="shared" ca="1" si="36"/>
        <v>0.90313721429278604</v>
      </c>
      <c r="G1170" s="3">
        <f t="shared" ca="1" si="37"/>
        <v>12.270104973153938</v>
      </c>
      <c r="H1170" s="2"/>
      <c r="I1170" s="2"/>
      <c r="J1170" s="2"/>
      <c r="K1170" s="2"/>
    </row>
    <row r="1171" spans="5:11" x14ac:dyDescent="0.25">
      <c r="E1171" s="3">
        <f t="shared" ca="1" si="36"/>
        <v>0.37694357322212546</v>
      </c>
      <c r="F1171" s="3">
        <f t="shared" ca="1" si="36"/>
        <v>0.42961525255203359</v>
      </c>
      <c r="G1171" s="3">
        <f t="shared" ca="1" si="37"/>
        <v>5.2287637297979233</v>
      </c>
      <c r="H1171" s="2"/>
      <c r="I1171" s="2"/>
      <c r="J1171" s="2"/>
      <c r="K1171" s="2"/>
    </row>
    <row r="1172" spans="5:11" x14ac:dyDescent="0.25">
      <c r="E1172" s="3">
        <f t="shared" ca="1" si="36"/>
        <v>0.9186610025633386</v>
      </c>
      <c r="F1172" s="3">
        <f t="shared" ca="1" si="36"/>
        <v>0.3648601912225069</v>
      </c>
      <c r="G1172" s="3">
        <f t="shared" ca="1" si="37"/>
        <v>5.4764166677486648</v>
      </c>
      <c r="H1172" s="2"/>
      <c r="I1172" s="2"/>
      <c r="J1172" s="2"/>
      <c r="K1172" s="2"/>
    </row>
    <row r="1173" spans="5:11" x14ac:dyDescent="0.25">
      <c r="E1173" s="3">
        <f t="shared" ca="1" si="36"/>
        <v>0.62125156862994479</v>
      </c>
      <c r="F1173" s="3">
        <f t="shared" ca="1" si="36"/>
        <v>0.82024698098050586</v>
      </c>
      <c r="G1173" s="3">
        <f t="shared" ca="1" si="37"/>
        <v>9.0782762929636558</v>
      </c>
      <c r="H1173" s="2"/>
      <c r="I1173" s="2"/>
      <c r="J1173" s="2"/>
      <c r="K1173" s="2"/>
    </row>
    <row r="1174" spans="5:11" x14ac:dyDescent="0.25">
      <c r="E1174" s="3">
        <f t="shared" ca="1" si="36"/>
        <v>0.72887943859706483</v>
      </c>
      <c r="F1174" s="3">
        <f t="shared" ca="1" si="36"/>
        <v>0.99973654715238003</v>
      </c>
      <c r="G1174" s="3">
        <f t="shared" ca="1" si="37"/>
        <v>21.818363146902296</v>
      </c>
      <c r="H1174" s="2"/>
      <c r="I1174" s="2"/>
      <c r="J1174" s="2"/>
      <c r="K1174" s="2"/>
    </row>
    <row r="1175" spans="5:11" x14ac:dyDescent="0.25">
      <c r="E1175" s="3">
        <f t="shared" ca="1" si="36"/>
        <v>0.5000207718373828</v>
      </c>
      <c r="F1175" s="3">
        <f t="shared" ca="1" si="36"/>
        <v>0.5753171761793533</v>
      </c>
      <c r="G1175" s="3">
        <f t="shared" ca="1" si="37"/>
        <v>5.8643322662952162</v>
      </c>
      <c r="H1175" s="2"/>
      <c r="I1175" s="2"/>
      <c r="J1175" s="2"/>
      <c r="K1175" s="2"/>
    </row>
    <row r="1176" spans="5:11" x14ac:dyDescent="0.25">
      <c r="E1176" s="3">
        <f t="shared" ca="1" si="36"/>
        <v>0.7232618890609227</v>
      </c>
      <c r="F1176" s="3">
        <f t="shared" ca="1" si="36"/>
        <v>0.1672483957117894</v>
      </c>
      <c r="G1176" s="3">
        <f t="shared" ca="1" si="37"/>
        <v>0.80515788527193044</v>
      </c>
      <c r="H1176" s="2"/>
      <c r="I1176" s="2"/>
      <c r="J1176" s="2"/>
      <c r="K1176" s="2"/>
    </row>
    <row r="1177" spans="5:11" x14ac:dyDescent="0.25">
      <c r="E1177" s="3">
        <f t="shared" ca="1" si="36"/>
        <v>0.79158273324760187</v>
      </c>
      <c r="F1177" s="3">
        <f t="shared" ca="1" si="36"/>
        <v>0.75979375559386275</v>
      </c>
      <c r="G1177" s="3">
        <f t="shared" ca="1" si="37"/>
        <v>8.2024739562642122</v>
      </c>
      <c r="H1177" s="2"/>
      <c r="I1177" s="2"/>
      <c r="J1177" s="2"/>
      <c r="K1177" s="2"/>
    </row>
    <row r="1178" spans="5:11" x14ac:dyDescent="0.25">
      <c r="E1178" s="3">
        <f t="shared" ca="1" si="36"/>
        <v>0.5722764936572956</v>
      </c>
      <c r="F1178" s="3">
        <f t="shared" ca="1" si="36"/>
        <v>0.76067688952318291</v>
      </c>
      <c r="G1178" s="3">
        <f t="shared" ca="1" si="37"/>
        <v>8.1219453155502297</v>
      </c>
      <c r="H1178" s="2"/>
      <c r="I1178" s="2"/>
      <c r="J1178" s="2"/>
      <c r="K1178" s="2"/>
    </row>
    <row r="1179" spans="5:11" x14ac:dyDescent="0.25">
      <c r="E1179" s="3">
        <f t="shared" ca="1" si="36"/>
        <v>0.67622992837241047</v>
      </c>
      <c r="F1179" s="3">
        <f t="shared" ca="1" si="36"/>
        <v>0.28527033018012604</v>
      </c>
      <c r="G1179" s="3">
        <f t="shared" ca="1" si="37"/>
        <v>1.6343408870188698</v>
      </c>
      <c r="H1179" s="2"/>
      <c r="I1179" s="2"/>
      <c r="J1179" s="2"/>
      <c r="K1179" s="2"/>
    </row>
    <row r="1180" spans="5:11" x14ac:dyDescent="0.25">
      <c r="E1180" s="3">
        <f t="shared" ca="1" si="36"/>
        <v>0.57270657909197664</v>
      </c>
      <c r="F1180" s="3">
        <f t="shared" ca="1" si="36"/>
        <v>0.93150968704718495</v>
      </c>
      <c r="G1180" s="3">
        <f t="shared" ca="1" si="37"/>
        <v>11.979026415696877</v>
      </c>
      <c r="H1180" s="2"/>
      <c r="I1180" s="2"/>
      <c r="J1180" s="2"/>
      <c r="K1180" s="2"/>
    </row>
    <row r="1181" spans="5:11" x14ac:dyDescent="0.25">
      <c r="E1181" s="3">
        <f t="shared" ca="1" si="36"/>
        <v>0.56309501413858931</v>
      </c>
      <c r="F1181" s="3">
        <f t="shared" ca="1" si="36"/>
        <v>0.36649542662992696</v>
      </c>
      <c r="G1181" s="3">
        <f t="shared" ca="1" si="37"/>
        <v>3.1197229072637551</v>
      </c>
      <c r="H1181" s="2"/>
      <c r="I1181" s="2"/>
      <c r="J1181" s="2"/>
      <c r="K1181" s="2"/>
    </row>
    <row r="1182" spans="5:11" x14ac:dyDescent="0.25">
      <c r="E1182" s="3">
        <f t="shared" ca="1" si="36"/>
        <v>0.73373977977317728</v>
      </c>
      <c r="F1182" s="3">
        <f t="shared" ca="1" si="36"/>
        <v>0.50507406842996583</v>
      </c>
      <c r="G1182" s="3">
        <f t="shared" ca="1" si="37"/>
        <v>4.6182818401342516</v>
      </c>
      <c r="H1182" s="2"/>
      <c r="I1182" s="2"/>
      <c r="J1182" s="2"/>
      <c r="K1182" s="2"/>
    </row>
    <row r="1183" spans="5:11" x14ac:dyDescent="0.25">
      <c r="E1183" s="3">
        <f t="shared" ca="1" si="36"/>
        <v>0.24457936717320472</v>
      </c>
      <c r="F1183" s="3">
        <f t="shared" ca="1" si="36"/>
        <v>0.19453069614845109</v>
      </c>
      <c r="G1183" s="3">
        <f t="shared" ca="1" si="37"/>
        <v>5.7009470677563545</v>
      </c>
      <c r="H1183" s="2"/>
      <c r="I1183" s="2"/>
      <c r="J1183" s="2"/>
      <c r="K1183" s="2"/>
    </row>
    <row r="1184" spans="5:11" x14ac:dyDescent="0.25">
      <c r="E1184" s="3">
        <f t="shared" ca="1" si="36"/>
        <v>0.57143288454161767</v>
      </c>
      <c r="F1184" s="3">
        <f t="shared" ca="1" si="36"/>
        <v>6.1112428099042604E-2</v>
      </c>
      <c r="G1184" s="3">
        <f t="shared" ca="1" si="37"/>
        <v>3.5224646995924918</v>
      </c>
      <c r="H1184" s="2"/>
      <c r="I1184" s="2"/>
      <c r="J1184" s="2"/>
      <c r="K1184" s="2"/>
    </row>
    <row r="1185" spans="5:11" x14ac:dyDescent="0.25">
      <c r="E1185" s="3">
        <f t="shared" ca="1" si="36"/>
        <v>0.55136477256503968</v>
      </c>
      <c r="F1185" s="3">
        <f t="shared" ca="1" si="36"/>
        <v>0.78700645933344393</v>
      </c>
      <c r="G1185" s="3">
        <f t="shared" ca="1" si="37"/>
        <v>8.599546233991024</v>
      </c>
      <c r="H1185" s="2"/>
      <c r="I1185" s="2"/>
      <c r="J1185" s="2"/>
      <c r="K1185" s="2"/>
    </row>
    <row r="1186" spans="5:11" x14ac:dyDescent="0.25">
      <c r="E1186" s="3">
        <f t="shared" ca="1" si="36"/>
        <v>0.1177195324590854</v>
      </c>
      <c r="F1186" s="3">
        <f t="shared" ca="1" si="36"/>
        <v>0.51601420658290797</v>
      </c>
      <c r="G1186" s="3">
        <f t="shared" ca="1" si="37"/>
        <v>9.4132196395859822</v>
      </c>
      <c r="H1186" s="2"/>
      <c r="I1186" s="2"/>
      <c r="J1186" s="2"/>
      <c r="K1186" s="2"/>
    </row>
    <row r="1187" spans="5:11" x14ac:dyDescent="0.25">
      <c r="E1187" s="3">
        <f t="shared" ca="1" si="36"/>
        <v>0.28379251985707843</v>
      </c>
      <c r="F1187" s="3">
        <f t="shared" ca="1" si="36"/>
        <v>0.14548294901178227</v>
      </c>
      <c r="G1187" s="3">
        <f t="shared" ca="1" si="37"/>
        <v>5.1623757873866412</v>
      </c>
      <c r="H1187" s="2"/>
      <c r="I1187" s="2"/>
      <c r="J1187" s="2"/>
      <c r="K1187" s="2"/>
    </row>
    <row r="1188" spans="5:11" x14ac:dyDescent="0.25">
      <c r="E1188" s="3">
        <f t="shared" ca="1" si="36"/>
        <v>0.12787163489154085</v>
      </c>
      <c r="F1188" s="3">
        <f t="shared" ca="1" si="36"/>
        <v>0.32942545232291764</v>
      </c>
      <c r="G1188" s="3">
        <f t="shared" ca="1" si="37"/>
        <v>8.239626223120764</v>
      </c>
      <c r="H1188" s="2"/>
      <c r="I1188" s="2"/>
      <c r="J1188" s="2"/>
      <c r="K1188" s="2"/>
    </row>
    <row r="1189" spans="5:11" x14ac:dyDescent="0.25">
      <c r="E1189" s="3">
        <f t="shared" ca="1" si="36"/>
        <v>0.79085407957819687</v>
      </c>
      <c r="F1189" s="3">
        <f t="shared" ca="1" si="36"/>
        <v>0.37049802626290596</v>
      </c>
      <c r="G1189" s="3">
        <f t="shared" ca="1" si="37"/>
        <v>3.34678122628784</v>
      </c>
      <c r="H1189" s="2"/>
      <c r="I1189" s="2"/>
      <c r="J1189" s="2"/>
      <c r="K1189" s="2"/>
    </row>
    <row r="1190" spans="5:11" x14ac:dyDescent="0.25">
      <c r="E1190" s="3">
        <f t="shared" ca="1" si="36"/>
        <v>0.63393531698520633</v>
      </c>
      <c r="F1190" s="3">
        <f t="shared" ca="1" si="36"/>
        <v>0.47268637378636713</v>
      </c>
      <c r="G1190" s="3">
        <f t="shared" ca="1" si="37"/>
        <v>4.1611390943209834</v>
      </c>
      <c r="H1190" s="2"/>
      <c r="I1190" s="2"/>
      <c r="J1190" s="2"/>
      <c r="K1190" s="2"/>
    </row>
    <row r="1191" spans="5:11" x14ac:dyDescent="0.25">
      <c r="E1191" s="3">
        <f t="shared" ca="1" si="36"/>
        <v>0.55715792650696283</v>
      </c>
      <c r="F1191" s="3">
        <f t="shared" ca="1" si="36"/>
        <v>0.50912194079751172</v>
      </c>
      <c r="G1191" s="3">
        <f t="shared" ca="1" si="37"/>
        <v>4.830222083709744</v>
      </c>
      <c r="H1191" s="2"/>
      <c r="I1191" s="2"/>
      <c r="J1191" s="2"/>
      <c r="K1191" s="2"/>
    </row>
    <row r="1192" spans="5:11" x14ac:dyDescent="0.25">
      <c r="E1192" s="3">
        <f t="shared" ca="1" si="36"/>
        <v>0.40704296458447586</v>
      </c>
      <c r="F1192" s="3">
        <f t="shared" ca="1" si="36"/>
        <v>0.81734881465739251</v>
      </c>
      <c r="G1192" s="3">
        <f t="shared" ca="1" si="37"/>
        <v>9.6232818308988435</v>
      </c>
      <c r="H1192" s="2"/>
      <c r="I1192" s="2"/>
      <c r="J1192" s="2"/>
      <c r="K1192" s="2"/>
    </row>
    <row r="1193" spans="5:11" x14ac:dyDescent="0.25">
      <c r="E1193" s="3">
        <f t="shared" ca="1" si="36"/>
        <v>0.31910284092386598</v>
      </c>
      <c r="F1193" s="3">
        <f t="shared" ca="1" si="36"/>
        <v>0.16296389677128675</v>
      </c>
      <c r="G1193" s="3">
        <f t="shared" ca="1" si="37"/>
        <v>4.6126164229186539</v>
      </c>
      <c r="H1193" s="2"/>
      <c r="I1193" s="2"/>
      <c r="J1193" s="2"/>
      <c r="K1193" s="2"/>
    </row>
    <row r="1194" spans="5:11" x14ac:dyDescent="0.25">
      <c r="E1194" s="3">
        <f t="shared" ca="1" si="36"/>
        <v>0.96867479734009654</v>
      </c>
      <c r="F1194" s="3">
        <f t="shared" ca="1" si="36"/>
        <v>0.59150661630490042</v>
      </c>
      <c r="G1194" s="3">
        <f t="shared" ca="1" si="37"/>
        <v>9.034388137499608</v>
      </c>
      <c r="H1194" s="2"/>
      <c r="I1194" s="2"/>
      <c r="J1194" s="2"/>
      <c r="K1194" s="2"/>
    </row>
    <row r="1195" spans="5:11" x14ac:dyDescent="0.25">
      <c r="E1195" s="3">
        <f t="shared" ca="1" si="36"/>
        <v>0.52062687057756585</v>
      </c>
      <c r="F1195" s="3">
        <f t="shared" ca="1" si="36"/>
        <v>0.57305029691508869</v>
      </c>
      <c r="G1195" s="3">
        <f t="shared" ca="1" si="37"/>
        <v>5.7434330853516009</v>
      </c>
      <c r="H1195" s="2"/>
      <c r="I1195" s="2"/>
      <c r="J1195" s="2"/>
      <c r="K1195" s="2"/>
    </row>
    <row r="1196" spans="5:11" x14ac:dyDescent="0.25">
      <c r="E1196" s="3">
        <f t="shared" ca="1" si="36"/>
        <v>0.16513542083707466</v>
      </c>
      <c r="F1196" s="3">
        <f t="shared" ca="1" si="36"/>
        <v>0.21923660697534042</v>
      </c>
      <c r="G1196" s="3">
        <f t="shared" ca="1" si="37"/>
        <v>7.133162517746535</v>
      </c>
      <c r="H1196" s="2"/>
      <c r="I1196" s="2"/>
      <c r="J1196" s="2"/>
      <c r="K1196" s="2"/>
    </row>
    <row r="1197" spans="5:11" x14ac:dyDescent="0.25">
      <c r="E1197" s="3">
        <f t="shared" ca="1" si="36"/>
        <v>0.72767417641839649</v>
      </c>
      <c r="F1197" s="3">
        <f t="shared" ca="1" si="36"/>
        <v>0.54981105907016858</v>
      </c>
      <c r="G1197" s="3">
        <f t="shared" ca="1" si="37"/>
        <v>5.1565611248716809</v>
      </c>
      <c r="H1197" s="2"/>
      <c r="I1197" s="2"/>
      <c r="J1197" s="2"/>
      <c r="K1197" s="2"/>
    </row>
    <row r="1198" spans="5:11" x14ac:dyDescent="0.25">
      <c r="E1198" s="3">
        <f t="shared" ca="1" si="36"/>
        <v>0.77511701617786588</v>
      </c>
      <c r="F1198" s="3">
        <f t="shared" ca="1" si="36"/>
        <v>0.16394850620885792</v>
      </c>
      <c r="G1198" s="3">
        <f t="shared" ca="1" si="37"/>
        <v>1.5954285500974819</v>
      </c>
      <c r="H1198" s="2"/>
      <c r="I1198" s="2"/>
      <c r="J1198" s="2"/>
      <c r="K1198" s="2"/>
    </row>
    <row r="1199" spans="5:11" x14ac:dyDescent="0.25">
      <c r="E1199" s="3">
        <f t="shared" ca="1" si="36"/>
        <v>0.13810851055423934</v>
      </c>
      <c r="F1199" s="3">
        <f t="shared" ca="1" si="36"/>
        <v>0.13750696658352557</v>
      </c>
      <c r="G1199" s="3">
        <f t="shared" ca="1" si="37"/>
        <v>7.7478994503339882</v>
      </c>
      <c r="H1199" s="2"/>
      <c r="I1199" s="2"/>
      <c r="J1199" s="2"/>
      <c r="K1199" s="2"/>
    </row>
    <row r="1200" spans="5:11" x14ac:dyDescent="0.25">
      <c r="E1200" s="3">
        <f t="shared" ca="1" si="36"/>
        <v>0.51359753045157219</v>
      </c>
      <c r="F1200" s="3">
        <f t="shared" ca="1" si="36"/>
        <v>0.38286872198121191</v>
      </c>
      <c r="G1200" s="3">
        <f t="shared" ca="1" si="37"/>
        <v>3.6285242749214661</v>
      </c>
      <c r="H1200" s="2"/>
      <c r="I1200" s="2"/>
      <c r="J1200" s="2"/>
      <c r="K1200" s="2"/>
    </row>
    <row r="1201" spans="5:11" x14ac:dyDescent="0.25">
      <c r="E1201" s="3">
        <f t="shared" ca="1" si="36"/>
        <v>7.4110132067901624E-3</v>
      </c>
      <c r="F1201" s="3">
        <f t="shared" ca="1" si="36"/>
        <v>0.60063550261769361</v>
      </c>
      <c r="G1201" s="3">
        <f t="shared" ca="1" si="37"/>
        <v>15.525854828819801</v>
      </c>
      <c r="H1201" s="2"/>
      <c r="I1201" s="2"/>
      <c r="J1201" s="2"/>
      <c r="K1201" s="2"/>
    </row>
    <row r="1202" spans="5:11" x14ac:dyDescent="0.25">
      <c r="E1202" s="3">
        <f t="shared" ca="1" si="36"/>
        <v>0.17243456917778066</v>
      </c>
      <c r="F1202" s="3">
        <f t="shared" ca="1" si="36"/>
        <v>0.98452454329760786</v>
      </c>
      <c r="G1202" s="3">
        <f t="shared" ca="1" si="37"/>
        <v>16.772283088779236</v>
      </c>
      <c r="H1202" s="2"/>
      <c r="I1202" s="2"/>
      <c r="J1202" s="2"/>
      <c r="K1202" s="2"/>
    </row>
    <row r="1203" spans="5:11" x14ac:dyDescent="0.25">
      <c r="E1203" s="3">
        <f t="shared" ca="1" si="36"/>
        <v>0.70527294858233169</v>
      </c>
      <c r="F1203" s="3">
        <f t="shared" ca="1" si="36"/>
        <v>0.20411977113445712</v>
      </c>
      <c r="G1203" s="3">
        <f t="shared" ca="1" si="37"/>
        <v>0.56725681760934843</v>
      </c>
      <c r="H1203" s="2"/>
      <c r="I1203" s="2"/>
      <c r="J1203" s="2"/>
      <c r="K1203" s="2"/>
    </row>
    <row r="1204" spans="5:11" x14ac:dyDescent="0.25">
      <c r="E1204" s="3">
        <f t="shared" ca="1" si="36"/>
        <v>0.16984343113856637</v>
      </c>
      <c r="F1204" s="3">
        <f t="shared" ca="1" si="36"/>
        <v>0.23162535795056871</v>
      </c>
      <c r="G1204" s="3">
        <f t="shared" ca="1" si="37"/>
        <v>7.0600418242747516</v>
      </c>
      <c r="H1204" s="2"/>
      <c r="I1204" s="2"/>
      <c r="J1204" s="2"/>
      <c r="K1204" s="2"/>
    </row>
    <row r="1205" spans="5:11" x14ac:dyDescent="0.25">
      <c r="E1205" s="3">
        <f t="shared" ca="1" si="36"/>
        <v>0.28736332283600363</v>
      </c>
      <c r="F1205" s="3">
        <f t="shared" ca="1" si="36"/>
        <v>0.37398745188691607</v>
      </c>
      <c r="G1205" s="3">
        <f t="shared" ca="1" si="37"/>
        <v>5.8017423971028821</v>
      </c>
      <c r="H1205" s="2"/>
      <c r="I1205" s="2"/>
      <c r="J1205" s="2"/>
      <c r="K1205" s="2"/>
    </row>
    <row r="1206" spans="5:11" x14ac:dyDescent="0.25">
      <c r="E1206" s="3">
        <f t="shared" ca="1" si="36"/>
        <v>0.80059589406181075</v>
      </c>
      <c r="F1206" s="3">
        <f t="shared" ca="1" si="36"/>
        <v>0.194360374602073</v>
      </c>
      <c r="G1206" s="3">
        <f t="shared" ca="1" si="37"/>
        <v>1.984872429091225</v>
      </c>
      <c r="H1206" s="2"/>
      <c r="I1206" s="2"/>
      <c r="J1206" s="2"/>
      <c r="K1206" s="2"/>
    </row>
    <row r="1207" spans="5:11" x14ac:dyDescent="0.25">
      <c r="E1207" s="3">
        <f t="shared" ca="1" si="36"/>
        <v>4.3514016993496663E-2</v>
      </c>
      <c r="F1207" s="3">
        <f t="shared" ca="1" si="36"/>
        <v>1.937504570391746E-2</v>
      </c>
      <c r="G1207" s="3">
        <f t="shared" ca="1" si="37"/>
        <v>12.286558710555658</v>
      </c>
      <c r="H1207" s="2"/>
      <c r="I1207" s="2"/>
      <c r="J1207" s="2"/>
      <c r="K1207" s="2"/>
    </row>
    <row r="1208" spans="5:11" x14ac:dyDescent="0.25">
      <c r="E1208" s="3">
        <f t="shared" ca="1" si="36"/>
        <v>0.28882991615477016</v>
      </c>
      <c r="F1208" s="3">
        <f t="shared" ca="1" si="36"/>
        <v>0.70532579052810684</v>
      </c>
      <c r="G1208" s="3">
        <f t="shared" ca="1" si="37"/>
        <v>8.7542852846910684</v>
      </c>
      <c r="H1208" s="2"/>
      <c r="I1208" s="2"/>
      <c r="J1208" s="2"/>
      <c r="K1208" s="2"/>
    </row>
    <row r="1209" spans="5:11" x14ac:dyDescent="0.25">
      <c r="E1209" s="3">
        <f t="shared" ca="1" si="36"/>
        <v>0.40374143498578841</v>
      </c>
      <c r="F1209" s="3">
        <f t="shared" ca="1" si="36"/>
        <v>0.64295508349470754</v>
      </c>
      <c r="G1209" s="3">
        <f t="shared" ca="1" si="37"/>
        <v>7.1885966528285721</v>
      </c>
      <c r="H1209" s="2"/>
      <c r="I1209" s="2"/>
      <c r="J1209" s="2"/>
      <c r="K1209" s="2"/>
    </row>
    <row r="1210" spans="5:11" x14ac:dyDescent="0.25">
      <c r="E1210" s="3">
        <f t="shared" ca="1" si="36"/>
        <v>0.68364651893029271</v>
      </c>
      <c r="F1210" s="3">
        <f t="shared" ca="1" si="36"/>
        <v>0.82327225142231131</v>
      </c>
      <c r="G1210" s="3">
        <f t="shared" ca="1" si="37"/>
        <v>9.1107436581487544</v>
      </c>
      <c r="H1210" s="2"/>
      <c r="I1210" s="2"/>
      <c r="J1210" s="2"/>
      <c r="K1210" s="2"/>
    </row>
    <row r="1211" spans="5:11" x14ac:dyDescent="0.25">
      <c r="E1211" s="3">
        <f t="shared" ca="1" si="36"/>
        <v>9.20514469054734E-3</v>
      </c>
      <c r="F1211" s="3">
        <f t="shared" ca="1" si="36"/>
        <v>0.3817380603230156</v>
      </c>
      <c r="G1211" s="3">
        <f t="shared" ca="1" si="37"/>
        <v>14.336705195836323</v>
      </c>
      <c r="H1211" s="2"/>
      <c r="I1211" s="2"/>
      <c r="J1211" s="2"/>
      <c r="K1211" s="2"/>
    </row>
    <row r="1212" spans="5:11" x14ac:dyDescent="0.25">
      <c r="E1212" s="3">
        <f t="shared" ca="1" si="36"/>
        <v>0.97637902450023228</v>
      </c>
      <c r="F1212" s="3">
        <f t="shared" ca="1" si="36"/>
        <v>0.48737383265159029</v>
      </c>
      <c r="G1212" s="3">
        <f t="shared" ca="1" si="37"/>
        <v>8.807790338565475</v>
      </c>
      <c r="H1212" s="2"/>
      <c r="I1212" s="2"/>
      <c r="J1212" s="2"/>
      <c r="K1212" s="2"/>
    </row>
    <row r="1213" spans="5:11" x14ac:dyDescent="0.25">
      <c r="E1213" s="3">
        <f t="shared" ca="1" si="36"/>
        <v>0.89936329984033858</v>
      </c>
      <c r="F1213" s="3">
        <f t="shared" ca="1" si="36"/>
        <v>0.75833310236265983</v>
      </c>
      <c r="G1213" s="3">
        <f t="shared" ca="1" si="37"/>
        <v>8.9896078622500717</v>
      </c>
      <c r="H1213" s="2"/>
      <c r="I1213" s="2"/>
      <c r="J1213" s="2"/>
      <c r="K1213" s="2"/>
    </row>
    <row r="1214" spans="5:11" x14ac:dyDescent="0.25">
      <c r="E1214" s="3">
        <f t="shared" ca="1" si="36"/>
        <v>0.95233255757414847</v>
      </c>
      <c r="F1214" s="3">
        <f t="shared" ca="1" si="36"/>
        <v>0.89218368744088872</v>
      </c>
      <c r="G1214" s="3">
        <f t="shared" ca="1" si="37"/>
        <v>12.282461466264989</v>
      </c>
      <c r="H1214" s="2"/>
      <c r="I1214" s="2"/>
      <c r="J1214" s="2"/>
      <c r="K1214" s="2"/>
    </row>
    <row r="1215" spans="5:11" x14ac:dyDescent="0.25">
      <c r="E1215" s="3">
        <f t="shared" ca="1" si="36"/>
        <v>0.32369761453465307</v>
      </c>
      <c r="F1215" s="3">
        <f t="shared" ca="1" si="36"/>
        <v>0.53880333082310938</v>
      </c>
      <c r="G1215" s="3">
        <f t="shared" ca="1" si="37"/>
        <v>6.7133428483302566</v>
      </c>
      <c r="H1215" s="2"/>
      <c r="I1215" s="2"/>
      <c r="J1215" s="2"/>
      <c r="K1215" s="2"/>
    </row>
    <row r="1216" spans="5:11" x14ac:dyDescent="0.25">
      <c r="E1216" s="3">
        <f t="shared" ca="1" si="36"/>
        <v>0.22007836587483032</v>
      </c>
      <c r="F1216" s="3">
        <f t="shared" ca="1" si="36"/>
        <v>0.80484982560618668</v>
      </c>
      <c r="G1216" s="3">
        <f t="shared" ca="1" si="37"/>
        <v>10.679019051947629</v>
      </c>
      <c r="H1216" s="2"/>
      <c r="I1216" s="2"/>
      <c r="J1216" s="2"/>
      <c r="K1216" s="2"/>
    </row>
    <row r="1217" spans="5:11" x14ac:dyDescent="0.25">
      <c r="E1217" s="3">
        <f t="shared" ca="1" si="36"/>
        <v>0.85009210599448692</v>
      </c>
      <c r="F1217" s="3">
        <f t="shared" ca="1" si="36"/>
        <v>0.58244712795420495</v>
      </c>
      <c r="G1217" s="3">
        <f t="shared" ca="1" si="37"/>
        <v>6.2477532358706194</v>
      </c>
      <c r="H1217" s="2"/>
      <c r="I1217" s="2"/>
      <c r="J1217" s="2"/>
      <c r="K1217" s="2"/>
    </row>
    <row r="1218" spans="5:11" x14ac:dyDescent="0.25">
      <c r="E1218" s="3">
        <f t="shared" ca="1" si="36"/>
        <v>0.766706737924847</v>
      </c>
      <c r="F1218" s="3">
        <f t="shared" ca="1" si="36"/>
        <v>0.21490807880957252</v>
      </c>
      <c r="G1218" s="3">
        <f t="shared" ca="1" si="37"/>
        <v>1.4941701056201062</v>
      </c>
      <c r="H1218" s="2"/>
      <c r="I1218" s="2"/>
      <c r="J1218" s="2"/>
      <c r="K1218" s="2"/>
    </row>
    <row r="1219" spans="5:11" x14ac:dyDescent="0.25">
      <c r="E1219" s="3">
        <f t="shared" ca="1" si="36"/>
        <v>0.39111711488815792</v>
      </c>
      <c r="F1219" s="3">
        <f t="shared" ca="1" si="36"/>
        <v>0.72712113956649549</v>
      </c>
      <c r="G1219" s="3">
        <f t="shared" ca="1" si="37"/>
        <v>8.320540466607607</v>
      </c>
      <c r="H1219" s="2"/>
      <c r="I1219" s="2"/>
      <c r="J1219" s="2"/>
      <c r="K1219" s="2"/>
    </row>
    <row r="1220" spans="5:11" x14ac:dyDescent="0.25">
      <c r="E1220" s="3">
        <f t="shared" ref="E1220:F1283" ca="1" si="38">RAND()</f>
        <v>0.94215118605699177</v>
      </c>
      <c r="F1220" s="3">
        <f t="shared" ca="1" si="38"/>
        <v>0.4215896096603643</v>
      </c>
      <c r="G1220" s="3">
        <f t="shared" ref="G1220:G1283" ca="1" si="39">SQRT(_xlfn.NORM.INV(E1220,$C$3*COS($C$6),$C$4)^2+_xlfn.NORM.INV(F1220,$C$3*SIN($C$6),$C$4)^2)</f>
        <v>6.6149742059471501</v>
      </c>
      <c r="H1220" s="2"/>
      <c r="I1220" s="2"/>
      <c r="J1220" s="2"/>
      <c r="K1220" s="2"/>
    </row>
    <row r="1221" spans="5:11" x14ac:dyDescent="0.25">
      <c r="E1221" s="3">
        <f t="shared" ca="1" si="38"/>
        <v>0.60624664664046979</v>
      </c>
      <c r="F1221" s="3">
        <f t="shared" ca="1" si="38"/>
        <v>2.2348798660249969E-2</v>
      </c>
      <c r="G1221" s="3">
        <f t="shared" ca="1" si="39"/>
        <v>5.6385646759997288</v>
      </c>
      <c r="H1221" s="2"/>
      <c r="I1221" s="2"/>
      <c r="J1221" s="2"/>
      <c r="K1221" s="2"/>
    </row>
    <row r="1222" spans="5:11" x14ac:dyDescent="0.25">
      <c r="E1222" s="3">
        <f t="shared" ca="1" si="38"/>
        <v>0.44267050522345464</v>
      </c>
      <c r="F1222" s="3">
        <f t="shared" ca="1" si="38"/>
        <v>0.59928594221823983</v>
      </c>
      <c r="G1222" s="3">
        <f t="shared" ca="1" si="39"/>
        <v>6.4477734503073032</v>
      </c>
      <c r="H1222" s="2"/>
      <c r="I1222" s="2"/>
      <c r="J1222" s="2"/>
      <c r="K1222" s="2"/>
    </row>
    <row r="1223" spans="5:11" x14ac:dyDescent="0.25">
      <c r="E1223" s="3">
        <f t="shared" ca="1" si="38"/>
        <v>0.41455858543124224</v>
      </c>
      <c r="F1223" s="3">
        <f t="shared" ca="1" si="38"/>
        <v>0.70992803802708027</v>
      </c>
      <c r="G1223" s="3">
        <f t="shared" ca="1" si="39"/>
        <v>7.9609636120471432</v>
      </c>
      <c r="H1223" s="2"/>
      <c r="I1223" s="2"/>
      <c r="J1223" s="2"/>
      <c r="K1223" s="2"/>
    </row>
    <row r="1224" spans="5:11" x14ac:dyDescent="0.25">
      <c r="E1224" s="3">
        <f t="shared" ca="1" si="38"/>
        <v>0.26493370163999652</v>
      </c>
      <c r="F1224" s="3">
        <f t="shared" ca="1" si="38"/>
        <v>0.85708346998352325</v>
      </c>
      <c r="G1224" s="3">
        <f t="shared" ca="1" si="39"/>
        <v>11.186036588417444</v>
      </c>
      <c r="H1224" s="2"/>
      <c r="I1224" s="2"/>
      <c r="J1224" s="2"/>
      <c r="K1224" s="2"/>
    </row>
    <row r="1225" spans="5:11" x14ac:dyDescent="0.25">
      <c r="E1225" s="3">
        <f t="shared" ca="1" si="38"/>
        <v>0.25983142855801222</v>
      </c>
      <c r="F1225" s="3">
        <f t="shared" ca="1" si="38"/>
        <v>0.98991164084882821</v>
      </c>
      <c r="G1225" s="3">
        <f t="shared" ca="1" si="39"/>
        <v>16.986531013335735</v>
      </c>
      <c r="H1225" s="2"/>
      <c r="I1225" s="2"/>
      <c r="J1225" s="2"/>
      <c r="K1225" s="2"/>
    </row>
    <row r="1226" spans="5:11" x14ac:dyDescent="0.25">
      <c r="E1226" s="3">
        <f t="shared" ca="1" si="38"/>
        <v>0.47504917180525918</v>
      </c>
      <c r="F1226" s="3">
        <f t="shared" ca="1" si="38"/>
        <v>0.9017755023526266</v>
      </c>
      <c r="G1226" s="3">
        <f t="shared" ca="1" si="39"/>
        <v>11.222959252673121</v>
      </c>
      <c r="H1226" s="2"/>
      <c r="I1226" s="2"/>
      <c r="J1226" s="2"/>
      <c r="K1226" s="2"/>
    </row>
    <row r="1227" spans="5:11" x14ac:dyDescent="0.25">
      <c r="E1227" s="3">
        <f t="shared" ca="1" si="38"/>
        <v>0.80797831846999602</v>
      </c>
      <c r="F1227" s="3">
        <f t="shared" ca="1" si="38"/>
        <v>0.2694390939489163</v>
      </c>
      <c r="G1227" s="3">
        <f t="shared" ca="1" si="39"/>
        <v>2.5324480540239604</v>
      </c>
      <c r="H1227" s="2"/>
      <c r="I1227" s="2"/>
      <c r="J1227" s="2"/>
      <c r="K1227" s="2"/>
    </row>
    <row r="1228" spans="5:11" x14ac:dyDescent="0.25">
      <c r="E1228" s="3">
        <f t="shared" ca="1" si="38"/>
        <v>0.98312695948494599</v>
      </c>
      <c r="F1228" s="3">
        <f t="shared" ca="1" si="38"/>
        <v>0.79532244069245661</v>
      </c>
      <c r="G1228" s="3">
        <f t="shared" ca="1" si="39"/>
        <v>12.000769095824385</v>
      </c>
      <c r="H1228" s="2"/>
      <c r="I1228" s="2"/>
      <c r="J1228" s="2"/>
      <c r="K1228" s="2"/>
    </row>
    <row r="1229" spans="5:11" x14ac:dyDescent="0.25">
      <c r="E1229" s="3">
        <f t="shared" ca="1" si="38"/>
        <v>0.90505163465699501</v>
      </c>
      <c r="F1229" s="3">
        <f t="shared" ca="1" si="38"/>
        <v>0.35430247633870404</v>
      </c>
      <c r="G1229" s="3">
        <f t="shared" ca="1" si="39"/>
        <v>5.0376581025306519</v>
      </c>
      <c r="H1229" s="2"/>
      <c r="I1229" s="2"/>
      <c r="J1229" s="2"/>
      <c r="K1229" s="2"/>
    </row>
    <row r="1230" spans="5:11" x14ac:dyDescent="0.25">
      <c r="E1230" s="3">
        <f t="shared" ca="1" si="38"/>
        <v>0.32064355493604779</v>
      </c>
      <c r="F1230" s="3">
        <f t="shared" ca="1" si="38"/>
        <v>0.72521537702892436</v>
      </c>
      <c r="G1230" s="3">
        <f t="shared" ca="1" si="39"/>
        <v>8.7501608421318302</v>
      </c>
      <c r="H1230" s="2"/>
      <c r="I1230" s="2"/>
      <c r="J1230" s="2"/>
      <c r="K1230" s="2"/>
    </row>
    <row r="1231" spans="5:11" x14ac:dyDescent="0.25">
      <c r="E1231" s="3">
        <f t="shared" ca="1" si="38"/>
        <v>8.0295997695898347E-3</v>
      </c>
      <c r="F1231" s="3">
        <f t="shared" ca="1" si="38"/>
        <v>0.39074323964604096</v>
      </c>
      <c r="G1231" s="3">
        <f t="shared" ca="1" si="39"/>
        <v>14.607274289541801</v>
      </c>
      <c r="H1231" s="2"/>
      <c r="I1231" s="2"/>
      <c r="J1231" s="2"/>
      <c r="K1231" s="2"/>
    </row>
    <row r="1232" spans="5:11" x14ac:dyDescent="0.25">
      <c r="E1232" s="3">
        <f t="shared" ca="1" si="38"/>
        <v>0.54989888852955493</v>
      </c>
      <c r="F1232" s="3">
        <f t="shared" ca="1" si="38"/>
        <v>5.8860516212347114E-2</v>
      </c>
      <c r="G1232" s="3">
        <f t="shared" ca="1" si="39"/>
        <v>3.7201146102560472</v>
      </c>
      <c r="H1232" s="2"/>
      <c r="I1232" s="2"/>
      <c r="J1232" s="2"/>
      <c r="K1232" s="2"/>
    </row>
    <row r="1233" spans="5:11" x14ac:dyDescent="0.25">
      <c r="E1233" s="3">
        <f t="shared" ca="1" si="38"/>
        <v>0.59203133790330931</v>
      </c>
      <c r="F1233" s="3">
        <f t="shared" ca="1" si="38"/>
        <v>0.1857755438091655</v>
      </c>
      <c r="G1233" s="3">
        <f t="shared" ca="1" si="39"/>
        <v>1.0765028869745159</v>
      </c>
      <c r="H1233" s="2"/>
      <c r="I1233" s="2"/>
      <c r="J1233" s="2"/>
      <c r="K1233" s="2"/>
    </row>
    <row r="1234" spans="5:11" x14ac:dyDescent="0.25">
      <c r="E1234" s="3">
        <f t="shared" ca="1" si="38"/>
        <v>0.50703704865643051</v>
      </c>
      <c r="F1234" s="3">
        <f t="shared" ca="1" si="38"/>
        <v>0.17750750703043738</v>
      </c>
      <c r="G1234" s="3">
        <f t="shared" ca="1" si="39"/>
        <v>2.1577088847321062</v>
      </c>
      <c r="H1234" s="2"/>
      <c r="I1234" s="2"/>
      <c r="J1234" s="2"/>
      <c r="K1234" s="2"/>
    </row>
    <row r="1235" spans="5:11" x14ac:dyDescent="0.25">
      <c r="E1235" s="3">
        <f t="shared" ca="1" si="38"/>
        <v>0.46056488246256166</v>
      </c>
      <c r="F1235" s="3">
        <f t="shared" ca="1" si="38"/>
        <v>0.53478610993665876</v>
      </c>
      <c r="G1235" s="3">
        <f t="shared" ca="1" si="39"/>
        <v>5.6175115178643775</v>
      </c>
      <c r="H1235" s="2"/>
      <c r="I1235" s="2"/>
      <c r="J1235" s="2"/>
      <c r="K1235" s="2"/>
    </row>
    <row r="1236" spans="5:11" x14ac:dyDescent="0.25">
      <c r="E1236" s="3">
        <f t="shared" ca="1" si="38"/>
        <v>0.86696338842567588</v>
      </c>
      <c r="F1236" s="3">
        <f t="shared" ca="1" si="38"/>
        <v>0.83137091914356476</v>
      </c>
      <c r="G1236" s="3">
        <f t="shared" ca="1" si="39"/>
        <v>9.8448053092598649</v>
      </c>
      <c r="H1236" s="2"/>
      <c r="I1236" s="2"/>
      <c r="J1236" s="2"/>
      <c r="K1236" s="2"/>
    </row>
    <row r="1237" spans="5:11" x14ac:dyDescent="0.25">
      <c r="E1237" s="3">
        <f t="shared" ca="1" si="38"/>
        <v>0.18272440620898389</v>
      </c>
      <c r="F1237" s="3">
        <f t="shared" ca="1" si="38"/>
        <v>0.92216272092887785</v>
      </c>
      <c r="G1237" s="3">
        <f t="shared" ca="1" si="39"/>
        <v>13.401875368292165</v>
      </c>
      <c r="H1237" s="2"/>
      <c r="I1237" s="2"/>
      <c r="J1237" s="2"/>
      <c r="K1237" s="2"/>
    </row>
    <row r="1238" spans="5:11" x14ac:dyDescent="0.25">
      <c r="E1238" s="3">
        <f t="shared" ca="1" si="38"/>
        <v>0.42300775423926484</v>
      </c>
      <c r="F1238" s="3">
        <f t="shared" ca="1" si="38"/>
        <v>0.51068053309487738</v>
      </c>
      <c r="G1238" s="3">
        <f t="shared" ca="1" si="39"/>
        <v>5.6132491605909864</v>
      </c>
      <c r="H1238" s="2"/>
      <c r="I1238" s="2"/>
      <c r="J1238" s="2"/>
      <c r="K1238" s="2"/>
    </row>
    <row r="1239" spans="5:11" x14ac:dyDescent="0.25">
      <c r="E1239" s="3">
        <f t="shared" ca="1" si="38"/>
        <v>7.7673867231894955E-2</v>
      </c>
      <c r="F1239" s="3">
        <f t="shared" ca="1" si="38"/>
        <v>4.9779967265536906E-2</v>
      </c>
      <c r="G1239" s="3">
        <f t="shared" ca="1" si="39"/>
        <v>10.07476813557528</v>
      </c>
      <c r="H1239" s="2"/>
      <c r="I1239" s="2"/>
      <c r="J1239" s="2"/>
      <c r="K1239" s="2"/>
    </row>
    <row r="1240" spans="5:11" x14ac:dyDescent="0.25">
      <c r="E1240" s="3">
        <f t="shared" ca="1" si="38"/>
        <v>0.8461672289619242</v>
      </c>
      <c r="F1240" s="3">
        <f t="shared" ca="1" si="38"/>
        <v>0.39863071975897468</v>
      </c>
      <c r="G1240" s="3">
        <f t="shared" ca="1" si="39"/>
        <v>4.2812169773013871</v>
      </c>
      <c r="H1240" s="2"/>
      <c r="I1240" s="2"/>
      <c r="J1240" s="2"/>
      <c r="K1240" s="2"/>
    </row>
    <row r="1241" spans="5:11" x14ac:dyDescent="0.25">
      <c r="E1241" s="3">
        <f t="shared" ca="1" si="38"/>
        <v>3.7890957325331653E-3</v>
      </c>
      <c r="F1241" s="3">
        <f t="shared" ca="1" si="38"/>
        <v>0.54497039980561168</v>
      </c>
      <c r="G1241" s="3">
        <f t="shared" ca="1" si="39"/>
        <v>16.38464786648894</v>
      </c>
      <c r="H1241" s="2"/>
      <c r="I1241" s="2"/>
      <c r="J1241" s="2"/>
      <c r="K1241" s="2"/>
    </row>
    <row r="1242" spans="5:11" x14ac:dyDescent="0.25">
      <c r="E1242" s="3">
        <f t="shared" ca="1" si="38"/>
        <v>0.50706435369508429</v>
      </c>
      <c r="F1242" s="3">
        <f t="shared" ca="1" si="38"/>
        <v>0.23723142822519006</v>
      </c>
      <c r="G1242" s="3">
        <f t="shared" ca="1" si="39"/>
        <v>2.3300706949287866</v>
      </c>
      <c r="H1242" s="2"/>
      <c r="I1242" s="2"/>
      <c r="J1242" s="2"/>
      <c r="K1242" s="2"/>
    </row>
    <row r="1243" spans="5:11" x14ac:dyDescent="0.25">
      <c r="E1243" s="3">
        <f t="shared" ca="1" si="38"/>
        <v>0.72996147662642652</v>
      </c>
      <c r="F1243" s="3">
        <f t="shared" ca="1" si="38"/>
        <v>0.2250085757731547</v>
      </c>
      <c r="G1243" s="3">
        <f t="shared" ca="1" si="39"/>
        <v>1.0760284073421567</v>
      </c>
      <c r="H1243" s="2"/>
      <c r="I1243" s="2"/>
      <c r="J1243" s="2"/>
      <c r="K1243" s="2"/>
    </row>
    <row r="1244" spans="5:11" x14ac:dyDescent="0.25">
      <c r="E1244" s="3">
        <f t="shared" ca="1" si="38"/>
        <v>0.54093473995080721</v>
      </c>
      <c r="F1244" s="3">
        <f t="shared" ca="1" si="38"/>
        <v>0.4458147584575195</v>
      </c>
      <c r="G1244" s="3">
        <f t="shared" ca="1" si="39"/>
        <v>4.1635705662704385</v>
      </c>
      <c r="H1244" s="2"/>
      <c r="I1244" s="2"/>
      <c r="J1244" s="2"/>
      <c r="K1244" s="2"/>
    </row>
    <row r="1245" spans="5:11" x14ac:dyDescent="0.25">
      <c r="E1245" s="3">
        <f t="shared" ca="1" si="38"/>
        <v>0.40142857391503883</v>
      </c>
      <c r="F1245" s="3">
        <f t="shared" ca="1" si="38"/>
        <v>0.49442204792942701</v>
      </c>
      <c r="G1245" s="3">
        <f t="shared" ca="1" si="39"/>
        <v>5.6152584512951709</v>
      </c>
      <c r="H1245" s="2"/>
      <c r="I1245" s="2"/>
      <c r="J1245" s="2"/>
      <c r="K1245" s="2"/>
    </row>
    <row r="1246" spans="5:11" x14ac:dyDescent="0.25">
      <c r="E1246" s="3">
        <f t="shared" ca="1" si="38"/>
        <v>0.64781130830943623</v>
      </c>
      <c r="F1246" s="3">
        <f t="shared" ca="1" si="38"/>
        <v>0.3033218743303242</v>
      </c>
      <c r="G1246" s="3">
        <f t="shared" ca="1" si="39"/>
        <v>1.9264635640473324</v>
      </c>
      <c r="H1246" s="2"/>
      <c r="I1246" s="2"/>
      <c r="J1246" s="2"/>
      <c r="K1246" s="2"/>
    </row>
    <row r="1247" spans="5:11" x14ac:dyDescent="0.25">
      <c r="E1247" s="3">
        <f t="shared" ca="1" si="38"/>
        <v>0.80551109064126436</v>
      </c>
      <c r="F1247" s="3">
        <f t="shared" ca="1" si="38"/>
        <v>0.22399163886676954</v>
      </c>
      <c r="G1247" s="3">
        <f t="shared" ca="1" si="39"/>
        <v>2.1747519541073714</v>
      </c>
      <c r="H1247" s="2"/>
      <c r="I1247" s="2"/>
      <c r="J1247" s="2"/>
      <c r="K1247" s="2"/>
    </row>
    <row r="1248" spans="5:11" x14ac:dyDescent="0.25">
      <c r="E1248" s="3">
        <f t="shared" ca="1" si="38"/>
        <v>0.29266111095835379</v>
      </c>
      <c r="F1248" s="3">
        <f t="shared" ca="1" si="38"/>
        <v>0.13481987827014086</v>
      </c>
      <c r="G1248" s="3">
        <f t="shared" ca="1" si="39"/>
        <v>5.0781335001273087</v>
      </c>
      <c r="H1248" s="2"/>
      <c r="I1248" s="2"/>
      <c r="J1248" s="2"/>
      <c r="K1248" s="2"/>
    </row>
    <row r="1249" spans="5:11" x14ac:dyDescent="0.25">
      <c r="E1249" s="3">
        <f t="shared" ca="1" si="38"/>
        <v>0.75654142972916028</v>
      </c>
      <c r="F1249" s="3">
        <f t="shared" ca="1" si="38"/>
        <v>0.58979457025281401</v>
      </c>
      <c r="G1249" s="3">
        <f t="shared" ca="1" si="39"/>
        <v>5.7396694935817516</v>
      </c>
      <c r="H1249" s="2"/>
      <c r="I1249" s="2"/>
      <c r="J1249" s="2"/>
      <c r="K1249" s="2"/>
    </row>
    <row r="1250" spans="5:11" x14ac:dyDescent="0.25">
      <c r="E1250" s="3">
        <f t="shared" ca="1" si="38"/>
        <v>0.174419908380406</v>
      </c>
      <c r="F1250" s="3">
        <f t="shared" ca="1" si="38"/>
        <v>0.29768071080809666</v>
      </c>
      <c r="G1250" s="3">
        <f t="shared" ca="1" si="39"/>
        <v>7.1583829650148063</v>
      </c>
      <c r="H1250" s="2"/>
      <c r="I1250" s="2"/>
      <c r="J1250" s="2"/>
      <c r="K1250" s="2"/>
    </row>
    <row r="1251" spans="5:11" x14ac:dyDescent="0.25">
      <c r="E1251" s="3">
        <f t="shared" ca="1" si="38"/>
        <v>3.2711151373973624E-2</v>
      </c>
      <c r="F1251" s="3">
        <f t="shared" ca="1" si="38"/>
        <v>3.2733328922716409E-2</v>
      </c>
      <c r="G1251" s="3">
        <f t="shared" ca="1" si="39"/>
        <v>12.394467527964038</v>
      </c>
      <c r="H1251" s="2"/>
      <c r="I1251" s="2"/>
      <c r="J1251" s="2"/>
      <c r="K1251" s="2"/>
    </row>
    <row r="1252" spans="5:11" x14ac:dyDescent="0.25">
      <c r="E1252" s="3">
        <f t="shared" ca="1" si="38"/>
        <v>8.722790169291661E-2</v>
      </c>
      <c r="F1252" s="3">
        <f t="shared" ca="1" si="38"/>
        <v>9.4535412104956973E-2</v>
      </c>
      <c r="G1252" s="3">
        <f t="shared" ca="1" si="39"/>
        <v>9.2706990461005638</v>
      </c>
      <c r="H1252" s="2"/>
      <c r="I1252" s="2"/>
      <c r="J1252" s="2"/>
      <c r="K1252" s="2"/>
    </row>
    <row r="1253" spans="5:11" x14ac:dyDescent="0.25">
      <c r="E1253" s="3">
        <f t="shared" ca="1" si="38"/>
        <v>0.82052058362879099</v>
      </c>
      <c r="F1253" s="3">
        <f t="shared" ca="1" si="38"/>
        <v>0.24430546609849513</v>
      </c>
      <c r="G1253" s="3">
        <f t="shared" ca="1" si="39"/>
        <v>2.5534976466164929</v>
      </c>
      <c r="H1253" s="2"/>
      <c r="I1253" s="2"/>
      <c r="J1253" s="2"/>
      <c r="K1253" s="2"/>
    </row>
    <row r="1254" spans="5:11" x14ac:dyDescent="0.25">
      <c r="E1254" s="3">
        <f t="shared" ca="1" si="38"/>
        <v>0.34912362763627514</v>
      </c>
      <c r="F1254" s="3">
        <f t="shared" ca="1" si="38"/>
        <v>0.877131280185522</v>
      </c>
      <c r="G1254" s="3">
        <f t="shared" ca="1" si="39"/>
        <v>11.091148118409091</v>
      </c>
      <c r="H1254" s="2"/>
      <c r="I1254" s="2"/>
      <c r="J1254" s="2"/>
      <c r="K1254" s="2"/>
    </row>
    <row r="1255" spans="5:11" x14ac:dyDescent="0.25">
      <c r="E1255" s="3">
        <f t="shared" ca="1" si="38"/>
        <v>0.78687126516668171</v>
      </c>
      <c r="F1255" s="3">
        <f t="shared" ca="1" si="38"/>
        <v>0.21088862611566483</v>
      </c>
      <c r="G1255" s="3">
        <f t="shared" ca="1" si="39"/>
        <v>1.7958381818095763</v>
      </c>
      <c r="H1255" s="2"/>
      <c r="I1255" s="2"/>
      <c r="J1255" s="2"/>
      <c r="K1255" s="2"/>
    </row>
    <row r="1256" spans="5:11" x14ac:dyDescent="0.25">
      <c r="E1256" s="3">
        <f t="shared" ca="1" si="38"/>
        <v>0.15068208273218198</v>
      </c>
      <c r="F1256" s="3">
        <f t="shared" ca="1" si="38"/>
        <v>2.515455953211454E-4</v>
      </c>
      <c r="G1256" s="3">
        <f t="shared" ca="1" si="39"/>
        <v>14.897888201288749</v>
      </c>
      <c r="H1256" s="2"/>
      <c r="I1256" s="2"/>
      <c r="J1256" s="2"/>
      <c r="K1256" s="2"/>
    </row>
    <row r="1257" spans="5:11" x14ac:dyDescent="0.25">
      <c r="E1257" s="3">
        <f t="shared" ca="1" si="38"/>
        <v>6.8102960276617441E-2</v>
      </c>
      <c r="F1257" s="3">
        <f t="shared" ca="1" si="38"/>
        <v>0.61613462435737865</v>
      </c>
      <c r="G1257" s="3">
        <f t="shared" ca="1" si="39"/>
        <v>11.369841341010266</v>
      </c>
      <c r="H1257" s="2"/>
      <c r="I1257" s="2"/>
      <c r="J1257" s="2"/>
      <c r="K1257" s="2"/>
    </row>
    <row r="1258" spans="5:11" x14ac:dyDescent="0.25">
      <c r="E1258" s="3">
        <f t="shared" ca="1" si="38"/>
        <v>0.4200974613538826</v>
      </c>
      <c r="F1258" s="3">
        <f t="shared" ca="1" si="38"/>
        <v>0.60148996633415985</v>
      </c>
      <c r="G1258" s="3">
        <f t="shared" ca="1" si="39"/>
        <v>6.6094625669234883</v>
      </c>
      <c r="H1258" s="2"/>
      <c r="I1258" s="2"/>
      <c r="J1258" s="2"/>
      <c r="K1258" s="2"/>
    </row>
    <row r="1259" spans="5:11" x14ac:dyDescent="0.25">
      <c r="E1259" s="3">
        <f t="shared" ca="1" si="38"/>
        <v>0.23208357674504343</v>
      </c>
      <c r="F1259" s="3">
        <f t="shared" ca="1" si="38"/>
        <v>0.4707390746726352</v>
      </c>
      <c r="G1259" s="3">
        <f t="shared" ca="1" si="39"/>
        <v>7.1866858706385326</v>
      </c>
      <c r="H1259" s="2"/>
      <c r="I1259" s="2"/>
      <c r="J1259" s="2"/>
      <c r="K1259" s="2"/>
    </row>
    <row r="1260" spans="5:11" x14ac:dyDescent="0.25">
      <c r="E1260" s="3">
        <f t="shared" ca="1" si="38"/>
        <v>0.45188586683006493</v>
      </c>
      <c r="F1260" s="3">
        <f t="shared" ca="1" si="38"/>
        <v>0.1170139300865275</v>
      </c>
      <c r="G1260" s="3">
        <f t="shared" ca="1" si="39"/>
        <v>3.2069250238675111</v>
      </c>
      <c r="H1260" s="2"/>
      <c r="I1260" s="2"/>
      <c r="J1260" s="2"/>
      <c r="K1260" s="2"/>
    </row>
    <row r="1261" spans="5:11" x14ac:dyDescent="0.25">
      <c r="E1261" s="3">
        <f t="shared" ca="1" si="38"/>
        <v>0.17485672722924062</v>
      </c>
      <c r="F1261" s="3">
        <f t="shared" ca="1" si="38"/>
        <v>0.17332655360090965</v>
      </c>
      <c r="G1261" s="3">
        <f t="shared" ca="1" si="39"/>
        <v>6.9201033643897771</v>
      </c>
      <c r="H1261" s="2"/>
      <c r="I1261" s="2"/>
      <c r="J1261" s="2"/>
      <c r="K1261" s="2"/>
    </row>
    <row r="1262" spans="5:11" x14ac:dyDescent="0.25">
      <c r="E1262" s="3">
        <f t="shared" ca="1" si="38"/>
        <v>0.85581807986883307</v>
      </c>
      <c r="F1262" s="3">
        <f t="shared" ca="1" si="38"/>
        <v>0.41327934596602922</v>
      </c>
      <c r="G1262" s="3">
        <f t="shared" ca="1" si="39"/>
        <v>4.5607600909446049</v>
      </c>
      <c r="H1262" s="2"/>
      <c r="I1262" s="2"/>
      <c r="J1262" s="2"/>
      <c r="K1262" s="2"/>
    </row>
    <row r="1263" spans="5:11" x14ac:dyDescent="0.25">
      <c r="E1263" s="3">
        <f t="shared" ca="1" si="38"/>
        <v>0.23483262784970238</v>
      </c>
      <c r="F1263" s="3">
        <f t="shared" ca="1" si="38"/>
        <v>0.2483446277852337</v>
      </c>
      <c r="G1263" s="3">
        <f t="shared" ca="1" si="39"/>
        <v>5.9527068158810623</v>
      </c>
      <c r="H1263" s="2"/>
      <c r="I1263" s="2"/>
      <c r="J1263" s="2"/>
      <c r="K1263" s="2"/>
    </row>
    <row r="1264" spans="5:11" x14ac:dyDescent="0.25">
      <c r="E1264" s="3">
        <f t="shared" ca="1" si="38"/>
        <v>0.18333314632095588</v>
      </c>
      <c r="F1264" s="3">
        <f t="shared" ca="1" si="38"/>
        <v>0.60683238073675472</v>
      </c>
      <c r="G1264" s="3">
        <f t="shared" ca="1" si="39"/>
        <v>8.9191808967703725</v>
      </c>
      <c r="H1264" s="2"/>
      <c r="I1264" s="2"/>
      <c r="J1264" s="2"/>
      <c r="K1264" s="2"/>
    </row>
    <row r="1265" spans="5:11" x14ac:dyDescent="0.25">
      <c r="E1265" s="3">
        <f t="shared" ca="1" si="38"/>
        <v>0.44112880030167934</v>
      </c>
      <c r="F1265" s="3">
        <f t="shared" ca="1" si="38"/>
        <v>0.23393575106071651</v>
      </c>
      <c r="G1265" s="3">
        <f t="shared" ca="1" si="39"/>
        <v>3.0970681409266314</v>
      </c>
      <c r="H1265" s="2"/>
      <c r="I1265" s="2"/>
      <c r="J1265" s="2"/>
      <c r="K1265" s="2"/>
    </row>
    <row r="1266" spans="5:11" x14ac:dyDescent="0.25">
      <c r="E1266" s="3">
        <f t="shared" ca="1" si="38"/>
        <v>0.80387283640738094</v>
      </c>
      <c r="F1266" s="3">
        <f t="shared" ca="1" si="38"/>
        <v>0.58128653651116546</v>
      </c>
      <c r="G1266" s="3">
        <f t="shared" ca="1" si="39"/>
        <v>5.8613735914560303</v>
      </c>
      <c r="H1266" s="2"/>
      <c r="I1266" s="2"/>
      <c r="J1266" s="2"/>
      <c r="K1266" s="2"/>
    </row>
    <row r="1267" spans="5:11" x14ac:dyDescent="0.25">
      <c r="E1267" s="3">
        <f t="shared" ca="1" si="38"/>
        <v>0.18859709834260729</v>
      </c>
      <c r="F1267" s="3">
        <f t="shared" ca="1" si="38"/>
        <v>0.14289479209204103</v>
      </c>
      <c r="G1267" s="3">
        <f t="shared" ca="1" si="39"/>
        <v>6.7119935400058237</v>
      </c>
      <c r="H1267" s="2"/>
      <c r="I1267" s="2"/>
      <c r="J1267" s="2"/>
      <c r="K1267" s="2"/>
    </row>
    <row r="1268" spans="5:11" x14ac:dyDescent="0.25">
      <c r="E1268" s="3">
        <f t="shared" ca="1" si="38"/>
        <v>0.91224805137183407</v>
      </c>
      <c r="F1268" s="3">
        <f t="shared" ca="1" si="38"/>
        <v>0.69339398342660752</v>
      </c>
      <c r="G1268" s="3">
        <f t="shared" ca="1" si="39"/>
        <v>8.3375621702586873</v>
      </c>
      <c r="H1268" s="2"/>
      <c r="I1268" s="2"/>
      <c r="J1268" s="2"/>
      <c r="K1268" s="2"/>
    </row>
    <row r="1269" spans="5:11" x14ac:dyDescent="0.25">
      <c r="E1269" s="3">
        <f t="shared" ca="1" si="38"/>
        <v>0.29482956769383539</v>
      </c>
      <c r="F1269" s="3">
        <f t="shared" ca="1" si="38"/>
        <v>4.4200314829755061E-2</v>
      </c>
      <c r="G1269" s="3">
        <f t="shared" ca="1" si="39"/>
        <v>6.3853386309409679</v>
      </c>
      <c r="H1269" s="2"/>
      <c r="I1269" s="2"/>
      <c r="J1269" s="2"/>
      <c r="K1269" s="2"/>
    </row>
    <row r="1270" spans="5:11" x14ac:dyDescent="0.25">
      <c r="E1270" s="3">
        <f t="shared" ca="1" si="38"/>
        <v>0.26628896553153403</v>
      </c>
      <c r="F1270" s="3">
        <f t="shared" ca="1" si="38"/>
        <v>6.9594246103779289E-2</v>
      </c>
      <c r="G1270" s="3">
        <f t="shared" ca="1" si="39"/>
        <v>6.1063942316458562</v>
      </c>
      <c r="H1270" s="2"/>
      <c r="I1270" s="2"/>
      <c r="J1270" s="2"/>
      <c r="K1270" s="2"/>
    </row>
    <row r="1271" spans="5:11" x14ac:dyDescent="0.25">
      <c r="E1271" s="3">
        <f t="shared" ca="1" si="38"/>
        <v>0.8065204446265325</v>
      </c>
      <c r="F1271" s="3">
        <f t="shared" ca="1" si="38"/>
        <v>0.7918203357590704</v>
      </c>
      <c r="G1271" s="3">
        <f t="shared" ca="1" si="39"/>
        <v>8.7848523587807161</v>
      </c>
      <c r="H1271" s="2"/>
      <c r="I1271" s="2"/>
      <c r="J1271" s="2"/>
      <c r="K1271" s="2"/>
    </row>
    <row r="1272" spans="5:11" x14ac:dyDescent="0.25">
      <c r="E1272" s="3">
        <f t="shared" ca="1" si="38"/>
        <v>0.41676342070348904</v>
      </c>
      <c r="F1272" s="3">
        <f t="shared" ca="1" si="38"/>
        <v>0.49171518502533573</v>
      </c>
      <c r="G1272" s="3">
        <f t="shared" ca="1" si="39"/>
        <v>5.467691312820671</v>
      </c>
      <c r="H1272" s="2"/>
      <c r="I1272" s="2"/>
      <c r="J1272" s="2"/>
      <c r="K1272" s="2"/>
    </row>
    <row r="1273" spans="5:11" x14ac:dyDescent="0.25">
      <c r="E1273" s="3">
        <f t="shared" ca="1" si="38"/>
        <v>0.56405179675125339</v>
      </c>
      <c r="F1273" s="3">
        <f t="shared" ca="1" si="38"/>
        <v>0.16846919369155944</v>
      </c>
      <c r="G1273" s="3">
        <f t="shared" ca="1" si="39"/>
        <v>1.4718598557489682</v>
      </c>
      <c r="H1273" s="2"/>
      <c r="I1273" s="2"/>
      <c r="J1273" s="2"/>
      <c r="K1273" s="2"/>
    </row>
    <row r="1274" spans="5:11" x14ac:dyDescent="0.25">
      <c r="E1274" s="3">
        <f t="shared" ca="1" si="38"/>
        <v>0.85000324351493695</v>
      </c>
      <c r="F1274" s="3">
        <f t="shared" ca="1" si="38"/>
        <v>0.20484619785770719</v>
      </c>
      <c r="G1274" s="3">
        <f t="shared" ca="1" si="39"/>
        <v>2.9623572045516458</v>
      </c>
      <c r="H1274" s="2"/>
      <c r="I1274" s="2"/>
      <c r="J1274" s="2"/>
      <c r="K1274" s="2"/>
    </row>
    <row r="1275" spans="5:11" x14ac:dyDescent="0.25">
      <c r="E1275" s="3">
        <f t="shared" ca="1" si="38"/>
        <v>0.29553015640179503</v>
      </c>
      <c r="F1275" s="3">
        <f t="shared" ca="1" si="38"/>
        <v>0.8814256754070523</v>
      </c>
      <c r="G1275" s="3">
        <f t="shared" ca="1" si="39"/>
        <v>11.49056203560705</v>
      </c>
      <c r="H1275" s="2"/>
      <c r="I1275" s="2"/>
      <c r="J1275" s="2"/>
      <c r="K1275" s="2"/>
    </row>
    <row r="1276" spans="5:11" x14ac:dyDescent="0.25">
      <c r="E1276" s="3">
        <f t="shared" ca="1" si="38"/>
        <v>0.45821623521894217</v>
      </c>
      <c r="F1276" s="3">
        <f t="shared" ca="1" si="38"/>
        <v>0.84978835138952991</v>
      </c>
      <c r="G1276" s="3">
        <f t="shared" ca="1" si="39"/>
        <v>10.036021906769465</v>
      </c>
      <c r="H1276" s="2"/>
      <c r="I1276" s="2"/>
      <c r="J1276" s="2"/>
      <c r="K1276" s="2"/>
    </row>
    <row r="1277" spans="5:11" x14ac:dyDescent="0.25">
      <c r="E1277" s="3">
        <f t="shared" ca="1" si="38"/>
        <v>0.28954261238951962</v>
      </c>
      <c r="F1277" s="3">
        <f t="shared" ca="1" si="38"/>
        <v>0.4015222803624513</v>
      </c>
      <c r="G1277" s="3">
        <f t="shared" ca="1" si="39"/>
        <v>5.9604768309143665</v>
      </c>
      <c r="H1277" s="2"/>
      <c r="I1277" s="2"/>
      <c r="J1277" s="2"/>
      <c r="K1277" s="2"/>
    </row>
    <row r="1278" spans="5:11" x14ac:dyDescent="0.25">
      <c r="E1278" s="3">
        <f t="shared" ca="1" si="38"/>
        <v>0.79367668300245553</v>
      </c>
      <c r="F1278" s="3">
        <f t="shared" ca="1" si="38"/>
        <v>0.77708262968763697</v>
      </c>
      <c r="G1278" s="3">
        <f t="shared" ca="1" si="39"/>
        <v>8.487260346748748</v>
      </c>
      <c r="H1278" s="2"/>
      <c r="I1278" s="2"/>
      <c r="J1278" s="2"/>
      <c r="K1278" s="2"/>
    </row>
    <row r="1279" spans="5:11" x14ac:dyDescent="0.25">
      <c r="E1279" s="3">
        <f t="shared" ca="1" si="38"/>
        <v>0.62705242505390502</v>
      </c>
      <c r="F1279" s="3">
        <f t="shared" ca="1" si="38"/>
        <v>0.39466766097956474</v>
      </c>
      <c r="G1279" s="3">
        <f t="shared" ca="1" si="39"/>
        <v>3.1948672493991035</v>
      </c>
      <c r="H1279" s="2"/>
      <c r="I1279" s="2"/>
      <c r="J1279" s="2"/>
      <c r="K1279" s="2"/>
    </row>
    <row r="1280" spans="5:11" x14ac:dyDescent="0.25">
      <c r="E1280" s="3">
        <f t="shared" ca="1" si="38"/>
        <v>0.63299665086855306</v>
      </c>
      <c r="F1280" s="3">
        <f t="shared" ca="1" si="38"/>
        <v>0.59705836923677846</v>
      </c>
      <c r="G1280" s="3">
        <f t="shared" ca="1" si="39"/>
        <v>5.7243415093166146</v>
      </c>
      <c r="H1280" s="2"/>
      <c r="I1280" s="2"/>
      <c r="J1280" s="2"/>
      <c r="K1280" s="2"/>
    </row>
    <row r="1281" spans="5:11" x14ac:dyDescent="0.25">
      <c r="E1281" s="3">
        <f t="shared" ca="1" si="38"/>
        <v>0.76249348781720561</v>
      </c>
      <c r="F1281" s="3">
        <f t="shared" ca="1" si="38"/>
        <v>0.65946121630589705</v>
      </c>
      <c r="G1281" s="3">
        <f t="shared" ca="1" si="39"/>
        <v>6.6593910366290281</v>
      </c>
      <c r="H1281" s="2"/>
      <c r="I1281" s="2"/>
      <c r="J1281" s="2"/>
      <c r="K1281" s="2"/>
    </row>
    <row r="1282" spans="5:11" x14ac:dyDescent="0.25">
      <c r="E1282" s="3">
        <f t="shared" ca="1" si="38"/>
        <v>6.509785442339322E-2</v>
      </c>
      <c r="F1282" s="3">
        <f t="shared" ca="1" si="38"/>
        <v>0.92641278496875268</v>
      </c>
      <c r="G1282" s="3">
        <f t="shared" ca="1" si="39"/>
        <v>15.280280540533511</v>
      </c>
      <c r="H1282" s="2"/>
      <c r="I1282" s="2"/>
      <c r="J1282" s="2"/>
      <c r="K1282" s="2"/>
    </row>
    <row r="1283" spans="5:11" x14ac:dyDescent="0.25">
      <c r="E1283" s="3">
        <f t="shared" ca="1" si="38"/>
        <v>1.2358514487779804E-2</v>
      </c>
      <c r="F1283" s="3">
        <f t="shared" ca="1" si="38"/>
        <v>8.1105592453779352E-2</v>
      </c>
      <c r="G1283" s="3">
        <f t="shared" ca="1" si="39"/>
        <v>13.702762304418718</v>
      </c>
      <c r="H1283" s="2"/>
      <c r="I1283" s="2"/>
      <c r="J1283" s="2"/>
      <c r="K1283" s="2"/>
    </row>
    <row r="1284" spans="5:11" x14ac:dyDescent="0.25">
      <c r="E1284" s="3">
        <f t="shared" ref="E1284:F1347" ca="1" si="40">RAND()</f>
        <v>0.91440197567148662</v>
      </c>
      <c r="F1284" s="3">
        <f t="shared" ca="1" si="40"/>
        <v>0.2602503209053767</v>
      </c>
      <c r="G1284" s="3">
        <f t="shared" ref="G1284:G1347" ca="1" si="41">SQRT(_xlfn.NORM.INV(E1284,$C$3*COS($C$6),$C$4)^2+_xlfn.NORM.INV(F1284,$C$3*SIN($C$6),$C$4)^2)</f>
        <v>4.7701160183919304</v>
      </c>
      <c r="H1284" s="2"/>
      <c r="I1284" s="2"/>
      <c r="J1284" s="2"/>
      <c r="K1284" s="2"/>
    </row>
    <row r="1285" spans="5:11" x14ac:dyDescent="0.25">
      <c r="E1285" s="3">
        <f t="shared" ca="1" si="40"/>
        <v>0.64917631992808078</v>
      </c>
      <c r="F1285" s="3">
        <f t="shared" ca="1" si="40"/>
        <v>0.36735141058595699</v>
      </c>
      <c r="G1285" s="3">
        <f t="shared" ca="1" si="41"/>
        <v>2.7945498282436958</v>
      </c>
      <c r="H1285" s="2"/>
      <c r="I1285" s="2"/>
      <c r="J1285" s="2"/>
      <c r="K1285" s="2"/>
    </row>
    <row r="1286" spans="5:11" x14ac:dyDescent="0.25">
      <c r="E1286" s="3">
        <f t="shared" ca="1" si="40"/>
        <v>0.2295571007188002</v>
      </c>
      <c r="F1286" s="3">
        <f t="shared" ca="1" si="40"/>
        <v>0.5180083229415049</v>
      </c>
      <c r="G1286" s="3">
        <f t="shared" ca="1" si="41"/>
        <v>7.573396643359418</v>
      </c>
      <c r="H1286" s="2"/>
      <c r="I1286" s="2"/>
      <c r="J1286" s="2"/>
      <c r="K1286" s="2"/>
    </row>
    <row r="1287" spans="5:11" x14ac:dyDescent="0.25">
      <c r="E1287" s="3">
        <f t="shared" ca="1" si="40"/>
        <v>0.97155228638883651</v>
      </c>
      <c r="F1287" s="3">
        <f t="shared" ca="1" si="40"/>
        <v>3.4191943695384253E-2</v>
      </c>
      <c r="G1287" s="3">
        <f t="shared" ca="1" si="41"/>
        <v>8.6343964515931884</v>
      </c>
      <c r="H1287" s="2"/>
      <c r="I1287" s="2"/>
      <c r="J1287" s="2"/>
      <c r="K1287" s="2"/>
    </row>
    <row r="1288" spans="5:11" x14ac:dyDescent="0.25">
      <c r="E1288" s="3">
        <f t="shared" ca="1" si="40"/>
        <v>0.28866202552117626</v>
      </c>
      <c r="F1288" s="3">
        <f t="shared" ca="1" si="40"/>
        <v>0.93111951223668954</v>
      </c>
      <c r="G1288" s="3">
        <f t="shared" ca="1" si="41"/>
        <v>12.90978241186035</v>
      </c>
      <c r="H1288" s="2"/>
      <c r="I1288" s="2"/>
      <c r="J1288" s="2"/>
      <c r="K1288" s="2"/>
    </row>
    <row r="1289" spans="5:11" x14ac:dyDescent="0.25">
      <c r="E1289" s="3">
        <f t="shared" ca="1" si="40"/>
        <v>0.19302671286961193</v>
      </c>
      <c r="F1289" s="3">
        <f t="shared" ca="1" si="40"/>
        <v>0.50547905824321482</v>
      </c>
      <c r="G1289" s="3">
        <f t="shared" ca="1" si="41"/>
        <v>7.9888352537248943</v>
      </c>
      <c r="H1289" s="2"/>
      <c r="I1289" s="2"/>
      <c r="J1289" s="2"/>
      <c r="K1289" s="2"/>
    </row>
    <row r="1290" spans="5:11" x14ac:dyDescent="0.25">
      <c r="E1290" s="3">
        <f t="shared" ca="1" si="40"/>
        <v>0.21990803857746555</v>
      </c>
      <c r="F1290" s="3">
        <f t="shared" ca="1" si="40"/>
        <v>0.60025744985944607</v>
      </c>
      <c r="G1290" s="3">
        <f t="shared" ca="1" si="41"/>
        <v>8.3781512444405219</v>
      </c>
      <c r="H1290" s="2"/>
      <c r="I1290" s="2"/>
      <c r="J1290" s="2"/>
      <c r="K1290" s="2"/>
    </row>
    <row r="1291" spans="5:11" x14ac:dyDescent="0.25">
      <c r="E1291" s="3">
        <f t="shared" ca="1" si="40"/>
        <v>0.99919866375310984</v>
      </c>
      <c r="F1291" s="3">
        <f t="shared" ca="1" si="40"/>
        <v>0.79507395567454298</v>
      </c>
      <c r="G1291" s="3">
        <f t="shared" ca="1" si="41"/>
        <v>16.032596172052148</v>
      </c>
      <c r="H1291" s="2"/>
      <c r="I1291" s="2"/>
      <c r="J1291" s="2"/>
      <c r="K1291" s="2"/>
    </row>
    <row r="1292" spans="5:11" x14ac:dyDescent="0.25">
      <c r="E1292" s="3">
        <f t="shared" ca="1" si="40"/>
        <v>0.3127782817119793</v>
      </c>
      <c r="F1292" s="3">
        <f t="shared" ca="1" si="40"/>
        <v>0.34062037841287507</v>
      </c>
      <c r="G1292" s="3">
        <f t="shared" ca="1" si="41"/>
        <v>5.2671706843994004</v>
      </c>
      <c r="H1292" s="2"/>
      <c r="I1292" s="2"/>
      <c r="J1292" s="2"/>
      <c r="K1292" s="2"/>
    </row>
    <row r="1293" spans="5:11" x14ac:dyDescent="0.25">
      <c r="E1293" s="3">
        <f t="shared" ca="1" si="40"/>
        <v>5.3761534222192431E-2</v>
      </c>
      <c r="F1293" s="3">
        <f t="shared" ca="1" si="40"/>
        <v>0.50212894614214865</v>
      </c>
      <c r="G1293" s="3">
        <f t="shared" ca="1" si="41"/>
        <v>11.22731907018621</v>
      </c>
      <c r="H1293" s="2"/>
      <c r="I1293" s="2"/>
      <c r="J1293" s="2"/>
      <c r="K1293" s="2"/>
    </row>
    <row r="1294" spans="5:11" x14ac:dyDescent="0.25">
      <c r="E1294" s="3">
        <f t="shared" ca="1" si="40"/>
        <v>0.90624595057325519</v>
      </c>
      <c r="F1294" s="3">
        <f t="shared" ca="1" si="40"/>
        <v>0.77498683565845428</v>
      </c>
      <c r="G1294" s="3">
        <f t="shared" ca="1" si="41"/>
        <v>9.3235761774551289</v>
      </c>
      <c r="H1294" s="2"/>
      <c r="I1294" s="2"/>
      <c r="J1294" s="2"/>
      <c r="K1294" s="2"/>
    </row>
    <row r="1295" spans="5:11" x14ac:dyDescent="0.25">
      <c r="E1295" s="3">
        <f t="shared" ca="1" si="40"/>
        <v>0.46239857313540578</v>
      </c>
      <c r="F1295" s="3">
        <f t="shared" ca="1" si="40"/>
        <v>0.53934271879975548</v>
      </c>
      <c r="G1295" s="3">
        <f t="shared" ca="1" si="41"/>
        <v>5.6565697759912261</v>
      </c>
      <c r="H1295" s="2"/>
      <c r="I1295" s="2"/>
      <c r="J1295" s="2"/>
      <c r="K1295" s="2"/>
    </row>
    <row r="1296" spans="5:11" x14ac:dyDescent="0.25">
      <c r="E1296" s="3">
        <f t="shared" ca="1" si="40"/>
        <v>0.79379643066761552</v>
      </c>
      <c r="F1296" s="3">
        <f t="shared" ca="1" si="40"/>
        <v>2.8666453531026925E-2</v>
      </c>
      <c r="G1296" s="3">
        <f t="shared" ca="1" si="41"/>
        <v>5.36577338337207</v>
      </c>
      <c r="H1296" s="2"/>
      <c r="I1296" s="2"/>
      <c r="J1296" s="2"/>
      <c r="K1296" s="2"/>
    </row>
    <row r="1297" spans="5:11" x14ac:dyDescent="0.25">
      <c r="E1297" s="3">
        <f t="shared" ca="1" si="40"/>
        <v>0.6455310299635999</v>
      </c>
      <c r="F1297" s="3">
        <f t="shared" ca="1" si="40"/>
        <v>0.39708766654754601</v>
      </c>
      <c r="G1297" s="3">
        <f t="shared" ca="1" si="41"/>
        <v>3.1875320258268625</v>
      </c>
      <c r="H1297" s="2"/>
      <c r="I1297" s="2"/>
      <c r="J1297" s="2"/>
      <c r="K1297" s="2"/>
    </row>
    <row r="1298" spans="5:11" x14ac:dyDescent="0.25">
      <c r="E1298" s="3">
        <f t="shared" ca="1" si="40"/>
        <v>2.0257446998712125E-2</v>
      </c>
      <c r="F1298" s="3">
        <f t="shared" ca="1" si="40"/>
        <v>0.45779730151336995</v>
      </c>
      <c r="G1298" s="3">
        <f t="shared" ca="1" si="41"/>
        <v>13.08973444030828</v>
      </c>
      <c r="H1298" s="2"/>
      <c r="I1298" s="2"/>
      <c r="J1298" s="2"/>
      <c r="K1298" s="2"/>
    </row>
    <row r="1299" spans="5:11" x14ac:dyDescent="0.25">
      <c r="E1299" s="3">
        <f t="shared" ca="1" si="40"/>
        <v>9.3045737066208667E-2</v>
      </c>
      <c r="F1299" s="3">
        <f t="shared" ca="1" si="40"/>
        <v>0.83451926361894935</v>
      </c>
      <c r="G1299" s="3">
        <f t="shared" ca="1" si="41"/>
        <v>12.86136444262973</v>
      </c>
      <c r="H1299" s="2"/>
      <c r="I1299" s="2"/>
      <c r="J1299" s="2"/>
      <c r="K1299" s="2"/>
    </row>
    <row r="1300" spans="5:11" x14ac:dyDescent="0.25">
      <c r="E1300" s="3">
        <f t="shared" ca="1" si="40"/>
        <v>0.71189627245546938</v>
      </c>
      <c r="F1300" s="3">
        <f t="shared" ca="1" si="40"/>
        <v>0.29588421405031617</v>
      </c>
      <c r="G1300" s="3">
        <f t="shared" ca="1" si="41"/>
        <v>1.8725284260164656</v>
      </c>
      <c r="H1300" s="2"/>
      <c r="I1300" s="2"/>
      <c r="J1300" s="2"/>
      <c r="K1300" s="2"/>
    </row>
    <row r="1301" spans="5:11" x14ac:dyDescent="0.25">
      <c r="E1301" s="3">
        <f t="shared" ca="1" si="40"/>
        <v>0.58690430572501118</v>
      </c>
      <c r="F1301" s="3">
        <f t="shared" ca="1" si="40"/>
        <v>0.33519115907772201</v>
      </c>
      <c r="G1301" s="3">
        <f t="shared" ca="1" si="41"/>
        <v>2.6056613868740981</v>
      </c>
      <c r="H1301" s="2"/>
      <c r="I1301" s="2"/>
      <c r="J1301" s="2"/>
      <c r="K1301" s="2"/>
    </row>
    <row r="1302" spans="5:11" x14ac:dyDescent="0.25">
      <c r="E1302" s="3">
        <f t="shared" ca="1" si="40"/>
        <v>0.62788816874283582</v>
      </c>
      <c r="F1302" s="3">
        <f t="shared" ca="1" si="40"/>
        <v>0.74748211232273887</v>
      </c>
      <c r="G1302" s="3">
        <f t="shared" ca="1" si="41"/>
        <v>7.8266525737523187</v>
      </c>
      <c r="H1302" s="2"/>
      <c r="I1302" s="2"/>
      <c r="J1302" s="2"/>
      <c r="K1302" s="2"/>
    </row>
    <row r="1303" spans="5:11" x14ac:dyDescent="0.25">
      <c r="E1303" s="3">
        <f t="shared" ca="1" si="40"/>
        <v>0.48353527086596637</v>
      </c>
      <c r="F1303" s="3">
        <f t="shared" ca="1" si="40"/>
        <v>0.83603391915588154</v>
      </c>
      <c r="G1303" s="3">
        <f t="shared" ca="1" si="41"/>
        <v>9.675894645445954</v>
      </c>
      <c r="H1303" s="2"/>
      <c r="I1303" s="2"/>
      <c r="J1303" s="2"/>
      <c r="K1303" s="2"/>
    </row>
    <row r="1304" spans="5:11" x14ac:dyDescent="0.25">
      <c r="E1304" s="3">
        <f t="shared" ca="1" si="40"/>
        <v>0.27979867214922005</v>
      </c>
      <c r="F1304" s="3">
        <f t="shared" ca="1" si="40"/>
        <v>3.4975550930609445E-2</v>
      </c>
      <c r="G1304" s="3">
        <f t="shared" ca="1" si="41"/>
        <v>6.9050108178231753</v>
      </c>
      <c r="H1304" s="2"/>
      <c r="I1304" s="2"/>
      <c r="J1304" s="2"/>
      <c r="K1304" s="2"/>
    </row>
    <row r="1305" spans="5:11" x14ac:dyDescent="0.25">
      <c r="E1305" s="3">
        <f t="shared" ca="1" si="40"/>
        <v>0.95067504675629344</v>
      </c>
      <c r="F1305" s="3">
        <f t="shared" ca="1" si="40"/>
        <v>0.89324723595590061</v>
      </c>
      <c r="G1305" s="3">
        <f t="shared" ca="1" si="41"/>
        <v>12.266863488580757</v>
      </c>
      <c r="H1305" s="2"/>
      <c r="I1305" s="2"/>
      <c r="J1305" s="2"/>
      <c r="K1305" s="2"/>
    </row>
    <row r="1306" spans="5:11" x14ac:dyDescent="0.25">
      <c r="E1306" s="3">
        <f t="shared" ca="1" si="40"/>
        <v>0.40677595076899775</v>
      </c>
      <c r="F1306" s="3">
        <f t="shared" ca="1" si="40"/>
        <v>0.67970752994461381</v>
      </c>
      <c r="G1306" s="3">
        <f t="shared" ca="1" si="41"/>
        <v>7.6153378714398707</v>
      </c>
      <c r="H1306" s="2"/>
      <c r="I1306" s="2"/>
      <c r="J1306" s="2"/>
      <c r="K1306" s="2"/>
    </row>
    <row r="1307" spans="5:11" x14ac:dyDescent="0.25">
      <c r="E1307" s="3">
        <f t="shared" ca="1" si="40"/>
        <v>0.73342350307591764</v>
      </c>
      <c r="F1307" s="3">
        <f t="shared" ca="1" si="40"/>
        <v>0.12117469964693439</v>
      </c>
      <c r="G1307" s="3">
        <f t="shared" ca="1" si="41"/>
        <v>1.6307222360569056</v>
      </c>
      <c r="H1307" s="2"/>
      <c r="I1307" s="2"/>
      <c r="J1307" s="2"/>
      <c r="K1307" s="2"/>
    </row>
    <row r="1308" spans="5:11" x14ac:dyDescent="0.25">
      <c r="E1308" s="3">
        <f t="shared" ca="1" si="40"/>
        <v>0.38029158281389808</v>
      </c>
      <c r="F1308" s="3">
        <f t="shared" ca="1" si="40"/>
        <v>0.77396353257643757</v>
      </c>
      <c r="G1308" s="3">
        <f t="shared" ca="1" si="41"/>
        <v>9.049690717385948</v>
      </c>
      <c r="H1308" s="2"/>
      <c r="I1308" s="2"/>
      <c r="J1308" s="2"/>
      <c r="K1308" s="2"/>
    </row>
    <row r="1309" spans="5:11" x14ac:dyDescent="0.25">
      <c r="E1309" s="3">
        <f t="shared" ca="1" si="40"/>
        <v>0.1917582367970091</v>
      </c>
      <c r="F1309" s="3">
        <f t="shared" ca="1" si="40"/>
        <v>4.1989196946240037E-2</v>
      </c>
      <c r="G1309" s="3">
        <f t="shared" ca="1" si="41"/>
        <v>7.8050577023004299</v>
      </c>
      <c r="H1309" s="2"/>
      <c r="I1309" s="2"/>
      <c r="J1309" s="2"/>
      <c r="K1309" s="2"/>
    </row>
    <row r="1310" spans="5:11" x14ac:dyDescent="0.25">
      <c r="E1310" s="3">
        <f t="shared" ca="1" si="40"/>
        <v>0.12407122550672933</v>
      </c>
      <c r="F1310" s="3">
        <f t="shared" ca="1" si="40"/>
        <v>0.59934809929884425</v>
      </c>
      <c r="G1310" s="3">
        <f t="shared" ca="1" si="41"/>
        <v>9.8513541770049642</v>
      </c>
      <c r="H1310" s="2"/>
      <c r="I1310" s="2"/>
      <c r="J1310" s="2"/>
      <c r="K1310" s="2"/>
    </row>
    <row r="1311" spans="5:11" x14ac:dyDescent="0.25">
      <c r="E1311" s="3">
        <f t="shared" ca="1" si="40"/>
        <v>0.92400286082682803</v>
      </c>
      <c r="F1311" s="3">
        <f t="shared" ca="1" si="40"/>
        <v>0.76882074096820596</v>
      </c>
      <c r="G1311" s="3">
        <f t="shared" ca="1" si="41"/>
        <v>9.5166543706150559</v>
      </c>
      <c r="H1311" s="2"/>
      <c r="I1311" s="2"/>
      <c r="J1311" s="2"/>
      <c r="K1311" s="2"/>
    </row>
    <row r="1312" spans="5:11" x14ac:dyDescent="0.25">
      <c r="E1312" s="3">
        <f t="shared" ca="1" si="40"/>
        <v>0.72903682672191505</v>
      </c>
      <c r="F1312" s="3">
        <f t="shared" ca="1" si="40"/>
        <v>0.95774241646165126</v>
      </c>
      <c r="G1312" s="3">
        <f t="shared" ca="1" si="41"/>
        <v>13.120298988569845</v>
      </c>
      <c r="H1312" s="2"/>
      <c r="I1312" s="2"/>
      <c r="J1312" s="2"/>
      <c r="K1312" s="2"/>
    </row>
    <row r="1313" spans="5:11" x14ac:dyDescent="0.25">
      <c r="E1313" s="3">
        <f t="shared" ca="1" si="40"/>
        <v>0.26612406587045734</v>
      </c>
      <c r="F1313" s="3">
        <f t="shared" ca="1" si="40"/>
        <v>0.4155031779609446</v>
      </c>
      <c r="G1313" s="3">
        <f t="shared" ca="1" si="41"/>
        <v>6.3517281692009178</v>
      </c>
      <c r="H1313" s="2"/>
      <c r="I1313" s="2"/>
      <c r="J1313" s="2"/>
      <c r="K1313" s="2"/>
    </row>
    <row r="1314" spans="5:11" x14ac:dyDescent="0.25">
      <c r="E1314" s="3">
        <f t="shared" ca="1" si="40"/>
        <v>0.43016986152887593</v>
      </c>
      <c r="F1314" s="3">
        <f t="shared" ca="1" si="40"/>
        <v>0.49244615464327102</v>
      </c>
      <c r="G1314" s="3">
        <f t="shared" ca="1" si="41"/>
        <v>5.3738408968965485</v>
      </c>
      <c r="H1314" s="2"/>
      <c r="I1314" s="2"/>
      <c r="J1314" s="2"/>
      <c r="K1314" s="2"/>
    </row>
    <row r="1315" spans="5:11" x14ac:dyDescent="0.25">
      <c r="E1315" s="3">
        <f t="shared" ca="1" si="40"/>
        <v>0.72320400066257018</v>
      </c>
      <c r="F1315" s="3">
        <f t="shared" ca="1" si="40"/>
        <v>0.48552337106234311</v>
      </c>
      <c r="G1315" s="3">
        <f t="shared" ca="1" si="41"/>
        <v>4.3487855185283513</v>
      </c>
      <c r="H1315" s="2"/>
      <c r="I1315" s="2"/>
      <c r="J1315" s="2"/>
      <c r="K1315" s="2"/>
    </row>
    <row r="1316" spans="5:11" x14ac:dyDescent="0.25">
      <c r="E1316" s="3">
        <f t="shared" ca="1" si="40"/>
        <v>0.53280107734353499</v>
      </c>
      <c r="F1316" s="3">
        <f t="shared" ca="1" si="40"/>
        <v>0.90648433432658404</v>
      </c>
      <c r="G1316" s="3">
        <f t="shared" ca="1" si="41"/>
        <v>11.2171295759098</v>
      </c>
      <c r="H1316" s="2"/>
      <c r="I1316" s="2"/>
      <c r="J1316" s="2"/>
      <c r="K1316" s="2"/>
    </row>
    <row r="1317" spans="5:11" x14ac:dyDescent="0.25">
      <c r="E1317" s="3">
        <f t="shared" ca="1" si="40"/>
        <v>0.61085288686140404</v>
      </c>
      <c r="F1317" s="3">
        <f t="shared" ca="1" si="40"/>
        <v>0.26184684677959136</v>
      </c>
      <c r="G1317" s="3">
        <f t="shared" ca="1" si="41"/>
        <v>1.5283978434839245</v>
      </c>
      <c r="H1317" s="2"/>
      <c r="I1317" s="2"/>
      <c r="J1317" s="2"/>
      <c r="K1317" s="2"/>
    </row>
    <row r="1318" spans="5:11" x14ac:dyDescent="0.25">
      <c r="E1318" s="3">
        <f t="shared" ca="1" si="40"/>
        <v>0.85964137656253714</v>
      </c>
      <c r="F1318" s="3">
        <f t="shared" ca="1" si="40"/>
        <v>0.91014837588514774</v>
      </c>
      <c r="G1318" s="3">
        <f t="shared" ca="1" si="41"/>
        <v>11.614542486510999</v>
      </c>
      <c r="H1318" s="2"/>
      <c r="I1318" s="2"/>
      <c r="J1318" s="2"/>
      <c r="K1318" s="2"/>
    </row>
    <row r="1319" spans="5:11" x14ac:dyDescent="0.25">
      <c r="E1319" s="3">
        <f t="shared" ca="1" si="40"/>
        <v>0.31220299982072341</v>
      </c>
      <c r="F1319" s="3">
        <f t="shared" ca="1" si="40"/>
        <v>0.34525895930854578</v>
      </c>
      <c r="G1319" s="3">
        <f t="shared" ca="1" si="41"/>
        <v>5.3035896353217575</v>
      </c>
      <c r="H1319" s="2"/>
      <c r="I1319" s="2"/>
      <c r="J1319" s="2"/>
      <c r="K1319" s="2"/>
    </row>
    <row r="1320" spans="5:11" x14ac:dyDescent="0.25">
      <c r="E1320" s="3">
        <f t="shared" ca="1" si="40"/>
        <v>0.91452898661606752</v>
      </c>
      <c r="F1320" s="3">
        <f t="shared" ca="1" si="40"/>
        <v>0.95763724386134641</v>
      </c>
      <c r="G1320" s="3">
        <f t="shared" ca="1" si="41"/>
        <v>13.876091767896275</v>
      </c>
      <c r="H1320" s="2"/>
      <c r="I1320" s="2"/>
      <c r="J1320" s="2"/>
      <c r="K1320" s="2"/>
    </row>
    <row r="1321" spans="5:11" x14ac:dyDescent="0.25">
      <c r="E1321" s="3">
        <f t="shared" ca="1" si="40"/>
        <v>0.26110162825785055</v>
      </c>
      <c r="F1321" s="3">
        <f t="shared" ca="1" si="40"/>
        <v>6.9744863637497212E-2</v>
      </c>
      <c r="G1321" s="3">
        <f t="shared" ca="1" si="41"/>
        <v>6.1735404070882174</v>
      </c>
      <c r="H1321" s="2"/>
      <c r="I1321" s="2"/>
      <c r="J1321" s="2"/>
      <c r="K1321" s="2"/>
    </row>
    <row r="1322" spans="5:11" x14ac:dyDescent="0.25">
      <c r="E1322" s="3">
        <f t="shared" ca="1" si="40"/>
        <v>0.87318143480958832</v>
      </c>
      <c r="F1322" s="3">
        <f t="shared" ca="1" si="40"/>
        <v>0.82523387754836575</v>
      </c>
      <c r="G1322" s="3">
        <f t="shared" ca="1" si="41"/>
        <v>9.7825990178172457</v>
      </c>
      <c r="H1322" s="2"/>
      <c r="I1322" s="2"/>
      <c r="J1322" s="2"/>
      <c r="K1322" s="2"/>
    </row>
    <row r="1323" spans="5:11" x14ac:dyDescent="0.25">
      <c r="E1323" s="3">
        <f t="shared" ca="1" si="40"/>
        <v>0.66468350474701388</v>
      </c>
      <c r="F1323" s="3">
        <f t="shared" ca="1" si="40"/>
        <v>0.18496015435413493</v>
      </c>
      <c r="G1323" s="3">
        <f t="shared" ca="1" si="41"/>
        <v>0.11472477287022048</v>
      </c>
      <c r="H1323" s="2"/>
      <c r="I1323" s="2"/>
      <c r="J1323" s="2"/>
      <c r="K1323" s="2"/>
    </row>
    <row r="1324" spans="5:11" x14ac:dyDescent="0.25">
      <c r="E1324" s="3">
        <f t="shared" ca="1" si="40"/>
        <v>0.2916091881634163</v>
      </c>
      <c r="F1324" s="3">
        <f t="shared" ca="1" si="40"/>
        <v>0.35557769379163962</v>
      </c>
      <c r="G1324" s="3">
        <f t="shared" ca="1" si="41"/>
        <v>5.6298098924953823</v>
      </c>
      <c r="H1324" s="2"/>
      <c r="I1324" s="2"/>
      <c r="J1324" s="2"/>
      <c r="K1324" s="2"/>
    </row>
    <row r="1325" spans="5:11" x14ac:dyDescent="0.25">
      <c r="E1325" s="3">
        <f t="shared" ca="1" si="40"/>
        <v>0.18870115173930258</v>
      </c>
      <c r="F1325" s="3">
        <f t="shared" ca="1" si="40"/>
        <v>0.63560414709956436</v>
      </c>
      <c r="G1325" s="3">
        <f t="shared" ca="1" si="41"/>
        <v>9.097183490305115</v>
      </c>
      <c r="H1325" s="2"/>
      <c r="I1325" s="2"/>
      <c r="J1325" s="2"/>
      <c r="K1325" s="2"/>
    </row>
    <row r="1326" spans="5:11" x14ac:dyDescent="0.25">
      <c r="E1326" s="3">
        <f t="shared" ca="1" si="40"/>
        <v>0.10833487359524385</v>
      </c>
      <c r="F1326" s="3">
        <f t="shared" ca="1" si="40"/>
        <v>0.69191253732889335</v>
      </c>
      <c r="G1326" s="3">
        <f t="shared" ca="1" si="41"/>
        <v>10.932731786015136</v>
      </c>
      <c r="H1326" s="2"/>
      <c r="I1326" s="2"/>
      <c r="J1326" s="2"/>
      <c r="K1326" s="2"/>
    </row>
    <row r="1327" spans="5:11" x14ac:dyDescent="0.25">
      <c r="E1327" s="3">
        <f t="shared" ca="1" si="40"/>
        <v>0.79938962213028997</v>
      </c>
      <c r="F1327" s="3">
        <f t="shared" ca="1" si="40"/>
        <v>0.319795185164367</v>
      </c>
      <c r="G1327" s="3">
        <f t="shared" ca="1" si="41"/>
        <v>2.891417594397184</v>
      </c>
      <c r="H1327" s="2"/>
      <c r="I1327" s="2"/>
      <c r="J1327" s="2"/>
      <c r="K1327" s="2"/>
    </row>
    <row r="1328" spans="5:11" x14ac:dyDescent="0.25">
      <c r="E1328" s="3">
        <f t="shared" ca="1" si="40"/>
        <v>0.86040713642492739</v>
      </c>
      <c r="F1328" s="3">
        <f t="shared" ca="1" si="40"/>
        <v>0.51247829492158981</v>
      </c>
      <c r="G1328" s="3">
        <f t="shared" ca="1" si="41"/>
        <v>5.6084685359993927</v>
      </c>
      <c r="H1328" s="2"/>
      <c r="I1328" s="2"/>
      <c r="J1328" s="2"/>
      <c r="K1328" s="2"/>
    </row>
    <row r="1329" spans="5:11" x14ac:dyDescent="0.25">
      <c r="E1329" s="3">
        <f t="shared" ca="1" si="40"/>
        <v>0.83869351006586013</v>
      </c>
      <c r="F1329" s="3">
        <f t="shared" ca="1" si="40"/>
        <v>0.24624628837383888</v>
      </c>
      <c r="G1329" s="3">
        <f t="shared" ca="1" si="41"/>
        <v>2.8975399989766952</v>
      </c>
      <c r="H1329" s="2"/>
      <c r="I1329" s="2"/>
      <c r="J1329" s="2"/>
      <c r="K1329" s="2"/>
    </row>
    <row r="1330" spans="5:11" x14ac:dyDescent="0.25">
      <c r="E1330" s="3">
        <f t="shared" ca="1" si="40"/>
        <v>0.70363886585965563</v>
      </c>
      <c r="F1330" s="3">
        <f t="shared" ca="1" si="40"/>
        <v>0.6491828392844583</v>
      </c>
      <c r="G1330" s="3">
        <f t="shared" ca="1" si="41"/>
        <v>6.4002984552284525</v>
      </c>
      <c r="H1330" s="2"/>
      <c r="I1330" s="2"/>
      <c r="J1330" s="2"/>
      <c r="K1330" s="2"/>
    </row>
    <row r="1331" spans="5:11" x14ac:dyDescent="0.25">
      <c r="E1331" s="3">
        <f t="shared" ca="1" si="40"/>
        <v>0.68622991644430065</v>
      </c>
      <c r="F1331" s="3">
        <f t="shared" ca="1" si="40"/>
        <v>0.95948486978389358</v>
      </c>
      <c r="G1331" s="3">
        <f t="shared" ca="1" si="41"/>
        <v>13.194985048576422</v>
      </c>
      <c r="H1331" s="2"/>
      <c r="I1331" s="2"/>
      <c r="J1331" s="2"/>
      <c r="K1331" s="2"/>
    </row>
    <row r="1332" spans="5:11" x14ac:dyDescent="0.25">
      <c r="E1332" s="3">
        <f t="shared" ca="1" si="40"/>
        <v>0.54311554216269853</v>
      </c>
      <c r="F1332" s="3">
        <f t="shared" ca="1" si="40"/>
        <v>0.12849023851645991</v>
      </c>
      <c r="G1332" s="3">
        <f t="shared" ca="1" si="41"/>
        <v>2.078730307817148</v>
      </c>
      <c r="H1332" s="2"/>
      <c r="I1332" s="2"/>
      <c r="J1332" s="2"/>
      <c r="K1332" s="2"/>
    </row>
    <row r="1333" spans="5:11" x14ac:dyDescent="0.25">
      <c r="E1333" s="3">
        <f t="shared" ca="1" si="40"/>
        <v>0.51954480675605541</v>
      </c>
      <c r="F1333" s="3">
        <f t="shared" ca="1" si="40"/>
        <v>0.28706911106858601</v>
      </c>
      <c r="G1333" s="3">
        <f t="shared" ca="1" si="41"/>
        <v>2.595641788630239</v>
      </c>
      <c r="H1333" s="2"/>
      <c r="I1333" s="2"/>
      <c r="J1333" s="2"/>
      <c r="K1333" s="2"/>
    </row>
    <row r="1334" spans="5:11" x14ac:dyDescent="0.25">
      <c r="E1334" s="3">
        <f t="shared" ca="1" si="40"/>
        <v>0.92154735015833167</v>
      </c>
      <c r="F1334" s="3">
        <f t="shared" ca="1" si="40"/>
        <v>0.2649836264684553</v>
      </c>
      <c r="G1334" s="3">
        <f t="shared" ca="1" si="41"/>
        <v>5.0168421213022656</v>
      </c>
      <c r="H1334" s="2"/>
      <c r="I1334" s="2"/>
      <c r="J1334" s="2"/>
      <c r="K1334" s="2"/>
    </row>
    <row r="1335" spans="5:11" x14ac:dyDescent="0.25">
      <c r="E1335" s="3">
        <f t="shared" ca="1" si="40"/>
        <v>0.78433215369016407</v>
      </c>
      <c r="F1335" s="3">
        <f t="shared" ca="1" si="40"/>
        <v>0.96879696563943596</v>
      </c>
      <c r="G1335" s="3">
        <f t="shared" ca="1" si="41"/>
        <v>13.890682879724521</v>
      </c>
      <c r="H1335" s="2"/>
      <c r="I1335" s="2"/>
      <c r="J1335" s="2"/>
      <c r="K1335" s="2"/>
    </row>
    <row r="1336" spans="5:11" x14ac:dyDescent="0.25">
      <c r="E1336" s="3">
        <f t="shared" ca="1" si="40"/>
        <v>0.94498183125076629</v>
      </c>
      <c r="F1336" s="3">
        <f t="shared" ca="1" si="40"/>
        <v>0.51713024854773038</v>
      </c>
      <c r="G1336" s="3">
        <f t="shared" ca="1" si="41"/>
        <v>7.416658266744129</v>
      </c>
      <c r="H1336" s="2"/>
      <c r="I1336" s="2"/>
      <c r="J1336" s="2"/>
      <c r="K1336" s="2"/>
    </row>
    <row r="1337" spans="5:11" x14ac:dyDescent="0.25">
      <c r="E1337" s="3">
        <f t="shared" ca="1" si="40"/>
        <v>0.1996268705569757</v>
      </c>
      <c r="F1337" s="3">
        <f t="shared" ca="1" si="40"/>
        <v>0.60709713840371571</v>
      </c>
      <c r="G1337" s="3">
        <f t="shared" ca="1" si="41"/>
        <v>8.6973349883875617</v>
      </c>
      <c r="H1337" s="2"/>
      <c r="I1337" s="2"/>
      <c r="J1337" s="2"/>
      <c r="K1337" s="2"/>
    </row>
    <row r="1338" spans="5:11" x14ac:dyDescent="0.25">
      <c r="E1338" s="3">
        <f t="shared" ca="1" si="40"/>
        <v>0.50942441176273734</v>
      </c>
      <c r="F1338" s="3">
        <f t="shared" ca="1" si="40"/>
        <v>0.70836104333420513</v>
      </c>
      <c r="G1338" s="3">
        <f t="shared" ca="1" si="41"/>
        <v>7.5187264267517513</v>
      </c>
      <c r="H1338" s="2"/>
      <c r="I1338" s="2"/>
      <c r="J1338" s="2"/>
      <c r="K1338" s="2"/>
    </row>
    <row r="1339" spans="5:11" x14ac:dyDescent="0.25">
      <c r="E1339" s="3">
        <f t="shared" ca="1" si="40"/>
        <v>1.8652678031748859E-2</v>
      </c>
      <c r="F1339" s="3">
        <f t="shared" ca="1" si="40"/>
        <v>9.4255245916679331E-2</v>
      </c>
      <c r="G1339" s="3">
        <f t="shared" ca="1" si="41"/>
        <v>12.826312705563327</v>
      </c>
      <c r="H1339" s="2"/>
      <c r="I1339" s="2"/>
      <c r="J1339" s="2"/>
      <c r="K1339" s="2"/>
    </row>
    <row r="1340" spans="5:11" x14ac:dyDescent="0.25">
      <c r="E1340" s="3">
        <f t="shared" ca="1" si="40"/>
        <v>0.38611634346597801</v>
      </c>
      <c r="F1340" s="3">
        <f t="shared" ca="1" si="40"/>
        <v>0.72414478470253008</v>
      </c>
      <c r="G1340" s="3">
        <f t="shared" ca="1" si="41"/>
        <v>8.3091114450866339</v>
      </c>
      <c r="H1340" s="2"/>
      <c r="I1340" s="2"/>
      <c r="J1340" s="2"/>
      <c r="K1340" s="2"/>
    </row>
    <row r="1341" spans="5:11" x14ac:dyDescent="0.25">
      <c r="E1341" s="3">
        <f t="shared" ca="1" si="40"/>
        <v>0.16916911083106534</v>
      </c>
      <c r="F1341" s="3">
        <f t="shared" ca="1" si="40"/>
        <v>0.26006618885622756</v>
      </c>
      <c r="G1341" s="3">
        <f t="shared" ca="1" si="41"/>
        <v>7.1386901521598771</v>
      </c>
      <c r="H1341" s="2"/>
      <c r="I1341" s="2"/>
      <c r="J1341" s="2"/>
      <c r="K1341" s="2"/>
    </row>
    <row r="1342" spans="5:11" x14ac:dyDescent="0.25">
      <c r="E1342" s="3">
        <f t="shared" ca="1" si="40"/>
        <v>2.8134009904764556E-2</v>
      </c>
      <c r="F1342" s="3">
        <f t="shared" ca="1" si="40"/>
        <v>0.54692169772788102</v>
      </c>
      <c r="G1342" s="3">
        <f t="shared" ca="1" si="41"/>
        <v>12.825257758703087</v>
      </c>
      <c r="H1342" s="2"/>
      <c r="I1342" s="2"/>
      <c r="J1342" s="2"/>
      <c r="K1342" s="2"/>
    </row>
    <row r="1343" spans="5:11" x14ac:dyDescent="0.25">
      <c r="E1343" s="3">
        <f t="shared" ca="1" si="40"/>
        <v>0.84833992604226727</v>
      </c>
      <c r="F1343" s="3">
        <f t="shared" ca="1" si="40"/>
        <v>0.99573235409108718</v>
      </c>
      <c r="G1343" s="3">
        <f t="shared" ca="1" si="41"/>
        <v>17.858694867048808</v>
      </c>
      <c r="H1343" s="2"/>
      <c r="I1343" s="2"/>
      <c r="J1343" s="2"/>
      <c r="K1343" s="2"/>
    </row>
    <row r="1344" spans="5:11" x14ac:dyDescent="0.25">
      <c r="E1344" s="3">
        <f t="shared" ca="1" si="40"/>
        <v>0.46775583544868193</v>
      </c>
      <c r="F1344" s="3">
        <f t="shared" ca="1" si="40"/>
        <v>0.46611509547611696</v>
      </c>
      <c r="G1344" s="3">
        <f t="shared" ca="1" si="41"/>
        <v>4.8328000197052745</v>
      </c>
      <c r="H1344" s="2"/>
      <c r="I1344" s="2"/>
      <c r="J1344" s="2"/>
      <c r="K1344" s="2"/>
    </row>
    <row r="1345" spans="5:11" x14ac:dyDescent="0.25">
      <c r="E1345" s="3">
        <f t="shared" ca="1" si="40"/>
        <v>0.74026324451216263</v>
      </c>
      <c r="F1345" s="3">
        <f t="shared" ca="1" si="40"/>
        <v>0.55832059948112511</v>
      </c>
      <c r="G1345" s="3">
        <f t="shared" ca="1" si="41"/>
        <v>5.2951032260881545</v>
      </c>
      <c r="H1345" s="2"/>
      <c r="I1345" s="2"/>
      <c r="J1345" s="2"/>
      <c r="K1345" s="2"/>
    </row>
    <row r="1346" spans="5:11" x14ac:dyDescent="0.25">
      <c r="E1346" s="3">
        <f t="shared" ca="1" si="40"/>
        <v>0.88468867891987835</v>
      </c>
      <c r="F1346" s="3">
        <f t="shared" ca="1" si="40"/>
        <v>5.1324443024864608E-2</v>
      </c>
      <c r="G1346" s="3">
        <f t="shared" ca="1" si="41"/>
        <v>5.2640007641921009</v>
      </c>
      <c r="H1346" s="2"/>
      <c r="I1346" s="2"/>
      <c r="J1346" s="2"/>
      <c r="K1346" s="2"/>
    </row>
    <row r="1347" spans="5:11" x14ac:dyDescent="0.25">
      <c r="E1347" s="3">
        <f t="shared" ca="1" si="40"/>
        <v>0.63236732384044481</v>
      </c>
      <c r="F1347" s="3">
        <f t="shared" ca="1" si="40"/>
        <v>0.717762605968564</v>
      </c>
      <c r="G1347" s="3">
        <f t="shared" ca="1" si="41"/>
        <v>7.3715476059733716</v>
      </c>
      <c r="H1347" s="2"/>
      <c r="I1347" s="2"/>
      <c r="J1347" s="2"/>
      <c r="K1347" s="2"/>
    </row>
    <row r="1348" spans="5:11" x14ac:dyDescent="0.25">
      <c r="E1348" s="3">
        <f t="shared" ref="E1348:F1411" ca="1" si="42">RAND()</f>
        <v>1.7277819452892529E-2</v>
      </c>
      <c r="F1348" s="3">
        <f t="shared" ca="1" si="42"/>
        <v>0.1782310316494129</v>
      </c>
      <c r="G1348" s="3">
        <f t="shared" ref="G1348:G1411" ca="1" si="43">SQRT(_xlfn.NORM.INV(E1348,$C$3*COS($C$6),$C$4)^2+_xlfn.NORM.INV(F1348,$C$3*SIN($C$6),$C$4)^2)</f>
        <v>12.808778159408986</v>
      </c>
      <c r="H1348" s="2"/>
      <c r="I1348" s="2"/>
      <c r="J1348" s="2"/>
      <c r="K1348" s="2"/>
    </row>
    <row r="1349" spans="5:11" x14ac:dyDescent="0.25">
      <c r="E1349" s="3">
        <f t="shared" ca="1" si="42"/>
        <v>0.26221692113150286</v>
      </c>
      <c r="F1349" s="3">
        <f t="shared" ca="1" si="42"/>
        <v>0.80317736484835778</v>
      </c>
      <c r="G1349" s="3">
        <f t="shared" ca="1" si="43"/>
        <v>10.281587207319459</v>
      </c>
      <c r="H1349" s="2"/>
      <c r="I1349" s="2"/>
      <c r="J1349" s="2"/>
      <c r="K1349" s="2"/>
    </row>
    <row r="1350" spans="5:11" x14ac:dyDescent="0.25">
      <c r="E1350" s="3">
        <f t="shared" ca="1" si="42"/>
        <v>0.51702490617077712</v>
      </c>
      <c r="F1350" s="3">
        <f t="shared" ca="1" si="42"/>
        <v>0.65658042234932845</v>
      </c>
      <c r="G1350" s="3">
        <f t="shared" ca="1" si="43"/>
        <v>6.7950761722131672</v>
      </c>
      <c r="H1350" s="2"/>
      <c r="I1350" s="2"/>
      <c r="J1350" s="2"/>
      <c r="K1350" s="2"/>
    </row>
    <row r="1351" spans="5:11" x14ac:dyDescent="0.25">
      <c r="E1351" s="3">
        <f t="shared" ca="1" si="42"/>
        <v>6.4803695280606033E-2</v>
      </c>
      <c r="F1351" s="3">
        <f t="shared" ca="1" si="42"/>
        <v>0.58675015877058545</v>
      </c>
      <c r="G1351" s="3">
        <f t="shared" ca="1" si="43"/>
        <v>11.286506645755212</v>
      </c>
      <c r="H1351" s="2"/>
      <c r="I1351" s="2"/>
      <c r="J1351" s="2"/>
      <c r="K1351" s="2"/>
    </row>
    <row r="1352" spans="5:11" x14ac:dyDescent="0.25">
      <c r="E1352" s="3">
        <f t="shared" ca="1" si="42"/>
        <v>0.49128444010347738</v>
      </c>
      <c r="F1352" s="3">
        <f t="shared" ca="1" si="42"/>
        <v>0.16574219152414904</v>
      </c>
      <c r="G1352" s="3">
        <f t="shared" ca="1" si="43"/>
        <v>2.3810501892332465</v>
      </c>
      <c r="H1352" s="2"/>
      <c r="I1352" s="2"/>
      <c r="J1352" s="2"/>
      <c r="K1352" s="2"/>
    </row>
    <row r="1353" spans="5:11" x14ac:dyDescent="0.25">
      <c r="E1353" s="3">
        <f t="shared" ca="1" si="42"/>
        <v>4.6799509999661648E-2</v>
      </c>
      <c r="F1353" s="3">
        <f t="shared" ca="1" si="42"/>
        <v>0.52894845457753625</v>
      </c>
      <c r="G1353" s="3">
        <f t="shared" ca="1" si="43"/>
        <v>11.671621950469602</v>
      </c>
      <c r="H1353" s="2"/>
      <c r="I1353" s="2"/>
      <c r="J1353" s="2"/>
      <c r="K1353" s="2"/>
    </row>
    <row r="1354" spans="5:11" x14ac:dyDescent="0.25">
      <c r="E1354" s="3">
        <f t="shared" ca="1" si="42"/>
        <v>0.83499365390371472</v>
      </c>
      <c r="F1354" s="3">
        <f t="shared" ca="1" si="42"/>
        <v>0.98669914744253739</v>
      </c>
      <c r="G1354" s="3">
        <f t="shared" ca="1" si="43"/>
        <v>15.777309452536773</v>
      </c>
      <c r="H1354" s="2"/>
      <c r="I1354" s="2"/>
      <c r="J1354" s="2"/>
      <c r="K1354" s="2"/>
    </row>
    <row r="1355" spans="5:11" x14ac:dyDescent="0.25">
      <c r="E1355" s="3">
        <f t="shared" ca="1" si="42"/>
        <v>0.57483614208014133</v>
      </c>
      <c r="F1355" s="3">
        <f t="shared" ca="1" si="42"/>
        <v>0.21065917957710045</v>
      </c>
      <c r="G1355" s="3">
        <f t="shared" ca="1" si="43"/>
        <v>1.3724925482240973</v>
      </c>
      <c r="H1355" s="2"/>
      <c r="I1355" s="2"/>
      <c r="J1355" s="2"/>
      <c r="K1355" s="2"/>
    </row>
    <row r="1356" spans="5:11" x14ac:dyDescent="0.25">
      <c r="E1356" s="3">
        <f t="shared" ca="1" si="42"/>
        <v>6.3602202327923241E-2</v>
      </c>
      <c r="F1356" s="3">
        <f t="shared" ca="1" si="42"/>
        <v>0.5350662856278936</v>
      </c>
      <c r="G1356" s="3">
        <f t="shared" ca="1" si="43"/>
        <v>11.020691094933412</v>
      </c>
      <c r="H1356" s="2"/>
      <c r="I1356" s="2"/>
      <c r="J1356" s="2"/>
      <c r="K1356" s="2"/>
    </row>
    <row r="1357" spans="5:11" x14ac:dyDescent="0.25">
      <c r="E1357" s="3">
        <f t="shared" ca="1" si="42"/>
        <v>0.20310460860453494</v>
      </c>
      <c r="F1357" s="3">
        <f t="shared" ca="1" si="42"/>
        <v>0.80888615792666263</v>
      </c>
      <c r="G1357" s="3">
        <f t="shared" ca="1" si="43"/>
        <v>10.908786168567772</v>
      </c>
      <c r="H1357" s="2"/>
      <c r="I1357" s="2"/>
      <c r="J1357" s="2"/>
      <c r="K1357" s="2"/>
    </row>
    <row r="1358" spans="5:11" x14ac:dyDescent="0.25">
      <c r="E1358" s="3">
        <f t="shared" ca="1" si="42"/>
        <v>0.53750562951220671</v>
      </c>
      <c r="F1358" s="3">
        <f t="shared" ca="1" si="42"/>
        <v>0.71018611770146867</v>
      </c>
      <c r="G1358" s="3">
        <f t="shared" ca="1" si="43"/>
        <v>7.4527648299577676</v>
      </c>
      <c r="H1358" s="2"/>
      <c r="I1358" s="2"/>
      <c r="J1358" s="2"/>
      <c r="K1358" s="2"/>
    </row>
    <row r="1359" spans="5:11" x14ac:dyDescent="0.25">
      <c r="E1359" s="3">
        <f t="shared" ca="1" si="42"/>
        <v>0.89071741734862786</v>
      </c>
      <c r="F1359" s="3">
        <f t="shared" ca="1" si="42"/>
        <v>0.42875900398219591</v>
      </c>
      <c r="G1359" s="3">
        <f t="shared" ca="1" si="43"/>
        <v>5.2972074189571146</v>
      </c>
      <c r="H1359" s="2"/>
      <c r="I1359" s="2"/>
      <c r="J1359" s="2"/>
      <c r="K1359" s="2"/>
    </row>
    <row r="1360" spans="5:11" x14ac:dyDescent="0.25">
      <c r="E1360" s="3">
        <f t="shared" ca="1" si="42"/>
        <v>0.36554431553820577</v>
      </c>
      <c r="F1360" s="3">
        <f t="shared" ca="1" si="42"/>
        <v>0.57303449144833207</v>
      </c>
      <c r="G1360" s="3">
        <f t="shared" ca="1" si="43"/>
        <v>6.6879997725458109</v>
      </c>
      <c r="H1360" s="2"/>
      <c r="I1360" s="2"/>
      <c r="J1360" s="2"/>
      <c r="K1360" s="2"/>
    </row>
    <row r="1361" spans="5:11" x14ac:dyDescent="0.25">
      <c r="E1361" s="3">
        <f t="shared" ca="1" si="42"/>
        <v>0.6295400377289726</v>
      </c>
      <c r="F1361" s="3">
        <f t="shared" ca="1" si="42"/>
        <v>0.36399159279984716</v>
      </c>
      <c r="G1361" s="3">
        <f t="shared" ca="1" si="43"/>
        <v>2.7933495057985316</v>
      </c>
      <c r="H1361" s="2"/>
      <c r="I1361" s="2"/>
      <c r="J1361" s="2"/>
      <c r="K1361" s="2"/>
    </row>
    <row r="1362" spans="5:11" x14ac:dyDescent="0.25">
      <c r="E1362" s="3">
        <f t="shared" ca="1" si="42"/>
        <v>0.71896611049362147</v>
      </c>
      <c r="F1362" s="3">
        <f t="shared" ca="1" si="42"/>
        <v>0.27021343586004443</v>
      </c>
      <c r="G1362" s="3">
        <f t="shared" ca="1" si="43"/>
        <v>1.5554124656235859</v>
      </c>
      <c r="H1362" s="2"/>
      <c r="I1362" s="2"/>
      <c r="J1362" s="2"/>
      <c r="K1362" s="2"/>
    </row>
    <row r="1363" spans="5:11" x14ac:dyDescent="0.25">
      <c r="E1363" s="3">
        <f t="shared" ca="1" si="42"/>
        <v>0.25140634046676458</v>
      </c>
      <c r="F1363" s="3">
        <f t="shared" ca="1" si="42"/>
        <v>0.40463316339506628</v>
      </c>
      <c r="G1363" s="3">
        <f t="shared" ca="1" si="43"/>
        <v>6.4733395349957368</v>
      </c>
      <c r="H1363" s="2"/>
      <c r="I1363" s="2"/>
      <c r="J1363" s="2"/>
      <c r="K1363" s="2"/>
    </row>
    <row r="1364" spans="5:11" x14ac:dyDescent="0.25">
      <c r="E1364" s="3">
        <f t="shared" ca="1" si="42"/>
        <v>0.14609380389607807</v>
      </c>
      <c r="F1364" s="3">
        <f t="shared" ca="1" si="42"/>
        <v>0.13712453970300231</v>
      </c>
      <c r="G1364" s="3">
        <f t="shared" ca="1" si="43"/>
        <v>7.5729133503586405</v>
      </c>
      <c r="H1364" s="2"/>
      <c r="I1364" s="2"/>
      <c r="J1364" s="2"/>
      <c r="K1364" s="2"/>
    </row>
    <row r="1365" spans="5:11" x14ac:dyDescent="0.25">
      <c r="E1365" s="3">
        <f t="shared" ca="1" si="42"/>
        <v>0.32963316944911691</v>
      </c>
      <c r="F1365" s="3">
        <f t="shared" ca="1" si="42"/>
        <v>0.39645857730815393</v>
      </c>
      <c r="G1365" s="3">
        <f t="shared" ca="1" si="43"/>
        <v>5.452242817565339</v>
      </c>
      <c r="H1365" s="2"/>
      <c r="I1365" s="2"/>
      <c r="J1365" s="2"/>
      <c r="K1365" s="2"/>
    </row>
    <row r="1366" spans="5:11" x14ac:dyDescent="0.25">
      <c r="E1366" s="3">
        <f t="shared" ca="1" si="42"/>
        <v>0.43151059792519686</v>
      </c>
      <c r="F1366" s="3">
        <f t="shared" ca="1" si="42"/>
        <v>0.74223679953517285</v>
      </c>
      <c r="G1366" s="3">
        <f t="shared" ca="1" si="43"/>
        <v>8.3214585502513465</v>
      </c>
      <c r="H1366" s="2"/>
      <c r="I1366" s="2"/>
      <c r="J1366" s="2"/>
      <c r="K1366" s="2"/>
    </row>
    <row r="1367" spans="5:11" x14ac:dyDescent="0.25">
      <c r="E1367" s="3">
        <f t="shared" ca="1" si="42"/>
        <v>0.57144182725678994</v>
      </c>
      <c r="F1367" s="3">
        <f t="shared" ca="1" si="42"/>
        <v>0.76738690355302941</v>
      </c>
      <c r="G1367" s="3">
        <f t="shared" ca="1" si="43"/>
        <v>8.2311533866202353</v>
      </c>
      <c r="H1367" s="2"/>
      <c r="I1367" s="2"/>
      <c r="J1367" s="2"/>
      <c r="K1367" s="2"/>
    </row>
    <row r="1368" spans="5:11" x14ac:dyDescent="0.25">
      <c r="E1368" s="3">
        <f t="shared" ca="1" si="42"/>
        <v>0.13447209504514201</v>
      </c>
      <c r="F1368" s="3">
        <f t="shared" ca="1" si="42"/>
        <v>0.145162315148753</v>
      </c>
      <c r="G1368" s="3">
        <f t="shared" ca="1" si="43"/>
        <v>7.8107077690501328</v>
      </c>
      <c r="H1368" s="2"/>
      <c r="I1368" s="2"/>
      <c r="J1368" s="2"/>
      <c r="K1368" s="2"/>
    </row>
    <row r="1369" spans="5:11" x14ac:dyDescent="0.25">
      <c r="E1369" s="3">
        <f t="shared" ca="1" si="42"/>
        <v>0.32674869077805369</v>
      </c>
      <c r="F1369" s="3">
        <f t="shared" ca="1" si="42"/>
        <v>0.59157280800707435</v>
      </c>
      <c r="G1369" s="3">
        <f t="shared" ca="1" si="43"/>
        <v>7.1964036455475657</v>
      </c>
      <c r="H1369" s="2"/>
      <c r="I1369" s="2"/>
      <c r="J1369" s="2"/>
      <c r="K1369" s="2"/>
    </row>
    <row r="1370" spans="5:11" x14ac:dyDescent="0.25">
      <c r="E1370" s="3">
        <f t="shared" ca="1" si="42"/>
        <v>0.37158058144170292</v>
      </c>
      <c r="F1370" s="3">
        <f t="shared" ca="1" si="42"/>
        <v>0.78193335272994946</v>
      </c>
      <c r="G1370" s="3">
        <f t="shared" ca="1" si="43"/>
        <v>9.2193056266805709</v>
      </c>
      <c r="H1370" s="2"/>
      <c r="I1370" s="2"/>
      <c r="J1370" s="2"/>
      <c r="K1370" s="2"/>
    </row>
    <row r="1371" spans="5:11" x14ac:dyDescent="0.25">
      <c r="E1371" s="3">
        <f t="shared" ca="1" si="42"/>
        <v>0.98879432843880333</v>
      </c>
      <c r="F1371" s="3">
        <f t="shared" ca="1" si="42"/>
        <v>0.1736759270079582</v>
      </c>
      <c r="G1371" s="3">
        <f t="shared" ca="1" si="43"/>
        <v>9.1790971358781963</v>
      </c>
      <c r="H1371" s="2"/>
      <c r="I1371" s="2"/>
      <c r="J1371" s="2"/>
      <c r="K1371" s="2"/>
    </row>
    <row r="1372" spans="5:11" x14ac:dyDescent="0.25">
      <c r="E1372" s="3">
        <f t="shared" ca="1" si="42"/>
        <v>0.4447183015690398</v>
      </c>
      <c r="F1372" s="3">
        <f t="shared" ca="1" si="42"/>
        <v>0.64762807232904906</v>
      </c>
      <c r="G1372" s="3">
        <f t="shared" ca="1" si="43"/>
        <v>7.0089302029944047</v>
      </c>
      <c r="H1372" s="2"/>
      <c r="I1372" s="2"/>
      <c r="J1372" s="2"/>
      <c r="K1372" s="2"/>
    </row>
    <row r="1373" spans="5:11" x14ac:dyDescent="0.25">
      <c r="E1373" s="3">
        <f t="shared" ca="1" si="42"/>
        <v>0.93717617291230149</v>
      </c>
      <c r="F1373" s="3">
        <f t="shared" ca="1" si="42"/>
        <v>0.79961431119458704</v>
      </c>
      <c r="G1373" s="3">
        <f t="shared" ca="1" si="43"/>
        <v>10.224222530199027</v>
      </c>
      <c r="H1373" s="2"/>
      <c r="I1373" s="2"/>
      <c r="J1373" s="2"/>
      <c r="K1373" s="2"/>
    </row>
    <row r="1374" spans="5:11" x14ac:dyDescent="0.25">
      <c r="E1374" s="3">
        <f t="shared" ca="1" si="42"/>
        <v>0.58024392438608352</v>
      </c>
      <c r="F1374" s="3">
        <f t="shared" ca="1" si="42"/>
        <v>0.29014659869061066</v>
      </c>
      <c r="G1374" s="3">
        <f t="shared" ca="1" si="43"/>
        <v>2.101226915885162</v>
      </c>
      <c r="H1374" s="2"/>
      <c r="I1374" s="2"/>
      <c r="J1374" s="2"/>
      <c r="K1374" s="2"/>
    </row>
    <row r="1375" spans="5:11" x14ac:dyDescent="0.25">
      <c r="E1375" s="3">
        <f t="shared" ca="1" si="42"/>
        <v>0.36657315996877415</v>
      </c>
      <c r="F1375" s="3">
        <f t="shared" ca="1" si="42"/>
        <v>0.15850372220473874</v>
      </c>
      <c r="G1375" s="3">
        <f t="shared" ca="1" si="43"/>
        <v>3.980946781899771</v>
      </c>
      <c r="H1375" s="2"/>
      <c r="I1375" s="2"/>
      <c r="J1375" s="2"/>
      <c r="K1375" s="2"/>
    </row>
    <row r="1376" spans="5:11" x14ac:dyDescent="0.25">
      <c r="E1376" s="3">
        <f t="shared" ca="1" si="42"/>
        <v>0.13874685682480237</v>
      </c>
      <c r="F1376" s="3">
        <f t="shared" ca="1" si="42"/>
        <v>0.93876706477376648</v>
      </c>
      <c r="G1376" s="3">
        <f t="shared" ca="1" si="43"/>
        <v>14.404490245531219</v>
      </c>
      <c r="H1376" s="2"/>
      <c r="I1376" s="2"/>
      <c r="J1376" s="2"/>
      <c r="K1376" s="2"/>
    </row>
    <row r="1377" spans="5:11" x14ac:dyDescent="0.25">
      <c r="E1377" s="3">
        <f t="shared" ca="1" si="42"/>
        <v>0.8980352026112508</v>
      </c>
      <c r="F1377" s="3">
        <f t="shared" ca="1" si="42"/>
        <v>0.63983265791834965</v>
      </c>
      <c r="G1377" s="3">
        <f t="shared" ca="1" si="43"/>
        <v>7.4896651391525042</v>
      </c>
      <c r="H1377" s="2"/>
      <c r="I1377" s="2"/>
      <c r="J1377" s="2"/>
      <c r="K1377" s="2"/>
    </row>
    <row r="1378" spans="5:11" x14ac:dyDescent="0.25">
      <c r="E1378" s="3">
        <f t="shared" ca="1" si="42"/>
        <v>0.86381797381607006</v>
      </c>
      <c r="F1378" s="3">
        <f t="shared" ca="1" si="42"/>
        <v>9.3013627100868912E-2</v>
      </c>
      <c r="G1378" s="3">
        <f t="shared" ca="1" si="43"/>
        <v>3.8906261693394342</v>
      </c>
      <c r="H1378" s="2"/>
      <c r="I1378" s="2"/>
      <c r="J1378" s="2"/>
      <c r="K1378" s="2"/>
    </row>
    <row r="1379" spans="5:11" x14ac:dyDescent="0.25">
      <c r="E1379" s="3">
        <f t="shared" ca="1" si="42"/>
        <v>0.85829962787982494</v>
      </c>
      <c r="F1379" s="3">
        <f t="shared" ca="1" si="42"/>
        <v>0.452004302608772</v>
      </c>
      <c r="G1379" s="3">
        <f t="shared" ca="1" si="43"/>
        <v>4.9707038314911083</v>
      </c>
      <c r="H1379" s="2"/>
      <c r="I1379" s="2"/>
      <c r="J1379" s="2"/>
      <c r="K1379" s="2"/>
    </row>
    <row r="1380" spans="5:11" x14ac:dyDescent="0.25">
      <c r="E1380" s="3">
        <f t="shared" ca="1" si="42"/>
        <v>0.15856268130868323</v>
      </c>
      <c r="F1380" s="3">
        <f t="shared" ca="1" si="42"/>
        <v>9.0575986684126142E-2</v>
      </c>
      <c r="G1380" s="3">
        <f t="shared" ca="1" si="43"/>
        <v>7.5737530201655225</v>
      </c>
      <c r="H1380" s="2"/>
      <c r="I1380" s="2"/>
      <c r="J1380" s="2"/>
      <c r="K1380" s="2"/>
    </row>
    <row r="1381" spans="5:11" x14ac:dyDescent="0.25">
      <c r="E1381" s="3">
        <f t="shared" ca="1" si="42"/>
        <v>0.29147306510981574</v>
      </c>
      <c r="F1381" s="3">
        <f t="shared" ca="1" si="42"/>
        <v>0.50423640430075278</v>
      </c>
      <c r="G1381" s="3">
        <f t="shared" ca="1" si="43"/>
        <v>6.7317497773620998</v>
      </c>
      <c r="H1381" s="2"/>
      <c r="I1381" s="2"/>
      <c r="J1381" s="2"/>
      <c r="K1381" s="2"/>
    </row>
    <row r="1382" spans="5:11" x14ac:dyDescent="0.25">
      <c r="E1382" s="3">
        <f t="shared" ca="1" si="42"/>
        <v>0.64077331817482031</v>
      </c>
      <c r="F1382" s="3">
        <f t="shared" ca="1" si="42"/>
        <v>3.2206453039597682E-2</v>
      </c>
      <c r="G1382" s="3">
        <f t="shared" ca="1" si="43"/>
        <v>4.7965876465460848</v>
      </c>
      <c r="H1382" s="2"/>
      <c r="I1382" s="2"/>
      <c r="J1382" s="2"/>
      <c r="K1382" s="2"/>
    </row>
    <row r="1383" spans="5:11" x14ac:dyDescent="0.25">
      <c r="E1383" s="3">
        <f t="shared" ca="1" si="42"/>
        <v>0.41745541897630545</v>
      </c>
      <c r="F1383" s="3">
        <f t="shared" ca="1" si="42"/>
        <v>6.6812960677675726E-4</v>
      </c>
      <c r="G1383" s="3">
        <f t="shared" ca="1" si="43"/>
        <v>12.026983372694129</v>
      </c>
      <c r="H1383" s="2"/>
      <c r="I1383" s="2"/>
      <c r="J1383" s="2"/>
      <c r="K1383" s="2"/>
    </row>
    <row r="1384" spans="5:11" x14ac:dyDescent="0.25">
      <c r="E1384" s="3">
        <f t="shared" ca="1" si="42"/>
        <v>0.73781521124167271</v>
      </c>
      <c r="F1384" s="3">
        <f t="shared" ca="1" si="42"/>
        <v>0.69742298835056393</v>
      </c>
      <c r="G1384" s="3">
        <f t="shared" ca="1" si="43"/>
        <v>7.1177095807599997</v>
      </c>
      <c r="H1384" s="2"/>
      <c r="I1384" s="2"/>
      <c r="J1384" s="2"/>
      <c r="K1384" s="2"/>
    </row>
    <row r="1385" spans="5:11" x14ac:dyDescent="0.25">
      <c r="E1385" s="3">
        <f t="shared" ca="1" si="42"/>
        <v>0.88110887188084397</v>
      </c>
      <c r="F1385" s="3">
        <f t="shared" ca="1" si="42"/>
        <v>0.34042303280168518</v>
      </c>
      <c r="G1385" s="3">
        <f t="shared" ca="1" si="43"/>
        <v>4.3860759943309633</v>
      </c>
      <c r="H1385" s="2"/>
      <c r="I1385" s="2"/>
      <c r="J1385" s="2"/>
      <c r="K1385" s="2"/>
    </row>
    <row r="1386" spans="5:11" x14ac:dyDescent="0.25">
      <c r="E1386" s="3">
        <f t="shared" ca="1" si="42"/>
        <v>0.4656799394526635</v>
      </c>
      <c r="F1386" s="3">
        <f t="shared" ca="1" si="42"/>
        <v>0.88958707578135454</v>
      </c>
      <c r="G1386" s="3">
        <f t="shared" ca="1" si="43"/>
        <v>10.923263223152436</v>
      </c>
      <c r="H1386" s="2"/>
      <c r="I1386" s="2"/>
      <c r="J1386" s="2"/>
      <c r="K1386" s="2"/>
    </row>
    <row r="1387" spans="5:11" x14ac:dyDescent="0.25">
      <c r="E1387" s="3">
        <f t="shared" ca="1" si="42"/>
        <v>0.21764987623945353</v>
      </c>
      <c r="F1387" s="3">
        <f t="shared" ca="1" si="42"/>
        <v>6.9882971981445441E-2</v>
      </c>
      <c r="G1387" s="3">
        <f t="shared" ca="1" si="43"/>
        <v>6.7971416248117267</v>
      </c>
      <c r="H1387" s="2"/>
      <c r="I1387" s="2"/>
      <c r="J1387" s="2"/>
      <c r="K1387" s="2"/>
    </row>
    <row r="1388" spans="5:11" x14ac:dyDescent="0.25">
      <c r="E1388" s="3">
        <f t="shared" ca="1" si="42"/>
        <v>0.51550073041576894</v>
      </c>
      <c r="F1388" s="3">
        <f t="shared" ca="1" si="42"/>
        <v>0.52451692918041004</v>
      </c>
      <c r="G1388" s="3">
        <f t="shared" ca="1" si="43"/>
        <v>5.1971477606163461</v>
      </c>
      <c r="H1388" s="2"/>
      <c r="I1388" s="2"/>
      <c r="J1388" s="2"/>
      <c r="K1388" s="2"/>
    </row>
    <row r="1389" spans="5:11" x14ac:dyDescent="0.25">
      <c r="E1389" s="3">
        <f t="shared" ca="1" si="42"/>
        <v>0.73100316170435875</v>
      </c>
      <c r="F1389" s="3">
        <f t="shared" ca="1" si="42"/>
        <v>0.24885410761456939</v>
      </c>
      <c r="G1389" s="3">
        <f t="shared" ca="1" si="43"/>
        <v>1.3671151682457672</v>
      </c>
      <c r="H1389" s="2"/>
      <c r="I1389" s="2"/>
      <c r="J1389" s="2"/>
      <c r="K1389" s="2"/>
    </row>
    <row r="1390" spans="5:11" x14ac:dyDescent="0.25">
      <c r="E1390" s="3">
        <f t="shared" ca="1" si="42"/>
        <v>0.18721955178393868</v>
      </c>
      <c r="F1390" s="3">
        <f t="shared" ca="1" si="42"/>
        <v>0.54164030641265926</v>
      </c>
      <c r="G1390" s="3">
        <f t="shared" ca="1" si="43"/>
        <v>8.3407541047269369</v>
      </c>
      <c r="H1390" s="2"/>
      <c r="I1390" s="2"/>
      <c r="J1390" s="2"/>
      <c r="K1390" s="2"/>
    </row>
    <row r="1391" spans="5:11" x14ac:dyDescent="0.25">
      <c r="E1391" s="3">
        <f t="shared" ca="1" si="42"/>
        <v>0.13787860276180541</v>
      </c>
      <c r="F1391" s="3">
        <f t="shared" ca="1" si="42"/>
        <v>0.86975295393145313</v>
      </c>
      <c r="G1391" s="3">
        <f t="shared" ca="1" si="43"/>
        <v>12.691153600086668</v>
      </c>
      <c r="H1391" s="2"/>
      <c r="I1391" s="2"/>
      <c r="J1391" s="2"/>
      <c r="K1391" s="2"/>
    </row>
    <row r="1392" spans="5:11" x14ac:dyDescent="0.25">
      <c r="E1392" s="3">
        <f t="shared" ca="1" si="42"/>
        <v>0.46446654634332973</v>
      </c>
      <c r="F1392" s="3">
        <f t="shared" ca="1" si="42"/>
        <v>0.52291317992220487</v>
      </c>
      <c r="G1392" s="3">
        <f t="shared" ca="1" si="43"/>
        <v>5.463358124888833</v>
      </c>
      <c r="H1392" s="2"/>
      <c r="I1392" s="2"/>
      <c r="J1392" s="2"/>
      <c r="K1392" s="2"/>
    </row>
    <row r="1393" spans="5:11" x14ac:dyDescent="0.25">
      <c r="E1393" s="3">
        <f t="shared" ca="1" si="42"/>
        <v>0.27390757104433627</v>
      </c>
      <c r="F1393" s="3">
        <f t="shared" ca="1" si="42"/>
        <v>5.3812022952471561E-2</v>
      </c>
      <c r="G1393" s="3">
        <f t="shared" ca="1" si="43"/>
        <v>6.3478600845193363</v>
      </c>
      <c r="H1393" s="2"/>
      <c r="I1393" s="2"/>
      <c r="J1393" s="2"/>
      <c r="K1393" s="2"/>
    </row>
    <row r="1394" spans="5:11" x14ac:dyDescent="0.25">
      <c r="E1394" s="3">
        <f t="shared" ca="1" si="42"/>
        <v>0.20064754219736169</v>
      </c>
      <c r="F1394" s="3">
        <f t="shared" ca="1" si="42"/>
        <v>0.65215438337455434</v>
      </c>
      <c r="G1394" s="3">
        <f t="shared" ca="1" si="43"/>
        <v>9.0952500167323862</v>
      </c>
      <c r="H1394" s="2"/>
      <c r="I1394" s="2"/>
      <c r="J1394" s="2"/>
      <c r="K1394" s="2"/>
    </row>
    <row r="1395" spans="5:11" x14ac:dyDescent="0.25">
      <c r="E1395" s="3">
        <f t="shared" ca="1" si="42"/>
        <v>2.5604859499869792E-2</v>
      </c>
      <c r="F1395" s="3">
        <f t="shared" ca="1" si="42"/>
        <v>0.9902329929113366</v>
      </c>
      <c r="G1395" s="3">
        <f t="shared" ca="1" si="43"/>
        <v>20.110313304407118</v>
      </c>
      <c r="H1395" s="2"/>
      <c r="I1395" s="2"/>
      <c r="J1395" s="2"/>
      <c r="K1395" s="2"/>
    </row>
    <row r="1396" spans="5:11" x14ac:dyDescent="0.25">
      <c r="E1396" s="3">
        <f t="shared" ca="1" si="42"/>
        <v>0.74001096066018246</v>
      </c>
      <c r="F1396" s="3">
        <f t="shared" ca="1" si="42"/>
        <v>0.51905038525631775</v>
      </c>
      <c r="G1396" s="3">
        <f t="shared" ca="1" si="43"/>
        <v>4.8090265804356003</v>
      </c>
      <c r="H1396" s="2"/>
      <c r="I1396" s="2"/>
      <c r="J1396" s="2"/>
      <c r="K1396" s="2"/>
    </row>
    <row r="1397" spans="5:11" x14ac:dyDescent="0.25">
      <c r="E1397" s="3">
        <f t="shared" ca="1" si="42"/>
        <v>0.43373189305041127</v>
      </c>
      <c r="F1397" s="3">
        <f t="shared" ca="1" si="42"/>
        <v>0.42933986322046114</v>
      </c>
      <c r="G1397" s="3">
        <f t="shared" ca="1" si="43"/>
        <v>4.7189548195075037</v>
      </c>
      <c r="H1397" s="2"/>
      <c r="I1397" s="2"/>
      <c r="J1397" s="2"/>
      <c r="K1397" s="2"/>
    </row>
    <row r="1398" spans="5:11" x14ac:dyDescent="0.25">
      <c r="E1398" s="3">
        <f t="shared" ca="1" si="42"/>
        <v>0.94641938592760666</v>
      </c>
      <c r="F1398" s="3">
        <f t="shared" ca="1" si="42"/>
        <v>0.37578824073614792</v>
      </c>
      <c r="G1398" s="3">
        <f t="shared" ca="1" si="43"/>
        <v>6.4923545675412093</v>
      </c>
      <c r="H1398" s="2"/>
      <c r="I1398" s="2"/>
      <c r="J1398" s="2"/>
      <c r="K1398" s="2"/>
    </row>
    <row r="1399" spans="5:11" x14ac:dyDescent="0.25">
      <c r="E1399" s="3">
        <f t="shared" ca="1" si="42"/>
        <v>0.71758206954216541</v>
      </c>
      <c r="F1399" s="3">
        <f t="shared" ca="1" si="42"/>
        <v>0.68749959606307642</v>
      </c>
      <c r="G1399" s="3">
        <f t="shared" ca="1" si="43"/>
        <v>6.9432340487622781</v>
      </c>
      <c r="H1399" s="2"/>
      <c r="I1399" s="2"/>
      <c r="J1399" s="2"/>
      <c r="K1399" s="2"/>
    </row>
    <row r="1400" spans="5:11" x14ac:dyDescent="0.25">
      <c r="E1400" s="3">
        <f t="shared" ca="1" si="42"/>
        <v>0.41078688384766604</v>
      </c>
      <c r="F1400" s="3">
        <f t="shared" ca="1" si="42"/>
        <v>0.63326971409541555</v>
      </c>
      <c r="G1400" s="3">
        <f t="shared" ca="1" si="43"/>
        <v>7.031671010498564</v>
      </c>
      <c r="H1400" s="2"/>
      <c r="I1400" s="2"/>
      <c r="J1400" s="2"/>
      <c r="K1400" s="2"/>
    </row>
    <row r="1401" spans="5:11" x14ac:dyDescent="0.25">
      <c r="E1401" s="3">
        <f t="shared" ca="1" si="42"/>
        <v>0.42939834029249913</v>
      </c>
      <c r="F1401" s="3">
        <f t="shared" ca="1" si="42"/>
        <v>0.25121016278489683</v>
      </c>
      <c r="G1401" s="3">
        <f t="shared" ca="1" si="43"/>
        <v>3.3230939645492481</v>
      </c>
      <c r="H1401" s="2"/>
      <c r="I1401" s="2"/>
      <c r="J1401" s="2"/>
      <c r="K1401" s="2"/>
    </row>
    <row r="1402" spans="5:11" x14ac:dyDescent="0.25">
      <c r="E1402" s="3">
        <f t="shared" ca="1" si="42"/>
        <v>0.79876393192447481</v>
      </c>
      <c r="F1402" s="3">
        <f t="shared" ca="1" si="42"/>
        <v>0.11869836517047039</v>
      </c>
      <c r="G1402" s="3">
        <f t="shared" ca="1" si="43"/>
        <v>2.4191908277023031</v>
      </c>
      <c r="H1402" s="2"/>
      <c r="I1402" s="2"/>
      <c r="J1402" s="2"/>
      <c r="K1402" s="2"/>
    </row>
    <row r="1403" spans="5:11" x14ac:dyDescent="0.25">
      <c r="E1403" s="3">
        <f t="shared" ca="1" si="42"/>
        <v>0.79131962925313704</v>
      </c>
      <c r="F1403" s="3">
        <f t="shared" ca="1" si="42"/>
        <v>0.44586253475498205</v>
      </c>
      <c r="G1403" s="3">
        <f t="shared" ca="1" si="43"/>
        <v>4.2014766575856459</v>
      </c>
      <c r="H1403" s="2"/>
      <c r="I1403" s="2"/>
      <c r="J1403" s="2"/>
      <c r="K1403" s="2"/>
    </row>
    <row r="1404" spans="5:11" x14ac:dyDescent="0.25">
      <c r="E1404" s="3">
        <f t="shared" ca="1" si="42"/>
        <v>0.13160670509829742</v>
      </c>
      <c r="F1404" s="3">
        <f t="shared" ca="1" si="42"/>
        <v>0.15752772441639129</v>
      </c>
      <c r="G1404" s="3">
        <f t="shared" ca="1" si="43"/>
        <v>7.8540280257090505</v>
      </c>
      <c r="H1404" s="2"/>
      <c r="I1404" s="2"/>
      <c r="J1404" s="2"/>
      <c r="K1404" s="2"/>
    </row>
    <row r="1405" spans="5:11" x14ac:dyDescent="0.25">
      <c r="E1405" s="3">
        <f t="shared" ca="1" si="42"/>
        <v>5.1969480086879738E-2</v>
      </c>
      <c r="F1405" s="3">
        <f t="shared" ca="1" si="42"/>
        <v>0.70968399705383312</v>
      </c>
      <c r="G1405" s="3">
        <f t="shared" ca="1" si="43"/>
        <v>12.643409337928269</v>
      </c>
      <c r="H1405" s="2"/>
      <c r="I1405" s="2"/>
      <c r="J1405" s="2"/>
      <c r="K1405" s="2"/>
    </row>
    <row r="1406" spans="5:11" x14ac:dyDescent="0.25">
      <c r="E1406" s="3">
        <f t="shared" ca="1" si="42"/>
        <v>0.79894305597126425</v>
      </c>
      <c r="F1406" s="3">
        <f t="shared" ca="1" si="42"/>
        <v>0.61427695547273253</v>
      </c>
      <c r="G1406" s="3">
        <f t="shared" ca="1" si="43"/>
        <v>6.2348240588007702</v>
      </c>
      <c r="H1406" s="2"/>
      <c r="I1406" s="2"/>
      <c r="J1406" s="2"/>
      <c r="K1406" s="2"/>
    </row>
    <row r="1407" spans="5:11" x14ac:dyDescent="0.25">
      <c r="E1407" s="3">
        <f t="shared" ca="1" si="42"/>
        <v>0.22134380851453606</v>
      </c>
      <c r="F1407" s="3">
        <f t="shared" ca="1" si="42"/>
        <v>0.85941024160734969</v>
      </c>
      <c r="G1407" s="3">
        <f t="shared" ca="1" si="43"/>
        <v>11.581772006580941</v>
      </c>
      <c r="H1407" s="2"/>
      <c r="I1407" s="2"/>
      <c r="J1407" s="2"/>
      <c r="K1407" s="2"/>
    </row>
    <row r="1408" spans="5:11" x14ac:dyDescent="0.25">
      <c r="E1408" s="3">
        <f t="shared" ca="1" si="42"/>
        <v>9.3516893188080208E-2</v>
      </c>
      <c r="F1408" s="3">
        <f t="shared" ca="1" si="42"/>
        <v>0.20975968178209292</v>
      </c>
      <c r="G1408" s="3">
        <f t="shared" ca="1" si="43"/>
        <v>8.8480285019952589</v>
      </c>
      <c r="H1408" s="2"/>
      <c r="I1408" s="2"/>
      <c r="J1408" s="2"/>
      <c r="K1408" s="2"/>
    </row>
    <row r="1409" spans="5:11" x14ac:dyDescent="0.25">
      <c r="E1409" s="3">
        <f t="shared" ca="1" si="42"/>
        <v>2.5877994339480903E-2</v>
      </c>
      <c r="F1409" s="3">
        <f t="shared" ca="1" si="42"/>
        <v>0.63832257973389328</v>
      </c>
      <c r="G1409" s="3">
        <f t="shared" ca="1" si="43"/>
        <v>13.495368792906365</v>
      </c>
      <c r="H1409" s="2"/>
      <c r="I1409" s="2"/>
      <c r="J1409" s="2"/>
      <c r="K1409" s="2"/>
    </row>
    <row r="1410" spans="5:11" x14ac:dyDescent="0.25">
      <c r="E1410" s="3">
        <f t="shared" ca="1" si="42"/>
        <v>0.5869516885000059</v>
      </c>
      <c r="F1410" s="3">
        <f t="shared" ca="1" si="42"/>
        <v>0.44071141870959174</v>
      </c>
      <c r="G1410" s="3">
        <f t="shared" ca="1" si="43"/>
        <v>3.8952624621473273</v>
      </c>
      <c r="H1410" s="2"/>
      <c r="I1410" s="2"/>
      <c r="J1410" s="2"/>
      <c r="K1410" s="2"/>
    </row>
    <row r="1411" spans="5:11" x14ac:dyDescent="0.25">
      <c r="E1411" s="3">
        <f t="shared" ca="1" si="42"/>
        <v>0.89461333174755997</v>
      </c>
      <c r="F1411" s="3">
        <f t="shared" ca="1" si="42"/>
        <v>0.36234349679500966</v>
      </c>
      <c r="G1411" s="3">
        <f t="shared" ca="1" si="43"/>
        <v>4.8449515018723321</v>
      </c>
      <c r="H1411" s="2"/>
      <c r="I1411" s="2"/>
      <c r="J1411" s="2"/>
      <c r="K1411" s="2"/>
    </row>
    <row r="1412" spans="5:11" x14ac:dyDescent="0.25">
      <c r="E1412" s="3">
        <f t="shared" ref="E1412:F1475" ca="1" si="44">RAND()</f>
        <v>0.67979916471013191</v>
      </c>
      <c r="F1412" s="3">
        <f t="shared" ca="1" si="44"/>
        <v>0.2016427325362532</v>
      </c>
      <c r="G1412" s="3">
        <f t="shared" ref="G1412:G1475" ca="1" si="45">SQRT(_xlfn.NORM.INV(E1412,$C$3*COS($C$6),$C$4)^2+_xlfn.NORM.INV(F1412,$C$3*SIN($C$6),$C$4)^2)</f>
        <v>0.30634975975340767</v>
      </c>
      <c r="H1412" s="2"/>
      <c r="I1412" s="2"/>
      <c r="J1412" s="2"/>
      <c r="K1412" s="2"/>
    </row>
    <row r="1413" spans="5:11" x14ac:dyDescent="0.25">
      <c r="E1413" s="3">
        <f t="shared" ca="1" si="44"/>
        <v>0.93173832569645632</v>
      </c>
      <c r="F1413" s="3">
        <f t="shared" ca="1" si="44"/>
        <v>0.16127145720488389</v>
      </c>
      <c r="G1413" s="3">
        <f t="shared" ca="1" si="45"/>
        <v>5.2256954589365776</v>
      </c>
      <c r="H1413" s="2"/>
      <c r="I1413" s="2"/>
      <c r="J1413" s="2"/>
      <c r="K1413" s="2"/>
    </row>
    <row r="1414" spans="5:11" x14ac:dyDescent="0.25">
      <c r="E1414" s="3">
        <f t="shared" ca="1" si="44"/>
        <v>0.67966724223762143</v>
      </c>
      <c r="F1414" s="3">
        <f t="shared" ca="1" si="44"/>
        <v>3.3429266062907526E-2</v>
      </c>
      <c r="G1414" s="3">
        <f t="shared" ca="1" si="45"/>
        <v>4.694066606231698</v>
      </c>
      <c r="H1414" s="2"/>
      <c r="I1414" s="2"/>
      <c r="J1414" s="2"/>
      <c r="K1414" s="2"/>
    </row>
    <row r="1415" spans="5:11" x14ac:dyDescent="0.25">
      <c r="E1415" s="3">
        <f t="shared" ca="1" si="44"/>
        <v>0.71072935468131626</v>
      </c>
      <c r="F1415" s="3">
        <f t="shared" ca="1" si="44"/>
        <v>0.10749340419482756</v>
      </c>
      <c r="G1415" s="3">
        <f t="shared" ca="1" si="45"/>
        <v>1.8113597880306385</v>
      </c>
      <c r="H1415" s="2"/>
      <c r="I1415" s="2"/>
      <c r="J1415" s="2"/>
      <c r="K1415" s="2"/>
    </row>
    <row r="1416" spans="5:11" x14ac:dyDescent="0.25">
      <c r="E1416" s="3">
        <f t="shared" ca="1" si="44"/>
        <v>9.9566595565322102E-2</v>
      </c>
      <c r="F1416" s="3">
        <f t="shared" ca="1" si="44"/>
        <v>5.266466008810855E-2</v>
      </c>
      <c r="G1416" s="3">
        <f t="shared" ca="1" si="45"/>
        <v>9.3896101039825126</v>
      </c>
      <c r="H1416" s="2"/>
      <c r="I1416" s="2"/>
      <c r="J1416" s="2"/>
      <c r="K1416" s="2"/>
    </row>
    <row r="1417" spans="5:11" x14ac:dyDescent="0.25">
      <c r="E1417" s="3">
        <f t="shared" ca="1" si="44"/>
        <v>0.20713383562489918</v>
      </c>
      <c r="F1417" s="3">
        <f t="shared" ca="1" si="44"/>
        <v>0.11854696603711146</v>
      </c>
      <c r="G1417" s="3">
        <f t="shared" ca="1" si="45"/>
        <v>6.4846323794015879</v>
      </c>
      <c r="H1417" s="2"/>
      <c r="I1417" s="2"/>
      <c r="J1417" s="2"/>
      <c r="K1417" s="2"/>
    </row>
    <row r="1418" spans="5:11" x14ac:dyDescent="0.25">
      <c r="E1418" s="3">
        <f t="shared" ca="1" si="44"/>
        <v>0.25187297543592968</v>
      </c>
      <c r="F1418" s="3">
        <f t="shared" ca="1" si="44"/>
        <v>0.12761758702059267</v>
      </c>
      <c r="G1418" s="3">
        <f t="shared" ca="1" si="45"/>
        <v>5.7148494659580997</v>
      </c>
      <c r="H1418" s="2"/>
      <c r="I1418" s="2"/>
      <c r="J1418" s="2"/>
      <c r="K1418" s="2"/>
    </row>
    <row r="1419" spans="5:11" x14ac:dyDescent="0.25">
      <c r="E1419" s="3">
        <f t="shared" ca="1" si="44"/>
        <v>0.563052412400742</v>
      </c>
      <c r="F1419" s="3">
        <f t="shared" ca="1" si="44"/>
        <v>0.75525258256631966</v>
      </c>
      <c r="G1419" s="3">
        <f t="shared" ca="1" si="45"/>
        <v>8.0565203598865995</v>
      </c>
      <c r="H1419" s="2"/>
      <c r="I1419" s="2"/>
      <c r="J1419" s="2"/>
      <c r="K1419" s="2"/>
    </row>
    <row r="1420" spans="5:11" x14ac:dyDescent="0.25">
      <c r="E1420" s="3">
        <f t="shared" ca="1" si="44"/>
        <v>0.59187687060353966</v>
      </c>
      <c r="F1420" s="3">
        <f t="shared" ca="1" si="44"/>
        <v>2.4077986066660118E-2</v>
      </c>
      <c r="G1420" s="3">
        <f t="shared" ca="1" si="45"/>
        <v>5.5164164117831644</v>
      </c>
      <c r="H1420" s="2"/>
      <c r="I1420" s="2"/>
      <c r="J1420" s="2"/>
      <c r="K1420" s="2"/>
    </row>
    <row r="1421" spans="5:11" x14ac:dyDescent="0.25">
      <c r="E1421" s="3">
        <f t="shared" ca="1" si="44"/>
        <v>0.83372004149703349</v>
      </c>
      <c r="F1421" s="3">
        <f t="shared" ca="1" si="44"/>
        <v>0.35259753895060542</v>
      </c>
      <c r="G1421" s="3">
        <f t="shared" ca="1" si="45"/>
        <v>3.6648976951514292</v>
      </c>
      <c r="H1421" s="2"/>
      <c r="I1421" s="2"/>
      <c r="J1421" s="2"/>
      <c r="K1421" s="2"/>
    </row>
    <row r="1422" spans="5:11" x14ac:dyDescent="0.25">
      <c r="E1422" s="3">
        <f t="shared" ca="1" si="44"/>
        <v>0.48183361368559707</v>
      </c>
      <c r="F1422" s="3">
        <f t="shared" ca="1" si="44"/>
        <v>0.11687068146386848</v>
      </c>
      <c r="G1422" s="3">
        <f t="shared" ca="1" si="45"/>
        <v>2.8798637339421642</v>
      </c>
      <c r="H1422" s="2"/>
      <c r="I1422" s="2"/>
      <c r="J1422" s="2"/>
      <c r="K1422" s="2"/>
    </row>
    <row r="1423" spans="5:11" x14ac:dyDescent="0.25">
      <c r="E1423" s="3">
        <f t="shared" ca="1" si="44"/>
        <v>5.3433132808793138E-2</v>
      </c>
      <c r="F1423" s="3">
        <f t="shared" ca="1" si="44"/>
        <v>0.17691638250591424</v>
      </c>
      <c r="G1423" s="3">
        <f t="shared" ca="1" si="45"/>
        <v>10.303903138179111</v>
      </c>
      <c r="H1423" s="2"/>
      <c r="I1423" s="2"/>
      <c r="J1423" s="2"/>
      <c r="K1423" s="2"/>
    </row>
    <row r="1424" spans="5:11" x14ac:dyDescent="0.25">
      <c r="E1424" s="3">
        <f t="shared" ca="1" si="44"/>
        <v>0.57457453977940542</v>
      </c>
      <c r="F1424" s="3">
        <f t="shared" ca="1" si="44"/>
        <v>0.80593525536292909</v>
      </c>
      <c r="G1424" s="3">
        <f t="shared" ca="1" si="45"/>
        <v>8.8807509217820577</v>
      </c>
      <c r="H1424" s="2"/>
      <c r="I1424" s="2"/>
      <c r="J1424" s="2"/>
      <c r="K1424" s="2"/>
    </row>
    <row r="1425" spans="5:11" x14ac:dyDescent="0.25">
      <c r="E1425" s="3">
        <f t="shared" ca="1" si="44"/>
        <v>0.70787816798997327</v>
      </c>
      <c r="F1425" s="3">
        <f t="shared" ca="1" si="44"/>
        <v>0.8439781285302228</v>
      </c>
      <c r="G1425" s="3">
        <f t="shared" ca="1" si="45"/>
        <v>9.5375838691502519</v>
      </c>
      <c r="H1425" s="2"/>
      <c r="I1425" s="2"/>
      <c r="J1425" s="2"/>
      <c r="K1425" s="2"/>
    </row>
    <row r="1426" spans="5:11" x14ac:dyDescent="0.25">
      <c r="E1426" s="3">
        <f t="shared" ca="1" si="44"/>
        <v>3.4498444018393637E-2</v>
      </c>
      <c r="F1426" s="3">
        <f t="shared" ca="1" si="44"/>
        <v>0.86305323928138178</v>
      </c>
      <c r="G1426" s="3">
        <f t="shared" ca="1" si="45"/>
        <v>15.074624823876015</v>
      </c>
      <c r="H1426" s="2"/>
      <c r="I1426" s="2"/>
      <c r="J1426" s="2"/>
      <c r="K1426" s="2"/>
    </row>
    <row r="1427" spans="5:11" x14ac:dyDescent="0.25">
      <c r="E1427" s="3">
        <f t="shared" ca="1" si="44"/>
        <v>0.80499200870089138</v>
      </c>
      <c r="F1427" s="3">
        <f t="shared" ca="1" si="44"/>
        <v>0.37446860417797723</v>
      </c>
      <c r="G1427" s="3">
        <f t="shared" ca="1" si="45"/>
        <v>3.5311805436057124</v>
      </c>
      <c r="H1427" s="2"/>
      <c r="I1427" s="2"/>
      <c r="J1427" s="2"/>
      <c r="K1427" s="2"/>
    </row>
    <row r="1428" spans="5:11" x14ac:dyDescent="0.25">
      <c r="E1428" s="3">
        <f t="shared" ca="1" si="44"/>
        <v>0.99435531712962832</v>
      </c>
      <c r="F1428" s="3">
        <f t="shared" ca="1" si="44"/>
        <v>0.96396968600831601</v>
      </c>
      <c r="G1428" s="3">
        <f t="shared" ca="1" si="45"/>
        <v>17.029587141789911</v>
      </c>
      <c r="H1428" s="2"/>
      <c r="I1428" s="2"/>
      <c r="J1428" s="2"/>
      <c r="K1428" s="2"/>
    </row>
    <row r="1429" spans="5:11" x14ac:dyDescent="0.25">
      <c r="E1429" s="3">
        <f t="shared" ca="1" si="44"/>
        <v>0.49138039529301014</v>
      </c>
      <c r="F1429" s="3">
        <f t="shared" ca="1" si="44"/>
        <v>0.45596707548551019</v>
      </c>
      <c r="G1429" s="3">
        <f t="shared" ca="1" si="45"/>
        <v>4.5670345469755684</v>
      </c>
      <c r="H1429" s="2"/>
      <c r="I1429" s="2"/>
      <c r="J1429" s="2"/>
      <c r="K1429" s="2"/>
    </row>
    <row r="1430" spans="5:11" x14ac:dyDescent="0.25">
      <c r="E1430" s="3">
        <f t="shared" ca="1" si="44"/>
        <v>0.81247451641579194</v>
      </c>
      <c r="F1430" s="3">
        <f t="shared" ca="1" si="44"/>
        <v>0.59015360477970569</v>
      </c>
      <c r="G1430" s="3">
        <f t="shared" ca="1" si="45"/>
        <v>6.0237946344537603</v>
      </c>
      <c r="H1430" s="2"/>
      <c r="I1430" s="2"/>
      <c r="J1430" s="2"/>
      <c r="K1430" s="2"/>
    </row>
    <row r="1431" spans="5:11" x14ac:dyDescent="0.25">
      <c r="E1431" s="3">
        <f t="shared" ca="1" si="44"/>
        <v>6.5459046678096544E-2</v>
      </c>
      <c r="F1431" s="3">
        <f t="shared" ca="1" si="44"/>
        <v>0.1637566249291289</v>
      </c>
      <c r="G1431" s="3">
        <f t="shared" ca="1" si="45"/>
        <v>9.8020728640012553</v>
      </c>
      <c r="H1431" s="2"/>
      <c r="I1431" s="2"/>
      <c r="J1431" s="2"/>
      <c r="K1431" s="2"/>
    </row>
    <row r="1432" spans="5:11" x14ac:dyDescent="0.25">
      <c r="E1432" s="3">
        <f t="shared" ca="1" si="44"/>
        <v>8.7988465985862185E-2</v>
      </c>
      <c r="F1432" s="3">
        <f t="shared" ca="1" si="44"/>
        <v>0.84004583516082199</v>
      </c>
      <c r="G1432" s="3">
        <f t="shared" ca="1" si="45"/>
        <v>13.049641672105006</v>
      </c>
      <c r="H1432" s="2"/>
      <c r="I1432" s="2"/>
      <c r="J1432" s="2"/>
      <c r="K1432" s="2"/>
    </row>
    <row r="1433" spans="5:11" x14ac:dyDescent="0.25">
      <c r="E1433" s="3">
        <f t="shared" ca="1" si="44"/>
        <v>0.79594384521061878</v>
      </c>
      <c r="F1433" s="3">
        <f t="shared" ca="1" si="44"/>
        <v>0.62637088425579734</v>
      </c>
      <c r="G1433" s="3">
        <f t="shared" ca="1" si="45"/>
        <v>6.3698985891434026</v>
      </c>
      <c r="H1433" s="2"/>
      <c r="I1433" s="2"/>
      <c r="J1433" s="2"/>
      <c r="K1433" s="2"/>
    </row>
    <row r="1434" spans="5:11" x14ac:dyDescent="0.25">
      <c r="E1434" s="3">
        <f t="shared" ca="1" si="44"/>
        <v>0.56099162095551258</v>
      </c>
      <c r="F1434" s="3">
        <f t="shared" ca="1" si="44"/>
        <v>0.14451195901087854</v>
      </c>
      <c r="G1434" s="3">
        <f t="shared" ca="1" si="45"/>
        <v>1.6913634767168635</v>
      </c>
      <c r="H1434" s="2"/>
      <c r="I1434" s="2"/>
      <c r="J1434" s="2"/>
      <c r="K1434" s="2"/>
    </row>
    <row r="1435" spans="5:11" x14ac:dyDescent="0.25">
      <c r="E1435" s="3">
        <f t="shared" ca="1" si="44"/>
        <v>0.51163175711904052</v>
      </c>
      <c r="F1435" s="3">
        <f t="shared" ca="1" si="44"/>
        <v>7.3461094464358445E-2</v>
      </c>
      <c r="G1435" s="3">
        <f t="shared" ca="1" si="45"/>
        <v>3.4827140203780007</v>
      </c>
      <c r="H1435" s="2"/>
      <c r="I1435" s="2"/>
      <c r="J1435" s="2"/>
      <c r="K1435" s="2"/>
    </row>
    <row r="1436" spans="5:11" x14ac:dyDescent="0.25">
      <c r="E1436" s="3">
        <f t="shared" ca="1" si="44"/>
        <v>4.551344543390623E-2</v>
      </c>
      <c r="F1436" s="3">
        <f t="shared" ca="1" si="44"/>
        <v>0.80560152630433923</v>
      </c>
      <c r="G1436" s="3">
        <f t="shared" ca="1" si="45"/>
        <v>13.833120180144144</v>
      </c>
      <c r="H1436" s="2"/>
      <c r="I1436" s="2"/>
      <c r="J1436" s="2"/>
      <c r="K1436" s="2"/>
    </row>
    <row r="1437" spans="5:11" x14ac:dyDescent="0.25">
      <c r="E1437" s="3">
        <f t="shared" ca="1" si="44"/>
        <v>0.83898042958015251</v>
      </c>
      <c r="F1437" s="3">
        <f t="shared" ca="1" si="44"/>
        <v>0.76495635026604325</v>
      </c>
      <c r="G1437" s="3">
        <f t="shared" ca="1" si="45"/>
        <v>8.5242568577639801</v>
      </c>
      <c r="H1437" s="2"/>
      <c r="I1437" s="2"/>
      <c r="J1437" s="2"/>
      <c r="K1437" s="2"/>
    </row>
    <row r="1438" spans="5:11" x14ac:dyDescent="0.25">
      <c r="E1438" s="3">
        <f t="shared" ca="1" si="44"/>
        <v>0.40441821511397535</v>
      </c>
      <c r="F1438" s="3">
        <f t="shared" ca="1" si="44"/>
        <v>9.559784189382714E-2</v>
      </c>
      <c r="G1438" s="3">
        <f t="shared" ca="1" si="45"/>
        <v>4.0209282342184292</v>
      </c>
      <c r="H1438" s="2"/>
      <c r="I1438" s="2"/>
      <c r="J1438" s="2"/>
      <c r="K1438" s="2"/>
    </row>
    <row r="1439" spans="5:11" x14ac:dyDescent="0.25">
      <c r="E1439" s="3">
        <f t="shared" ca="1" si="44"/>
        <v>0.36030166075754322</v>
      </c>
      <c r="F1439" s="3">
        <f t="shared" ca="1" si="44"/>
        <v>0.79563122678000964</v>
      </c>
      <c r="G1439" s="3">
        <f t="shared" ca="1" si="45"/>
        <v>9.4973506941252879</v>
      </c>
      <c r="H1439" s="2"/>
      <c r="I1439" s="2"/>
      <c r="J1439" s="2"/>
      <c r="K1439" s="2"/>
    </row>
    <row r="1440" spans="5:11" x14ac:dyDescent="0.25">
      <c r="E1440" s="3">
        <f t="shared" ca="1" si="44"/>
        <v>0.87156680494611927</v>
      </c>
      <c r="F1440" s="3">
        <f t="shared" ca="1" si="44"/>
        <v>0.91129774824152676</v>
      </c>
      <c r="G1440" s="3">
        <f t="shared" ca="1" si="45"/>
        <v>11.726413622623216</v>
      </c>
      <c r="H1440" s="2"/>
      <c r="I1440" s="2"/>
      <c r="J1440" s="2"/>
      <c r="K1440" s="2"/>
    </row>
    <row r="1441" spans="5:11" x14ac:dyDescent="0.25">
      <c r="E1441" s="3">
        <f t="shared" ca="1" si="44"/>
        <v>0.6667859404956672</v>
      </c>
      <c r="F1441" s="3">
        <f t="shared" ca="1" si="44"/>
        <v>0.85105764393343841</v>
      </c>
      <c r="G1441" s="3">
        <f t="shared" ca="1" si="45"/>
        <v>9.675258778386155</v>
      </c>
      <c r="H1441" s="2"/>
      <c r="I1441" s="2"/>
      <c r="J1441" s="2"/>
      <c r="K1441" s="2"/>
    </row>
    <row r="1442" spans="5:11" x14ac:dyDescent="0.25">
      <c r="E1442" s="3">
        <f t="shared" ca="1" si="44"/>
        <v>0.42454284136834342</v>
      </c>
      <c r="F1442" s="3">
        <f t="shared" ca="1" si="44"/>
        <v>0.76183157282288894</v>
      </c>
      <c r="G1442" s="3">
        <f t="shared" ca="1" si="45"/>
        <v>8.6420351045520327</v>
      </c>
      <c r="H1442" s="2"/>
      <c r="I1442" s="2"/>
      <c r="J1442" s="2"/>
      <c r="K1442" s="2"/>
    </row>
    <row r="1443" spans="5:11" x14ac:dyDescent="0.25">
      <c r="E1443" s="3">
        <f t="shared" ca="1" si="44"/>
        <v>0.89372585137007432</v>
      </c>
      <c r="F1443" s="3">
        <f t="shared" ca="1" si="44"/>
        <v>0.18213424675561651</v>
      </c>
      <c r="G1443" s="3">
        <f t="shared" ca="1" si="45"/>
        <v>3.9931269519336627</v>
      </c>
      <c r="H1443" s="2"/>
      <c r="I1443" s="2"/>
      <c r="J1443" s="2"/>
      <c r="K1443" s="2"/>
    </row>
    <row r="1444" spans="5:11" x14ac:dyDescent="0.25">
      <c r="E1444" s="3">
        <f t="shared" ca="1" si="44"/>
        <v>0.31610478466527214</v>
      </c>
      <c r="F1444" s="3">
        <f t="shared" ca="1" si="44"/>
        <v>0.31214478970443205</v>
      </c>
      <c r="G1444" s="3">
        <f t="shared" ca="1" si="45"/>
        <v>5.0550733128749972</v>
      </c>
      <c r="H1444" s="2"/>
      <c r="I1444" s="2"/>
      <c r="J1444" s="2"/>
      <c r="K1444" s="2"/>
    </row>
    <row r="1445" spans="5:11" x14ac:dyDescent="0.25">
      <c r="E1445" s="3">
        <f t="shared" ca="1" si="44"/>
        <v>0.13628415112163861</v>
      </c>
      <c r="F1445" s="3">
        <f t="shared" ca="1" si="44"/>
        <v>0.9372022189445105</v>
      </c>
      <c r="G1445" s="3">
        <f t="shared" ca="1" si="45"/>
        <v>14.380361272339174</v>
      </c>
      <c r="H1445" s="2"/>
      <c r="I1445" s="2"/>
      <c r="J1445" s="2"/>
      <c r="K1445" s="2"/>
    </row>
    <row r="1446" spans="5:11" x14ac:dyDescent="0.25">
      <c r="E1446" s="3">
        <f t="shared" ca="1" si="44"/>
        <v>2.2571952642264859E-2</v>
      </c>
      <c r="F1446" s="3">
        <f t="shared" ca="1" si="44"/>
        <v>0.78886676160115776</v>
      </c>
      <c r="G1446" s="3">
        <f t="shared" ca="1" si="45"/>
        <v>14.905848055621723</v>
      </c>
      <c r="H1446" s="2"/>
      <c r="I1446" s="2"/>
      <c r="J1446" s="2"/>
      <c r="K1446" s="2"/>
    </row>
    <row r="1447" spans="5:11" x14ac:dyDescent="0.25">
      <c r="E1447" s="3">
        <f t="shared" ca="1" si="44"/>
        <v>0.62834820655425283</v>
      </c>
      <c r="F1447" s="3">
        <f t="shared" ca="1" si="44"/>
        <v>0.82722465882368523</v>
      </c>
      <c r="G1447" s="3">
        <f t="shared" ca="1" si="45"/>
        <v>9.206023415049625</v>
      </c>
      <c r="H1447" s="2"/>
      <c r="I1447" s="2"/>
      <c r="J1447" s="2"/>
      <c r="K1447" s="2"/>
    </row>
    <row r="1448" spans="5:11" x14ac:dyDescent="0.25">
      <c r="E1448" s="3">
        <f t="shared" ca="1" si="44"/>
        <v>0.53958044414842632</v>
      </c>
      <c r="F1448" s="3">
        <f t="shared" ca="1" si="44"/>
        <v>0.83322005236367513</v>
      </c>
      <c r="G1448" s="3">
        <f t="shared" ca="1" si="45"/>
        <v>9.4667575844884819</v>
      </c>
      <c r="H1448" s="2"/>
      <c r="I1448" s="2"/>
      <c r="J1448" s="2"/>
      <c r="K1448" s="2"/>
    </row>
    <row r="1449" spans="5:11" x14ac:dyDescent="0.25">
      <c r="E1449" s="3">
        <f t="shared" ca="1" si="44"/>
        <v>0.72967853482122347</v>
      </c>
      <c r="F1449" s="3">
        <f t="shared" ca="1" si="44"/>
        <v>0.76992852894383101</v>
      </c>
      <c r="G1449" s="3">
        <f t="shared" ca="1" si="45"/>
        <v>8.2040069027703488</v>
      </c>
      <c r="H1449" s="2"/>
      <c r="I1449" s="2"/>
      <c r="J1449" s="2"/>
      <c r="K1449" s="2"/>
    </row>
    <row r="1450" spans="5:11" x14ac:dyDescent="0.25">
      <c r="E1450" s="3">
        <f t="shared" ca="1" si="44"/>
        <v>0.31502755072593835</v>
      </c>
      <c r="F1450" s="3">
        <f t="shared" ca="1" si="44"/>
        <v>0.89145246248751764</v>
      </c>
      <c r="G1450" s="3">
        <f t="shared" ca="1" si="45"/>
        <v>11.61247859774247</v>
      </c>
      <c r="H1450" s="2"/>
      <c r="I1450" s="2"/>
      <c r="J1450" s="2"/>
      <c r="K1450" s="2"/>
    </row>
    <row r="1451" spans="5:11" x14ac:dyDescent="0.25">
      <c r="E1451" s="3">
        <f t="shared" ca="1" si="44"/>
        <v>1.006763691825785E-2</v>
      </c>
      <c r="F1451" s="3">
        <f t="shared" ca="1" si="44"/>
        <v>4.1714899346751877E-2</v>
      </c>
      <c r="G1451" s="3">
        <f t="shared" ca="1" si="45"/>
        <v>14.477708309243404</v>
      </c>
      <c r="H1451" s="2"/>
      <c r="I1451" s="2"/>
      <c r="J1451" s="2"/>
      <c r="K1451" s="2"/>
    </row>
    <row r="1452" spans="5:11" x14ac:dyDescent="0.25">
      <c r="E1452" s="3">
        <f t="shared" ca="1" si="44"/>
        <v>0.79500647009498882</v>
      </c>
      <c r="F1452" s="3">
        <f t="shared" ca="1" si="44"/>
        <v>0.72148542153556894</v>
      </c>
      <c r="G1452" s="3">
        <f t="shared" ca="1" si="45"/>
        <v>7.6409731996302899</v>
      </c>
      <c r="H1452" s="2"/>
      <c r="I1452" s="2"/>
      <c r="J1452" s="2"/>
      <c r="K1452" s="2"/>
    </row>
    <row r="1453" spans="5:11" x14ac:dyDescent="0.25">
      <c r="E1453" s="3">
        <f t="shared" ca="1" si="44"/>
        <v>0.41757686966896401</v>
      </c>
      <c r="F1453" s="3">
        <f t="shared" ca="1" si="44"/>
        <v>0.9620043659735793</v>
      </c>
      <c r="G1453" s="3">
        <f t="shared" ca="1" si="45"/>
        <v>13.739618961003114</v>
      </c>
      <c r="H1453" s="2"/>
      <c r="I1453" s="2"/>
      <c r="J1453" s="2"/>
      <c r="K1453" s="2"/>
    </row>
    <row r="1454" spans="5:11" x14ac:dyDescent="0.25">
      <c r="E1454" s="3">
        <f t="shared" ca="1" si="44"/>
        <v>0.50434035061744775</v>
      </c>
      <c r="F1454" s="3">
        <f t="shared" ca="1" si="44"/>
        <v>0.19370015342482527</v>
      </c>
      <c r="G1454" s="3">
        <f t="shared" ca="1" si="45"/>
        <v>2.1909918280893743</v>
      </c>
      <c r="H1454" s="2"/>
      <c r="I1454" s="2"/>
      <c r="J1454" s="2"/>
      <c r="K1454" s="2"/>
    </row>
    <row r="1455" spans="5:11" x14ac:dyDescent="0.25">
      <c r="E1455" s="3">
        <f t="shared" ca="1" si="44"/>
        <v>6.9493691050200423E-2</v>
      </c>
      <c r="F1455" s="3">
        <f t="shared" ca="1" si="44"/>
        <v>0.25869623276380183</v>
      </c>
      <c r="G1455" s="3">
        <f t="shared" ca="1" si="45"/>
        <v>9.7167948072194328</v>
      </c>
      <c r="H1455" s="2"/>
      <c r="I1455" s="2"/>
      <c r="J1455" s="2"/>
      <c r="K1455" s="2"/>
    </row>
    <row r="1456" spans="5:11" x14ac:dyDescent="0.25">
      <c r="E1456" s="3">
        <f t="shared" ca="1" si="44"/>
        <v>0.3289882305808346</v>
      </c>
      <c r="F1456" s="3">
        <f t="shared" ca="1" si="44"/>
        <v>0.71909155154492155</v>
      </c>
      <c r="G1456" s="3">
        <f t="shared" ca="1" si="45"/>
        <v>8.6118907602717663</v>
      </c>
      <c r="H1456" s="2"/>
      <c r="I1456" s="2"/>
      <c r="J1456" s="2"/>
      <c r="K1456" s="2"/>
    </row>
    <row r="1457" spans="5:11" x14ac:dyDescent="0.25">
      <c r="E1457" s="3">
        <f t="shared" ca="1" si="44"/>
        <v>0.34579655065205661</v>
      </c>
      <c r="F1457" s="3">
        <f t="shared" ca="1" si="44"/>
        <v>0.35755807330370759</v>
      </c>
      <c r="G1457" s="3">
        <f t="shared" ca="1" si="45"/>
        <v>4.9836647381852508</v>
      </c>
      <c r="H1457" s="2"/>
      <c r="I1457" s="2"/>
      <c r="J1457" s="2"/>
      <c r="K1457" s="2"/>
    </row>
    <row r="1458" spans="5:11" x14ac:dyDescent="0.25">
      <c r="E1458" s="3">
        <f t="shared" ca="1" si="44"/>
        <v>0.57217344919967672</v>
      </c>
      <c r="F1458" s="3">
        <f t="shared" ca="1" si="44"/>
        <v>0.91892129444156923</v>
      </c>
      <c r="G1458" s="3">
        <f t="shared" ca="1" si="45"/>
        <v>11.536263242793606</v>
      </c>
      <c r="H1458" s="2"/>
      <c r="I1458" s="2"/>
      <c r="J1458" s="2"/>
      <c r="K1458" s="2"/>
    </row>
    <row r="1459" spans="5:11" x14ac:dyDescent="0.25">
      <c r="E1459" s="3">
        <f t="shared" ca="1" si="44"/>
        <v>0.58421267514913833</v>
      </c>
      <c r="F1459" s="3">
        <f t="shared" ca="1" si="44"/>
        <v>0.81597565743034717</v>
      </c>
      <c r="G1459" s="3">
        <f t="shared" ca="1" si="45"/>
        <v>9.0475349981349975</v>
      </c>
      <c r="H1459" s="2"/>
      <c r="I1459" s="2"/>
      <c r="J1459" s="2"/>
      <c r="K1459" s="2"/>
    </row>
    <row r="1460" spans="5:11" x14ac:dyDescent="0.25">
      <c r="E1460" s="3">
        <f t="shared" ca="1" si="44"/>
        <v>0.38588212412102141</v>
      </c>
      <c r="F1460" s="3">
        <f t="shared" ca="1" si="44"/>
        <v>2.6875387043062249E-2</v>
      </c>
      <c r="G1460" s="3">
        <f t="shared" ca="1" si="45"/>
        <v>6.3556135664945801</v>
      </c>
      <c r="H1460" s="2"/>
      <c r="I1460" s="2"/>
      <c r="J1460" s="2"/>
      <c r="K1460" s="2"/>
    </row>
    <row r="1461" spans="5:11" x14ac:dyDescent="0.25">
      <c r="E1461" s="3">
        <f t="shared" ca="1" si="44"/>
        <v>0.94260920036416962</v>
      </c>
      <c r="F1461" s="3">
        <f t="shared" ca="1" si="44"/>
        <v>0.99952695610958919</v>
      </c>
      <c r="G1461" s="3">
        <f t="shared" ca="1" si="45"/>
        <v>21.745868838229494</v>
      </c>
      <c r="H1461" s="2"/>
      <c r="I1461" s="2"/>
      <c r="J1461" s="2"/>
      <c r="K1461" s="2"/>
    </row>
    <row r="1462" spans="5:11" x14ac:dyDescent="0.25">
      <c r="E1462" s="3">
        <f t="shared" ca="1" si="44"/>
        <v>0.38928381356695407</v>
      </c>
      <c r="F1462" s="3">
        <f t="shared" ca="1" si="44"/>
        <v>0.39048762680037208</v>
      </c>
      <c r="G1462" s="3">
        <f t="shared" ca="1" si="45"/>
        <v>4.772871639179086</v>
      </c>
      <c r="H1462" s="2"/>
      <c r="I1462" s="2"/>
      <c r="J1462" s="2"/>
      <c r="K1462" s="2"/>
    </row>
    <row r="1463" spans="5:11" x14ac:dyDescent="0.25">
      <c r="E1463" s="3">
        <f t="shared" ca="1" si="44"/>
        <v>0.66642028473450232</v>
      </c>
      <c r="F1463" s="3">
        <f t="shared" ca="1" si="44"/>
        <v>0.46753833534981093</v>
      </c>
      <c r="G1463" s="3">
        <f t="shared" ca="1" si="45"/>
        <v>4.0636860856546351</v>
      </c>
      <c r="H1463" s="2"/>
      <c r="I1463" s="2"/>
      <c r="J1463" s="2"/>
      <c r="K1463" s="2"/>
    </row>
    <row r="1464" spans="5:11" x14ac:dyDescent="0.25">
      <c r="E1464" s="3">
        <f t="shared" ca="1" si="44"/>
        <v>0.24561066844020363</v>
      </c>
      <c r="F1464" s="3">
        <f t="shared" ca="1" si="44"/>
        <v>1.7888985645403421E-3</v>
      </c>
      <c r="G1464" s="3">
        <f t="shared" ca="1" si="45"/>
        <v>11.585076325979282</v>
      </c>
      <c r="H1464" s="2"/>
      <c r="I1464" s="2"/>
      <c r="J1464" s="2"/>
      <c r="K1464" s="2"/>
    </row>
    <row r="1465" spans="5:11" x14ac:dyDescent="0.25">
      <c r="E1465" s="3">
        <f t="shared" ca="1" si="44"/>
        <v>0.80334146494801151</v>
      </c>
      <c r="F1465" s="3">
        <f t="shared" ca="1" si="44"/>
        <v>0.70942514390803313</v>
      </c>
      <c r="G1465" s="3">
        <f t="shared" ca="1" si="45"/>
        <v>7.5075332746893535</v>
      </c>
      <c r="H1465" s="2"/>
      <c r="I1465" s="2"/>
      <c r="J1465" s="2"/>
      <c r="K1465" s="2"/>
    </row>
    <row r="1466" spans="5:11" x14ac:dyDescent="0.25">
      <c r="E1466" s="3">
        <f t="shared" ca="1" si="44"/>
        <v>0.93908584047089116</v>
      </c>
      <c r="F1466" s="3">
        <f t="shared" ca="1" si="44"/>
        <v>0.34488569674954328</v>
      </c>
      <c r="G1466" s="3">
        <f t="shared" ca="1" si="45"/>
        <v>6.0266401343111271</v>
      </c>
      <c r="H1466" s="2"/>
      <c r="I1466" s="2"/>
      <c r="J1466" s="2"/>
      <c r="K1466" s="2"/>
    </row>
    <row r="1467" spans="5:11" x14ac:dyDescent="0.25">
      <c r="E1467" s="3">
        <f t="shared" ca="1" si="44"/>
        <v>0.9284615197352708</v>
      </c>
      <c r="F1467" s="3">
        <f t="shared" ca="1" si="44"/>
        <v>0.90650546761075745</v>
      </c>
      <c r="G1467" s="3">
        <f t="shared" ca="1" si="45"/>
        <v>12.178583521100721</v>
      </c>
      <c r="H1467" s="2"/>
      <c r="I1467" s="2"/>
      <c r="J1467" s="2"/>
      <c r="K1467" s="2"/>
    </row>
    <row r="1468" spans="5:11" x14ac:dyDescent="0.25">
      <c r="E1468" s="3">
        <f t="shared" ca="1" si="44"/>
        <v>5.7426910423883371E-3</v>
      </c>
      <c r="F1468" s="3">
        <f t="shared" ca="1" si="44"/>
        <v>5.4277090560604146E-2</v>
      </c>
      <c r="G1468" s="3">
        <f t="shared" ca="1" si="45"/>
        <v>15.296740508166433</v>
      </c>
      <c r="H1468" s="2"/>
      <c r="I1468" s="2"/>
      <c r="J1468" s="2"/>
      <c r="K1468" s="2"/>
    </row>
    <row r="1469" spans="5:11" x14ac:dyDescent="0.25">
      <c r="E1469" s="3">
        <f t="shared" ca="1" si="44"/>
        <v>0.13222153390211788</v>
      </c>
      <c r="F1469" s="3">
        <f t="shared" ca="1" si="44"/>
        <v>0.72639218373236913</v>
      </c>
      <c r="G1469" s="3">
        <f t="shared" ca="1" si="45"/>
        <v>10.82126704129341</v>
      </c>
      <c r="H1469" s="2"/>
      <c r="I1469" s="2"/>
      <c r="J1469" s="2"/>
      <c r="K1469" s="2"/>
    </row>
    <row r="1470" spans="5:11" x14ac:dyDescent="0.25">
      <c r="E1470" s="3">
        <f t="shared" ca="1" si="44"/>
        <v>0.29729557177290178</v>
      </c>
      <c r="F1470" s="3">
        <f t="shared" ca="1" si="44"/>
        <v>0.33705411052156009</v>
      </c>
      <c r="G1470" s="3">
        <f t="shared" ca="1" si="45"/>
        <v>5.4431367798113763</v>
      </c>
      <c r="H1470" s="2"/>
      <c r="I1470" s="2"/>
      <c r="J1470" s="2"/>
      <c r="K1470" s="2"/>
    </row>
    <row r="1471" spans="5:11" x14ac:dyDescent="0.25">
      <c r="E1471" s="3">
        <f t="shared" ca="1" si="44"/>
        <v>0.99837630723282045</v>
      </c>
      <c r="F1471" s="3">
        <f t="shared" ca="1" si="44"/>
        <v>0.65523046500333126</v>
      </c>
      <c r="G1471" s="3">
        <f t="shared" ca="1" si="45"/>
        <v>14.05277070933422</v>
      </c>
      <c r="H1471" s="2"/>
      <c r="I1471" s="2"/>
      <c r="J1471" s="2"/>
      <c r="K1471" s="2"/>
    </row>
    <row r="1472" spans="5:11" x14ac:dyDescent="0.25">
      <c r="E1472" s="3">
        <f t="shared" ca="1" si="44"/>
        <v>0.44030160180636957</v>
      </c>
      <c r="F1472" s="3">
        <f t="shared" ca="1" si="44"/>
        <v>0.85190247507443706</v>
      </c>
      <c r="G1472" s="3">
        <f t="shared" ca="1" si="45"/>
        <v>10.144211925055195</v>
      </c>
      <c r="H1472" s="2"/>
      <c r="I1472" s="2"/>
      <c r="J1472" s="2"/>
      <c r="K1472" s="2"/>
    </row>
    <row r="1473" spans="5:11" x14ac:dyDescent="0.25">
      <c r="E1473" s="3">
        <f t="shared" ca="1" si="44"/>
        <v>0.32869926158699203</v>
      </c>
      <c r="F1473" s="3">
        <f t="shared" ca="1" si="44"/>
        <v>0.68646011684959141</v>
      </c>
      <c r="G1473" s="3">
        <f t="shared" ca="1" si="45"/>
        <v>8.214118667977802</v>
      </c>
      <c r="H1473" s="2"/>
      <c r="I1473" s="2"/>
      <c r="J1473" s="2"/>
      <c r="K1473" s="2"/>
    </row>
    <row r="1474" spans="5:11" x14ac:dyDescent="0.25">
      <c r="E1474" s="3">
        <f t="shared" ca="1" si="44"/>
        <v>0.70399142130485548</v>
      </c>
      <c r="F1474" s="3">
        <f t="shared" ca="1" si="44"/>
        <v>0.81804470065364365</v>
      </c>
      <c r="G1474" s="3">
        <f t="shared" ca="1" si="45"/>
        <v>9.0203759245345534</v>
      </c>
      <c r="H1474" s="2"/>
      <c r="I1474" s="2"/>
      <c r="J1474" s="2"/>
      <c r="K1474" s="2"/>
    </row>
    <row r="1475" spans="5:11" x14ac:dyDescent="0.25">
      <c r="E1475" s="3">
        <f t="shared" ca="1" si="44"/>
        <v>7.6401824423793951E-2</v>
      </c>
      <c r="F1475" s="3">
        <f t="shared" ca="1" si="44"/>
        <v>0.10524264218725632</v>
      </c>
      <c r="G1475" s="3">
        <f t="shared" ca="1" si="45"/>
        <v>9.5581898978409185</v>
      </c>
      <c r="H1475" s="2"/>
      <c r="I1475" s="2"/>
      <c r="J1475" s="2"/>
      <c r="K1475" s="2"/>
    </row>
    <row r="1476" spans="5:11" x14ac:dyDescent="0.25">
      <c r="E1476" s="3">
        <f t="shared" ref="E1476:F1539" ca="1" si="46">RAND()</f>
        <v>0.51459347971773017</v>
      </c>
      <c r="F1476" s="3">
        <f t="shared" ca="1" si="46"/>
        <v>0.23653574759514207</v>
      </c>
      <c r="G1476" s="3">
        <f t="shared" ref="G1476:G1539" ca="1" si="47">SQRT(_xlfn.NORM.INV(E1476,$C$3*COS($C$6),$C$4)^2+_xlfn.NORM.INV(F1476,$C$3*SIN($C$6),$C$4)^2)</f>
        <v>2.2387181109904772</v>
      </c>
      <c r="H1476" s="2"/>
      <c r="I1476" s="2"/>
      <c r="J1476" s="2"/>
      <c r="K1476" s="2"/>
    </row>
    <row r="1477" spans="5:11" x14ac:dyDescent="0.25">
      <c r="E1477" s="3">
        <f t="shared" ca="1" si="46"/>
        <v>0.8938566221894364</v>
      </c>
      <c r="F1477" s="3">
        <f t="shared" ca="1" si="46"/>
        <v>0.80986702253684206</v>
      </c>
      <c r="G1477" s="3">
        <f t="shared" ca="1" si="47"/>
        <v>9.7167829547041293</v>
      </c>
      <c r="H1477" s="2"/>
      <c r="I1477" s="2"/>
      <c r="J1477" s="2"/>
      <c r="K1477" s="2"/>
    </row>
    <row r="1478" spans="5:11" x14ac:dyDescent="0.25">
      <c r="E1478" s="3">
        <f t="shared" ca="1" si="46"/>
        <v>0.19719826484285119</v>
      </c>
      <c r="F1478" s="3">
        <f t="shared" ca="1" si="46"/>
        <v>8.8570555805809636E-2</v>
      </c>
      <c r="G1478" s="3">
        <f t="shared" ca="1" si="47"/>
        <v>6.886436819309103</v>
      </c>
      <c r="H1478" s="2"/>
      <c r="I1478" s="2"/>
      <c r="J1478" s="2"/>
      <c r="K1478" s="2"/>
    </row>
    <row r="1479" spans="5:11" x14ac:dyDescent="0.25">
      <c r="E1479" s="3">
        <f t="shared" ca="1" si="46"/>
        <v>0.23991376477332838</v>
      </c>
      <c r="F1479" s="3">
        <f t="shared" ca="1" si="46"/>
        <v>0.61249469487745156</v>
      </c>
      <c r="G1479" s="3">
        <f t="shared" ca="1" si="47"/>
        <v>8.2541033324607458</v>
      </c>
      <c r="H1479" s="2"/>
      <c r="I1479" s="2"/>
      <c r="J1479" s="2"/>
      <c r="K1479" s="2"/>
    </row>
    <row r="1480" spans="5:11" x14ac:dyDescent="0.25">
      <c r="E1480" s="3">
        <f t="shared" ca="1" si="46"/>
        <v>0.73735665866902411</v>
      </c>
      <c r="F1480" s="3">
        <f t="shared" ca="1" si="46"/>
        <v>0.22759783671282385</v>
      </c>
      <c r="G1480" s="3">
        <f t="shared" ca="1" si="47"/>
        <v>1.1905374377353717</v>
      </c>
      <c r="H1480" s="2"/>
      <c r="I1480" s="2"/>
      <c r="J1480" s="2"/>
      <c r="K1480" s="2"/>
    </row>
    <row r="1481" spans="5:11" x14ac:dyDescent="0.25">
      <c r="E1481" s="3">
        <f t="shared" ca="1" si="46"/>
        <v>0.38161391217856711</v>
      </c>
      <c r="F1481" s="3">
        <f t="shared" ca="1" si="46"/>
        <v>0.82132885036675263</v>
      </c>
      <c r="G1481" s="3">
        <f t="shared" ca="1" si="47"/>
        <v>9.8153737799452738</v>
      </c>
      <c r="H1481" s="2"/>
      <c r="I1481" s="2"/>
      <c r="J1481" s="2"/>
      <c r="K1481" s="2"/>
    </row>
    <row r="1482" spans="5:11" x14ac:dyDescent="0.25">
      <c r="E1482" s="3">
        <f t="shared" ca="1" si="46"/>
        <v>9.2826914503077451E-2</v>
      </c>
      <c r="F1482" s="3">
        <f t="shared" ca="1" si="46"/>
        <v>0.36828278186865249</v>
      </c>
      <c r="G1482" s="3">
        <f t="shared" ca="1" si="47"/>
        <v>9.2864754928639073</v>
      </c>
      <c r="H1482" s="2"/>
      <c r="I1482" s="2"/>
      <c r="J1482" s="2"/>
      <c r="K1482" s="2"/>
    </row>
    <row r="1483" spans="5:11" x14ac:dyDescent="0.25">
      <c r="E1483" s="3">
        <f t="shared" ca="1" si="46"/>
        <v>0.53725541899418672</v>
      </c>
      <c r="F1483" s="3">
        <f t="shared" ca="1" si="46"/>
        <v>0.99480515779736089</v>
      </c>
      <c r="G1483" s="3">
        <f t="shared" ca="1" si="47"/>
        <v>17.373577585452583</v>
      </c>
      <c r="H1483" s="2"/>
      <c r="I1483" s="2"/>
      <c r="J1483" s="2"/>
      <c r="K1483" s="2"/>
    </row>
    <row r="1484" spans="5:11" x14ac:dyDescent="0.25">
      <c r="E1484" s="3">
        <f t="shared" ca="1" si="46"/>
        <v>0.26937436580337826</v>
      </c>
      <c r="F1484" s="3">
        <f t="shared" ca="1" si="46"/>
        <v>0.36864571353219777</v>
      </c>
      <c r="G1484" s="3">
        <f t="shared" ca="1" si="47"/>
        <v>6.0030908010857935</v>
      </c>
      <c r="H1484" s="2"/>
      <c r="I1484" s="2"/>
      <c r="J1484" s="2"/>
      <c r="K1484" s="2"/>
    </row>
    <row r="1485" spans="5:11" x14ac:dyDescent="0.25">
      <c r="E1485" s="3">
        <f t="shared" ca="1" si="46"/>
        <v>0.23546166253645029</v>
      </c>
      <c r="F1485" s="3">
        <f t="shared" ca="1" si="46"/>
        <v>0.66598503774319673</v>
      </c>
      <c r="G1485" s="3">
        <f t="shared" ca="1" si="47"/>
        <v>8.8269656351612564</v>
      </c>
      <c r="H1485" s="2"/>
      <c r="I1485" s="2"/>
      <c r="J1485" s="2"/>
      <c r="K1485" s="2"/>
    </row>
    <row r="1486" spans="5:11" x14ac:dyDescent="0.25">
      <c r="E1486" s="3">
        <f t="shared" ca="1" si="46"/>
        <v>0.58297100380108313</v>
      </c>
      <c r="F1486" s="3">
        <f t="shared" ca="1" si="46"/>
        <v>0.57909938610578271</v>
      </c>
      <c r="G1486" s="3">
        <f t="shared" ca="1" si="47"/>
        <v>5.5965374474686662</v>
      </c>
      <c r="H1486" s="2"/>
      <c r="I1486" s="2"/>
      <c r="J1486" s="2"/>
      <c r="K1486" s="2"/>
    </row>
    <row r="1487" spans="5:11" x14ac:dyDescent="0.25">
      <c r="E1487" s="3">
        <f t="shared" ca="1" si="46"/>
        <v>0.73744499996239465</v>
      </c>
      <c r="F1487" s="3">
        <f t="shared" ca="1" si="46"/>
        <v>0.2890877681392916</v>
      </c>
      <c r="G1487" s="3">
        <f t="shared" ca="1" si="47"/>
        <v>1.9321690074569171</v>
      </c>
      <c r="H1487" s="2"/>
      <c r="I1487" s="2"/>
      <c r="J1487" s="2"/>
      <c r="K1487" s="2"/>
    </row>
    <row r="1488" spans="5:11" x14ac:dyDescent="0.25">
      <c r="E1488" s="3">
        <f t="shared" ca="1" si="46"/>
        <v>0.28266029541770976</v>
      </c>
      <c r="F1488" s="3">
        <f t="shared" ca="1" si="46"/>
        <v>0.24203574963526908</v>
      </c>
      <c r="G1488" s="3">
        <f t="shared" ca="1" si="47"/>
        <v>5.206523159497956</v>
      </c>
      <c r="H1488" s="2"/>
      <c r="I1488" s="2"/>
      <c r="J1488" s="2"/>
      <c r="K1488" s="2"/>
    </row>
    <row r="1489" spans="5:11" x14ac:dyDescent="0.25">
      <c r="E1489" s="3">
        <f t="shared" ca="1" si="46"/>
        <v>0.13184870158768403</v>
      </c>
      <c r="F1489" s="3">
        <f t="shared" ca="1" si="46"/>
        <v>0.50756885578222066</v>
      </c>
      <c r="G1489" s="3">
        <f t="shared" ca="1" si="47"/>
        <v>9.0624843037495655</v>
      </c>
      <c r="H1489" s="2"/>
      <c r="I1489" s="2"/>
      <c r="J1489" s="2"/>
      <c r="K1489" s="2"/>
    </row>
    <row r="1490" spans="5:11" x14ac:dyDescent="0.25">
      <c r="E1490" s="3">
        <f t="shared" ca="1" si="46"/>
        <v>0.87497513047723641</v>
      </c>
      <c r="F1490" s="3">
        <f t="shared" ca="1" si="46"/>
        <v>0.65412342127197431</v>
      </c>
      <c r="G1490" s="3">
        <f t="shared" ca="1" si="47"/>
        <v>7.3456516328224017</v>
      </c>
      <c r="H1490" s="2"/>
      <c r="I1490" s="2"/>
      <c r="J1490" s="2"/>
      <c r="K1490" s="2"/>
    </row>
    <row r="1491" spans="5:11" x14ac:dyDescent="0.25">
      <c r="E1491" s="3">
        <f t="shared" ca="1" si="46"/>
        <v>0.38581846263511821</v>
      </c>
      <c r="F1491" s="3">
        <f t="shared" ca="1" si="46"/>
        <v>0.82441282712839692</v>
      </c>
      <c r="G1491" s="3">
        <f t="shared" ca="1" si="47"/>
        <v>9.8495036111019285</v>
      </c>
      <c r="H1491" s="2"/>
      <c r="I1491" s="2"/>
      <c r="J1491" s="2"/>
      <c r="K1491" s="2"/>
    </row>
    <row r="1492" spans="5:11" x14ac:dyDescent="0.25">
      <c r="E1492" s="3">
        <f t="shared" ca="1" si="46"/>
        <v>0.85006552400131929</v>
      </c>
      <c r="F1492" s="3">
        <f t="shared" ca="1" si="46"/>
        <v>9.8955665535662263E-2</v>
      </c>
      <c r="G1492" s="3">
        <f t="shared" ca="1" si="47"/>
        <v>3.5403483623793788</v>
      </c>
      <c r="H1492" s="2"/>
      <c r="I1492" s="2"/>
      <c r="J1492" s="2"/>
      <c r="K1492" s="2"/>
    </row>
    <row r="1493" spans="5:11" x14ac:dyDescent="0.25">
      <c r="E1493" s="3">
        <f t="shared" ca="1" si="46"/>
        <v>0.90363566581793686</v>
      </c>
      <c r="F1493" s="3">
        <f t="shared" ca="1" si="46"/>
        <v>0.51965583479886646</v>
      </c>
      <c r="G1493" s="3">
        <f t="shared" ca="1" si="47"/>
        <v>6.3638002187022096</v>
      </c>
      <c r="H1493" s="2"/>
      <c r="I1493" s="2"/>
      <c r="J1493" s="2"/>
      <c r="K1493" s="2"/>
    </row>
    <row r="1494" spans="5:11" x14ac:dyDescent="0.25">
      <c r="E1494" s="3">
        <f t="shared" ca="1" si="46"/>
        <v>0.62610189100204461</v>
      </c>
      <c r="F1494" s="3">
        <f t="shared" ca="1" si="46"/>
        <v>0.58171745726551161</v>
      </c>
      <c r="G1494" s="3">
        <f t="shared" ca="1" si="47"/>
        <v>5.5376842442335779</v>
      </c>
      <c r="H1494" s="2"/>
      <c r="I1494" s="2"/>
      <c r="J1494" s="2"/>
      <c r="K1494" s="2"/>
    </row>
    <row r="1495" spans="5:11" x14ac:dyDescent="0.25">
      <c r="E1495" s="3">
        <f t="shared" ca="1" si="46"/>
        <v>0.14351694815639615</v>
      </c>
      <c r="F1495" s="3">
        <f t="shared" ca="1" si="46"/>
        <v>0.67040499187736058</v>
      </c>
      <c r="G1495" s="3">
        <f t="shared" ca="1" si="47"/>
        <v>10.087909324477977</v>
      </c>
      <c r="H1495" s="2"/>
      <c r="I1495" s="2"/>
      <c r="J1495" s="2"/>
      <c r="K1495" s="2"/>
    </row>
    <row r="1496" spans="5:11" x14ac:dyDescent="0.25">
      <c r="E1496" s="3">
        <f t="shared" ca="1" si="46"/>
        <v>0.56946244066378615</v>
      </c>
      <c r="F1496" s="3">
        <f t="shared" ca="1" si="46"/>
        <v>0.39833585430293872</v>
      </c>
      <c r="G1496" s="3">
        <f t="shared" ca="1" si="47"/>
        <v>3.4622765303040826</v>
      </c>
      <c r="H1496" s="2"/>
      <c r="I1496" s="2"/>
      <c r="J1496" s="2"/>
      <c r="K1496" s="2"/>
    </row>
    <row r="1497" spans="5:11" x14ac:dyDescent="0.25">
      <c r="E1497" s="3">
        <f t="shared" ca="1" si="46"/>
        <v>0.17394261223773433</v>
      </c>
      <c r="F1497" s="3">
        <f t="shared" ca="1" si="46"/>
        <v>0.54326653495882482</v>
      </c>
      <c r="G1497" s="3">
        <f t="shared" ca="1" si="47"/>
        <v>8.5563899592654824</v>
      </c>
      <c r="H1497" s="2"/>
      <c r="I1497" s="2"/>
      <c r="J1497" s="2"/>
      <c r="K1497" s="2"/>
    </row>
    <row r="1498" spans="5:11" x14ac:dyDescent="0.25">
      <c r="E1498" s="3">
        <f t="shared" ca="1" si="46"/>
        <v>0.75050573456088809</v>
      </c>
      <c r="F1498" s="3">
        <f t="shared" ca="1" si="46"/>
        <v>0.38110625966258338</v>
      </c>
      <c r="G1498" s="3">
        <f t="shared" ca="1" si="47"/>
        <v>3.1692487526784299</v>
      </c>
      <c r="H1498" s="2"/>
      <c r="I1498" s="2"/>
      <c r="J1498" s="2"/>
      <c r="K1498" s="2"/>
    </row>
    <row r="1499" spans="5:11" x14ac:dyDescent="0.25">
      <c r="E1499" s="3">
        <f t="shared" ca="1" si="46"/>
        <v>0.93722809726906908</v>
      </c>
      <c r="F1499" s="3">
        <f t="shared" ca="1" si="46"/>
        <v>0.7339583076594467</v>
      </c>
      <c r="G1499" s="3">
        <f t="shared" ca="1" si="47"/>
        <v>9.329442195253149</v>
      </c>
      <c r="H1499" s="2"/>
      <c r="I1499" s="2"/>
      <c r="J1499" s="2"/>
      <c r="K1499" s="2"/>
    </row>
    <row r="1500" spans="5:11" x14ac:dyDescent="0.25">
      <c r="E1500" s="3">
        <f t="shared" ca="1" si="46"/>
        <v>5.1353856238555151E-2</v>
      </c>
      <c r="F1500" s="3">
        <f t="shared" ca="1" si="46"/>
        <v>0.94541184593091876</v>
      </c>
      <c r="G1500" s="3">
        <f t="shared" ca="1" si="47"/>
        <v>16.244753797072864</v>
      </c>
      <c r="H1500" s="2"/>
      <c r="I1500" s="2"/>
      <c r="J1500" s="2"/>
      <c r="K1500" s="2"/>
    </row>
    <row r="1501" spans="5:11" x14ac:dyDescent="0.25">
      <c r="E1501" s="3">
        <f t="shared" ca="1" si="46"/>
        <v>0.1719160245662561</v>
      </c>
      <c r="F1501" s="3">
        <f t="shared" ca="1" si="46"/>
        <v>0.92790666914397457</v>
      </c>
      <c r="G1501" s="3">
        <f t="shared" ca="1" si="47"/>
        <v>13.682328823071089</v>
      </c>
      <c r="H1501" s="2"/>
      <c r="I1501" s="2"/>
      <c r="J1501" s="2"/>
      <c r="K1501" s="2"/>
    </row>
    <row r="1502" spans="5:11" x14ac:dyDescent="0.25">
      <c r="E1502" s="3">
        <f t="shared" ca="1" si="46"/>
        <v>0.84108928231674918</v>
      </c>
      <c r="F1502" s="3">
        <f t="shared" ca="1" si="46"/>
        <v>0.75912264181795919</v>
      </c>
      <c r="G1502" s="3">
        <f t="shared" ca="1" si="47"/>
        <v>8.4489655365629659</v>
      </c>
      <c r="H1502" s="2"/>
      <c r="I1502" s="2"/>
      <c r="J1502" s="2"/>
      <c r="K1502" s="2"/>
    </row>
    <row r="1503" spans="5:11" x14ac:dyDescent="0.25">
      <c r="E1503" s="3">
        <f t="shared" ca="1" si="46"/>
        <v>0.77667978629232226</v>
      </c>
      <c r="F1503" s="3">
        <f t="shared" ca="1" si="46"/>
        <v>0.68632426835542837</v>
      </c>
      <c r="G1503" s="3">
        <f t="shared" ca="1" si="47"/>
        <v>7.0725449172827748</v>
      </c>
      <c r="H1503" s="2"/>
      <c r="I1503" s="2"/>
      <c r="J1503" s="2"/>
      <c r="K1503" s="2"/>
    </row>
    <row r="1504" spans="5:11" x14ac:dyDescent="0.25">
      <c r="E1504" s="3">
        <f t="shared" ca="1" si="46"/>
        <v>0.68438551589555918</v>
      </c>
      <c r="F1504" s="3">
        <f t="shared" ca="1" si="46"/>
        <v>0.40661201723411378</v>
      </c>
      <c r="G1504" s="3">
        <f t="shared" ca="1" si="47"/>
        <v>3.2925104077919043</v>
      </c>
      <c r="H1504" s="2"/>
      <c r="I1504" s="2"/>
      <c r="J1504" s="2"/>
      <c r="K1504" s="2"/>
    </row>
    <row r="1505" spans="5:11" x14ac:dyDescent="0.25">
      <c r="E1505" s="3">
        <f t="shared" ca="1" si="46"/>
        <v>0.79354747639247447</v>
      </c>
      <c r="F1505" s="3">
        <f t="shared" ca="1" si="46"/>
        <v>0.92313641377308298</v>
      </c>
      <c r="G1505" s="3">
        <f t="shared" ca="1" si="47"/>
        <v>11.749560611977927</v>
      </c>
      <c r="H1505" s="2"/>
      <c r="I1505" s="2"/>
      <c r="J1505" s="2"/>
      <c r="K1505" s="2"/>
    </row>
    <row r="1506" spans="5:11" x14ac:dyDescent="0.25">
      <c r="E1506" s="3">
        <f t="shared" ca="1" si="46"/>
        <v>0.48424098323558573</v>
      </c>
      <c r="F1506" s="3">
        <f t="shared" ca="1" si="46"/>
        <v>0.95318690745170032</v>
      </c>
      <c r="G1506" s="3">
        <f t="shared" ca="1" si="47"/>
        <v>13.082014182310582</v>
      </c>
      <c r="H1506" s="2"/>
      <c r="I1506" s="2"/>
      <c r="J1506" s="2"/>
      <c r="K1506" s="2"/>
    </row>
    <row r="1507" spans="5:11" x14ac:dyDescent="0.25">
      <c r="E1507" s="3">
        <f t="shared" ca="1" si="46"/>
        <v>0.31815721557964205</v>
      </c>
      <c r="F1507" s="3">
        <f t="shared" ca="1" si="46"/>
        <v>0.44039646800390697</v>
      </c>
      <c r="G1507" s="3">
        <f t="shared" ca="1" si="47"/>
        <v>5.9196698528087293</v>
      </c>
      <c r="H1507" s="2"/>
      <c r="I1507" s="2"/>
      <c r="J1507" s="2"/>
      <c r="K1507" s="2"/>
    </row>
    <row r="1508" spans="5:11" x14ac:dyDescent="0.25">
      <c r="E1508" s="3">
        <f t="shared" ca="1" si="46"/>
        <v>1.1919947351393345E-2</v>
      </c>
      <c r="F1508" s="3">
        <f t="shared" ca="1" si="46"/>
        <v>0.35337428321767295</v>
      </c>
      <c r="G1508" s="3">
        <f t="shared" ca="1" si="47"/>
        <v>13.784159717593926</v>
      </c>
      <c r="H1508" s="2"/>
      <c r="I1508" s="2"/>
      <c r="J1508" s="2"/>
      <c r="K1508" s="2"/>
    </row>
    <row r="1509" spans="5:11" x14ac:dyDescent="0.25">
      <c r="E1509" s="3">
        <f t="shared" ca="1" si="46"/>
        <v>0.57312249396885351</v>
      </c>
      <c r="F1509" s="3">
        <f t="shared" ca="1" si="46"/>
        <v>0.72156427559199343</v>
      </c>
      <c r="G1509" s="3">
        <f t="shared" ca="1" si="47"/>
        <v>7.5239250246621241</v>
      </c>
      <c r="H1509" s="2"/>
      <c r="I1509" s="2"/>
      <c r="J1509" s="2"/>
      <c r="K1509" s="2"/>
    </row>
    <row r="1510" spans="5:11" x14ac:dyDescent="0.25">
      <c r="E1510" s="3">
        <f t="shared" ca="1" si="46"/>
        <v>0.41573309038355599</v>
      </c>
      <c r="F1510" s="3">
        <f t="shared" ca="1" si="46"/>
        <v>0.87469425884904406</v>
      </c>
      <c r="G1510" s="3">
        <f t="shared" ca="1" si="47"/>
        <v>10.735534256419392</v>
      </c>
      <c r="H1510" s="2"/>
      <c r="I1510" s="2"/>
      <c r="J1510" s="2"/>
      <c r="K1510" s="2"/>
    </row>
    <row r="1511" spans="5:11" x14ac:dyDescent="0.25">
      <c r="E1511" s="3">
        <f t="shared" ca="1" si="46"/>
        <v>0.33713704619604146</v>
      </c>
      <c r="F1511" s="3">
        <f t="shared" ca="1" si="46"/>
        <v>0.7854587650939967</v>
      </c>
      <c r="G1511" s="3">
        <f t="shared" ca="1" si="47"/>
        <v>9.4769040367081132</v>
      </c>
      <c r="H1511" s="2"/>
      <c r="I1511" s="2"/>
      <c r="J1511" s="2"/>
      <c r="K1511" s="2"/>
    </row>
    <row r="1512" spans="5:11" x14ac:dyDescent="0.25">
      <c r="E1512" s="3">
        <f t="shared" ca="1" si="46"/>
        <v>0.26828786967187446</v>
      </c>
      <c r="F1512" s="3">
        <f t="shared" ca="1" si="46"/>
        <v>0.95953799884005431</v>
      </c>
      <c r="G1512" s="3">
        <f t="shared" ca="1" si="47"/>
        <v>14.232586983432963</v>
      </c>
      <c r="H1512" s="2"/>
      <c r="I1512" s="2"/>
      <c r="J1512" s="2"/>
      <c r="K1512" s="2"/>
    </row>
    <row r="1513" spans="5:11" x14ac:dyDescent="0.25">
      <c r="E1513" s="3">
        <f t="shared" ca="1" si="46"/>
        <v>0.9771983128159647</v>
      </c>
      <c r="F1513" s="3">
        <f t="shared" ca="1" si="46"/>
        <v>7.5772682911319E-2</v>
      </c>
      <c r="G1513" s="3">
        <f t="shared" ca="1" si="47"/>
        <v>8.2116088918763097</v>
      </c>
      <c r="H1513" s="2"/>
      <c r="I1513" s="2"/>
      <c r="J1513" s="2"/>
      <c r="K1513" s="2"/>
    </row>
    <row r="1514" spans="5:11" x14ac:dyDescent="0.25">
      <c r="E1514" s="3">
        <f t="shared" ca="1" si="46"/>
        <v>0.43646667615240187</v>
      </c>
      <c r="F1514" s="3">
        <f t="shared" ca="1" si="46"/>
        <v>0.1270001647113923</v>
      </c>
      <c r="G1514" s="3">
        <f t="shared" ca="1" si="47"/>
        <v>3.2807346151728396</v>
      </c>
      <c r="H1514" s="2"/>
      <c r="I1514" s="2"/>
      <c r="J1514" s="2"/>
      <c r="K1514" s="2"/>
    </row>
    <row r="1515" spans="5:11" x14ac:dyDescent="0.25">
      <c r="E1515" s="3">
        <f t="shared" ca="1" si="46"/>
        <v>1.203252342186989E-3</v>
      </c>
      <c r="F1515" s="3">
        <f t="shared" ca="1" si="46"/>
        <v>0.83649719159775449</v>
      </c>
      <c r="G1515" s="3">
        <f t="shared" ca="1" si="47"/>
        <v>19.775789676149046</v>
      </c>
      <c r="H1515" s="2"/>
      <c r="I1515" s="2"/>
      <c r="J1515" s="2"/>
      <c r="K1515" s="2"/>
    </row>
    <row r="1516" spans="5:11" x14ac:dyDescent="0.25">
      <c r="E1516" s="3">
        <f t="shared" ca="1" si="46"/>
        <v>0.41185499539284698</v>
      </c>
      <c r="F1516" s="3">
        <f t="shared" ca="1" si="46"/>
        <v>0.23500366233040837</v>
      </c>
      <c r="G1516" s="3">
        <f t="shared" ca="1" si="47"/>
        <v>3.4621573495027635</v>
      </c>
      <c r="H1516" s="2"/>
      <c r="I1516" s="2"/>
      <c r="J1516" s="2"/>
      <c r="K1516" s="2"/>
    </row>
    <row r="1517" spans="5:11" x14ac:dyDescent="0.25">
      <c r="E1517" s="3">
        <f t="shared" ca="1" si="46"/>
        <v>6.0887097384860756E-2</v>
      </c>
      <c r="F1517" s="3">
        <f t="shared" ca="1" si="46"/>
        <v>0.37017084803332168</v>
      </c>
      <c r="G1517" s="3">
        <f t="shared" ca="1" si="47"/>
        <v>10.366179206842068</v>
      </c>
      <c r="H1517" s="2"/>
      <c r="I1517" s="2"/>
      <c r="J1517" s="2"/>
      <c r="K1517" s="2"/>
    </row>
    <row r="1518" spans="5:11" x14ac:dyDescent="0.25">
      <c r="E1518" s="3">
        <f t="shared" ca="1" si="46"/>
        <v>0.73671293554476835</v>
      </c>
      <c r="F1518" s="3">
        <f t="shared" ca="1" si="46"/>
        <v>0.51391482144036271</v>
      </c>
      <c r="G1518" s="3">
        <f t="shared" ca="1" si="47"/>
        <v>4.7357994284680744</v>
      </c>
      <c r="H1518" s="2"/>
      <c r="I1518" s="2"/>
      <c r="J1518" s="2"/>
      <c r="K1518" s="2"/>
    </row>
    <row r="1519" spans="5:11" x14ac:dyDescent="0.25">
      <c r="E1519" s="3">
        <f t="shared" ca="1" si="46"/>
        <v>0.40965979706208477</v>
      </c>
      <c r="F1519" s="3">
        <f t="shared" ca="1" si="46"/>
        <v>0.17850896551888795</v>
      </c>
      <c r="G1519" s="3">
        <f t="shared" ca="1" si="47"/>
        <v>3.3851750944115566</v>
      </c>
      <c r="H1519" s="2"/>
      <c r="I1519" s="2"/>
      <c r="J1519" s="2"/>
      <c r="K1519" s="2"/>
    </row>
    <row r="1520" spans="5:11" x14ac:dyDescent="0.25">
      <c r="E1520" s="3">
        <f t="shared" ca="1" si="46"/>
        <v>0.25056776305034545</v>
      </c>
      <c r="F1520" s="3">
        <f t="shared" ca="1" si="46"/>
        <v>0.17796528156061975</v>
      </c>
      <c r="G1520" s="3">
        <f t="shared" ca="1" si="47"/>
        <v>5.605783956119132</v>
      </c>
      <c r="H1520" s="2"/>
      <c r="I1520" s="2"/>
      <c r="J1520" s="2"/>
      <c r="K1520" s="2"/>
    </row>
    <row r="1521" spans="5:11" x14ac:dyDescent="0.25">
      <c r="E1521" s="3">
        <f t="shared" ca="1" si="46"/>
        <v>4.6811790502444439E-2</v>
      </c>
      <c r="F1521" s="3">
        <f t="shared" ca="1" si="46"/>
        <v>0.63141508587982431</v>
      </c>
      <c r="G1521" s="3">
        <f t="shared" ca="1" si="47"/>
        <v>12.274050613835085</v>
      </c>
      <c r="H1521" s="2"/>
      <c r="I1521" s="2"/>
      <c r="J1521" s="2"/>
      <c r="K1521" s="2"/>
    </row>
    <row r="1522" spans="5:11" x14ac:dyDescent="0.25">
      <c r="E1522" s="3">
        <f t="shared" ca="1" si="46"/>
        <v>0.55449146592765819</v>
      </c>
      <c r="F1522" s="3">
        <f t="shared" ca="1" si="46"/>
        <v>6.749915538529272E-2</v>
      </c>
      <c r="G1522" s="3">
        <f t="shared" ca="1" si="47"/>
        <v>3.3822142246680449</v>
      </c>
      <c r="H1522" s="2"/>
      <c r="I1522" s="2"/>
      <c r="J1522" s="2"/>
      <c r="K1522" s="2"/>
    </row>
    <row r="1523" spans="5:11" x14ac:dyDescent="0.25">
      <c r="E1523" s="3">
        <f t="shared" ca="1" si="46"/>
        <v>0.27509686489318685</v>
      </c>
      <c r="F1523" s="3">
        <f t="shared" ca="1" si="46"/>
        <v>0.60625344950811921</v>
      </c>
      <c r="G1523" s="3">
        <f t="shared" ca="1" si="47"/>
        <v>7.8215126713084064</v>
      </c>
      <c r="H1523" s="2"/>
      <c r="I1523" s="2"/>
      <c r="J1523" s="2"/>
      <c r="K1523" s="2"/>
    </row>
    <row r="1524" spans="5:11" x14ac:dyDescent="0.25">
      <c r="E1524" s="3">
        <f t="shared" ca="1" si="46"/>
        <v>0.77587641270452778</v>
      </c>
      <c r="F1524" s="3">
        <f t="shared" ca="1" si="46"/>
        <v>0.7003064235861477</v>
      </c>
      <c r="G1524" s="3">
        <f t="shared" ca="1" si="47"/>
        <v>7.2639822429458967</v>
      </c>
      <c r="H1524" s="2"/>
      <c r="I1524" s="2"/>
      <c r="J1524" s="2"/>
      <c r="K1524" s="2"/>
    </row>
    <row r="1525" spans="5:11" x14ac:dyDescent="0.25">
      <c r="E1525" s="3">
        <f t="shared" ca="1" si="46"/>
        <v>0.95299568184004546</v>
      </c>
      <c r="F1525" s="3">
        <f t="shared" ca="1" si="46"/>
        <v>0.44242904387679638</v>
      </c>
      <c r="G1525" s="3">
        <f t="shared" ca="1" si="47"/>
        <v>7.1862604679252886</v>
      </c>
      <c r="H1525" s="2"/>
      <c r="I1525" s="2"/>
      <c r="J1525" s="2"/>
      <c r="K1525" s="2"/>
    </row>
    <row r="1526" spans="5:11" x14ac:dyDescent="0.25">
      <c r="E1526" s="3">
        <f t="shared" ca="1" si="46"/>
        <v>0.25766223359342733</v>
      </c>
      <c r="F1526" s="3">
        <f t="shared" ca="1" si="46"/>
        <v>0.27728640307724539</v>
      </c>
      <c r="G1526" s="3">
        <f t="shared" ca="1" si="47"/>
        <v>5.6984008985740076</v>
      </c>
      <c r="H1526" s="2"/>
      <c r="I1526" s="2"/>
      <c r="J1526" s="2"/>
      <c r="K1526" s="2"/>
    </row>
    <row r="1527" spans="5:11" x14ac:dyDescent="0.25">
      <c r="E1527" s="3">
        <f t="shared" ca="1" si="46"/>
        <v>0.30198195892304736</v>
      </c>
      <c r="F1527" s="3">
        <f t="shared" ca="1" si="46"/>
        <v>0.37233131024052701</v>
      </c>
      <c r="G1527" s="3">
        <f t="shared" ca="1" si="47"/>
        <v>5.6072408909956879</v>
      </c>
      <c r="H1527" s="2"/>
      <c r="I1527" s="2"/>
      <c r="J1527" s="2"/>
      <c r="K1527" s="2"/>
    </row>
    <row r="1528" spans="5:11" x14ac:dyDescent="0.25">
      <c r="E1528" s="3">
        <f t="shared" ca="1" si="46"/>
        <v>0.30310064751851273</v>
      </c>
      <c r="F1528" s="3">
        <f t="shared" ca="1" si="46"/>
        <v>0.671559778949122</v>
      </c>
      <c r="G1528" s="3">
        <f t="shared" ca="1" si="47"/>
        <v>8.2451742689940097</v>
      </c>
      <c r="H1528" s="2"/>
      <c r="I1528" s="2"/>
      <c r="J1528" s="2"/>
      <c r="K1528" s="2"/>
    </row>
    <row r="1529" spans="5:11" x14ac:dyDescent="0.25">
      <c r="E1529" s="3">
        <f t="shared" ca="1" si="46"/>
        <v>0.95214597504773546</v>
      </c>
      <c r="F1529" s="3">
        <f t="shared" ca="1" si="46"/>
        <v>0.34807776882546337</v>
      </c>
      <c r="G1529" s="3">
        <f t="shared" ca="1" si="47"/>
        <v>6.5895822330725426</v>
      </c>
      <c r="H1529" s="2"/>
      <c r="I1529" s="2"/>
      <c r="J1529" s="2"/>
      <c r="K1529" s="2"/>
    </row>
    <row r="1530" spans="5:11" x14ac:dyDescent="0.25">
      <c r="E1530" s="3">
        <f t="shared" ca="1" si="46"/>
        <v>0.45623327482195075</v>
      </c>
      <c r="F1530" s="3">
        <f t="shared" ca="1" si="46"/>
        <v>0.71447170041344188</v>
      </c>
      <c r="G1530" s="3">
        <f t="shared" ca="1" si="47"/>
        <v>7.8172961199457456</v>
      </c>
      <c r="H1530" s="2"/>
      <c r="I1530" s="2"/>
      <c r="J1530" s="2"/>
      <c r="K1530" s="2"/>
    </row>
    <row r="1531" spans="5:11" x14ac:dyDescent="0.25">
      <c r="E1531" s="3">
        <f t="shared" ca="1" si="46"/>
        <v>0.22597976078157156</v>
      </c>
      <c r="F1531" s="3">
        <f t="shared" ca="1" si="46"/>
        <v>0.25897634217605492</v>
      </c>
      <c r="G1531" s="3">
        <f t="shared" ca="1" si="47"/>
        <v>6.1273861399263279</v>
      </c>
      <c r="H1531" s="2"/>
      <c r="I1531" s="2"/>
      <c r="J1531" s="2"/>
      <c r="K1531" s="2"/>
    </row>
    <row r="1532" spans="5:11" x14ac:dyDescent="0.25">
      <c r="E1532" s="3">
        <f t="shared" ca="1" si="46"/>
        <v>0.46093794639978392</v>
      </c>
      <c r="F1532" s="3">
        <f t="shared" ca="1" si="46"/>
        <v>0.75777312852298828</v>
      </c>
      <c r="G1532" s="3">
        <f t="shared" ca="1" si="47"/>
        <v>8.4208275579917764</v>
      </c>
      <c r="H1532" s="2"/>
      <c r="I1532" s="2"/>
      <c r="J1532" s="2"/>
      <c r="K1532" s="2"/>
    </row>
    <row r="1533" spans="5:11" x14ac:dyDescent="0.25">
      <c r="E1533" s="3">
        <f t="shared" ca="1" si="46"/>
        <v>0.17576572635640875</v>
      </c>
      <c r="F1533" s="3">
        <f t="shared" ca="1" si="46"/>
        <v>0.85826916580518775</v>
      </c>
      <c r="G1533" s="3">
        <f t="shared" ca="1" si="47"/>
        <v>12.01141967116323</v>
      </c>
      <c r="H1533" s="2"/>
      <c r="I1533" s="2"/>
      <c r="J1533" s="2"/>
      <c r="K1533" s="2"/>
    </row>
    <row r="1534" spans="5:11" x14ac:dyDescent="0.25">
      <c r="E1534" s="3">
        <f t="shared" ca="1" si="46"/>
        <v>9.9677401411952693E-2</v>
      </c>
      <c r="F1534" s="3">
        <f t="shared" ca="1" si="46"/>
        <v>0.52350529284131864</v>
      </c>
      <c r="G1534" s="3">
        <f t="shared" ca="1" si="47"/>
        <v>9.8819105914009189</v>
      </c>
      <c r="H1534" s="2"/>
      <c r="I1534" s="2"/>
      <c r="J1534" s="2"/>
      <c r="K1534" s="2"/>
    </row>
    <row r="1535" spans="5:11" x14ac:dyDescent="0.25">
      <c r="E1535" s="3">
        <f t="shared" ca="1" si="46"/>
        <v>0.78573057126373158</v>
      </c>
      <c r="F1535" s="3">
        <f t="shared" ca="1" si="46"/>
        <v>0.37034351099656959</v>
      </c>
      <c r="G1535" s="3">
        <f t="shared" ca="1" si="47"/>
        <v>3.2981204264062196</v>
      </c>
      <c r="H1535" s="2"/>
      <c r="I1535" s="2"/>
      <c r="J1535" s="2"/>
      <c r="K1535" s="2"/>
    </row>
    <row r="1536" spans="5:11" x14ac:dyDescent="0.25">
      <c r="E1536" s="3">
        <f t="shared" ca="1" si="46"/>
        <v>0.8403989814132844</v>
      </c>
      <c r="F1536" s="3">
        <f t="shared" ca="1" si="46"/>
        <v>8.864348114242393E-2</v>
      </c>
      <c r="G1536" s="3">
        <f t="shared" ca="1" si="47"/>
        <v>3.5619572711711212</v>
      </c>
      <c r="H1536" s="2"/>
      <c r="I1536" s="2"/>
      <c r="J1536" s="2"/>
      <c r="K1536" s="2"/>
    </row>
    <row r="1537" spans="5:11" x14ac:dyDescent="0.25">
      <c r="E1537" s="3">
        <f t="shared" ca="1" si="46"/>
        <v>0.72828960076292593</v>
      </c>
      <c r="F1537" s="3">
        <f t="shared" ca="1" si="46"/>
        <v>0.10643932340828299</v>
      </c>
      <c r="G1537" s="3">
        <f t="shared" ca="1" si="47"/>
        <v>1.9310065921734372</v>
      </c>
      <c r="H1537" s="2"/>
      <c r="I1537" s="2"/>
      <c r="J1537" s="2"/>
      <c r="K1537" s="2"/>
    </row>
    <row r="1538" spans="5:11" x14ac:dyDescent="0.25">
      <c r="E1538" s="3">
        <f t="shared" ca="1" si="46"/>
        <v>0.12939530645748076</v>
      </c>
      <c r="F1538" s="3">
        <f t="shared" ca="1" si="46"/>
        <v>0.26318385383546417</v>
      </c>
      <c r="G1538" s="3">
        <f t="shared" ca="1" si="47"/>
        <v>7.9934192798745789</v>
      </c>
      <c r="H1538" s="2"/>
      <c r="I1538" s="2"/>
      <c r="J1538" s="2"/>
      <c r="K1538" s="2"/>
    </row>
    <row r="1539" spans="5:11" x14ac:dyDescent="0.25">
      <c r="E1539" s="3">
        <f t="shared" ca="1" si="46"/>
        <v>0.89574584963338255</v>
      </c>
      <c r="F1539" s="3">
        <f t="shared" ca="1" si="46"/>
        <v>0.64071404328053705</v>
      </c>
      <c r="G1539" s="3">
        <f t="shared" ca="1" si="47"/>
        <v>7.4647334070585387</v>
      </c>
      <c r="H1539" s="2"/>
      <c r="I1539" s="2"/>
      <c r="J1539" s="2"/>
      <c r="K1539" s="2"/>
    </row>
    <row r="1540" spans="5:11" x14ac:dyDescent="0.25">
      <c r="E1540" s="3">
        <f t="shared" ref="E1540:F1603" ca="1" si="48">RAND()</f>
        <v>0.31095842940703122</v>
      </c>
      <c r="F1540" s="3">
        <f t="shared" ca="1" si="48"/>
        <v>0.64738975417200884</v>
      </c>
      <c r="G1540" s="3">
        <f t="shared" ref="G1540:G1603" ca="1" si="49">SQRT(_xlfn.NORM.INV(E1540,$C$3*COS($C$6),$C$4)^2+_xlfn.NORM.INV(F1540,$C$3*SIN($C$6),$C$4)^2)</f>
        <v>7.9129161953633327</v>
      </c>
      <c r="H1540" s="2"/>
      <c r="I1540" s="2"/>
      <c r="J1540" s="2"/>
      <c r="K1540" s="2"/>
    </row>
    <row r="1541" spans="5:11" x14ac:dyDescent="0.25">
      <c r="E1541" s="3">
        <f t="shared" ca="1" si="48"/>
        <v>1.5494787068462856E-2</v>
      </c>
      <c r="F1541" s="3">
        <f t="shared" ca="1" si="48"/>
        <v>7.549793337730959E-2</v>
      </c>
      <c r="G1541" s="3">
        <f t="shared" ca="1" si="49"/>
        <v>13.305334494611662</v>
      </c>
      <c r="H1541" s="2"/>
      <c r="I1541" s="2"/>
      <c r="J1541" s="2"/>
      <c r="K1541" s="2"/>
    </row>
    <row r="1542" spans="5:11" x14ac:dyDescent="0.25">
      <c r="E1542" s="3">
        <f t="shared" ca="1" si="48"/>
        <v>0.9666616633547811</v>
      </c>
      <c r="F1542" s="3">
        <f t="shared" ca="1" si="48"/>
        <v>0.35366194546799046</v>
      </c>
      <c r="G1542" s="3">
        <f t="shared" ca="1" si="49"/>
        <v>7.3980681231141734</v>
      </c>
      <c r="H1542" s="2"/>
      <c r="I1542" s="2"/>
      <c r="J1542" s="2"/>
      <c r="K1542" s="2"/>
    </row>
    <row r="1543" spans="5:11" x14ac:dyDescent="0.25">
      <c r="E1543" s="3">
        <f t="shared" ca="1" si="48"/>
        <v>0.62325735749534195</v>
      </c>
      <c r="F1543" s="3">
        <f t="shared" ca="1" si="48"/>
        <v>0.94796423789207862</v>
      </c>
      <c r="G1543" s="3">
        <f t="shared" ca="1" si="49"/>
        <v>12.614932285298758</v>
      </c>
      <c r="H1543" s="2"/>
      <c r="I1543" s="2"/>
      <c r="J1543" s="2"/>
      <c r="K1543" s="2"/>
    </row>
    <row r="1544" spans="5:11" x14ac:dyDescent="0.25">
      <c r="E1544" s="3">
        <f t="shared" ca="1" si="48"/>
        <v>0.27382219879426539</v>
      </c>
      <c r="F1544" s="3">
        <f t="shared" ca="1" si="48"/>
        <v>6.6227463972183931E-2</v>
      </c>
      <c r="G1544" s="3">
        <f t="shared" ca="1" si="49"/>
        <v>6.0701634012191121</v>
      </c>
      <c r="H1544" s="2"/>
      <c r="I1544" s="2"/>
      <c r="J1544" s="2"/>
      <c r="K1544" s="2"/>
    </row>
    <row r="1545" spans="5:11" x14ac:dyDescent="0.25">
      <c r="E1545" s="3">
        <f t="shared" ca="1" si="48"/>
        <v>0.91733386692735142</v>
      </c>
      <c r="F1545" s="3">
        <f t="shared" ca="1" si="48"/>
        <v>0.50624834910311756</v>
      </c>
      <c r="G1545" s="3">
        <f t="shared" ca="1" si="49"/>
        <v>6.5378473938584944</v>
      </c>
      <c r="H1545" s="2"/>
      <c r="I1545" s="2"/>
      <c r="J1545" s="2"/>
      <c r="K1545" s="2"/>
    </row>
    <row r="1546" spans="5:11" x14ac:dyDescent="0.25">
      <c r="E1546" s="3">
        <f t="shared" ca="1" si="48"/>
        <v>0.6390275417004061</v>
      </c>
      <c r="F1546" s="3">
        <f t="shared" ca="1" si="48"/>
        <v>0.91243853175629119</v>
      </c>
      <c r="G1546" s="3">
        <f t="shared" ca="1" si="49"/>
        <v>11.259054218088814</v>
      </c>
      <c r="H1546" s="2"/>
      <c r="I1546" s="2"/>
      <c r="J1546" s="2"/>
      <c r="K1546" s="2"/>
    </row>
    <row r="1547" spans="5:11" x14ac:dyDescent="0.25">
      <c r="E1547" s="3">
        <f t="shared" ca="1" si="48"/>
        <v>0.1083838185043956</v>
      </c>
      <c r="F1547" s="3">
        <f t="shared" ca="1" si="48"/>
        <v>0.56824522956569323</v>
      </c>
      <c r="G1547" s="3">
        <f t="shared" ca="1" si="49"/>
        <v>9.9617507314303086</v>
      </c>
      <c r="H1547" s="2"/>
      <c r="I1547" s="2"/>
      <c r="J1547" s="2"/>
      <c r="K1547" s="2"/>
    </row>
    <row r="1548" spans="5:11" x14ac:dyDescent="0.25">
      <c r="E1548" s="3">
        <f t="shared" ca="1" si="48"/>
        <v>0.19741184816699442</v>
      </c>
      <c r="F1548" s="3">
        <f t="shared" ca="1" si="48"/>
        <v>0.3758163247623576</v>
      </c>
      <c r="G1548" s="3">
        <f t="shared" ca="1" si="49"/>
        <v>7.107839248072672</v>
      </c>
      <c r="H1548" s="2"/>
      <c r="I1548" s="2"/>
      <c r="J1548" s="2"/>
      <c r="K1548" s="2"/>
    </row>
    <row r="1549" spans="5:11" x14ac:dyDescent="0.25">
      <c r="E1549" s="3">
        <f t="shared" ca="1" si="48"/>
        <v>0.33612753980153987</v>
      </c>
      <c r="F1549" s="3">
        <f t="shared" ca="1" si="48"/>
        <v>8.5919473338014085E-2</v>
      </c>
      <c r="G1549" s="3">
        <f t="shared" ca="1" si="49"/>
        <v>4.9546778974746157</v>
      </c>
      <c r="H1549" s="2"/>
      <c r="I1549" s="2"/>
      <c r="J1549" s="2"/>
      <c r="K1549" s="2"/>
    </row>
    <row r="1550" spans="5:11" x14ac:dyDescent="0.25">
      <c r="E1550" s="3">
        <f t="shared" ca="1" si="48"/>
        <v>0.74062367514398808</v>
      </c>
      <c r="F1550" s="3">
        <f t="shared" ca="1" si="48"/>
        <v>0.94160905227831015</v>
      </c>
      <c r="G1550" s="3">
        <f t="shared" ca="1" si="49"/>
        <v>12.351526630123574</v>
      </c>
      <c r="H1550" s="2"/>
      <c r="I1550" s="2"/>
      <c r="J1550" s="2"/>
      <c r="K1550" s="2"/>
    </row>
    <row r="1551" spans="5:11" x14ac:dyDescent="0.25">
      <c r="E1551" s="3">
        <f t="shared" ca="1" si="48"/>
        <v>0.55214894058324038</v>
      </c>
      <c r="F1551" s="3">
        <f t="shared" ca="1" si="48"/>
        <v>0.70640811815096627</v>
      </c>
      <c r="G1551" s="3">
        <f t="shared" ca="1" si="49"/>
        <v>7.3573283088458759</v>
      </c>
      <c r="H1551" s="2"/>
      <c r="I1551" s="2"/>
      <c r="J1551" s="2"/>
      <c r="K1551" s="2"/>
    </row>
    <row r="1552" spans="5:11" x14ac:dyDescent="0.25">
      <c r="E1552" s="3">
        <f t="shared" ca="1" si="48"/>
        <v>0.29291054386413518</v>
      </c>
      <c r="F1552" s="3">
        <f t="shared" ca="1" si="48"/>
        <v>0.29830878902179603</v>
      </c>
      <c r="G1552" s="3">
        <f t="shared" ca="1" si="49"/>
        <v>5.2891989356501412</v>
      </c>
      <c r="H1552" s="2"/>
      <c r="I1552" s="2"/>
      <c r="J1552" s="2"/>
      <c r="K1552" s="2"/>
    </row>
    <row r="1553" spans="5:11" x14ac:dyDescent="0.25">
      <c r="E1553" s="3">
        <f t="shared" ca="1" si="48"/>
        <v>6.2053351768507348E-2</v>
      </c>
      <c r="F1553" s="3">
        <f t="shared" ca="1" si="48"/>
        <v>0.14337984316378016</v>
      </c>
      <c r="G1553" s="3">
        <f t="shared" ca="1" si="49"/>
        <v>9.9660361036142024</v>
      </c>
      <c r="H1553" s="2"/>
      <c r="I1553" s="2"/>
      <c r="J1553" s="2"/>
      <c r="K1553" s="2"/>
    </row>
    <row r="1554" spans="5:11" x14ac:dyDescent="0.25">
      <c r="E1554" s="3">
        <f t="shared" ca="1" si="48"/>
        <v>0.92029886481897916</v>
      </c>
      <c r="F1554" s="3">
        <f t="shared" ca="1" si="48"/>
        <v>0.49737276492689531</v>
      </c>
      <c r="G1554" s="3">
        <f t="shared" ca="1" si="49"/>
        <v>6.5329946634308991</v>
      </c>
      <c r="H1554" s="2"/>
      <c r="I1554" s="2"/>
      <c r="J1554" s="2"/>
      <c r="K1554" s="2"/>
    </row>
    <row r="1555" spans="5:11" x14ac:dyDescent="0.25">
      <c r="E1555" s="3">
        <f t="shared" ca="1" si="48"/>
        <v>0.35452922671687159</v>
      </c>
      <c r="F1555" s="3">
        <f t="shared" ca="1" si="48"/>
        <v>0.12396694074572701</v>
      </c>
      <c r="G1555" s="3">
        <f t="shared" ca="1" si="49"/>
        <v>4.3089527159589629</v>
      </c>
      <c r="H1555" s="2"/>
      <c r="I1555" s="2"/>
      <c r="J1555" s="2"/>
      <c r="K1555" s="2"/>
    </row>
    <row r="1556" spans="5:11" x14ac:dyDescent="0.25">
      <c r="E1556" s="3">
        <f t="shared" ca="1" si="48"/>
        <v>0.71319187129198702</v>
      </c>
      <c r="F1556" s="3">
        <f t="shared" ca="1" si="48"/>
        <v>0.33563791351669847</v>
      </c>
      <c r="G1556" s="3">
        <f t="shared" ca="1" si="49"/>
        <v>2.4169720250122451</v>
      </c>
      <c r="H1556" s="2"/>
      <c r="I1556" s="2"/>
      <c r="J1556" s="2"/>
      <c r="K1556" s="2"/>
    </row>
    <row r="1557" spans="5:11" x14ac:dyDescent="0.25">
      <c r="E1557" s="3">
        <f t="shared" ca="1" si="48"/>
        <v>0.65031290155594901</v>
      </c>
      <c r="F1557" s="3">
        <f t="shared" ca="1" si="48"/>
        <v>0.2726012313624514</v>
      </c>
      <c r="G1557" s="3">
        <f t="shared" ca="1" si="49"/>
        <v>1.4779387337474943</v>
      </c>
      <c r="H1557" s="2"/>
      <c r="I1557" s="2"/>
      <c r="J1557" s="2"/>
      <c r="K1557" s="2"/>
    </row>
    <row r="1558" spans="5:11" x14ac:dyDescent="0.25">
      <c r="E1558" s="3">
        <f t="shared" ca="1" si="48"/>
        <v>0.36503900771204001</v>
      </c>
      <c r="F1558" s="3">
        <f t="shared" ca="1" si="48"/>
        <v>0.22978408328867417</v>
      </c>
      <c r="G1558" s="3">
        <f t="shared" ca="1" si="49"/>
        <v>4.0399614311887015</v>
      </c>
      <c r="H1558" s="2"/>
      <c r="I1558" s="2"/>
      <c r="J1558" s="2"/>
      <c r="K1558" s="2"/>
    </row>
    <row r="1559" spans="5:11" x14ac:dyDescent="0.25">
      <c r="E1559" s="3">
        <f t="shared" ca="1" si="48"/>
        <v>0.23276655653286726</v>
      </c>
      <c r="F1559" s="3">
        <f t="shared" ca="1" si="48"/>
        <v>7.8635151813042259E-2</v>
      </c>
      <c r="G1559" s="3">
        <f t="shared" ca="1" si="49"/>
        <v>6.4382348195643742</v>
      </c>
      <c r="H1559" s="2"/>
      <c r="I1559" s="2"/>
      <c r="J1559" s="2"/>
      <c r="K1559" s="2"/>
    </row>
    <row r="1560" spans="5:11" x14ac:dyDescent="0.25">
      <c r="E1560" s="3">
        <f t="shared" ca="1" si="48"/>
        <v>0.283704801426232</v>
      </c>
      <c r="F1560" s="3">
        <f t="shared" ca="1" si="48"/>
        <v>0.74167202779332231</v>
      </c>
      <c r="G1560" s="3">
        <f t="shared" ca="1" si="49"/>
        <v>9.2460928487043272</v>
      </c>
      <c r="H1560" s="2"/>
      <c r="I1560" s="2"/>
      <c r="J1560" s="2"/>
      <c r="K1560" s="2"/>
    </row>
    <row r="1561" spans="5:11" x14ac:dyDescent="0.25">
      <c r="E1561" s="3">
        <f t="shared" ca="1" si="48"/>
        <v>0.96073916182343311</v>
      </c>
      <c r="F1561" s="3">
        <f t="shared" ca="1" si="48"/>
        <v>0.19174980309365675</v>
      </c>
      <c r="G1561" s="3">
        <f t="shared" ca="1" si="49"/>
        <v>6.5572436937611167</v>
      </c>
      <c r="H1561" s="2"/>
      <c r="I1561" s="2"/>
      <c r="J1561" s="2"/>
      <c r="K1561" s="2"/>
    </row>
    <row r="1562" spans="5:11" x14ac:dyDescent="0.25">
      <c r="E1562" s="3">
        <f t="shared" ca="1" si="48"/>
        <v>0.14085309513173161</v>
      </c>
      <c r="F1562" s="3">
        <f t="shared" ca="1" si="48"/>
        <v>0.62315079287524566</v>
      </c>
      <c r="G1562" s="3">
        <f t="shared" ca="1" si="49"/>
        <v>9.7249672371525495</v>
      </c>
      <c r="H1562" s="2"/>
      <c r="I1562" s="2"/>
      <c r="J1562" s="2"/>
      <c r="K1562" s="2"/>
    </row>
    <row r="1563" spans="5:11" x14ac:dyDescent="0.25">
      <c r="E1563" s="3">
        <f t="shared" ca="1" si="48"/>
        <v>0.11703032227679788</v>
      </c>
      <c r="F1563" s="3">
        <f t="shared" ca="1" si="48"/>
        <v>0.18644476988084968</v>
      </c>
      <c r="G1563" s="3">
        <f t="shared" ca="1" si="49"/>
        <v>8.1901998118598911</v>
      </c>
      <c r="H1563" s="2"/>
      <c r="I1563" s="2"/>
      <c r="J1563" s="2"/>
      <c r="K1563" s="2"/>
    </row>
    <row r="1564" spans="5:11" x14ac:dyDescent="0.25">
      <c r="E1564" s="3">
        <f t="shared" ca="1" si="48"/>
        <v>0.10141273779633775</v>
      </c>
      <c r="F1564" s="3">
        <f t="shared" ca="1" si="48"/>
        <v>0.12514802105355871</v>
      </c>
      <c r="G1564" s="3">
        <f t="shared" ca="1" si="49"/>
        <v>8.7024594096691317</v>
      </c>
      <c r="H1564" s="2"/>
      <c r="I1564" s="2"/>
      <c r="J1564" s="2"/>
      <c r="K1564" s="2"/>
    </row>
    <row r="1565" spans="5:11" x14ac:dyDescent="0.25">
      <c r="E1565" s="3">
        <f t="shared" ca="1" si="48"/>
        <v>0.82682350646530345</v>
      </c>
      <c r="F1565" s="3">
        <f t="shared" ca="1" si="48"/>
        <v>0.20198584319094615</v>
      </c>
      <c r="G1565" s="3">
        <f t="shared" ca="1" si="49"/>
        <v>2.4859005101145049</v>
      </c>
      <c r="H1565" s="2"/>
      <c r="I1565" s="2"/>
      <c r="J1565" s="2"/>
      <c r="K1565" s="2"/>
    </row>
    <row r="1566" spans="5:11" x14ac:dyDescent="0.25">
      <c r="E1566" s="3">
        <f t="shared" ca="1" si="48"/>
        <v>0.95722334496818384</v>
      </c>
      <c r="F1566" s="3">
        <f t="shared" ca="1" si="48"/>
        <v>0.35238767693903494</v>
      </c>
      <c r="G1566" s="3">
        <f t="shared" ca="1" si="49"/>
        <v>6.8582970820615445</v>
      </c>
      <c r="H1566" s="2"/>
      <c r="I1566" s="2"/>
      <c r="J1566" s="2"/>
      <c r="K1566" s="2"/>
    </row>
    <row r="1567" spans="5:11" x14ac:dyDescent="0.25">
      <c r="E1567" s="3">
        <f t="shared" ca="1" si="48"/>
        <v>0.80937420802201654</v>
      </c>
      <c r="F1567" s="3">
        <f t="shared" ca="1" si="48"/>
        <v>0.50655700152824612</v>
      </c>
      <c r="G1567" s="3">
        <f t="shared" ca="1" si="49"/>
        <v>5.0290688683905662</v>
      </c>
      <c r="H1567" s="2"/>
      <c r="I1567" s="2"/>
      <c r="J1567" s="2"/>
      <c r="K1567" s="2"/>
    </row>
    <row r="1568" spans="5:11" x14ac:dyDescent="0.25">
      <c r="E1568" s="3">
        <f t="shared" ca="1" si="48"/>
        <v>0.99544314380051102</v>
      </c>
      <c r="F1568" s="3">
        <f t="shared" ca="1" si="48"/>
        <v>0.3680379111698876</v>
      </c>
      <c r="G1568" s="3">
        <f t="shared" ca="1" si="49"/>
        <v>11.151709582550794</v>
      </c>
      <c r="H1568" s="2"/>
      <c r="I1568" s="2"/>
      <c r="J1568" s="2"/>
      <c r="K1568" s="2"/>
    </row>
    <row r="1569" spans="5:11" x14ac:dyDescent="0.25">
      <c r="E1569" s="3">
        <f t="shared" ca="1" si="48"/>
        <v>0.49628661517157879</v>
      </c>
      <c r="F1569" s="3">
        <f t="shared" ca="1" si="48"/>
        <v>0.89236275836968459</v>
      </c>
      <c r="G1569" s="3">
        <f t="shared" ca="1" si="49"/>
        <v>10.90835812455372</v>
      </c>
      <c r="H1569" s="2"/>
      <c r="I1569" s="2"/>
      <c r="J1569" s="2"/>
      <c r="K1569" s="2"/>
    </row>
    <row r="1570" spans="5:11" x14ac:dyDescent="0.25">
      <c r="E1570" s="3">
        <f t="shared" ca="1" si="48"/>
        <v>0.85467198824073176</v>
      </c>
      <c r="F1570" s="3">
        <f t="shared" ca="1" si="48"/>
        <v>0.19610863289962843</v>
      </c>
      <c r="G1570" s="3">
        <f t="shared" ca="1" si="49"/>
        <v>3.0490987833672105</v>
      </c>
      <c r="H1570" s="2"/>
      <c r="I1570" s="2"/>
      <c r="J1570" s="2"/>
      <c r="K1570" s="2"/>
    </row>
    <row r="1571" spans="5:11" x14ac:dyDescent="0.25">
      <c r="E1571" s="3">
        <f t="shared" ca="1" si="48"/>
        <v>0.54939259854850309</v>
      </c>
      <c r="F1571" s="3">
        <f t="shared" ca="1" si="48"/>
        <v>0.83150515858582907</v>
      </c>
      <c r="G1571" s="3">
        <f t="shared" ca="1" si="49"/>
        <v>9.4110679028204469</v>
      </c>
      <c r="H1571" s="2"/>
      <c r="I1571" s="2"/>
      <c r="J1571" s="2"/>
      <c r="K1571" s="2"/>
    </row>
    <row r="1572" spans="5:11" x14ac:dyDescent="0.25">
      <c r="E1572" s="3">
        <f t="shared" ca="1" si="48"/>
        <v>0.52291379284071693</v>
      </c>
      <c r="F1572" s="3">
        <f t="shared" ca="1" si="48"/>
        <v>0.63781745206087181</v>
      </c>
      <c r="G1572" s="3">
        <f t="shared" ca="1" si="49"/>
        <v>6.5319470501769068</v>
      </c>
      <c r="H1572" s="2"/>
      <c r="I1572" s="2"/>
      <c r="J1572" s="2"/>
      <c r="K1572" s="2"/>
    </row>
    <row r="1573" spans="5:11" x14ac:dyDescent="0.25">
      <c r="E1573" s="3">
        <f t="shared" ca="1" si="48"/>
        <v>0.26388890806132681</v>
      </c>
      <c r="F1573" s="3">
        <f t="shared" ca="1" si="48"/>
        <v>0.94439759577854165</v>
      </c>
      <c r="G1573" s="3">
        <f t="shared" ca="1" si="49"/>
        <v>13.554916623099423</v>
      </c>
      <c r="H1573" s="2"/>
      <c r="I1573" s="2"/>
      <c r="J1573" s="2"/>
      <c r="K1573" s="2"/>
    </row>
    <row r="1574" spans="5:11" x14ac:dyDescent="0.25">
      <c r="E1574" s="3">
        <f t="shared" ca="1" si="48"/>
        <v>0.54825977264095349</v>
      </c>
      <c r="F1574" s="3">
        <f t="shared" ca="1" si="48"/>
        <v>0.53682250785239993</v>
      </c>
      <c r="G1574" s="3">
        <f t="shared" ca="1" si="49"/>
        <v>5.1957780823057913</v>
      </c>
      <c r="H1574" s="2"/>
      <c r="I1574" s="2"/>
      <c r="J1574" s="2"/>
      <c r="K1574" s="2"/>
    </row>
    <row r="1575" spans="5:11" x14ac:dyDescent="0.25">
      <c r="E1575" s="3">
        <f t="shared" ca="1" si="48"/>
        <v>0.99089804496848777</v>
      </c>
      <c r="F1575" s="3">
        <f t="shared" ca="1" si="48"/>
        <v>0.29838568594920911</v>
      </c>
      <c r="G1575" s="3">
        <f t="shared" ca="1" si="49"/>
        <v>9.7393195193154458</v>
      </c>
      <c r="H1575" s="2"/>
      <c r="I1575" s="2"/>
      <c r="J1575" s="2"/>
      <c r="K1575" s="2"/>
    </row>
    <row r="1576" spans="5:11" x14ac:dyDescent="0.25">
      <c r="E1576" s="3">
        <f t="shared" ca="1" si="48"/>
        <v>0.39066671195035174</v>
      </c>
      <c r="F1576" s="3">
        <f t="shared" ca="1" si="48"/>
        <v>0.19446710350853114</v>
      </c>
      <c r="G1576" s="3">
        <f t="shared" ca="1" si="49"/>
        <v>3.6319017617967053</v>
      </c>
      <c r="H1576" s="2"/>
      <c r="I1576" s="2"/>
      <c r="J1576" s="2"/>
      <c r="K1576" s="2"/>
    </row>
    <row r="1577" spans="5:11" x14ac:dyDescent="0.25">
      <c r="E1577" s="3">
        <f t="shared" ca="1" si="48"/>
        <v>0.54078712027767173</v>
      </c>
      <c r="F1577" s="3">
        <f t="shared" ca="1" si="48"/>
        <v>0.48963942617945722</v>
      </c>
      <c r="G1577" s="3">
        <f t="shared" ca="1" si="49"/>
        <v>4.6715725125206724</v>
      </c>
      <c r="H1577" s="2"/>
      <c r="I1577" s="2"/>
      <c r="J1577" s="2"/>
      <c r="K1577" s="2"/>
    </row>
    <row r="1578" spans="5:11" x14ac:dyDescent="0.25">
      <c r="E1578" s="3">
        <f t="shared" ca="1" si="48"/>
        <v>0.96105789666077179</v>
      </c>
      <c r="F1578" s="3">
        <f t="shared" ca="1" si="48"/>
        <v>9.1192926617962522E-2</v>
      </c>
      <c r="G1578" s="3">
        <f t="shared" ca="1" si="49"/>
        <v>6.9325321043361585</v>
      </c>
      <c r="H1578" s="2"/>
      <c r="I1578" s="2"/>
      <c r="J1578" s="2"/>
      <c r="K1578" s="2"/>
    </row>
    <row r="1579" spans="5:11" x14ac:dyDescent="0.25">
      <c r="E1579" s="3">
        <f t="shared" ca="1" si="48"/>
        <v>5.9669024749543831E-2</v>
      </c>
      <c r="F1579" s="3">
        <f t="shared" ca="1" si="48"/>
        <v>0.26314770126887177</v>
      </c>
      <c r="G1579" s="3">
        <f t="shared" ca="1" si="49"/>
        <v>10.112279307147656</v>
      </c>
      <c r="H1579" s="2"/>
      <c r="I1579" s="2"/>
      <c r="J1579" s="2"/>
      <c r="K1579" s="2"/>
    </row>
    <row r="1580" spans="5:11" x14ac:dyDescent="0.25">
      <c r="E1580" s="3">
        <f t="shared" ca="1" si="48"/>
        <v>0.3184591559615646</v>
      </c>
      <c r="F1580" s="3">
        <f t="shared" ca="1" si="48"/>
        <v>0.78704919076432556</v>
      </c>
      <c r="G1580" s="3">
        <f t="shared" ca="1" si="49"/>
        <v>9.6221158698504148</v>
      </c>
      <c r="H1580" s="2"/>
      <c r="I1580" s="2"/>
      <c r="J1580" s="2"/>
      <c r="K1580" s="2"/>
    </row>
    <row r="1581" spans="5:11" x14ac:dyDescent="0.25">
      <c r="E1581" s="3">
        <f t="shared" ca="1" si="48"/>
        <v>0.5893078662396094</v>
      </c>
      <c r="F1581" s="3">
        <f t="shared" ca="1" si="48"/>
        <v>0.50143780495464618</v>
      </c>
      <c r="G1581" s="3">
        <f t="shared" ca="1" si="49"/>
        <v>4.623603034874888</v>
      </c>
      <c r="H1581" s="2"/>
      <c r="I1581" s="2"/>
      <c r="J1581" s="2"/>
      <c r="K1581" s="2"/>
    </row>
    <row r="1582" spans="5:11" x14ac:dyDescent="0.25">
      <c r="E1582" s="3">
        <f t="shared" ca="1" si="48"/>
        <v>0.89000192426371394</v>
      </c>
      <c r="F1582" s="3">
        <f t="shared" ca="1" si="48"/>
        <v>0.98442233935608792</v>
      </c>
      <c r="G1582" s="3">
        <f t="shared" ca="1" si="49"/>
        <v>15.734433246265633</v>
      </c>
      <c r="H1582" s="2"/>
      <c r="I1582" s="2"/>
      <c r="J1582" s="2"/>
      <c r="K1582" s="2"/>
    </row>
    <row r="1583" spans="5:11" x14ac:dyDescent="0.25">
      <c r="E1583" s="3">
        <f t="shared" ca="1" si="48"/>
        <v>0.22704018616651656</v>
      </c>
      <c r="F1583" s="3">
        <f t="shared" ca="1" si="48"/>
        <v>0.39397030886629036</v>
      </c>
      <c r="G1583" s="3">
        <f t="shared" ca="1" si="49"/>
        <v>6.7504400447071529</v>
      </c>
      <c r="H1583" s="2"/>
      <c r="I1583" s="2"/>
      <c r="J1583" s="2"/>
      <c r="K1583" s="2"/>
    </row>
    <row r="1584" spans="5:11" x14ac:dyDescent="0.25">
      <c r="E1584" s="3">
        <f t="shared" ca="1" si="48"/>
        <v>0.50135356119141217</v>
      </c>
      <c r="F1584" s="3">
        <f t="shared" ca="1" si="48"/>
        <v>0.51840194314557475</v>
      </c>
      <c r="G1584" s="3">
        <f t="shared" ca="1" si="49"/>
        <v>5.2000094227527969</v>
      </c>
      <c r="H1584" s="2"/>
      <c r="I1584" s="2"/>
      <c r="J1584" s="2"/>
      <c r="K1584" s="2"/>
    </row>
    <row r="1585" spans="5:11" x14ac:dyDescent="0.25">
      <c r="E1585" s="3">
        <f t="shared" ca="1" si="48"/>
        <v>0.29899568274049482</v>
      </c>
      <c r="F1585" s="3">
        <f t="shared" ca="1" si="48"/>
        <v>0.46145404618509933</v>
      </c>
      <c r="G1585" s="3">
        <f t="shared" ca="1" si="49"/>
        <v>6.2986209022471646</v>
      </c>
      <c r="H1585" s="2"/>
      <c r="I1585" s="2"/>
      <c r="J1585" s="2"/>
      <c r="K1585" s="2"/>
    </row>
    <row r="1586" spans="5:11" x14ac:dyDescent="0.25">
      <c r="E1586" s="3">
        <f t="shared" ca="1" si="48"/>
        <v>0.59258009138373435</v>
      </c>
      <c r="F1586" s="3">
        <f t="shared" ca="1" si="48"/>
        <v>0.75870545616542528</v>
      </c>
      <c r="G1586" s="3">
        <f t="shared" ca="1" si="49"/>
        <v>8.0520400011493418</v>
      </c>
      <c r="H1586" s="2"/>
      <c r="I1586" s="2"/>
      <c r="J1586" s="2"/>
      <c r="K1586" s="2"/>
    </row>
    <row r="1587" spans="5:11" x14ac:dyDescent="0.25">
      <c r="E1587" s="3">
        <f t="shared" ca="1" si="48"/>
        <v>0.59015613547373469</v>
      </c>
      <c r="F1587" s="3">
        <f t="shared" ca="1" si="48"/>
        <v>0.8949023396949416</v>
      </c>
      <c r="G1587" s="3">
        <f t="shared" ca="1" si="49"/>
        <v>10.791400639486508</v>
      </c>
      <c r="H1587" s="2"/>
      <c r="I1587" s="2"/>
      <c r="J1587" s="2"/>
      <c r="K1587" s="2"/>
    </row>
    <row r="1588" spans="5:11" x14ac:dyDescent="0.25">
      <c r="E1588" s="3">
        <f t="shared" ca="1" si="48"/>
        <v>0.15051894196240112</v>
      </c>
      <c r="F1588" s="3">
        <f t="shared" ca="1" si="48"/>
        <v>0.83801235447739164</v>
      </c>
      <c r="G1588" s="3">
        <f t="shared" ca="1" si="49"/>
        <v>11.971593960140066</v>
      </c>
      <c r="H1588" s="2"/>
      <c r="I1588" s="2"/>
      <c r="J1588" s="2"/>
      <c r="K1588" s="2"/>
    </row>
    <row r="1589" spans="5:11" x14ac:dyDescent="0.25">
      <c r="E1589" s="3">
        <f t="shared" ca="1" si="48"/>
        <v>0.12079644553366142</v>
      </c>
      <c r="F1589" s="3">
        <f t="shared" ca="1" si="48"/>
        <v>7.2531077523269927E-2</v>
      </c>
      <c r="G1589" s="3">
        <f t="shared" ca="1" si="49"/>
        <v>8.5712321370367111</v>
      </c>
      <c r="H1589" s="2"/>
      <c r="I1589" s="2"/>
      <c r="J1589" s="2"/>
      <c r="K1589" s="2"/>
    </row>
    <row r="1590" spans="5:11" x14ac:dyDescent="0.25">
      <c r="E1590" s="3">
        <f t="shared" ca="1" si="48"/>
        <v>0.17523868133299947</v>
      </c>
      <c r="F1590" s="3">
        <f t="shared" ca="1" si="48"/>
        <v>0.3395741523181991</v>
      </c>
      <c r="G1590" s="3">
        <f t="shared" ca="1" si="49"/>
        <v>7.3142916984307957</v>
      </c>
      <c r="H1590" s="2"/>
      <c r="I1590" s="2"/>
      <c r="J1590" s="2"/>
      <c r="K1590" s="2"/>
    </row>
    <row r="1591" spans="5:11" x14ac:dyDescent="0.25">
      <c r="E1591" s="3">
        <f t="shared" ca="1" si="48"/>
        <v>0.79230665620180751</v>
      </c>
      <c r="F1591" s="3">
        <f t="shared" ca="1" si="48"/>
        <v>0.96261348171649208</v>
      </c>
      <c r="G1591" s="3">
        <f t="shared" ca="1" si="49"/>
        <v>13.504082087106518</v>
      </c>
      <c r="H1591" s="2"/>
      <c r="I1591" s="2"/>
      <c r="J1591" s="2"/>
      <c r="K1591" s="2"/>
    </row>
    <row r="1592" spans="5:11" x14ac:dyDescent="0.25">
      <c r="E1592" s="3">
        <f t="shared" ca="1" si="48"/>
        <v>0.71469285798349858</v>
      </c>
      <c r="F1592" s="3">
        <f t="shared" ca="1" si="48"/>
        <v>0.25968423543798125</v>
      </c>
      <c r="G1592" s="3">
        <f t="shared" ca="1" si="49"/>
        <v>1.3830882035781351</v>
      </c>
      <c r="H1592" s="2"/>
      <c r="I1592" s="2"/>
      <c r="J1592" s="2"/>
      <c r="K1592" s="2"/>
    </row>
    <row r="1593" spans="5:11" x14ac:dyDescent="0.25">
      <c r="E1593" s="3">
        <f t="shared" ca="1" si="48"/>
        <v>0.66072989404220062</v>
      </c>
      <c r="F1593" s="3">
        <f t="shared" ca="1" si="48"/>
        <v>0.36525319057056238</v>
      </c>
      <c r="G1593" s="3">
        <f t="shared" ca="1" si="49"/>
        <v>2.7528597563381796</v>
      </c>
      <c r="H1593" s="2"/>
      <c r="I1593" s="2"/>
      <c r="J1593" s="2"/>
      <c r="K1593" s="2"/>
    </row>
    <row r="1594" spans="5:11" x14ac:dyDescent="0.25">
      <c r="E1594" s="3">
        <f t="shared" ca="1" si="48"/>
        <v>0.44558628160897795</v>
      </c>
      <c r="F1594" s="3">
        <f t="shared" ca="1" si="48"/>
        <v>0.54276829524702719</v>
      </c>
      <c r="G1594" s="3">
        <f t="shared" ca="1" si="49"/>
        <v>5.7985286769395747</v>
      </c>
      <c r="H1594" s="2"/>
      <c r="I1594" s="2"/>
      <c r="J1594" s="2"/>
      <c r="K1594" s="2"/>
    </row>
    <row r="1595" spans="5:11" x14ac:dyDescent="0.25">
      <c r="E1595" s="3">
        <f t="shared" ca="1" si="48"/>
        <v>0.87920019864755539</v>
      </c>
      <c r="F1595" s="3">
        <f t="shared" ca="1" si="48"/>
        <v>0.68710933008336883</v>
      </c>
      <c r="G1595" s="3">
        <f t="shared" ca="1" si="49"/>
        <v>7.796844217528446</v>
      </c>
      <c r="H1595" s="2"/>
      <c r="I1595" s="2"/>
      <c r="J1595" s="2"/>
      <c r="K1595" s="2"/>
    </row>
    <row r="1596" spans="5:11" x14ac:dyDescent="0.25">
      <c r="E1596" s="3">
        <f t="shared" ca="1" si="48"/>
        <v>0.95008213298602662</v>
      </c>
      <c r="F1596" s="3">
        <f t="shared" ca="1" si="48"/>
        <v>0.18014077872282042</v>
      </c>
      <c r="G1596" s="3">
        <f t="shared" ca="1" si="49"/>
        <v>5.9887903333141743</v>
      </c>
      <c r="H1596" s="2"/>
      <c r="I1596" s="2"/>
      <c r="J1596" s="2"/>
      <c r="K1596" s="2"/>
    </row>
    <row r="1597" spans="5:11" x14ac:dyDescent="0.25">
      <c r="E1597" s="3">
        <f t="shared" ca="1" si="48"/>
        <v>4.1862017024825171E-2</v>
      </c>
      <c r="F1597" s="3">
        <f t="shared" ca="1" si="48"/>
        <v>0.3838623551613588</v>
      </c>
      <c r="G1597" s="3">
        <f t="shared" ca="1" si="49"/>
        <v>11.291694936788456</v>
      </c>
      <c r="H1597" s="2"/>
      <c r="I1597" s="2"/>
      <c r="J1597" s="2"/>
      <c r="K1597" s="2"/>
    </row>
    <row r="1598" spans="5:11" x14ac:dyDescent="0.25">
      <c r="E1598" s="3">
        <f t="shared" ca="1" si="48"/>
        <v>0.5646855395437389</v>
      </c>
      <c r="F1598" s="3">
        <f t="shared" ca="1" si="48"/>
        <v>0.67630534708349399</v>
      </c>
      <c r="G1598" s="3">
        <f t="shared" ca="1" si="49"/>
        <v>6.9057916645667046</v>
      </c>
      <c r="H1598" s="2"/>
      <c r="I1598" s="2"/>
      <c r="J1598" s="2"/>
      <c r="K1598" s="2"/>
    </row>
    <row r="1599" spans="5:11" x14ac:dyDescent="0.25">
      <c r="E1599" s="3">
        <f t="shared" ca="1" si="48"/>
        <v>7.0648421335426481E-2</v>
      </c>
      <c r="F1599" s="3">
        <f t="shared" ca="1" si="48"/>
        <v>5.9653223449833814E-2</v>
      </c>
      <c r="G1599" s="3">
        <f t="shared" ca="1" si="49"/>
        <v>10.152897168713418</v>
      </c>
      <c r="H1599" s="2"/>
      <c r="I1599" s="2"/>
      <c r="J1599" s="2"/>
      <c r="K1599" s="2"/>
    </row>
    <row r="1600" spans="5:11" x14ac:dyDescent="0.25">
      <c r="E1600" s="3">
        <f t="shared" ca="1" si="48"/>
        <v>0.39240909595317097</v>
      </c>
      <c r="F1600" s="3">
        <f t="shared" ca="1" si="48"/>
        <v>0.97309093028493099</v>
      </c>
      <c r="G1600" s="3">
        <f t="shared" ca="1" si="49"/>
        <v>14.564817975116748</v>
      </c>
      <c r="H1600" s="2"/>
      <c r="I1600" s="2"/>
      <c r="J1600" s="2"/>
      <c r="K1600" s="2"/>
    </row>
    <row r="1601" spans="5:11" x14ac:dyDescent="0.25">
      <c r="E1601" s="3">
        <f t="shared" ca="1" si="48"/>
        <v>0.82240861269870136</v>
      </c>
      <c r="F1601" s="3">
        <f t="shared" ca="1" si="48"/>
        <v>0.82758539278824139</v>
      </c>
      <c r="G1601" s="3">
        <f t="shared" ca="1" si="49"/>
        <v>9.4970300895987947</v>
      </c>
      <c r="H1601" s="2"/>
      <c r="I1601" s="2"/>
      <c r="J1601" s="2"/>
      <c r="K1601" s="2"/>
    </row>
    <row r="1602" spans="5:11" x14ac:dyDescent="0.25">
      <c r="E1602" s="3">
        <f t="shared" ca="1" si="48"/>
        <v>0.84220656165563301</v>
      </c>
      <c r="F1602" s="3">
        <f t="shared" ca="1" si="48"/>
        <v>0.70069411307479601</v>
      </c>
      <c r="G1602" s="3">
        <f t="shared" ca="1" si="49"/>
        <v>7.6257700413796288</v>
      </c>
      <c r="H1602" s="2"/>
      <c r="I1602" s="2"/>
      <c r="J1602" s="2"/>
      <c r="K1602" s="2"/>
    </row>
    <row r="1603" spans="5:11" x14ac:dyDescent="0.25">
      <c r="E1603" s="3">
        <f t="shared" ca="1" si="48"/>
        <v>0.11343742279175573</v>
      </c>
      <c r="F1603" s="3">
        <f t="shared" ca="1" si="48"/>
        <v>0.87921236160139316</v>
      </c>
      <c r="G1603" s="3">
        <f t="shared" ca="1" si="49"/>
        <v>13.236802642503251</v>
      </c>
      <c r="H1603" s="2"/>
      <c r="I1603" s="2"/>
      <c r="J1603" s="2"/>
      <c r="K1603" s="2"/>
    </row>
    <row r="1604" spans="5:11" x14ac:dyDescent="0.25">
      <c r="E1604" s="3">
        <f t="shared" ref="E1604:F1667" ca="1" si="50">RAND()</f>
        <v>0.66279662732600098</v>
      </c>
      <c r="F1604" s="3">
        <f t="shared" ca="1" si="50"/>
        <v>0.3051941194691159</v>
      </c>
      <c r="G1604" s="3">
        <f t="shared" ref="G1604:G1667" ca="1" si="51">SQRT(_xlfn.NORM.INV(E1604,$C$3*COS($C$6),$C$4)^2+_xlfn.NORM.INV(F1604,$C$3*SIN($C$6),$C$4)^2)</f>
        <v>1.9274652718850949</v>
      </c>
      <c r="H1604" s="2"/>
      <c r="I1604" s="2"/>
      <c r="J1604" s="2"/>
      <c r="K1604" s="2"/>
    </row>
    <row r="1605" spans="5:11" x14ac:dyDescent="0.25">
      <c r="E1605" s="3">
        <f t="shared" ca="1" si="50"/>
        <v>0.7170705038389682</v>
      </c>
      <c r="F1605" s="3">
        <f t="shared" ca="1" si="50"/>
        <v>0.91043426378641901</v>
      </c>
      <c r="G1605" s="3">
        <f t="shared" ca="1" si="51"/>
        <v>11.204903066040606</v>
      </c>
      <c r="H1605" s="2"/>
      <c r="I1605" s="2"/>
      <c r="J1605" s="2"/>
      <c r="K1605" s="2"/>
    </row>
    <row r="1606" spans="5:11" x14ac:dyDescent="0.25">
      <c r="E1606" s="3">
        <f t="shared" ca="1" si="50"/>
        <v>0.59400023769015553</v>
      </c>
      <c r="F1606" s="3">
        <f t="shared" ca="1" si="50"/>
        <v>0.84417002315048961</v>
      </c>
      <c r="G1606" s="3">
        <f t="shared" ca="1" si="51"/>
        <v>9.5865096692776479</v>
      </c>
      <c r="H1606" s="2"/>
      <c r="I1606" s="2"/>
      <c r="J1606" s="2"/>
      <c r="K1606" s="2"/>
    </row>
    <row r="1607" spans="5:11" x14ac:dyDescent="0.25">
      <c r="E1607" s="3">
        <f t="shared" ca="1" si="50"/>
        <v>0.20099899853564085</v>
      </c>
      <c r="F1607" s="3">
        <f t="shared" ca="1" si="50"/>
        <v>0.16014981803649364</v>
      </c>
      <c r="G1607" s="3">
        <f t="shared" ca="1" si="51"/>
        <v>6.4500083300140805</v>
      </c>
      <c r="H1607" s="2"/>
      <c r="I1607" s="2"/>
      <c r="J1607" s="2"/>
      <c r="K1607" s="2"/>
    </row>
    <row r="1608" spans="5:11" x14ac:dyDescent="0.25">
      <c r="E1608" s="3">
        <f t="shared" ca="1" si="50"/>
        <v>0.36863002241039533</v>
      </c>
      <c r="F1608" s="3">
        <f t="shared" ca="1" si="50"/>
        <v>0.84063385224518972</v>
      </c>
      <c r="G1608" s="3">
        <f t="shared" ca="1" si="51"/>
        <v>10.234844731107264</v>
      </c>
      <c r="H1608" s="2"/>
      <c r="I1608" s="2"/>
      <c r="J1608" s="2"/>
      <c r="K1608" s="2"/>
    </row>
    <row r="1609" spans="5:11" x14ac:dyDescent="0.25">
      <c r="E1609" s="3">
        <f t="shared" ca="1" si="50"/>
        <v>0.97543969178593615</v>
      </c>
      <c r="F1609" s="3">
        <f t="shared" ca="1" si="50"/>
        <v>0.83803703597529944</v>
      </c>
      <c r="G1609" s="3">
        <f t="shared" ca="1" si="51"/>
        <v>12.087972736400525</v>
      </c>
      <c r="H1609" s="2"/>
      <c r="I1609" s="2"/>
      <c r="J1609" s="2"/>
      <c r="K1609" s="2"/>
    </row>
    <row r="1610" spans="5:11" x14ac:dyDescent="0.25">
      <c r="E1610" s="3">
        <f t="shared" ca="1" si="50"/>
        <v>0.7046086245487051</v>
      </c>
      <c r="F1610" s="3">
        <f t="shared" ca="1" si="50"/>
        <v>0.9272421907540136</v>
      </c>
      <c r="G1610" s="3">
        <f t="shared" ca="1" si="51"/>
        <v>11.756303892310923</v>
      </c>
      <c r="H1610" s="2"/>
      <c r="I1610" s="2"/>
      <c r="J1610" s="2"/>
      <c r="K1610" s="2"/>
    </row>
    <row r="1611" spans="5:11" x14ac:dyDescent="0.25">
      <c r="E1611" s="3">
        <f t="shared" ca="1" si="50"/>
        <v>0.9076614101289513</v>
      </c>
      <c r="F1611" s="3">
        <f t="shared" ca="1" si="50"/>
        <v>0.70225545897954555</v>
      </c>
      <c r="G1611" s="3">
        <f t="shared" ca="1" si="51"/>
        <v>8.3695028601925845</v>
      </c>
      <c r="H1611" s="2"/>
      <c r="I1611" s="2"/>
      <c r="J1611" s="2"/>
      <c r="K1611" s="2"/>
    </row>
    <row r="1612" spans="5:11" x14ac:dyDescent="0.25">
      <c r="E1612" s="3">
        <f t="shared" ca="1" si="50"/>
        <v>0.50185426028582014</v>
      </c>
      <c r="F1612" s="3">
        <f t="shared" ca="1" si="50"/>
        <v>0.83120365458032974</v>
      </c>
      <c r="G1612" s="3">
        <f t="shared" ca="1" si="51"/>
        <v>9.526244329878752</v>
      </c>
      <c r="H1612" s="2"/>
      <c r="I1612" s="2"/>
      <c r="J1612" s="2"/>
      <c r="K1612" s="2"/>
    </row>
    <row r="1613" spans="5:11" x14ac:dyDescent="0.25">
      <c r="E1613" s="3">
        <f t="shared" ca="1" si="50"/>
        <v>0.11426380636226452</v>
      </c>
      <c r="F1613" s="3">
        <f t="shared" ca="1" si="50"/>
        <v>0.3612435779623423</v>
      </c>
      <c r="G1613" s="3">
        <f t="shared" ca="1" si="51"/>
        <v>8.6894290043401607</v>
      </c>
      <c r="H1613" s="2"/>
      <c r="I1613" s="2"/>
      <c r="J1613" s="2"/>
      <c r="K1613" s="2"/>
    </row>
    <row r="1614" spans="5:11" x14ac:dyDescent="0.25">
      <c r="E1614" s="3">
        <f t="shared" ca="1" si="50"/>
        <v>0.62033641402765782</v>
      </c>
      <c r="F1614" s="3">
        <f t="shared" ca="1" si="50"/>
        <v>0.48200464079060346</v>
      </c>
      <c r="G1614" s="3">
        <f t="shared" ca="1" si="51"/>
        <v>4.3031035649220186</v>
      </c>
      <c r="H1614" s="2"/>
      <c r="I1614" s="2"/>
      <c r="J1614" s="2"/>
      <c r="K1614" s="2"/>
    </row>
    <row r="1615" spans="5:11" x14ac:dyDescent="0.25">
      <c r="E1615" s="3">
        <f t="shared" ca="1" si="50"/>
        <v>0.36182875386679292</v>
      </c>
      <c r="F1615" s="3">
        <f t="shared" ca="1" si="50"/>
        <v>0.43370740402958463</v>
      </c>
      <c r="G1615" s="3">
        <f t="shared" ca="1" si="51"/>
        <v>5.4112086510273958</v>
      </c>
      <c r="H1615" s="2"/>
      <c r="I1615" s="2"/>
      <c r="J1615" s="2"/>
      <c r="K1615" s="2"/>
    </row>
    <row r="1616" spans="5:11" x14ac:dyDescent="0.25">
      <c r="E1616" s="3">
        <f t="shared" ca="1" si="50"/>
        <v>0.17439392126524522</v>
      </c>
      <c r="F1616" s="3">
        <f t="shared" ca="1" si="50"/>
        <v>0.46461504127339515</v>
      </c>
      <c r="G1616" s="3">
        <f t="shared" ca="1" si="51"/>
        <v>8.01029190502374</v>
      </c>
      <c r="H1616" s="2"/>
      <c r="I1616" s="2"/>
      <c r="J1616" s="2"/>
      <c r="K1616" s="2"/>
    </row>
    <row r="1617" spans="5:11" x14ac:dyDescent="0.25">
      <c r="E1617" s="3">
        <f t="shared" ca="1" si="50"/>
        <v>0.29230712763498956</v>
      </c>
      <c r="F1617" s="3">
        <f t="shared" ca="1" si="50"/>
        <v>0.98205802951008792</v>
      </c>
      <c r="G1617" s="3">
        <f t="shared" ca="1" si="51"/>
        <v>15.766237873740177</v>
      </c>
      <c r="H1617" s="2"/>
      <c r="I1617" s="2"/>
      <c r="J1617" s="2"/>
      <c r="K1617" s="2"/>
    </row>
    <row r="1618" spans="5:11" x14ac:dyDescent="0.25">
      <c r="E1618" s="3">
        <f t="shared" ca="1" si="50"/>
        <v>0.12489516737016126</v>
      </c>
      <c r="F1618" s="3">
        <f t="shared" ca="1" si="50"/>
        <v>0.60985415176691393</v>
      </c>
      <c r="G1618" s="3">
        <f t="shared" ca="1" si="51"/>
        <v>9.9150929468470554</v>
      </c>
      <c r="H1618" s="2"/>
      <c r="I1618" s="2"/>
      <c r="J1618" s="2"/>
      <c r="K1618" s="2"/>
    </row>
    <row r="1619" spans="5:11" x14ac:dyDescent="0.25">
      <c r="E1619" s="3">
        <f t="shared" ca="1" si="50"/>
        <v>0.74947432341123887</v>
      </c>
      <c r="F1619" s="3">
        <f t="shared" ca="1" si="50"/>
        <v>0.35631965132311105</v>
      </c>
      <c r="G1619" s="3">
        <f t="shared" ca="1" si="51"/>
        <v>2.8585873003885518</v>
      </c>
      <c r="H1619" s="2"/>
      <c r="I1619" s="2"/>
      <c r="J1619" s="2"/>
      <c r="K1619" s="2"/>
    </row>
    <row r="1620" spans="5:11" x14ac:dyDescent="0.25">
      <c r="E1620" s="3">
        <f t="shared" ca="1" si="50"/>
        <v>2.4027779296322826E-3</v>
      </c>
      <c r="F1620" s="3">
        <f t="shared" ca="1" si="50"/>
        <v>0.46370176431983068</v>
      </c>
      <c r="G1620" s="3">
        <f t="shared" ca="1" si="51"/>
        <v>16.825230806811646</v>
      </c>
      <c r="H1620" s="2"/>
      <c r="I1620" s="2"/>
      <c r="J1620" s="2"/>
      <c r="K1620" s="2"/>
    </row>
    <row r="1621" spans="5:11" x14ac:dyDescent="0.25">
      <c r="E1621" s="3">
        <f t="shared" ca="1" si="50"/>
        <v>0.31079311812685129</v>
      </c>
      <c r="F1621" s="3">
        <f t="shared" ca="1" si="50"/>
        <v>0.50416264322297955</v>
      </c>
      <c r="G1621" s="3">
        <f t="shared" ca="1" si="51"/>
        <v>6.528306247438258</v>
      </c>
      <c r="H1621" s="2"/>
      <c r="I1621" s="2"/>
      <c r="J1621" s="2"/>
      <c r="K1621" s="2"/>
    </row>
    <row r="1622" spans="5:11" x14ac:dyDescent="0.25">
      <c r="E1622" s="3">
        <f t="shared" ca="1" si="50"/>
        <v>0.22726617848225661</v>
      </c>
      <c r="F1622" s="3">
        <f t="shared" ca="1" si="50"/>
        <v>0.8816082243440555</v>
      </c>
      <c r="G1622" s="3">
        <f t="shared" ca="1" si="51"/>
        <v>11.983832051071987</v>
      </c>
      <c r="H1622" s="2"/>
      <c r="I1622" s="2"/>
      <c r="J1622" s="2"/>
      <c r="K1622" s="2"/>
    </row>
    <row r="1623" spans="5:11" x14ac:dyDescent="0.25">
      <c r="E1623" s="3">
        <f t="shared" ca="1" si="50"/>
        <v>0.23028976704237802</v>
      </c>
      <c r="F1623" s="3">
        <f t="shared" ca="1" si="50"/>
        <v>0.94892906531032106</v>
      </c>
      <c r="G1623" s="3">
        <f t="shared" ca="1" si="51"/>
        <v>13.964331439458073</v>
      </c>
      <c r="H1623" s="2"/>
      <c r="I1623" s="2"/>
      <c r="J1623" s="2"/>
      <c r="K1623" s="2"/>
    </row>
    <row r="1624" spans="5:11" x14ac:dyDescent="0.25">
      <c r="E1624" s="3">
        <f t="shared" ca="1" si="50"/>
        <v>0.66959282615915239</v>
      </c>
      <c r="F1624" s="3">
        <f t="shared" ca="1" si="50"/>
        <v>0.3069057564521509</v>
      </c>
      <c r="G1624" s="3">
        <f t="shared" ca="1" si="51"/>
        <v>1.9473353271951068</v>
      </c>
      <c r="H1624" s="2"/>
      <c r="I1624" s="2"/>
      <c r="J1624" s="2"/>
      <c r="K1624" s="2"/>
    </row>
    <row r="1625" spans="5:11" x14ac:dyDescent="0.25">
      <c r="E1625" s="3">
        <f t="shared" ca="1" si="50"/>
        <v>0.90595646147677911</v>
      </c>
      <c r="F1625" s="3">
        <f t="shared" ca="1" si="50"/>
        <v>0.36083080024435243</v>
      </c>
      <c r="G1625" s="3">
        <f t="shared" ca="1" si="51"/>
        <v>5.1061958512615222</v>
      </c>
      <c r="H1625" s="2"/>
      <c r="I1625" s="2"/>
      <c r="J1625" s="2"/>
      <c r="K1625" s="2"/>
    </row>
    <row r="1626" spans="5:11" x14ac:dyDescent="0.25">
      <c r="E1626" s="3">
        <f t="shared" ca="1" si="50"/>
        <v>0.53794424983632627</v>
      </c>
      <c r="F1626" s="3">
        <f t="shared" ca="1" si="50"/>
        <v>0.39402562148915277</v>
      </c>
      <c r="G1626" s="3">
        <f t="shared" ca="1" si="51"/>
        <v>3.5892150469332438</v>
      </c>
      <c r="H1626" s="2"/>
      <c r="I1626" s="2"/>
      <c r="J1626" s="2"/>
      <c r="K1626" s="2"/>
    </row>
    <row r="1627" spans="5:11" x14ac:dyDescent="0.25">
      <c r="E1627" s="3">
        <f t="shared" ca="1" si="50"/>
        <v>0.86613165584287788</v>
      </c>
      <c r="F1627" s="3">
        <f t="shared" ca="1" si="50"/>
        <v>0.78953782217783119</v>
      </c>
      <c r="G1627" s="3">
        <f t="shared" ca="1" si="51"/>
        <v>9.1129835209045549</v>
      </c>
      <c r="H1627" s="2"/>
      <c r="I1627" s="2"/>
      <c r="J1627" s="2"/>
      <c r="K1627" s="2"/>
    </row>
    <row r="1628" spans="5:11" x14ac:dyDescent="0.25">
      <c r="E1628" s="3">
        <f t="shared" ca="1" si="50"/>
        <v>0.3121064074410933</v>
      </c>
      <c r="F1628" s="3">
        <f t="shared" ca="1" si="50"/>
        <v>0.56170455726304758</v>
      </c>
      <c r="G1628" s="3">
        <f t="shared" ca="1" si="51"/>
        <v>7.0370097068803208</v>
      </c>
      <c r="H1628" s="2"/>
      <c r="I1628" s="2"/>
      <c r="J1628" s="2"/>
      <c r="K1628" s="2"/>
    </row>
    <row r="1629" spans="5:11" x14ac:dyDescent="0.25">
      <c r="E1629" s="3">
        <f t="shared" ca="1" si="50"/>
        <v>0.38647612263496223</v>
      </c>
      <c r="F1629" s="3">
        <f t="shared" ca="1" si="50"/>
        <v>0.55765126928149922</v>
      </c>
      <c r="G1629" s="3">
        <f t="shared" ca="1" si="51"/>
        <v>6.3681094883450005</v>
      </c>
      <c r="H1629" s="2"/>
      <c r="I1629" s="2"/>
      <c r="J1629" s="2"/>
      <c r="K1629" s="2"/>
    </row>
    <row r="1630" spans="5:11" x14ac:dyDescent="0.25">
      <c r="E1630" s="3">
        <f t="shared" ca="1" si="50"/>
        <v>0.74302407515179192</v>
      </c>
      <c r="F1630" s="3">
        <f t="shared" ca="1" si="50"/>
        <v>2.0576816973963075E-2</v>
      </c>
      <c r="G1630" s="3">
        <f t="shared" ca="1" si="51"/>
        <v>5.8303807503804173</v>
      </c>
      <c r="H1630" s="2"/>
      <c r="I1630" s="2"/>
      <c r="J1630" s="2"/>
      <c r="K1630" s="2"/>
    </row>
    <row r="1631" spans="5:11" x14ac:dyDescent="0.25">
      <c r="E1631" s="3">
        <f t="shared" ca="1" si="50"/>
        <v>0.71544794170003556</v>
      </c>
      <c r="F1631" s="3">
        <f t="shared" ca="1" si="50"/>
        <v>0.67838807391503109</v>
      </c>
      <c r="G1631" s="3">
        <f t="shared" ca="1" si="51"/>
        <v>6.8130118110804467</v>
      </c>
      <c r="H1631" s="2"/>
      <c r="I1631" s="2"/>
      <c r="J1631" s="2"/>
      <c r="K1631" s="2"/>
    </row>
    <row r="1632" spans="5:11" x14ac:dyDescent="0.25">
      <c r="E1632" s="3">
        <f t="shared" ca="1" si="50"/>
        <v>0.25883065092609958</v>
      </c>
      <c r="F1632" s="3">
        <f t="shared" ca="1" si="50"/>
        <v>0.75921082735875867</v>
      </c>
      <c r="G1632" s="3">
        <f t="shared" ca="1" si="51"/>
        <v>9.6849538675420845</v>
      </c>
      <c r="H1632" s="2"/>
      <c r="I1632" s="2"/>
      <c r="J1632" s="2"/>
      <c r="K1632" s="2"/>
    </row>
    <row r="1633" spans="5:11" x14ac:dyDescent="0.25">
      <c r="E1633" s="3">
        <f t="shared" ca="1" si="50"/>
        <v>0.91605184509577819</v>
      </c>
      <c r="F1633" s="3">
        <f t="shared" ca="1" si="50"/>
        <v>0.13206919904127379</v>
      </c>
      <c r="G1633" s="3">
        <f t="shared" ca="1" si="51"/>
        <v>4.7859034710679085</v>
      </c>
      <c r="H1633" s="2"/>
      <c r="I1633" s="2"/>
      <c r="J1633" s="2"/>
      <c r="K1633" s="2"/>
    </row>
    <row r="1634" spans="5:11" x14ac:dyDescent="0.25">
      <c r="E1634" s="3">
        <f t="shared" ca="1" si="50"/>
        <v>0.47759597904840856</v>
      </c>
      <c r="F1634" s="3">
        <f t="shared" ca="1" si="50"/>
        <v>0.28736934696066008</v>
      </c>
      <c r="G1634" s="3">
        <f t="shared" ca="1" si="51"/>
        <v>3.0212132470819544</v>
      </c>
      <c r="H1634" s="2"/>
      <c r="I1634" s="2"/>
      <c r="J1634" s="2"/>
      <c r="K1634" s="2"/>
    </row>
    <row r="1635" spans="5:11" x14ac:dyDescent="0.25">
      <c r="E1635" s="3">
        <f t="shared" ca="1" si="50"/>
        <v>0.39065623675764083</v>
      </c>
      <c r="F1635" s="3">
        <f t="shared" ca="1" si="50"/>
        <v>0.65236211728811977</v>
      </c>
      <c r="G1635" s="3">
        <f t="shared" ca="1" si="51"/>
        <v>7.3818114571114037</v>
      </c>
      <c r="H1635" s="2"/>
      <c r="I1635" s="2"/>
      <c r="J1635" s="2"/>
      <c r="K1635" s="2"/>
    </row>
    <row r="1636" spans="5:11" x14ac:dyDescent="0.25">
      <c r="E1636" s="3">
        <f t="shared" ca="1" si="50"/>
        <v>0.43559820726370135</v>
      </c>
      <c r="F1636" s="3">
        <f t="shared" ca="1" si="50"/>
        <v>0.20999389764788323</v>
      </c>
      <c r="G1636" s="3">
        <f t="shared" ca="1" si="51"/>
        <v>3.0823090042914125</v>
      </c>
      <c r="H1636" s="2"/>
      <c r="I1636" s="2"/>
      <c r="J1636" s="2"/>
      <c r="K1636" s="2"/>
    </row>
    <row r="1637" spans="5:11" x14ac:dyDescent="0.25">
      <c r="E1637" s="3">
        <f t="shared" ca="1" si="50"/>
        <v>0.99893860725840311</v>
      </c>
      <c r="F1637" s="3">
        <f t="shared" ca="1" si="50"/>
        <v>0.68379520022090634</v>
      </c>
      <c r="G1637" s="3">
        <f t="shared" ca="1" si="51"/>
        <v>14.807837188279336</v>
      </c>
      <c r="H1637" s="2"/>
      <c r="I1637" s="2"/>
      <c r="J1637" s="2"/>
      <c r="K1637" s="2"/>
    </row>
    <row r="1638" spans="5:11" x14ac:dyDescent="0.25">
      <c r="E1638" s="3">
        <f t="shared" ca="1" si="50"/>
        <v>0.36892049637872526</v>
      </c>
      <c r="F1638" s="3">
        <f t="shared" ca="1" si="50"/>
        <v>1.3194355090959009E-2</v>
      </c>
      <c r="G1638" s="3">
        <f t="shared" ca="1" si="51"/>
        <v>7.7010000077546854</v>
      </c>
      <c r="H1638" s="2"/>
      <c r="I1638" s="2"/>
      <c r="J1638" s="2"/>
      <c r="K1638" s="2"/>
    </row>
    <row r="1639" spans="5:11" x14ac:dyDescent="0.25">
      <c r="E1639" s="3">
        <f t="shared" ca="1" si="50"/>
        <v>8.2162366114099106E-2</v>
      </c>
      <c r="F1639" s="3">
        <f t="shared" ca="1" si="50"/>
        <v>0.29107708745836525</v>
      </c>
      <c r="G1639" s="3">
        <f t="shared" ca="1" si="51"/>
        <v>9.3530151106481281</v>
      </c>
      <c r="H1639" s="2"/>
      <c r="I1639" s="2"/>
      <c r="J1639" s="2"/>
      <c r="K1639" s="2"/>
    </row>
    <row r="1640" spans="5:11" x14ac:dyDescent="0.25">
      <c r="E1640" s="3">
        <f t="shared" ca="1" si="50"/>
        <v>0.4160794351903454</v>
      </c>
      <c r="F1640" s="3">
        <f t="shared" ca="1" si="50"/>
        <v>0.17628450222552416</v>
      </c>
      <c r="G1640" s="3">
        <f t="shared" ca="1" si="51"/>
        <v>3.3048386292183354</v>
      </c>
      <c r="H1640" s="2"/>
      <c r="I1640" s="2"/>
      <c r="J1640" s="2"/>
      <c r="K1640" s="2"/>
    </row>
    <row r="1641" spans="5:11" x14ac:dyDescent="0.25">
      <c r="E1641" s="3">
        <f t="shared" ca="1" si="50"/>
        <v>1.0514002877902939E-2</v>
      </c>
      <c r="F1641" s="3">
        <f t="shared" ca="1" si="50"/>
        <v>0.68631590302412593</v>
      </c>
      <c r="G1641" s="3">
        <f t="shared" ca="1" si="51"/>
        <v>15.407719573461877</v>
      </c>
      <c r="H1641" s="2"/>
      <c r="I1641" s="2"/>
      <c r="J1641" s="2"/>
      <c r="K1641" s="2"/>
    </row>
    <row r="1642" spans="5:11" x14ac:dyDescent="0.25">
      <c r="E1642" s="3">
        <f t="shared" ca="1" si="50"/>
        <v>0.89243614752934308</v>
      </c>
      <c r="F1642" s="3">
        <f t="shared" ca="1" si="50"/>
        <v>0.87431885016520439</v>
      </c>
      <c r="G1642" s="3">
        <f t="shared" ca="1" si="51"/>
        <v>10.945722608541869</v>
      </c>
      <c r="H1642" s="2"/>
      <c r="I1642" s="2"/>
      <c r="J1642" s="2"/>
      <c r="K1642" s="2"/>
    </row>
    <row r="1643" spans="5:11" x14ac:dyDescent="0.25">
      <c r="E1643" s="3">
        <f t="shared" ca="1" si="50"/>
        <v>0.93436700080563617</v>
      </c>
      <c r="F1643" s="3">
        <f t="shared" ca="1" si="50"/>
        <v>0.38000365089788102</v>
      </c>
      <c r="G1643" s="3">
        <f t="shared" ca="1" si="51"/>
        <v>6.0667109431870712</v>
      </c>
      <c r="H1643" s="2"/>
      <c r="I1643" s="2"/>
      <c r="J1643" s="2"/>
      <c r="K1643" s="2"/>
    </row>
    <row r="1644" spans="5:11" x14ac:dyDescent="0.25">
      <c r="E1644" s="3">
        <f t="shared" ca="1" si="50"/>
        <v>0.47365133517524094</v>
      </c>
      <c r="F1644" s="3">
        <f t="shared" ca="1" si="50"/>
        <v>0.45736833902209062</v>
      </c>
      <c r="G1644" s="3">
        <f t="shared" ca="1" si="51"/>
        <v>4.7000764131080546</v>
      </c>
      <c r="H1644" s="2"/>
      <c r="I1644" s="2"/>
      <c r="J1644" s="2"/>
      <c r="K1644" s="2"/>
    </row>
    <row r="1645" spans="5:11" x14ac:dyDescent="0.25">
      <c r="E1645" s="3">
        <f t="shared" ca="1" si="50"/>
        <v>0.19931598905879844</v>
      </c>
      <c r="F1645" s="3">
        <f t="shared" ca="1" si="50"/>
        <v>9.6894552264047085E-2</v>
      </c>
      <c r="G1645" s="3">
        <f t="shared" ca="1" si="51"/>
        <v>6.771301134810944</v>
      </c>
      <c r="H1645" s="2"/>
      <c r="I1645" s="2"/>
      <c r="J1645" s="2"/>
      <c r="K1645" s="2"/>
    </row>
    <row r="1646" spans="5:11" x14ac:dyDescent="0.25">
      <c r="E1646" s="3">
        <f t="shared" ca="1" si="50"/>
        <v>0.40800626685761543</v>
      </c>
      <c r="F1646" s="3">
        <f t="shared" ca="1" si="50"/>
        <v>0.25155187457962769</v>
      </c>
      <c r="G1646" s="3">
        <f t="shared" ca="1" si="51"/>
        <v>3.5838818070404419</v>
      </c>
      <c r="H1646" s="2"/>
      <c r="I1646" s="2"/>
      <c r="J1646" s="2"/>
      <c r="K1646" s="2"/>
    </row>
    <row r="1647" spans="5:11" x14ac:dyDescent="0.25">
      <c r="E1647" s="3">
        <f t="shared" ca="1" si="50"/>
        <v>0.53024373724550533</v>
      </c>
      <c r="F1647" s="3">
        <f t="shared" ca="1" si="50"/>
        <v>7.5045480801161357E-2</v>
      </c>
      <c r="G1647" s="3">
        <f t="shared" ca="1" si="51"/>
        <v>3.3006970217282214</v>
      </c>
      <c r="H1647" s="2"/>
      <c r="I1647" s="2"/>
      <c r="J1647" s="2"/>
      <c r="K1647" s="2"/>
    </row>
    <row r="1648" spans="5:11" x14ac:dyDescent="0.25">
      <c r="E1648" s="3">
        <f t="shared" ca="1" si="50"/>
        <v>0.73432617094318353</v>
      </c>
      <c r="F1648" s="3">
        <f t="shared" ca="1" si="50"/>
        <v>0.12933824471921296</v>
      </c>
      <c r="G1648" s="3">
        <f t="shared" ca="1" si="51"/>
        <v>1.4757504971713171</v>
      </c>
      <c r="H1648" s="2"/>
      <c r="I1648" s="2"/>
      <c r="J1648" s="2"/>
      <c r="K1648" s="2"/>
    </row>
    <row r="1649" spans="5:11" x14ac:dyDescent="0.25">
      <c r="E1649" s="3">
        <f t="shared" ca="1" si="50"/>
        <v>0.20010709456973841</v>
      </c>
      <c r="F1649" s="3">
        <f t="shared" ca="1" si="50"/>
        <v>5.2975461998625573E-3</v>
      </c>
      <c r="G1649" s="3">
        <f t="shared" ca="1" si="51"/>
        <v>10.516464555346493</v>
      </c>
      <c r="H1649" s="2"/>
      <c r="I1649" s="2"/>
      <c r="J1649" s="2"/>
      <c r="K1649" s="2"/>
    </row>
    <row r="1650" spans="5:11" x14ac:dyDescent="0.25">
      <c r="E1650" s="3">
        <f t="shared" ca="1" si="50"/>
        <v>0.75473206498142298</v>
      </c>
      <c r="F1650" s="3">
        <f t="shared" ca="1" si="50"/>
        <v>0.90425775160439514</v>
      </c>
      <c r="G1650" s="3">
        <f t="shared" ca="1" si="51"/>
        <v>11.066991359292979</v>
      </c>
      <c r="H1650" s="2"/>
      <c r="I1650" s="2"/>
      <c r="J1650" s="2"/>
      <c r="K1650" s="2"/>
    </row>
    <row r="1651" spans="5:11" x14ac:dyDescent="0.25">
      <c r="E1651" s="3">
        <f t="shared" ca="1" si="50"/>
        <v>0.52737995720827735</v>
      </c>
      <c r="F1651" s="3">
        <f t="shared" ca="1" si="50"/>
        <v>0.4690468905750842</v>
      </c>
      <c r="G1651" s="3">
        <f t="shared" ca="1" si="51"/>
        <v>4.5009201780837671</v>
      </c>
      <c r="H1651" s="2"/>
      <c r="I1651" s="2"/>
      <c r="J1651" s="2"/>
      <c r="K1651" s="2"/>
    </row>
    <row r="1652" spans="5:11" x14ac:dyDescent="0.25">
      <c r="E1652" s="3">
        <f t="shared" ca="1" si="50"/>
        <v>0.33048596980600065</v>
      </c>
      <c r="F1652" s="3">
        <f t="shared" ca="1" si="50"/>
        <v>0.50852000570431588</v>
      </c>
      <c r="G1652" s="3">
        <f t="shared" ca="1" si="51"/>
        <v>6.371840783972341</v>
      </c>
      <c r="H1652" s="2"/>
      <c r="I1652" s="2"/>
      <c r="J1652" s="2"/>
      <c r="K1652" s="2"/>
    </row>
    <row r="1653" spans="5:11" x14ac:dyDescent="0.25">
      <c r="E1653" s="3">
        <f t="shared" ca="1" si="50"/>
        <v>5.6777019430746423E-2</v>
      </c>
      <c r="F1653" s="3">
        <f t="shared" ca="1" si="50"/>
        <v>0.57078599538562591</v>
      </c>
      <c r="G1653" s="3">
        <f t="shared" ca="1" si="51"/>
        <v>11.481377268087307</v>
      </c>
      <c r="H1653" s="2"/>
      <c r="I1653" s="2"/>
      <c r="J1653" s="2"/>
      <c r="K1653" s="2"/>
    </row>
    <row r="1654" spans="5:11" x14ac:dyDescent="0.25">
      <c r="E1654" s="3">
        <f t="shared" ca="1" si="50"/>
        <v>0.43926783229139343</v>
      </c>
      <c r="F1654" s="3">
        <f t="shared" ca="1" si="50"/>
        <v>0.91298942886212453</v>
      </c>
      <c r="G1654" s="3">
        <f t="shared" ca="1" si="51"/>
        <v>11.660680214812405</v>
      </c>
      <c r="H1654" s="2"/>
      <c r="I1654" s="2"/>
      <c r="J1654" s="2"/>
      <c r="K1654" s="2"/>
    </row>
    <row r="1655" spans="5:11" x14ac:dyDescent="0.25">
      <c r="E1655" s="3">
        <f t="shared" ca="1" si="50"/>
        <v>7.8376267741677719E-2</v>
      </c>
      <c r="F1655" s="3">
        <f t="shared" ca="1" si="50"/>
        <v>0.35249270035896485</v>
      </c>
      <c r="G1655" s="3">
        <f t="shared" ca="1" si="51"/>
        <v>9.6704412097586516</v>
      </c>
      <c r="H1655" s="2"/>
      <c r="I1655" s="2"/>
      <c r="J1655" s="2"/>
      <c r="K1655" s="2"/>
    </row>
    <row r="1656" spans="5:11" x14ac:dyDescent="0.25">
      <c r="E1656" s="3">
        <f t="shared" ca="1" si="50"/>
        <v>0.90640687111102125</v>
      </c>
      <c r="F1656" s="3">
        <f t="shared" ca="1" si="50"/>
        <v>1.5792569210975826E-2</v>
      </c>
      <c r="G1656" s="3">
        <f t="shared" ca="1" si="51"/>
        <v>7.6403829365357376</v>
      </c>
      <c r="H1656" s="2"/>
      <c r="I1656" s="2"/>
      <c r="J1656" s="2"/>
      <c r="K1656" s="2"/>
    </row>
    <row r="1657" spans="5:11" x14ac:dyDescent="0.25">
      <c r="E1657" s="3">
        <f t="shared" ca="1" si="50"/>
        <v>0.90740550657304464</v>
      </c>
      <c r="F1657" s="3">
        <f t="shared" ca="1" si="50"/>
        <v>0.1184303646599375</v>
      </c>
      <c r="G1657" s="3">
        <f t="shared" ca="1" si="51"/>
        <v>4.6161490953527977</v>
      </c>
      <c r="H1657" s="2"/>
      <c r="I1657" s="2"/>
      <c r="J1657" s="2"/>
      <c r="K1657" s="2"/>
    </row>
    <row r="1658" spans="5:11" x14ac:dyDescent="0.25">
      <c r="E1658" s="3">
        <f t="shared" ca="1" si="50"/>
        <v>0.89396335969817819</v>
      </c>
      <c r="F1658" s="3">
        <f t="shared" ca="1" si="50"/>
        <v>0.68423529969644037</v>
      </c>
      <c r="G1658" s="3">
        <f t="shared" ca="1" si="51"/>
        <v>7.9473230938028223</v>
      </c>
      <c r="H1658" s="2"/>
      <c r="I1658" s="2"/>
      <c r="J1658" s="2"/>
      <c r="K1658" s="2"/>
    </row>
    <row r="1659" spans="5:11" x14ac:dyDescent="0.25">
      <c r="E1659" s="3">
        <f t="shared" ca="1" si="50"/>
        <v>0.35038666842631028</v>
      </c>
      <c r="F1659" s="3">
        <f t="shared" ca="1" si="50"/>
        <v>0.36400614993143565</v>
      </c>
      <c r="G1659" s="3">
        <f t="shared" ca="1" si="51"/>
        <v>4.9778755491132545</v>
      </c>
      <c r="H1659" s="2"/>
      <c r="I1659" s="2"/>
      <c r="J1659" s="2"/>
      <c r="K1659" s="2"/>
    </row>
    <row r="1660" spans="5:11" x14ac:dyDescent="0.25">
      <c r="E1660" s="3">
        <f t="shared" ca="1" si="50"/>
        <v>0.19763948023687239</v>
      </c>
      <c r="F1660" s="3">
        <f t="shared" ca="1" si="50"/>
        <v>0.9791988277371001</v>
      </c>
      <c r="G1660" s="3">
        <f t="shared" ca="1" si="51"/>
        <v>16.030239915326018</v>
      </c>
      <c r="H1660" s="2"/>
      <c r="I1660" s="2"/>
      <c r="J1660" s="2"/>
      <c r="K1660" s="2"/>
    </row>
    <row r="1661" spans="5:11" x14ac:dyDescent="0.25">
      <c r="E1661" s="3">
        <f t="shared" ca="1" si="50"/>
        <v>0.99550497814967387</v>
      </c>
      <c r="F1661" s="3">
        <f t="shared" ca="1" si="50"/>
        <v>0.74908440951180666</v>
      </c>
      <c r="G1661" s="3">
        <f t="shared" ca="1" si="51"/>
        <v>13.356251141794599</v>
      </c>
      <c r="H1661" s="2"/>
      <c r="I1661" s="2"/>
      <c r="J1661" s="2"/>
      <c r="K1661" s="2"/>
    </row>
    <row r="1662" spans="5:11" x14ac:dyDescent="0.25">
      <c r="E1662" s="3">
        <f t="shared" ca="1" si="50"/>
        <v>0.52298433397018429</v>
      </c>
      <c r="F1662" s="3">
        <f t="shared" ca="1" si="50"/>
        <v>0.46696692278512075</v>
      </c>
      <c r="G1662" s="3">
        <f t="shared" ca="1" si="51"/>
        <v>4.5008830414333731</v>
      </c>
      <c r="H1662" s="2"/>
      <c r="I1662" s="2"/>
      <c r="J1662" s="2"/>
      <c r="K1662" s="2"/>
    </row>
    <row r="1663" spans="5:11" x14ac:dyDescent="0.25">
      <c r="E1663" s="3">
        <f t="shared" ca="1" si="50"/>
        <v>0.76381381125725989</v>
      </c>
      <c r="F1663" s="3">
        <f t="shared" ca="1" si="50"/>
        <v>0.80481082818909044</v>
      </c>
      <c r="G1663" s="3">
        <f t="shared" ca="1" si="51"/>
        <v>8.8684196073125019</v>
      </c>
      <c r="H1663" s="2"/>
      <c r="I1663" s="2"/>
      <c r="J1663" s="2"/>
      <c r="K1663" s="2"/>
    </row>
    <row r="1664" spans="5:11" x14ac:dyDescent="0.25">
      <c r="E1664" s="3">
        <f t="shared" ca="1" si="50"/>
        <v>0.72170139369532504</v>
      </c>
      <c r="F1664" s="3">
        <f t="shared" ca="1" si="50"/>
        <v>0.70325216736849216</v>
      </c>
      <c r="G1664" s="3">
        <f t="shared" ca="1" si="51"/>
        <v>7.1730234968543334</v>
      </c>
      <c r="H1664" s="2"/>
      <c r="I1664" s="2"/>
      <c r="J1664" s="2"/>
      <c r="K1664" s="2"/>
    </row>
    <row r="1665" spans="5:11" x14ac:dyDescent="0.25">
      <c r="E1665" s="3">
        <f t="shared" ca="1" si="50"/>
        <v>0.45002118713983608</v>
      </c>
      <c r="F1665" s="3">
        <f t="shared" ca="1" si="50"/>
        <v>0.57312984217881591</v>
      </c>
      <c r="G1665" s="3">
        <f t="shared" ca="1" si="51"/>
        <v>6.1072456958826118</v>
      </c>
      <c r="H1665" s="2"/>
      <c r="I1665" s="2"/>
      <c r="J1665" s="2"/>
      <c r="K1665" s="2"/>
    </row>
    <row r="1666" spans="5:11" x14ac:dyDescent="0.25">
      <c r="E1666" s="3">
        <f t="shared" ca="1" si="50"/>
        <v>0.63030809655453468</v>
      </c>
      <c r="F1666" s="3">
        <f t="shared" ca="1" si="50"/>
        <v>0.13398972883234661</v>
      </c>
      <c r="G1666" s="3">
        <f t="shared" ca="1" si="51"/>
        <v>1.2144860128881589</v>
      </c>
      <c r="H1666" s="2"/>
      <c r="I1666" s="2"/>
      <c r="J1666" s="2"/>
      <c r="K1666" s="2"/>
    </row>
    <row r="1667" spans="5:11" x14ac:dyDescent="0.25">
      <c r="E1667" s="3">
        <f t="shared" ca="1" si="50"/>
        <v>0.85359801779644207</v>
      </c>
      <c r="F1667" s="3">
        <f t="shared" ca="1" si="50"/>
        <v>0.76281979104856035</v>
      </c>
      <c r="G1667" s="3">
        <f t="shared" ca="1" si="51"/>
        <v>8.5948834537503824</v>
      </c>
      <c r="H1667" s="2"/>
      <c r="I1667" s="2"/>
      <c r="J1667" s="2"/>
      <c r="K1667" s="2"/>
    </row>
    <row r="1668" spans="5:11" x14ac:dyDescent="0.25">
      <c r="E1668" s="3">
        <f t="shared" ref="E1668:F1731" ca="1" si="52">RAND()</f>
        <v>0.18140501802955011</v>
      </c>
      <c r="F1668" s="3">
        <f t="shared" ca="1" si="52"/>
        <v>5.13394570704786E-2</v>
      </c>
      <c r="G1668" s="3">
        <f t="shared" ref="G1668:G1731" ca="1" si="53">SQRT(_xlfn.NORM.INV(E1668,$C$3*COS($C$6),$C$4)^2+_xlfn.NORM.INV(F1668,$C$3*SIN($C$6),$C$4)^2)</f>
        <v>7.7283263456353328</v>
      </c>
      <c r="H1668" s="2"/>
      <c r="I1668" s="2"/>
      <c r="J1668" s="2"/>
      <c r="K1668" s="2"/>
    </row>
    <row r="1669" spans="5:11" x14ac:dyDescent="0.25">
      <c r="E1669" s="3">
        <f t="shared" ca="1" si="52"/>
        <v>0.59454170065312695</v>
      </c>
      <c r="F1669" s="3">
        <f t="shared" ca="1" si="52"/>
        <v>0.1944313633547009</v>
      </c>
      <c r="G1669" s="3">
        <f t="shared" ca="1" si="53"/>
        <v>1.056576822767082</v>
      </c>
      <c r="H1669" s="2"/>
      <c r="I1669" s="2"/>
      <c r="J1669" s="2"/>
      <c r="K1669" s="2"/>
    </row>
    <row r="1670" spans="5:11" x14ac:dyDescent="0.25">
      <c r="E1670" s="3">
        <f t="shared" ca="1" si="52"/>
        <v>0.53621929842524385</v>
      </c>
      <c r="F1670" s="3">
        <f t="shared" ca="1" si="52"/>
        <v>0.37634315355336978</v>
      </c>
      <c r="G1670" s="3">
        <f t="shared" ca="1" si="53"/>
        <v>3.4010500212893726</v>
      </c>
      <c r="H1670" s="2"/>
      <c r="I1670" s="2"/>
      <c r="J1670" s="2"/>
      <c r="K1670" s="2"/>
    </row>
    <row r="1671" spans="5:11" x14ac:dyDescent="0.25">
      <c r="E1671" s="3">
        <f t="shared" ca="1" si="52"/>
        <v>0.86089786879442276</v>
      </c>
      <c r="F1671" s="3">
        <f t="shared" ca="1" si="52"/>
        <v>0.88909141767187794</v>
      </c>
      <c r="G1671" s="3">
        <f t="shared" ca="1" si="53"/>
        <v>11.046582545592331</v>
      </c>
      <c r="H1671" s="2"/>
      <c r="I1671" s="2"/>
      <c r="J1671" s="2"/>
      <c r="K1671" s="2"/>
    </row>
    <row r="1672" spans="5:11" x14ac:dyDescent="0.25">
      <c r="E1672" s="3">
        <f t="shared" ca="1" si="52"/>
        <v>0.53928241082323503</v>
      </c>
      <c r="F1672" s="3">
        <f t="shared" ca="1" si="52"/>
        <v>0.58582430927090379</v>
      </c>
      <c r="G1672" s="3">
        <f t="shared" ca="1" si="53"/>
        <v>5.8224122946746864</v>
      </c>
      <c r="H1672" s="2"/>
      <c r="I1672" s="2"/>
      <c r="J1672" s="2"/>
      <c r="K1672" s="2"/>
    </row>
    <row r="1673" spans="5:11" x14ac:dyDescent="0.25">
      <c r="E1673" s="3">
        <f t="shared" ca="1" si="52"/>
        <v>0.56602490231137803</v>
      </c>
      <c r="F1673" s="3">
        <f t="shared" ca="1" si="52"/>
        <v>0.61543554423025848</v>
      </c>
      <c r="G1673" s="3">
        <f t="shared" ca="1" si="53"/>
        <v>6.1024588473784727</v>
      </c>
      <c r="H1673" s="2"/>
      <c r="I1673" s="2"/>
      <c r="J1673" s="2"/>
      <c r="K1673" s="2"/>
    </row>
    <row r="1674" spans="5:11" x14ac:dyDescent="0.25">
      <c r="E1674" s="3">
        <f t="shared" ca="1" si="52"/>
        <v>0.13626118247045005</v>
      </c>
      <c r="F1674" s="3">
        <f t="shared" ca="1" si="52"/>
        <v>0.43332928563939765</v>
      </c>
      <c r="G1674" s="3">
        <f t="shared" ca="1" si="53"/>
        <v>8.5371309675675029</v>
      </c>
      <c r="H1674" s="2"/>
      <c r="I1674" s="2"/>
      <c r="J1674" s="2"/>
      <c r="K1674" s="2"/>
    </row>
    <row r="1675" spans="5:11" x14ac:dyDescent="0.25">
      <c r="E1675" s="3">
        <f t="shared" ca="1" si="52"/>
        <v>0.13824162721679878</v>
      </c>
      <c r="F1675" s="3">
        <f t="shared" ca="1" si="52"/>
        <v>0.47409306849842392</v>
      </c>
      <c r="G1675" s="3">
        <f t="shared" ca="1" si="53"/>
        <v>8.728633135512009</v>
      </c>
      <c r="H1675" s="2"/>
      <c r="I1675" s="2"/>
      <c r="J1675" s="2"/>
      <c r="K1675" s="2"/>
    </row>
    <row r="1676" spans="5:11" x14ac:dyDescent="0.25">
      <c r="E1676" s="3">
        <f t="shared" ca="1" si="52"/>
        <v>0.37462142051248315</v>
      </c>
      <c r="F1676" s="3">
        <f t="shared" ca="1" si="52"/>
        <v>0.29408432834077225</v>
      </c>
      <c r="G1676" s="3">
        <f t="shared" ca="1" si="53"/>
        <v>4.223862741290711</v>
      </c>
      <c r="H1676" s="2"/>
      <c r="I1676" s="2"/>
      <c r="J1676" s="2"/>
      <c r="K1676" s="2"/>
    </row>
    <row r="1677" spans="5:11" x14ac:dyDescent="0.25">
      <c r="E1677" s="3">
        <f t="shared" ca="1" si="52"/>
        <v>0.75263949843291444</v>
      </c>
      <c r="F1677" s="3">
        <f t="shared" ca="1" si="52"/>
        <v>0.19772882117142576</v>
      </c>
      <c r="G1677" s="3">
        <f t="shared" ca="1" si="53"/>
        <v>1.1943858121987698</v>
      </c>
      <c r="H1677" s="2"/>
      <c r="I1677" s="2"/>
      <c r="J1677" s="2"/>
      <c r="K1677" s="2"/>
    </row>
    <row r="1678" spans="5:11" x14ac:dyDescent="0.25">
      <c r="E1678" s="3">
        <f t="shared" ca="1" si="52"/>
        <v>0.19175443934515635</v>
      </c>
      <c r="F1678" s="3">
        <f t="shared" ca="1" si="52"/>
        <v>0.52163269304272919</v>
      </c>
      <c r="G1678" s="3">
        <f t="shared" ca="1" si="53"/>
        <v>8.124524168186058</v>
      </c>
      <c r="H1678" s="2"/>
      <c r="I1678" s="2"/>
      <c r="J1678" s="2"/>
      <c r="K1678" s="2"/>
    </row>
    <row r="1679" spans="5:11" x14ac:dyDescent="0.25">
      <c r="E1679" s="3">
        <f t="shared" ca="1" si="52"/>
        <v>0.52697642148875112</v>
      </c>
      <c r="F1679" s="3">
        <f t="shared" ca="1" si="52"/>
        <v>0.82788519224722801</v>
      </c>
      <c r="G1679" s="3">
        <f t="shared" ca="1" si="53"/>
        <v>9.3937598372334801</v>
      </c>
      <c r="H1679" s="2"/>
      <c r="I1679" s="2"/>
      <c r="J1679" s="2"/>
      <c r="K1679" s="2"/>
    </row>
    <row r="1680" spans="5:11" x14ac:dyDescent="0.25">
      <c r="E1680" s="3">
        <f t="shared" ca="1" si="52"/>
        <v>0.76239061413595188</v>
      </c>
      <c r="F1680" s="3">
        <f t="shared" ca="1" si="52"/>
        <v>0.34346370320644037</v>
      </c>
      <c r="G1680" s="3">
        <f t="shared" ca="1" si="53"/>
        <v>2.791836351416507</v>
      </c>
      <c r="H1680" s="2"/>
      <c r="I1680" s="2"/>
      <c r="J1680" s="2"/>
      <c r="K1680" s="2"/>
    </row>
    <row r="1681" spans="5:11" x14ac:dyDescent="0.25">
      <c r="E1681" s="3">
        <f t="shared" ca="1" si="52"/>
        <v>0.98963984050087384</v>
      </c>
      <c r="F1681" s="3">
        <f t="shared" ca="1" si="52"/>
        <v>0.20003739349269645</v>
      </c>
      <c r="G1681" s="3">
        <f t="shared" ca="1" si="53"/>
        <v>9.3285382268497496</v>
      </c>
      <c r="H1681" s="2"/>
      <c r="I1681" s="2"/>
      <c r="J1681" s="2"/>
      <c r="K1681" s="2"/>
    </row>
    <row r="1682" spans="5:11" x14ac:dyDescent="0.25">
      <c r="E1682" s="3">
        <f t="shared" ca="1" si="52"/>
        <v>0.7054291534666346</v>
      </c>
      <c r="F1682" s="3">
        <f t="shared" ca="1" si="52"/>
        <v>0.88521920481252447</v>
      </c>
      <c r="G1682" s="3">
        <f t="shared" ca="1" si="53"/>
        <v>10.487522557746232</v>
      </c>
      <c r="H1682" s="2"/>
      <c r="I1682" s="2"/>
      <c r="J1682" s="2"/>
      <c r="K1682" s="2"/>
    </row>
    <row r="1683" spans="5:11" x14ac:dyDescent="0.25">
      <c r="E1683" s="3">
        <f t="shared" ca="1" si="52"/>
        <v>2.0746108927835683E-2</v>
      </c>
      <c r="F1683" s="3">
        <f t="shared" ca="1" si="52"/>
        <v>0.73144049854435655</v>
      </c>
      <c r="G1683" s="3">
        <f t="shared" ca="1" si="53"/>
        <v>14.549119124267772</v>
      </c>
      <c r="H1683" s="2"/>
      <c r="I1683" s="2"/>
      <c r="J1683" s="2"/>
      <c r="K1683" s="2"/>
    </row>
    <row r="1684" spans="5:11" x14ac:dyDescent="0.25">
      <c r="E1684" s="3">
        <f t="shared" ca="1" si="52"/>
        <v>0.81085675658408496</v>
      </c>
      <c r="F1684" s="3">
        <f t="shared" ca="1" si="52"/>
        <v>0.84117043342793818</v>
      </c>
      <c r="G1684" s="3">
        <f t="shared" ca="1" si="53"/>
        <v>9.7107819240680531</v>
      </c>
      <c r="H1684" s="2"/>
      <c r="I1684" s="2"/>
      <c r="J1684" s="2"/>
      <c r="K1684" s="2"/>
    </row>
    <row r="1685" spans="5:11" x14ac:dyDescent="0.25">
      <c r="E1685" s="3">
        <f t="shared" ca="1" si="52"/>
        <v>0.7411277391172858</v>
      </c>
      <c r="F1685" s="3">
        <f t="shared" ca="1" si="52"/>
        <v>0.98503400251978879</v>
      </c>
      <c r="G1685" s="3">
        <f t="shared" ca="1" si="53"/>
        <v>15.35711592222966</v>
      </c>
      <c r="H1685" s="2"/>
      <c r="I1685" s="2"/>
      <c r="J1685" s="2"/>
      <c r="K1685" s="2"/>
    </row>
    <row r="1686" spans="5:11" x14ac:dyDescent="0.25">
      <c r="E1686" s="3">
        <f t="shared" ca="1" si="52"/>
        <v>3.3821750754450153E-2</v>
      </c>
      <c r="F1686" s="3">
        <f t="shared" ca="1" si="52"/>
        <v>0.20178506784495065</v>
      </c>
      <c r="G1686" s="3">
        <f t="shared" ca="1" si="53"/>
        <v>11.381029439757086</v>
      </c>
      <c r="H1686" s="2"/>
      <c r="I1686" s="2"/>
      <c r="J1686" s="2"/>
      <c r="K1686" s="2"/>
    </row>
    <row r="1687" spans="5:11" x14ac:dyDescent="0.25">
      <c r="E1687" s="3">
        <f t="shared" ca="1" si="52"/>
        <v>0.67013773208158667</v>
      </c>
      <c r="F1687" s="3">
        <f t="shared" ca="1" si="52"/>
        <v>0.26457110901084913</v>
      </c>
      <c r="G1687" s="3">
        <f t="shared" ca="1" si="53"/>
        <v>1.3239750694781385</v>
      </c>
      <c r="H1687" s="2"/>
      <c r="I1687" s="2"/>
      <c r="J1687" s="2"/>
      <c r="K1687" s="2"/>
    </row>
    <row r="1688" spans="5:11" x14ac:dyDescent="0.25">
      <c r="E1688" s="3">
        <f t="shared" ca="1" si="52"/>
        <v>0.81100892437613747</v>
      </c>
      <c r="F1688" s="3">
        <f t="shared" ca="1" si="52"/>
        <v>0.97635134748176255</v>
      </c>
      <c r="G1688" s="3">
        <f t="shared" ca="1" si="53"/>
        <v>14.550504732435748</v>
      </c>
      <c r="H1688" s="2"/>
      <c r="I1688" s="2"/>
      <c r="J1688" s="2"/>
      <c r="K1688" s="2"/>
    </row>
    <row r="1689" spans="5:11" x14ac:dyDescent="0.25">
      <c r="E1689" s="3">
        <f t="shared" ca="1" si="52"/>
        <v>2.9560723589436511E-2</v>
      </c>
      <c r="F1689" s="3">
        <f t="shared" ca="1" si="52"/>
        <v>0.94360987417016362</v>
      </c>
      <c r="G1689" s="3">
        <f t="shared" ca="1" si="53"/>
        <v>17.031887432589453</v>
      </c>
      <c r="H1689" s="2"/>
      <c r="I1689" s="2"/>
      <c r="J1689" s="2"/>
      <c r="K1689" s="2"/>
    </row>
    <row r="1690" spans="5:11" x14ac:dyDescent="0.25">
      <c r="E1690" s="3">
        <f t="shared" ca="1" si="52"/>
        <v>0.72769278382327662</v>
      </c>
      <c r="F1690" s="3">
        <f t="shared" ca="1" si="52"/>
        <v>0.50609275878026661</v>
      </c>
      <c r="G1690" s="3">
        <f t="shared" ca="1" si="53"/>
        <v>4.6142833923780469</v>
      </c>
      <c r="H1690" s="2"/>
      <c r="I1690" s="2"/>
      <c r="J1690" s="2"/>
      <c r="K1690" s="2"/>
    </row>
    <row r="1691" spans="5:11" x14ac:dyDescent="0.25">
      <c r="E1691" s="3">
        <f t="shared" ca="1" si="52"/>
        <v>0.10070821712579259</v>
      </c>
      <c r="F1691" s="3">
        <f t="shared" ca="1" si="52"/>
        <v>0.52904487110900478</v>
      </c>
      <c r="G1691" s="3">
        <f t="shared" ca="1" si="53"/>
        <v>9.8900520648453689</v>
      </c>
      <c r="H1691" s="2"/>
      <c r="I1691" s="2"/>
      <c r="J1691" s="2"/>
      <c r="K1691" s="2"/>
    </row>
    <row r="1692" spans="5:11" x14ac:dyDescent="0.25">
      <c r="E1692" s="3">
        <f t="shared" ca="1" si="52"/>
        <v>0.32277988211423814</v>
      </c>
      <c r="F1692" s="3">
        <f t="shared" ca="1" si="52"/>
        <v>0.79278487321866642</v>
      </c>
      <c r="G1692" s="3">
        <f t="shared" ca="1" si="53"/>
        <v>9.6811595592006405</v>
      </c>
      <c r="H1692" s="2"/>
      <c r="I1692" s="2"/>
      <c r="J1692" s="2"/>
      <c r="K1692" s="2"/>
    </row>
    <row r="1693" spans="5:11" x14ac:dyDescent="0.25">
      <c r="E1693" s="3">
        <f t="shared" ca="1" si="52"/>
        <v>0.25572523788729329</v>
      </c>
      <c r="F1693" s="3">
        <f t="shared" ca="1" si="52"/>
        <v>9.9025712275532363E-2</v>
      </c>
      <c r="G1693" s="3">
        <f t="shared" ca="1" si="53"/>
        <v>5.8626140940093796</v>
      </c>
      <c r="H1693" s="2"/>
      <c r="I1693" s="2"/>
      <c r="J1693" s="2"/>
      <c r="K1693" s="2"/>
    </row>
    <row r="1694" spans="5:11" x14ac:dyDescent="0.25">
      <c r="E1694" s="3">
        <f t="shared" ca="1" si="52"/>
        <v>0.31813103492548134</v>
      </c>
      <c r="F1694" s="3">
        <f t="shared" ca="1" si="52"/>
        <v>0.32128219473647879</v>
      </c>
      <c r="G1694" s="3">
        <f t="shared" ca="1" si="53"/>
        <v>5.0819471165695367</v>
      </c>
      <c r="H1694" s="2"/>
      <c r="I1694" s="2"/>
      <c r="J1694" s="2"/>
      <c r="K1694" s="2"/>
    </row>
    <row r="1695" spans="5:11" x14ac:dyDescent="0.25">
      <c r="E1695" s="3">
        <f t="shared" ca="1" si="52"/>
        <v>0.63252747987790281</v>
      </c>
      <c r="F1695" s="3">
        <f t="shared" ca="1" si="52"/>
        <v>0.7328249801562019</v>
      </c>
      <c r="G1695" s="3">
        <f t="shared" ca="1" si="53"/>
        <v>7.5966421508653346</v>
      </c>
      <c r="H1695" s="2"/>
      <c r="I1695" s="2"/>
      <c r="J1695" s="2"/>
      <c r="K1695" s="2"/>
    </row>
    <row r="1696" spans="5:11" x14ac:dyDescent="0.25">
      <c r="E1696" s="3">
        <f t="shared" ca="1" si="52"/>
        <v>8.6860241392697768E-2</v>
      </c>
      <c r="F1696" s="3">
        <f t="shared" ca="1" si="52"/>
        <v>0.32501552963782343</v>
      </c>
      <c r="G1696" s="3">
        <f t="shared" ca="1" si="53"/>
        <v>9.3062151401364037</v>
      </c>
      <c r="H1696" s="2"/>
      <c r="I1696" s="2"/>
      <c r="J1696" s="2"/>
      <c r="K1696" s="2"/>
    </row>
    <row r="1697" spans="5:11" x14ac:dyDescent="0.25">
      <c r="E1697" s="3">
        <f t="shared" ca="1" si="52"/>
        <v>0.93901779910304684</v>
      </c>
      <c r="F1697" s="3">
        <f t="shared" ca="1" si="52"/>
        <v>0.73310292982097347</v>
      </c>
      <c r="G1697" s="3">
        <f t="shared" ca="1" si="53"/>
        <v>9.3616836564779131</v>
      </c>
      <c r="H1697" s="2"/>
      <c r="I1697" s="2"/>
      <c r="J1697" s="2"/>
      <c r="K1697" s="2"/>
    </row>
    <row r="1698" spans="5:11" x14ac:dyDescent="0.25">
      <c r="E1698" s="3">
        <f t="shared" ca="1" si="52"/>
        <v>0.36722674994077431</v>
      </c>
      <c r="F1698" s="3">
        <f t="shared" ca="1" si="52"/>
        <v>0.21396806330235163</v>
      </c>
      <c r="G1698" s="3">
        <f t="shared" ca="1" si="53"/>
        <v>3.9688369377853685</v>
      </c>
      <c r="H1698" s="2"/>
      <c r="I1698" s="2"/>
      <c r="J1698" s="2"/>
      <c r="K1698" s="2"/>
    </row>
    <row r="1699" spans="5:11" x14ac:dyDescent="0.25">
      <c r="E1699" s="3">
        <f t="shared" ca="1" si="52"/>
        <v>0.48203935446132984</v>
      </c>
      <c r="F1699" s="3">
        <f t="shared" ca="1" si="52"/>
        <v>0.59171656748381762</v>
      </c>
      <c r="G1699" s="3">
        <f t="shared" ca="1" si="53"/>
        <v>6.1460186543134752</v>
      </c>
      <c r="H1699" s="2"/>
      <c r="I1699" s="2"/>
      <c r="J1699" s="2"/>
      <c r="K1699" s="2"/>
    </row>
    <row r="1700" spans="5:11" x14ac:dyDescent="0.25">
      <c r="E1700" s="3">
        <f t="shared" ca="1" si="52"/>
        <v>0.36239321651025713</v>
      </c>
      <c r="F1700" s="3">
        <f t="shared" ca="1" si="52"/>
        <v>0.68149078860512624</v>
      </c>
      <c r="G1700" s="3">
        <f t="shared" ca="1" si="53"/>
        <v>7.9148982383217437</v>
      </c>
      <c r="H1700" s="2"/>
      <c r="I1700" s="2"/>
      <c r="J1700" s="2"/>
      <c r="K1700" s="2"/>
    </row>
    <row r="1701" spans="5:11" x14ac:dyDescent="0.25">
      <c r="E1701" s="3">
        <f t="shared" ca="1" si="52"/>
        <v>7.3863292107928413E-2</v>
      </c>
      <c r="F1701" s="3">
        <f t="shared" ca="1" si="52"/>
        <v>5.4973633707185998E-3</v>
      </c>
      <c r="G1701" s="3">
        <f t="shared" ca="1" si="53"/>
        <v>12.562226963459665</v>
      </c>
      <c r="H1701" s="2"/>
      <c r="I1701" s="2"/>
      <c r="J1701" s="2"/>
      <c r="K1701" s="2"/>
    </row>
    <row r="1702" spans="5:11" x14ac:dyDescent="0.25">
      <c r="E1702" s="3">
        <f t="shared" ca="1" si="52"/>
        <v>0.28616463712994844</v>
      </c>
      <c r="F1702" s="3">
        <f t="shared" ca="1" si="52"/>
        <v>0.63491771994881574</v>
      </c>
      <c r="G1702" s="3">
        <f t="shared" ca="1" si="53"/>
        <v>8.0006853394006221</v>
      </c>
      <c r="H1702" s="2"/>
      <c r="I1702" s="2"/>
      <c r="J1702" s="2"/>
      <c r="K1702" s="2"/>
    </row>
    <row r="1703" spans="5:11" x14ac:dyDescent="0.25">
      <c r="E1703" s="3">
        <f t="shared" ca="1" si="52"/>
        <v>0.12605920856779074</v>
      </c>
      <c r="F1703" s="3">
        <f t="shared" ca="1" si="52"/>
        <v>0.60405319675274249</v>
      </c>
      <c r="G1703" s="3">
        <f t="shared" ca="1" si="53"/>
        <v>9.8478375951153261</v>
      </c>
      <c r="H1703" s="2"/>
      <c r="I1703" s="2"/>
      <c r="J1703" s="2"/>
      <c r="K1703" s="2"/>
    </row>
    <row r="1704" spans="5:11" x14ac:dyDescent="0.25">
      <c r="E1704" s="3">
        <f t="shared" ca="1" si="52"/>
        <v>0.5162704619069215</v>
      </c>
      <c r="F1704" s="3">
        <f t="shared" ca="1" si="52"/>
        <v>0.27982678573019515</v>
      </c>
      <c r="G1704" s="3">
        <f t="shared" ca="1" si="53"/>
        <v>2.5611186328914823</v>
      </c>
      <c r="H1704" s="2"/>
      <c r="I1704" s="2"/>
      <c r="J1704" s="2"/>
      <c r="K1704" s="2"/>
    </row>
    <row r="1705" spans="5:11" x14ac:dyDescent="0.25">
      <c r="E1705" s="3">
        <f t="shared" ca="1" si="52"/>
        <v>0.36183267795205898</v>
      </c>
      <c r="F1705" s="3">
        <f t="shared" ca="1" si="52"/>
        <v>0.84782015594331983</v>
      </c>
      <c r="G1705" s="3">
        <f t="shared" ca="1" si="53"/>
        <v>10.408347164547191</v>
      </c>
      <c r="H1705" s="2"/>
      <c r="I1705" s="2"/>
      <c r="J1705" s="2"/>
      <c r="K1705" s="2"/>
    </row>
    <row r="1706" spans="5:11" x14ac:dyDescent="0.25">
      <c r="E1706" s="3">
        <f t="shared" ca="1" si="52"/>
        <v>0.10878305125233823</v>
      </c>
      <c r="F1706" s="3">
        <f t="shared" ca="1" si="52"/>
        <v>0.1410907423595702</v>
      </c>
      <c r="G1706" s="3">
        <f t="shared" ca="1" si="53"/>
        <v>8.4543099268346129</v>
      </c>
      <c r="H1706" s="2"/>
      <c r="I1706" s="2"/>
      <c r="J1706" s="2"/>
      <c r="K1706" s="2"/>
    </row>
    <row r="1707" spans="5:11" x14ac:dyDescent="0.25">
      <c r="E1707" s="3">
        <f t="shared" ca="1" si="52"/>
        <v>0.80408225975408387</v>
      </c>
      <c r="F1707" s="3">
        <f t="shared" ca="1" si="52"/>
        <v>0.60209259975156615</v>
      </c>
      <c r="G1707" s="3">
        <f t="shared" ca="1" si="53"/>
        <v>6.1145485524506853</v>
      </c>
      <c r="H1707" s="2"/>
      <c r="I1707" s="2"/>
      <c r="J1707" s="2"/>
      <c r="K1707" s="2"/>
    </row>
    <row r="1708" spans="5:11" x14ac:dyDescent="0.25">
      <c r="E1708" s="3">
        <f t="shared" ca="1" si="52"/>
        <v>4.6825448014611193E-2</v>
      </c>
      <c r="F1708" s="3">
        <f t="shared" ca="1" si="52"/>
        <v>0.10037514231421263</v>
      </c>
      <c r="G1708" s="3">
        <f t="shared" ca="1" si="53"/>
        <v>10.795985004080833</v>
      </c>
      <c r="H1708" s="2"/>
      <c r="I1708" s="2"/>
      <c r="J1708" s="2"/>
      <c r="K1708" s="2"/>
    </row>
    <row r="1709" spans="5:11" x14ac:dyDescent="0.25">
      <c r="E1709" s="3">
        <f t="shared" ca="1" si="52"/>
        <v>0.47809798461376607</v>
      </c>
      <c r="F1709" s="3">
        <f t="shared" ca="1" si="52"/>
        <v>0.78708276287263801</v>
      </c>
      <c r="G1709" s="3">
        <f t="shared" ca="1" si="53"/>
        <v>8.8179480218238808</v>
      </c>
      <c r="H1709" s="2"/>
      <c r="I1709" s="2"/>
      <c r="J1709" s="2"/>
      <c r="K1709" s="2"/>
    </row>
    <row r="1710" spans="5:11" x14ac:dyDescent="0.25">
      <c r="E1710" s="3">
        <f t="shared" ca="1" si="52"/>
        <v>0.78739942976397737</v>
      </c>
      <c r="F1710" s="3">
        <f t="shared" ca="1" si="52"/>
        <v>0.49337332053224003</v>
      </c>
      <c r="G1710" s="3">
        <f t="shared" ca="1" si="53"/>
        <v>4.7219038813802605</v>
      </c>
      <c r="H1710" s="2"/>
      <c r="I1710" s="2"/>
      <c r="J1710" s="2"/>
      <c r="K1710" s="2"/>
    </row>
    <row r="1711" spans="5:11" x14ac:dyDescent="0.25">
      <c r="E1711" s="3">
        <f t="shared" ca="1" si="52"/>
        <v>0.80899937753633921</v>
      </c>
      <c r="F1711" s="3">
        <f t="shared" ca="1" si="52"/>
        <v>0.50920755939566198</v>
      </c>
      <c r="G1711" s="3">
        <f t="shared" ca="1" si="53"/>
        <v>5.0562575354499621</v>
      </c>
      <c r="H1711" s="2"/>
      <c r="I1711" s="2"/>
      <c r="J1711" s="2"/>
      <c r="K1711" s="2"/>
    </row>
    <row r="1712" spans="5:11" x14ac:dyDescent="0.25">
      <c r="E1712" s="3">
        <f t="shared" ca="1" si="52"/>
        <v>0.35363876157326868</v>
      </c>
      <c r="F1712" s="3">
        <f t="shared" ca="1" si="52"/>
        <v>0.79325752987615172</v>
      </c>
      <c r="G1712" s="3">
        <f t="shared" ca="1" si="53"/>
        <v>9.4979797573100662</v>
      </c>
      <c r="H1712" s="2"/>
      <c r="I1712" s="2"/>
      <c r="J1712" s="2"/>
      <c r="K1712" s="2"/>
    </row>
    <row r="1713" spans="5:11" x14ac:dyDescent="0.25">
      <c r="E1713" s="3">
        <f t="shared" ca="1" si="52"/>
        <v>0.35935692742258663</v>
      </c>
      <c r="F1713" s="3">
        <f t="shared" ca="1" si="52"/>
        <v>0.62256881979811529</v>
      </c>
      <c r="G1713" s="3">
        <f t="shared" ca="1" si="53"/>
        <v>7.2599320223862511</v>
      </c>
      <c r="H1713" s="2"/>
      <c r="I1713" s="2"/>
      <c r="J1713" s="2"/>
      <c r="K1713" s="2"/>
    </row>
    <row r="1714" spans="5:11" x14ac:dyDescent="0.25">
      <c r="E1714" s="3">
        <f t="shared" ca="1" si="52"/>
        <v>7.8532649106869523E-2</v>
      </c>
      <c r="F1714" s="3">
        <f t="shared" ca="1" si="52"/>
        <v>0.29048075855472766</v>
      </c>
      <c r="G1714" s="3">
        <f t="shared" ca="1" si="53"/>
        <v>9.4710859983509614</v>
      </c>
      <c r="H1714" s="2"/>
      <c r="I1714" s="2"/>
      <c r="J1714" s="2"/>
      <c r="K1714" s="2"/>
    </row>
    <row r="1715" spans="5:11" x14ac:dyDescent="0.25">
      <c r="E1715" s="3">
        <f t="shared" ca="1" si="52"/>
        <v>0.50002162805518635</v>
      </c>
      <c r="F1715" s="3">
        <f t="shared" ca="1" si="52"/>
        <v>0.32684962819428831</v>
      </c>
      <c r="G1715" s="3">
        <f t="shared" ca="1" si="53"/>
        <v>3.1586139146597239</v>
      </c>
      <c r="H1715" s="2"/>
      <c r="I1715" s="2"/>
      <c r="J1715" s="2"/>
      <c r="K1715" s="2"/>
    </row>
    <row r="1716" spans="5:11" x14ac:dyDescent="0.25">
      <c r="E1716" s="3">
        <f t="shared" ca="1" si="52"/>
        <v>0.98997396868359799</v>
      </c>
      <c r="F1716" s="3">
        <f t="shared" ca="1" si="52"/>
        <v>0.12300348885278611</v>
      </c>
      <c r="G1716" s="3">
        <f t="shared" ca="1" si="53"/>
        <v>9.4803252866845629</v>
      </c>
      <c r="H1716" s="2"/>
      <c r="I1716" s="2"/>
      <c r="J1716" s="2"/>
      <c r="K1716" s="2"/>
    </row>
    <row r="1717" spans="5:11" x14ac:dyDescent="0.25">
      <c r="E1717" s="3">
        <f t="shared" ca="1" si="52"/>
        <v>0.85892904393672675</v>
      </c>
      <c r="F1717" s="3">
        <f t="shared" ca="1" si="52"/>
        <v>0.56196933898974011</v>
      </c>
      <c r="G1717" s="3">
        <f t="shared" ca="1" si="53"/>
        <v>6.115772150514136</v>
      </c>
      <c r="H1717" s="2"/>
      <c r="I1717" s="2"/>
      <c r="J1717" s="2"/>
      <c r="K1717" s="2"/>
    </row>
    <row r="1718" spans="5:11" x14ac:dyDescent="0.25">
      <c r="E1718" s="3">
        <f t="shared" ca="1" si="52"/>
        <v>0.28838872361474621</v>
      </c>
      <c r="F1718" s="3">
        <f t="shared" ca="1" si="52"/>
        <v>0.26396320080860469</v>
      </c>
      <c r="G1718" s="3">
        <f t="shared" ca="1" si="53"/>
        <v>5.1996558573438394</v>
      </c>
      <c r="H1718" s="2"/>
      <c r="I1718" s="2"/>
      <c r="J1718" s="2"/>
      <c r="K1718" s="2"/>
    </row>
    <row r="1719" spans="5:11" x14ac:dyDescent="0.25">
      <c r="E1719" s="3">
        <f t="shared" ca="1" si="52"/>
        <v>0.78316095209723302</v>
      </c>
      <c r="F1719" s="3">
        <f t="shared" ca="1" si="52"/>
        <v>0.97133371960851222</v>
      </c>
      <c r="G1719" s="3">
        <f t="shared" ca="1" si="53"/>
        <v>14.073752618829229</v>
      </c>
      <c r="H1719" s="2"/>
      <c r="I1719" s="2"/>
      <c r="J1719" s="2"/>
      <c r="K1719" s="2"/>
    </row>
    <row r="1720" spans="5:11" x14ac:dyDescent="0.25">
      <c r="E1720" s="3">
        <f t="shared" ca="1" si="52"/>
        <v>0.4445383354882031</v>
      </c>
      <c r="F1720" s="3">
        <f t="shared" ca="1" si="52"/>
        <v>0.18422805367444695</v>
      </c>
      <c r="G1720" s="3">
        <f t="shared" ca="1" si="53"/>
        <v>2.9378541124159621</v>
      </c>
      <c r="H1720" s="2"/>
      <c r="I1720" s="2"/>
      <c r="J1720" s="2"/>
      <c r="K1720" s="2"/>
    </row>
    <row r="1721" spans="5:11" x14ac:dyDescent="0.25">
      <c r="E1721" s="3">
        <f t="shared" ca="1" si="52"/>
        <v>0.18977850133564655</v>
      </c>
      <c r="F1721" s="3">
        <f t="shared" ca="1" si="52"/>
        <v>0.54046233909858132</v>
      </c>
      <c r="G1721" s="3">
        <f t="shared" ca="1" si="53"/>
        <v>8.2939316874130782</v>
      </c>
      <c r="H1721" s="2"/>
      <c r="I1721" s="2"/>
      <c r="J1721" s="2"/>
      <c r="K1721" s="2"/>
    </row>
    <row r="1722" spans="5:11" x14ac:dyDescent="0.25">
      <c r="E1722" s="3">
        <f t="shared" ca="1" si="52"/>
        <v>0.67737996501053643</v>
      </c>
      <c r="F1722" s="3">
        <f t="shared" ca="1" si="52"/>
        <v>0.82206387286218974</v>
      </c>
      <c r="G1722" s="3">
        <f t="shared" ca="1" si="53"/>
        <v>9.0864867693232174</v>
      </c>
      <c r="H1722" s="2"/>
      <c r="I1722" s="2"/>
      <c r="J1722" s="2"/>
      <c r="K1722" s="2"/>
    </row>
    <row r="1723" spans="5:11" x14ac:dyDescent="0.25">
      <c r="E1723" s="3">
        <f t="shared" ca="1" si="52"/>
        <v>0.88215915474124107</v>
      </c>
      <c r="F1723" s="3">
        <f t="shared" ca="1" si="52"/>
        <v>8.5129321308981432E-2</v>
      </c>
      <c r="G1723" s="3">
        <f t="shared" ca="1" si="53"/>
        <v>4.3937507020332918</v>
      </c>
      <c r="H1723" s="2"/>
      <c r="I1723" s="2"/>
      <c r="J1723" s="2"/>
      <c r="K1723" s="2"/>
    </row>
    <row r="1724" spans="5:11" x14ac:dyDescent="0.25">
      <c r="E1724" s="3">
        <f t="shared" ca="1" si="52"/>
        <v>0.84617268706616466</v>
      </c>
      <c r="F1724" s="3">
        <f t="shared" ca="1" si="52"/>
        <v>5.3679252591067872E-2</v>
      </c>
      <c r="G1724" s="3">
        <f t="shared" ca="1" si="53"/>
        <v>4.5831126916916594</v>
      </c>
      <c r="H1724" s="2"/>
      <c r="I1724" s="2"/>
      <c r="J1724" s="2"/>
      <c r="K1724" s="2"/>
    </row>
    <row r="1725" spans="5:11" x14ac:dyDescent="0.25">
      <c r="E1725" s="3">
        <f t="shared" ca="1" si="52"/>
        <v>0.51775696717356501</v>
      </c>
      <c r="F1725" s="3">
        <f t="shared" ca="1" si="52"/>
        <v>0.70410619846583522</v>
      </c>
      <c r="G1725" s="3">
        <f t="shared" ca="1" si="53"/>
        <v>7.4304266486445876</v>
      </c>
      <c r="H1725" s="2"/>
      <c r="I1725" s="2"/>
      <c r="J1725" s="2"/>
      <c r="K1725" s="2"/>
    </row>
    <row r="1726" spans="5:11" x14ac:dyDescent="0.25">
      <c r="E1726" s="3">
        <f t="shared" ca="1" si="52"/>
        <v>0.85212112946262442</v>
      </c>
      <c r="F1726" s="3">
        <f t="shared" ca="1" si="52"/>
        <v>0.70642824831341322</v>
      </c>
      <c r="G1726" s="3">
        <f t="shared" ca="1" si="53"/>
        <v>7.7812418283642266</v>
      </c>
      <c r="H1726" s="2"/>
      <c r="I1726" s="2"/>
      <c r="J1726" s="2"/>
      <c r="K1726" s="2"/>
    </row>
    <row r="1727" spans="5:11" x14ac:dyDescent="0.25">
      <c r="E1727" s="3">
        <f t="shared" ca="1" si="52"/>
        <v>0.82665613924889081</v>
      </c>
      <c r="F1727" s="3">
        <f t="shared" ca="1" si="52"/>
        <v>0.86164651177907603</v>
      </c>
      <c r="G1727" s="3">
        <f t="shared" ca="1" si="53"/>
        <v>10.210675626208232</v>
      </c>
      <c r="H1727" s="2"/>
      <c r="I1727" s="2"/>
      <c r="J1727" s="2"/>
      <c r="K1727" s="2"/>
    </row>
    <row r="1728" spans="5:11" x14ac:dyDescent="0.25">
      <c r="E1728" s="3">
        <f t="shared" ca="1" si="52"/>
        <v>9.3188049396066397E-2</v>
      </c>
      <c r="F1728" s="3">
        <f t="shared" ca="1" si="52"/>
        <v>0.11216268928227213</v>
      </c>
      <c r="G1728" s="3">
        <f t="shared" ca="1" si="53"/>
        <v>8.9917501671332865</v>
      </c>
      <c r="H1728" s="2"/>
      <c r="I1728" s="2"/>
      <c r="J1728" s="2"/>
      <c r="K1728" s="2"/>
    </row>
    <row r="1729" spans="5:11" x14ac:dyDescent="0.25">
      <c r="E1729" s="3">
        <f t="shared" ca="1" si="52"/>
        <v>0.95184924456829223</v>
      </c>
      <c r="F1729" s="3">
        <f t="shared" ca="1" si="52"/>
        <v>0.70343291343789827</v>
      </c>
      <c r="G1729" s="3">
        <f t="shared" ca="1" si="53"/>
        <v>9.3757791026518476</v>
      </c>
      <c r="H1729" s="2"/>
      <c r="I1729" s="2"/>
      <c r="J1729" s="2"/>
      <c r="K1729" s="2"/>
    </row>
    <row r="1730" spans="5:11" x14ac:dyDescent="0.25">
      <c r="E1730" s="3">
        <f t="shared" ca="1" si="52"/>
        <v>0.34067872564380863</v>
      </c>
      <c r="F1730" s="3">
        <f t="shared" ca="1" si="52"/>
        <v>0.62159631392622949</v>
      </c>
      <c r="G1730" s="3">
        <f t="shared" ca="1" si="53"/>
        <v>7.3928477370107037</v>
      </c>
      <c r="H1730" s="2"/>
      <c r="I1730" s="2"/>
      <c r="J1730" s="2"/>
      <c r="K1730" s="2"/>
    </row>
    <row r="1731" spans="5:11" x14ac:dyDescent="0.25">
      <c r="E1731" s="3">
        <f t="shared" ca="1" si="52"/>
        <v>0.55720217158901675</v>
      </c>
      <c r="F1731" s="3">
        <f t="shared" ca="1" si="52"/>
        <v>0.93870520847487215</v>
      </c>
      <c r="G1731" s="3">
        <f t="shared" ca="1" si="53"/>
        <v>12.284478671900267</v>
      </c>
      <c r="H1731" s="2"/>
      <c r="I1731" s="2"/>
      <c r="J1731" s="2"/>
      <c r="K1731" s="2"/>
    </row>
    <row r="1732" spans="5:11" x14ac:dyDescent="0.25">
      <c r="E1732" s="3">
        <f t="shared" ref="E1732:F1795" ca="1" si="54">RAND()</f>
        <v>0.99300024378268392</v>
      </c>
      <c r="F1732" s="3">
        <f t="shared" ca="1" si="54"/>
        <v>0.43662174508379081</v>
      </c>
      <c r="G1732" s="3">
        <f t="shared" ref="G1732:G1795" ca="1" si="55">SQRT(_xlfn.NORM.INV(E1732,$C$3*COS($C$6),$C$4)^2+_xlfn.NORM.INV(F1732,$C$3*SIN($C$6),$C$4)^2)</f>
        <v>10.696168112409532</v>
      </c>
      <c r="H1732" s="2"/>
      <c r="I1732" s="2"/>
      <c r="J1732" s="2"/>
      <c r="K1732" s="2"/>
    </row>
    <row r="1733" spans="5:11" x14ac:dyDescent="0.25">
      <c r="E1733" s="3">
        <f t="shared" ca="1" si="54"/>
        <v>0.6799675901734149</v>
      </c>
      <c r="F1733" s="3">
        <f t="shared" ca="1" si="54"/>
        <v>0.82534765791932851</v>
      </c>
      <c r="G1733" s="3">
        <f t="shared" ca="1" si="55"/>
        <v>9.150198772722602</v>
      </c>
      <c r="H1733" s="2"/>
      <c r="I1733" s="2"/>
      <c r="J1733" s="2"/>
      <c r="K1733" s="2"/>
    </row>
    <row r="1734" spans="5:11" x14ac:dyDescent="0.25">
      <c r="E1734" s="3">
        <f t="shared" ca="1" si="54"/>
        <v>0.22324898043894925</v>
      </c>
      <c r="F1734" s="3">
        <f t="shared" ca="1" si="54"/>
        <v>6.466434365780227E-2</v>
      </c>
      <c r="G1734" s="3">
        <f t="shared" ca="1" si="55"/>
        <v>6.801342830946199</v>
      </c>
      <c r="H1734" s="2"/>
      <c r="I1734" s="2"/>
      <c r="J1734" s="2"/>
      <c r="K1734" s="2"/>
    </row>
    <row r="1735" spans="5:11" x14ac:dyDescent="0.25">
      <c r="E1735" s="3">
        <f t="shared" ca="1" si="54"/>
        <v>0.77744244447112332</v>
      </c>
      <c r="F1735" s="3">
        <f t="shared" ca="1" si="54"/>
        <v>0.15515526593003082</v>
      </c>
      <c r="G1735" s="3">
        <f t="shared" ca="1" si="55"/>
        <v>1.6888233405446638</v>
      </c>
      <c r="H1735" s="2"/>
      <c r="I1735" s="2"/>
      <c r="J1735" s="2"/>
      <c r="K1735" s="2"/>
    </row>
    <row r="1736" spans="5:11" x14ac:dyDescent="0.25">
      <c r="E1736" s="3">
        <f t="shared" ca="1" si="54"/>
        <v>0.45163648464338346</v>
      </c>
      <c r="F1736" s="3">
        <f t="shared" ca="1" si="54"/>
        <v>0.53280366334368601</v>
      </c>
      <c r="G1736" s="3">
        <f t="shared" ca="1" si="55"/>
        <v>5.6516347247987273</v>
      </c>
      <c r="H1736" s="2"/>
      <c r="I1736" s="2"/>
      <c r="J1736" s="2"/>
      <c r="K1736" s="2"/>
    </row>
    <row r="1737" spans="5:11" x14ac:dyDescent="0.25">
      <c r="E1737" s="3">
        <f t="shared" ca="1" si="54"/>
        <v>0.73758223209400509</v>
      </c>
      <c r="F1737" s="3">
        <f t="shared" ca="1" si="54"/>
        <v>0.97421735650465968</v>
      </c>
      <c r="G1737" s="3">
        <f t="shared" ca="1" si="55"/>
        <v>14.234725773198049</v>
      </c>
      <c r="H1737" s="2"/>
      <c r="I1737" s="2"/>
      <c r="J1737" s="2"/>
      <c r="K1737" s="2"/>
    </row>
    <row r="1738" spans="5:11" x14ac:dyDescent="0.25">
      <c r="E1738" s="3">
        <f t="shared" ca="1" si="54"/>
        <v>0.72731464347678387</v>
      </c>
      <c r="F1738" s="3">
        <f t="shared" ca="1" si="54"/>
        <v>0.68024455823602215</v>
      </c>
      <c r="G1738" s="3">
        <f t="shared" ca="1" si="55"/>
        <v>6.8567724891759374</v>
      </c>
      <c r="H1738" s="2"/>
      <c r="I1738" s="2"/>
      <c r="J1738" s="2"/>
      <c r="K1738" s="2"/>
    </row>
    <row r="1739" spans="5:11" x14ac:dyDescent="0.25">
      <c r="E1739" s="3">
        <f t="shared" ca="1" si="54"/>
        <v>0.90481175563625771</v>
      </c>
      <c r="F1739" s="3">
        <f t="shared" ca="1" si="54"/>
        <v>0.51917504011764171</v>
      </c>
      <c r="G1739" s="3">
        <f t="shared" ca="1" si="55"/>
        <v>6.3826163209866102</v>
      </c>
      <c r="H1739" s="2"/>
      <c r="I1739" s="2"/>
      <c r="J1739" s="2"/>
      <c r="K1739" s="2"/>
    </row>
    <row r="1740" spans="5:11" x14ac:dyDescent="0.25">
      <c r="E1740" s="3">
        <f t="shared" ca="1" si="54"/>
        <v>0.43576686911555695</v>
      </c>
      <c r="F1740" s="3">
        <f t="shared" ca="1" si="54"/>
        <v>0.3846556348189476</v>
      </c>
      <c r="G1740" s="3">
        <f t="shared" ca="1" si="55"/>
        <v>4.2799014278459788</v>
      </c>
      <c r="H1740" s="2"/>
      <c r="I1740" s="2"/>
      <c r="J1740" s="2"/>
      <c r="K1740" s="2"/>
    </row>
    <row r="1741" spans="5:11" x14ac:dyDescent="0.25">
      <c r="E1741" s="3">
        <f t="shared" ca="1" si="54"/>
        <v>0.50717817992088321</v>
      </c>
      <c r="F1741" s="3">
        <f t="shared" ca="1" si="54"/>
        <v>0.12210951187113683</v>
      </c>
      <c r="G1741" s="3">
        <f t="shared" ca="1" si="55"/>
        <v>2.5403925065701043</v>
      </c>
      <c r="H1741" s="2"/>
      <c r="I1741" s="2"/>
      <c r="J1741" s="2"/>
      <c r="K1741" s="2"/>
    </row>
    <row r="1742" spans="5:11" x14ac:dyDescent="0.25">
      <c r="E1742" s="3">
        <f t="shared" ca="1" si="54"/>
        <v>0.53445270553755653</v>
      </c>
      <c r="F1742" s="3">
        <f t="shared" ca="1" si="54"/>
        <v>0.52277339161784508</v>
      </c>
      <c r="G1742" s="3">
        <f t="shared" ca="1" si="55"/>
        <v>5.0876642040378854</v>
      </c>
      <c r="H1742" s="2"/>
      <c r="I1742" s="2"/>
      <c r="J1742" s="2"/>
      <c r="K1742" s="2"/>
    </row>
    <row r="1743" spans="5:11" x14ac:dyDescent="0.25">
      <c r="E1743" s="3">
        <f t="shared" ca="1" si="54"/>
        <v>0.89690257628826042</v>
      </c>
      <c r="F1743" s="3">
        <f t="shared" ca="1" si="54"/>
        <v>0.97655651602266536</v>
      </c>
      <c r="G1743" s="3">
        <f t="shared" ca="1" si="55"/>
        <v>14.973209773626209</v>
      </c>
      <c r="H1743" s="2"/>
      <c r="I1743" s="2"/>
      <c r="J1743" s="2"/>
      <c r="K1743" s="2"/>
    </row>
    <row r="1744" spans="5:11" x14ac:dyDescent="0.25">
      <c r="E1744" s="3">
        <f t="shared" ca="1" si="54"/>
        <v>0.95178887445159743</v>
      </c>
      <c r="F1744" s="3">
        <f t="shared" ca="1" si="54"/>
        <v>0.23882085892631277</v>
      </c>
      <c r="G1744" s="3">
        <f t="shared" ca="1" si="55"/>
        <v>6.1411150007045796</v>
      </c>
      <c r="H1744" s="2"/>
      <c r="I1744" s="2"/>
      <c r="J1744" s="2"/>
      <c r="K1744" s="2"/>
    </row>
    <row r="1745" spans="5:11" x14ac:dyDescent="0.25">
      <c r="E1745" s="3">
        <f t="shared" ca="1" si="54"/>
        <v>0.88991865493295297</v>
      </c>
      <c r="F1745" s="3">
        <f t="shared" ca="1" si="54"/>
        <v>0.93037880696901742</v>
      </c>
      <c r="G1745" s="3">
        <f t="shared" ca="1" si="55"/>
        <v>12.48461006442489</v>
      </c>
      <c r="H1745" s="2"/>
      <c r="I1745" s="2"/>
      <c r="J1745" s="2"/>
      <c r="K1745" s="2"/>
    </row>
    <row r="1746" spans="5:11" x14ac:dyDescent="0.25">
      <c r="E1746" s="3">
        <f t="shared" ca="1" si="54"/>
        <v>0.21458365254033407</v>
      </c>
      <c r="F1746" s="3">
        <f t="shared" ca="1" si="54"/>
        <v>0.48979267848365793</v>
      </c>
      <c r="G1746" s="3">
        <f t="shared" ca="1" si="55"/>
        <v>7.5638741209346403</v>
      </c>
      <c r="H1746" s="2"/>
      <c r="I1746" s="2"/>
      <c r="J1746" s="2"/>
      <c r="K1746" s="2"/>
    </row>
    <row r="1747" spans="5:11" x14ac:dyDescent="0.25">
      <c r="E1747" s="3">
        <f t="shared" ca="1" si="54"/>
        <v>8.5476121991798992E-2</v>
      </c>
      <c r="F1747" s="3">
        <f t="shared" ca="1" si="54"/>
        <v>0.50676541395019747</v>
      </c>
      <c r="G1747" s="3">
        <f t="shared" ca="1" si="55"/>
        <v>10.163837804846704</v>
      </c>
      <c r="H1747" s="2"/>
      <c r="I1747" s="2"/>
      <c r="J1747" s="2"/>
      <c r="K1747" s="2"/>
    </row>
    <row r="1748" spans="5:11" x14ac:dyDescent="0.25">
      <c r="E1748" s="3">
        <f t="shared" ca="1" si="54"/>
        <v>0.89923023893538256</v>
      </c>
      <c r="F1748" s="3">
        <f t="shared" ca="1" si="54"/>
        <v>0.94664102307978348</v>
      </c>
      <c r="G1748" s="3">
        <f t="shared" ca="1" si="55"/>
        <v>13.203274914741634</v>
      </c>
      <c r="H1748" s="2"/>
      <c r="I1748" s="2"/>
      <c r="J1748" s="2"/>
      <c r="K1748" s="2"/>
    </row>
    <row r="1749" spans="5:11" x14ac:dyDescent="0.25">
      <c r="E1749" s="3">
        <f t="shared" ca="1" si="54"/>
        <v>0.71904482033765083</v>
      </c>
      <c r="F1749" s="3">
        <f t="shared" ca="1" si="54"/>
        <v>0.20576758033146825</v>
      </c>
      <c r="G1749" s="3">
        <f t="shared" ca="1" si="55"/>
        <v>0.75343062237125724</v>
      </c>
      <c r="H1749" s="2"/>
      <c r="I1749" s="2"/>
      <c r="J1749" s="2"/>
      <c r="K1749" s="2"/>
    </row>
    <row r="1750" spans="5:11" x14ac:dyDescent="0.25">
      <c r="E1750" s="3">
        <f t="shared" ca="1" si="54"/>
        <v>0.63969485047341335</v>
      </c>
      <c r="F1750" s="3">
        <f t="shared" ca="1" si="54"/>
        <v>0.26699189321012717</v>
      </c>
      <c r="G1750" s="3">
        <f t="shared" ca="1" si="55"/>
        <v>1.4334793047217027</v>
      </c>
      <c r="H1750" s="2"/>
      <c r="I1750" s="2"/>
      <c r="J1750" s="2"/>
      <c r="K1750" s="2"/>
    </row>
    <row r="1751" spans="5:11" x14ac:dyDescent="0.25">
      <c r="E1751" s="3">
        <f t="shared" ca="1" si="54"/>
        <v>0.39121136725651884</v>
      </c>
      <c r="F1751" s="3">
        <f t="shared" ca="1" si="54"/>
        <v>0.98132181585778511</v>
      </c>
      <c r="G1751" s="3">
        <f t="shared" ca="1" si="55"/>
        <v>15.31353126091275</v>
      </c>
      <c r="H1751" s="2"/>
      <c r="I1751" s="2"/>
      <c r="J1751" s="2"/>
      <c r="K1751" s="2"/>
    </row>
    <row r="1752" spans="5:11" x14ac:dyDescent="0.25">
      <c r="E1752" s="3">
        <f t="shared" ca="1" si="54"/>
        <v>0.17355467509235489</v>
      </c>
      <c r="F1752" s="3">
        <f t="shared" ca="1" si="54"/>
        <v>0.69355256742549454</v>
      </c>
      <c r="G1752" s="3">
        <f t="shared" ca="1" si="55"/>
        <v>9.8579566367445892</v>
      </c>
      <c r="H1752" s="2"/>
      <c r="I1752" s="2"/>
      <c r="J1752" s="2"/>
      <c r="K1752" s="2"/>
    </row>
    <row r="1753" spans="5:11" x14ac:dyDescent="0.25">
      <c r="E1753" s="3">
        <f t="shared" ca="1" si="54"/>
        <v>0.39263178346632133</v>
      </c>
      <c r="F1753" s="3">
        <f t="shared" ca="1" si="54"/>
        <v>0.94950357070052005</v>
      </c>
      <c r="G1753" s="3">
        <f t="shared" ca="1" si="55"/>
        <v>13.172525160469309</v>
      </c>
      <c r="H1753" s="2"/>
      <c r="I1753" s="2"/>
      <c r="J1753" s="2"/>
      <c r="K1753" s="2"/>
    </row>
    <row r="1754" spans="5:11" x14ac:dyDescent="0.25">
      <c r="E1754" s="3">
        <f t="shared" ca="1" si="54"/>
        <v>0.28571563957361223</v>
      </c>
      <c r="F1754" s="3">
        <f t="shared" ca="1" si="54"/>
        <v>0.3821496506301717</v>
      </c>
      <c r="G1754" s="3">
        <f t="shared" ca="1" si="55"/>
        <v>5.8763418076990908</v>
      </c>
      <c r="H1754" s="2"/>
      <c r="I1754" s="2"/>
      <c r="J1754" s="2"/>
      <c r="K1754" s="2"/>
    </row>
    <row r="1755" spans="5:11" x14ac:dyDescent="0.25">
      <c r="E1755" s="3">
        <f t="shared" ca="1" si="54"/>
        <v>0.12307230783474188</v>
      </c>
      <c r="F1755" s="3">
        <f t="shared" ca="1" si="54"/>
        <v>0.2871555049709722</v>
      </c>
      <c r="G1755" s="3">
        <f t="shared" ca="1" si="55"/>
        <v>8.2090741947601735</v>
      </c>
      <c r="H1755" s="2"/>
      <c r="I1755" s="2"/>
      <c r="J1755" s="2"/>
      <c r="K1755" s="2"/>
    </row>
    <row r="1756" spans="5:11" x14ac:dyDescent="0.25">
      <c r="E1756" s="3">
        <f t="shared" ca="1" si="54"/>
        <v>0.26332040498405573</v>
      </c>
      <c r="F1756" s="3">
        <f t="shared" ca="1" si="54"/>
        <v>0.34646114752331636</v>
      </c>
      <c r="G1756" s="3">
        <f t="shared" ca="1" si="55"/>
        <v>5.954268687870016</v>
      </c>
      <c r="H1756" s="2"/>
      <c r="I1756" s="2"/>
      <c r="J1756" s="2"/>
      <c r="K1756" s="2"/>
    </row>
    <row r="1757" spans="5:11" x14ac:dyDescent="0.25">
      <c r="E1757" s="3">
        <f t="shared" ca="1" si="54"/>
        <v>0.82911525626401583</v>
      </c>
      <c r="F1757" s="3">
        <f t="shared" ca="1" si="54"/>
        <v>0.68596109767631686</v>
      </c>
      <c r="G1757" s="3">
        <f t="shared" ca="1" si="55"/>
        <v>7.3360060390013819</v>
      </c>
      <c r="H1757" s="2"/>
      <c r="I1757" s="2"/>
      <c r="J1757" s="2"/>
      <c r="K1757" s="2"/>
    </row>
    <row r="1758" spans="5:11" x14ac:dyDescent="0.25">
      <c r="E1758" s="3">
        <f t="shared" ca="1" si="54"/>
        <v>0.22326790649439243</v>
      </c>
      <c r="F1758" s="3">
        <f t="shared" ca="1" si="54"/>
        <v>0.76549604377858449</v>
      </c>
      <c r="G1758" s="3">
        <f t="shared" ca="1" si="55"/>
        <v>10.100207911224821</v>
      </c>
      <c r="H1758" s="2"/>
      <c r="I1758" s="2"/>
      <c r="J1758" s="2"/>
      <c r="K1758" s="2"/>
    </row>
    <row r="1759" spans="5:11" x14ac:dyDescent="0.25">
      <c r="E1759" s="3">
        <f t="shared" ca="1" si="54"/>
        <v>0.19282096957489847</v>
      </c>
      <c r="F1759" s="3">
        <f t="shared" ca="1" si="54"/>
        <v>4.0750415036077015E-2</v>
      </c>
      <c r="G1759" s="3">
        <f t="shared" ca="1" si="55"/>
        <v>7.8263068338989585</v>
      </c>
      <c r="H1759" s="2"/>
      <c r="I1759" s="2"/>
      <c r="J1759" s="2"/>
      <c r="K1759" s="2"/>
    </row>
    <row r="1760" spans="5:11" x14ac:dyDescent="0.25">
      <c r="E1760" s="3">
        <f t="shared" ca="1" si="54"/>
        <v>0.43516711787587681</v>
      </c>
      <c r="F1760" s="3">
        <f t="shared" ca="1" si="54"/>
        <v>0.80015091165493901</v>
      </c>
      <c r="G1760" s="3">
        <f t="shared" ca="1" si="55"/>
        <v>9.2031764746536915</v>
      </c>
      <c r="H1760" s="2"/>
      <c r="I1760" s="2"/>
      <c r="J1760" s="2"/>
      <c r="K1760" s="2"/>
    </row>
    <row r="1761" spans="5:11" x14ac:dyDescent="0.25">
      <c r="E1761" s="3">
        <f t="shared" ca="1" si="54"/>
        <v>6.780300868691358E-2</v>
      </c>
      <c r="F1761" s="3">
        <f t="shared" ca="1" si="54"/>
        <v>0.20735372136794672</v>
      </c>
      <c r="G1761" s="3">
        <f t="shared" ca="1" si="55"/>
        <v>9.7100523444240689</v>
      </c>
      <c r="H1761" s="2"/>
      <c r="I1761" s="2"/>
      <c r="J1761" s="2"/>
      <c r="K1761" s="2"/>
    </row>
    <row r="1762" spans="5:11" x14ac:dyDescent="0.25">
      <c r="E1762" s="3">
        <f t="shared" ca="1" si="54"/>
        <v>0.1085921046606485</v>
      </c>
      <c r="F1762" s="3">
        <f t="shared" ca="1" si="54"/>
        <v>0.20330334510440606</v>
      </c>
      <c r="G1762" s="3">
        <f t="shared" ca="1" si="55"/>
        <v>8.4167264971782139</v>
      </c>
      <c r="H1762" s="2"/>
      <c r="I1762" s="2"/>
      <c r="J1762" s="2"/>
      <c r="K1762" s="2"/>
    </row>
    <row r="1763" spans="5:11" x14ac:dyDescent="0.25">
      <c r="E1763" s="3">
        <f t="shared" ca="1" si="54"/>
        <v>0.18030263089110654</v>
      </c>
      <c r="F1763" s="3">
        <f t="shared" ca="1" si="54"/>
        <v>0.14556989715280089</v>
      </c>
      <c r="G1763" s="3">
        <f t="shared" ca="1" si="55"/>
        <v>6.8592031078101527</v>
      </c>
      <c r="H1763" s="2"/>
      <c r="I1763" s="2"/>
      <c r="J1763" s="2"/>
      <c r="K1763" s="2"/>
    </row>
    <row r="1764" spans="5:11" x14ac:dyDescent="0.25">
      <c r="E1764" s="3">
        <f t="shared" ca="1" si="54"/>
        <v>0.36843360755367915</v>
      </c>
      <c r="F1764" s="3">
        <f t="shared" ca="1" si="54"/>
        <v>0.5386589102471171</v>
      </c>
      <c r="G1764" s="3">
        <f t="shared" ca="1" si="55"/>
        <v>6.3185515938810903</v>
      </c>
      <c r="H1764" s="2"/>
      <c r="I1764" s="2"/>
      <c r="J1764" s="2"/>
      <c r="K1764" s="2"/>
    </row>
    <row r="1765" spans="5:11" x14ac:dyDescent="0.25">
      <c r="E1765" s="3">
        <f t="shared" ca="1" si="54"/>
        <v>0.81739306166982684</v>
      </c>
      <c r="F1765" s="3">
        <f t="shared" ca="1" si="54"/>
        <v>0.23627250295965363</v>
      </c>
      <c r="G1765" s="3">
        <f t="shared" ca="1" si="55"/>
        <v>2.4498450698747467</v>
      </c>
      <c r="H1765" s="2"/>
      <c r="I1765" s="2"/>
      <c r="J1765" s="2"/>
      <c r="K1765" s="2"/>
    </row>
    <row r="1766" spans="5:11" x14ac:dyDescent="0.25">
      <c r="E1766" s="3">
        <f t="shared" ca="1" si="54"/>
        <v>0.75813077683351993</v>
      </c>
      <c r="F1766" s="3">
        <f t="shared" ca="1" si="54"/>
        <v>0.9686349056840361</v>
      </c>
      <c r="G1766" s="3">
        <f t="shared" ca="1" si="55"/>
        <v>13.833087001525982</v>
      </c>
      <c r="H1766" s="2"/>
      <c r="I1766" s="2"/>
      <c r="J1766" s="2"/>
      <c r="K1766" s="2"/>
    </row>
    <row r="1767" spans="5:11" x14ac:dyDescent="0.25">
      <c r="E1767" s="3">
        <f t="shared" ca="1" si="54"/>
        <v>0.58731069952932191</v>
      </c>
      <c r="F1767" s="3">
        <f t="shared" ca="1" si="54"/>
        <v>0.64888640920560869</v>
      </c>
      <c r="G1767" s="3">
        <f t="shared" ca="1" si="55"/>
        <v>6.4820961414514446</v>
      </c>
      <c r="H1767" s="2"/>
      <c r="I1767" s="2"/>
      <c r="J1767" s="2"/>
      <c r="K1767" s="2"/>
    </row>
    <row r="1768" spans="5:11" x14ac:dyDescent="0.25">
      <c r="E1768" s="3">
        <f t="shared" ca="1" si="54"/>
        <v>0.94257998160159495</v>
      </c>
      <c r="F1768" s="3">
        <f t="shared" ca="1" si="54"/>
        <v>0.87024387411305382</v>
      </c>
      <c r="G1768" s="3">
        <f t="shared" ca="1" si="55"/>
        <v>11.576557777120295</v>
      </c>
      <c r="H1768" s="2"/>
      <c r="I1768" s="2"/>
      <c r="J1768" s="2"/>
      <c r="K1768" s="2"/>
    </row>
    <row r="1769" spans="5:11" x14ac:dyDescent="0.25">
      <c r="E1769" s="3">
        <f t="shared" ca="1" si="54"/>
        <v>0.61349758079032646</v>
      </c>
      <c r="F1769" s="3">
        <f t="shared" ca="1" si="54"/>
        <v>0.1922013047028327</v>
      </c>
      <c r="G1769" s="3">
        <f t="shared" ca="1" si="55"/>
        <v>0.80724234311227805</v>
      </c>
      <c r="H1769" s="2"/>
      <c r="I1769" s="2"/>
      <c r="J1769" s="2"/>
      <c r="K1769" s="2"/>
    </row>
    <row r="1770" spans="5:11" x14ac:dyDescent="0.25">
      <c r="E1770" s="3">
        <f t="shared" ca="1" si="54"/>
        <v>0.20499761529035754</v>
      </c>
      <c r="F1770" s="3">
        <f t="shared" ca="1" si="54"/>
        <v>0.6509639017382246</v>
      </c>
      <c r="G1770" s="3">
        <f t="shared" ca="1" si="55"/>
        <v>9.0294558164776877</v>
      </c>
      <c r="H1770" s="2"/>
      <c r="I1770" s="2"/>
      <c r="J1770" s="2"/>
      <c r="K1770" s="2"/>
    </row>
    <row r="1771" spans="5:11" x14ac:dyDescent="0.25">
      <c r="E1771" s="3">
        <f t="shared" ca="1" si="54"/>
        <v>0.33383813401133955</v>
      </c>
      <c r="F1771" s="3">
        <f t="shared" ca="1" si="54"/>
        <v>0.23970366185740255</v>
      </c>
      <c r="G1771" s="3">
        <f t="shared" ca="1" si="55"/>
        <v>4.4853249035501186</v>
      </c>
      <c r="H1771" s="2"/>
      <c r="I1771" s="2"/>
      <c r="J1771" s="2"/>
      <c r="K1771" s="2"/>
    </row>
    <row r="1772" spans="5:11" x14ac:dyDescent="0.25">
      <c r="E1772" s="3">
        <f t="shared" ca="1" si="54"/>
        <v>0.6516790419846259</v>
      </c>
      <c r="F1772" s="3">
        <f t="shared" ca="1" si="54"/>
        <v>0.96257096638315787</v>
      </c>
      <c r="G1772" s="3">
        <f t="shared" ca="1" si="55"/>
        <v>13.379814928301967</v>
      </c>
      <c r="H1772" s="2"/>
      <c r="I1772" s="2"/>
      <c r="J1772" s="2"/>
      <c r="K1772" s="2"/>
    </row>
    <row r="1773" spans="5:11" x14ac:dyDescent="0.25">
      <c r="E1773" s="3">
        <f t="shared" ca="1" si="54"/>
        <v>0.36355860854970112</v>
      </c>
      <c r="F1773" s="3">
        <f t="shared" ca="1" si="54"/>
        <v>0.99184170917538694</v>
      </c>
      <c r="G1773" s="3">
        <f t="shared" ca="1" si="55"/>
        <v>16.953800178657517</v>
      </c>
      <c r="H1773" s="2"/>
      <c r="I1773" s="2"/>
      <c r="J1773" s="2"/>
      <c r="K1773" s="2"/>
    </row>
    <row r="1774" spans="5:11" x14ac:dyDescent="0.25">
      <c r="E1774" s="3">
        <f t="shared" ca="1" si="54"/>
        <v>0.84040894635454488</v>
      </c>
      <c r="F1774" s="3">
        <f t="shared" ca="1" si="54"/>
        <v>5.0402463365333938E-2</v>
      </c>
      <c r="G1774" s="3">
        <f t="shared" ca="1" si="55"/>
        <v>4.6323232056582127</v>
      </c>
      <c r="H1774" s="2"/>
      <c r="I1774" s="2"/>
      <c r="J1774" s="2"/>
      <c r="K1774" s="2"/>
    </row>
    <row r="1775" spans="5:11" x14ac:dyDescent="0.25">
      <c r="E1775" s="3">
        <f t="shared" ca="1" si="54"/>
        <v>0.96893759097948551</v>
      </c>
      <c r="F1775" s="3">
        <f t="shared" ca="1" si="54"/>
        <v>0.9805606550309488</v>
      </c>
      <c r="G1775" s="3">
        <f t="shared" ca="1" si="55"/>
        <v>16.406751081529325</v>
      </c>
      <c r="H1775" s="2"/>
      <c r="I1775" s="2"/>
      <c r="J1775" s="2"/>
      <c r="K1775" s="2"/>
    </row>
    <row r="1776" spans="5:11" x14ac:dyDescent="0.25">
      <c r="E1776" s="3">
        <f t="shared" ca="1" si="54"/>
        <v>0.76196304320730268</v>
      </c>
      <c r="F1776" s="3">
        <f t="shared" ca="1" si="54"/>
        <v>8.6684194126694925E-3</v>
      </c>
      <c r="G1776" s="3">
        <f t="shared" ca="1" si="55"/>
        <v>7.5443140906187312</v>
      </c>
      <c r="H1776" s="2"/>
      <c r="I1776" s="2"/>
      <c r="J1776" s="2"/>
      <c r="K1776" s="2"/>
    </row>
    <row r="1777" spans="5:11" x14ac:dyDescent="0.25">
      <c r="E1777" s="3">
        <f t="shared" ca="1" si="54"/>
        <v>6.1500864790403398E-2</v>
      </c>
      <c r="F1777" s="3">
        <f t="shared" ca="1" si="54"/>
        <v>0.49054269645432114</v>
      </c>
      <c r="G1777" s="3">
        <f t="shared" ca="1" si="55"/>
        <v>10.861598035489527</v>
      </c>
      <c r="H1777" s="2"/>
      <c r="I1777" s="2"/>
      <c r="J1777" s="2"/>
      <c r="K1777" s="2"/>
    </row>
    <row r="1778" spans="5:11" x14ac:dyDescent="0.25">
      <c r="E1778" s="3">
        <f t="shared" ca="1" si="54"/>
        <v>0.67159557338581488</v>
      </c>
      <c r="F1778" s="3">
        <f t="shared" ca="1" si="54"/>
        <v>1.3160928754913925E-2</v>
      </c>
      <c r="G1778" s="3">
        <f t="shared" ca="1" si="55"/>
        <v>6.6371926883494226</v>
      </c>
      <c r="H1778" s="2"/>
      <c r="I1778" s="2"/>
      <c r="J1778" s="2"/>
      <c r="K1778" s="2"/>
    </row>
    <row r="1779" spans="5:11" x14ac:dyDescent="0.25">
      <c r="E1779" s="3">
        <f t="shared" ca="1" si="54"/>
        <v>0.55213888041833159</v>
      </c>
      <c r="F1779" s="3">
        <f t="shared" ca="1" si="54"/>
        <v>0.8634481669678753</v>
      </c>
      <c r="G1779" s="3">
        <f t="shared" ca="1" si="55"/>
        <v>10.075159420195721</v>
      </c>
      <c r="H1779" s="2"/>
      <c r="I1779" s="2"/>
      <c r="J1779" s="2"/>
      <c r="K1779" s="2"/>
    </row>
    <row r="1780" spans="5:11" x14ac:dyDescent="0.25">
      <c r="E1780" s="3">
        <f t="shared" ca="1" si="54"/>
        <v>0.27480847366842631</v>
      </c>
      <c r="F1780" s="3">
        <f t="shared" ca="1" si="54"/>
        <v>0.11223650049330736</v>
      </c>
      <c r="G1780" s="3">
        <f t="shared" ca="1" si="55"/>
        <v>5.4722770683535913</v>
      </c>
      <c r="H1780" s="2"/>
      <c r="I1780" s="2"/>
      <c r="J1780" s="2"/>
      <c r="K1780" s="2"/>
    </row>
    <row r="1781" spans="5:11" x14ac:dyDescent="0.25">
      <c r="E1781" s="3">
        <f t="shared" ca="1" si="54"/>
        <v>0.40602365940485385</v>
      </c>
      <c r="F1781" s="3">
        <f t="shared" ca="1" si="54"/>
        <v>0.65602602215438</v>
      </c>
      <c r="G1781" s="3">
        <f t="shared" ca="1" si="55"/>
        <v>7.3298720702532751</v>
      </c>
      <c r="H1781" s="2"/>
      <c r="I1781" s="2"/>
      <c r="J1781" s="2"/>
      <c r="K1781" s="2"/>
    </row>
    <row r="1782" spans="5:11" x14ac:dyDescent="0.25">
      <c r="E1782" s="3">
        <f t="shared" ca="1" si="54"/>
        <v>0.9273566595439422</v>
      </c>
      <c r="F1782" s="3">
        <f t="shared" ca="1" si="54"/>
        <v>0.70895967729652576</v>
      </c>
      <c r="G1782" s="3">
        <f t="shared" ca="1" si="55"/>
        <v>8.8074120064857357</v>
      </c>
      <c r="H1782" s="2"/>
      <c r="I1782" s="2"/>
      <c r="J1782" s="2"/>
      <c r="K1782" s="2"/>
    </row>
    <row r="1783" spans="5:11" x14ac:dyDescent="0.25">
      <c r="E1783" s="3">
        <f t="shared" ca="1" si="54"/>
        <v>0.2264116166342558</v>
      </c>
      <c r="F1783" s="3">
        <f t="shared" ca="1" si="54"/>
        <v>0.28045667926617834</v>
      </c>
      <c r="G1783" s="3">
        <f t="shared" ca="1" si="55"/>
        <v>6.1942740987208218</v>
      </c>
      <c r="H1783" s="2"/>
      <c r="I1783" s="2"/>
      <c r="J1783" s="2"/>
      <c r="K1783" s="2"/>
    </row>
    <row r="1784" spans="5:11" x14ac:dyDescent="0.25">
      <c r="E1784" s="3">
        <f t="shared" ca="1" si="54"/>
        <v>0.19588443621031548</v>
      </c>
      <c r="F1784" s="3">
        <f t="shared" ca="1" si="54"/>
        <v>0.97338572972892556</v>
      </c>
      <c r="G1784" s="3">
        <f t="shared" ca="1" si="55"/>
        <v>15.567553850549793</v>
      </c>
      <c r="H1784" s="2"/>
      <c r="I1784" s="2"/>
      <c r="J1784" s="2"/>
      <c r="K1784" s="2"/>
    </row>
    <row r="1785" spans="5:11" x14ac:dyDescent="0.25">
      <c r="E1785" s="3">
        <f t="shared" ca="1" si="54"/>
        <v>0.93011281857544037</v>
      </c>
      <c r="F1785" s="3">
        <f t="shared" ca="1" si="54"/>
        <v>8.6208631954167836E-2</v>
      </c>
      <c r="G1785" s="3">
        <f t="shared" ca="1" si="55"/>
        <v>5.6552726596608913</v>
      </c>
      <c r="H1785" s="2"/>
      <c r="I1785" s="2"/>
      <c r="J1785" s="2"/>
      <c r="K1785" s="2"/>
    </row>
    <row r="1786" spans="5:11" x14ac:dyDescent="0.25">
      <c r="E1786" s="3">
        <f t="shared" ca="1" si="54"/>
        <v>0.14018153146735535</v>
      </c>
      <c r="F1786" s="3">
        <f t="shared" ca="1" si="54"/>
        <v>2.8935951832430251E-2</v>
      </c>
      <c r="G1786" s="3">
        <f t="shared" ca="1" si="55"/>
        <v>9.1362485202115948</v>
      </c>
      <c r="H1786" s="2"/>
      <c r="I1786" s="2"/>
      <c r="J1786" s="2"/>
      <c r="K1786" s="2"/>
    </row>
    <row r="1787" spans="5:11" x14ac:dyDescent="0.25">
      <c r="E1787" s="3">
        <f t="shared" ca="1" si="54"/>
        <v>0.42720932544574641</v>
      </c>
      <c r="F1787" s="3">
        <f t="shared" ca="1" si="54"/>
        <v>0.66710626727692457</v>
      </c>
      <c r="G1787" s="3">
        <f t="shared" ca="1" si="55"/>
        <v>7.3433022749382042</v>
      </c>
      <c r="H1787" s="2"/>
      <c r="I1787" s="2"/>
      <c r="J1787" s="2"/>
      <c r="K1787" s="2"/>
    </row>
    <row r="1788" spans="5:11" x14ac:dyDescent="0.25">
      <c r="E1788" s="3">
        <f t="shared" ca="1" si="54"/>
        <v>0.13775183793992363</v>
      </c>
      <c r="F1788" s="3">
        <f t="shared" ca="1" si="54"/>
        <v>0.59267233429645849</v>
      </c>
      <c r="G1788" s="3">
        <f t="shared" ca="1" si="55"/>
        <v>9.5400058553541633</v>
      </c>
      <c r="H1788" s="2"/>
      <c r="I1788" s="2"/>
      <c r="J1788" s="2"/>
      <c r="K1788" s="2"/>
    </row>
    <row r="1789" spans="5:11" x14ac:dyDescent="0.25">
      <c r="E1789" s="3">
        <f t="shared" ca="1" si="54"/>
        <v>0.93501706237079008</v>
      </c>
      <c r="F1789" s="3">
        <f t="shared" ca="1" si="54"/>
        <v>0.30254309198319929</v>
      </c>
      <c r="G1789" s="3">
        <f t="shared" ca="1" si="55"/>
        <v>5.6541005925052579</v>
      </c>
      <c r="H1789" s="2"/>
      <c r="I1789" s="2"/>
      <c r="J1789" s="2"/>
      <c r="K1789" s="2"/>
    </row>
    <row r="1790" spans="5:11" x14ac:dyDescent="0.25">
      <c r="E1790" s="3">
        <f t="shared" ca="1" si="54"/>
        <v>3.9064661929881672E-2</v>
      </c>
      <c r="F1790" s="3">
        <f t="shared" ca="1" si="54"/>
        <v>0.10088639524496978</v>
      </c>
      <c r="G1790" s="3">
        <f t="shared" ca="1" si="55"/>
        <v>11.212913876812872</v>
      </c>
      <c r="H1790" s="2"/>
      <c r="I1790" s="2"/>
      <c r="J1790" s="2"/>
      <c r="K1790" s="2"/>
    </row>
    <row r="1791" spans="5:11" x14ac:dyDescent="0.25">
      <c r="E1791" s="3">
        <f t="shared" ca="1" si="54"/>
        <v>0.87321041996100657</v>
      </c>
      <c r="F1791" s="3">
        <f t="shared" ca="1" si="54"/>
        <v>0.6204535022180826</v>
      </c>
      <c r="G1791" s="3">
        <f t="shared" ca="1" si="55"/>
        <v>6.9331117741834909</v>
      </c>
      <c r="H1791" s="2"/>
      <c r="I1791" s="2"/>
      <c r="J1791" s="2"/>
      <c r="K1791" s="2"/>
    </row>
    <row r="1792" spans="5:11" x14ac:dyDescent="0.25">
      <c r="E1792" s="3">
        <f t="shared" ca="1" si="54"/>
        <v>0.59296150885164756</v>
      </c>
      <c r="F1792" s="3">
        <f t="shared" ca="1" si="54"/>
        <v>0.99813479414499895</v>
      </c>
      <c r="G1792" s="3">
        <f t="shared" ca="1" si="55"/>
        <v>19.000337631983584</v>
      </c>
      <c r="H1792" s="2"/>
      <c r="I1792" s="2"/>
      <c r="J1792" s="2"/>
      <c r="K1792" s="2"/>
    </row>
    <row r="1793" spans="5:11" x14ac:dyDescent="0.25">
      <c r="E1793" s="3">
        <f t="shared" ca="1" si="54"/>
        <v>0.26718952905593163</v>
      </c>
      <c r="F1793" s="3">
        <f t="shared" ca="1" si="54"/>
        <v>0.53705650770077895</v>
      </c>
      <c r="G1793" s="3">
        <f t="shared" ca="1" si="55"/>
        <v>7.27639840397066</v>
      </c>
      <c r="H1793" s="2"/>
      <c r="I1793" s="2"/>
      <c r="J1793" s="2"/>
      <c r="K1793" s="2"/>
    </row>
    <row r="1794" spans="5:11" x14ac:dyDescent="0.25">
      <c r="E1794" s="3">
        <f t="shared" ca="1" si="54"/>
        <v>0.54121147846563</v>
      </c>
      <c r="F1794" s="3">
        <f t="shared" ca="1" si="54"/>
        <v>0.33379543916651422</v>
      </c>
      <c r="G1794" s="3">
        <f t="shared" ca="1" si="55"/>
        <v>2.8919620874172991</v>
      </c>
      <c r="H1794" s="2"/>
      <c r="I1794" s="2"/>
      <c r="J1794" s="2"/>
      <c r="K1794" s="2"/>
    </row>
    <row r="1795" spans="5:11" x14ac:dyDescent="0.25">
      <c r="E1795" s="3">
        <f t="shared" ca="1" si="54"/>
        <v>0.49992457493037301</v>
      </c>
      <c r="F1795" s="3">
        <f t="shared" ca="1" si="54"/>
        <v>0.51552691946629181</v>
      </c>
      <c r="G1795" s="3">
        <f t="shared" ca="1" si="55"/>
        <v>5.1751610496590281</v>
      </c>
      <c r="H1795" s="2"/>
      <c r="I1795" s="2"/>
      <c r="J1795" s="2"/>
      <c r="K1795" s="2"/>
    </row>
    <row r="1796" spans="5:11" x14ac:dyDescent="0.25">
      <c r="E1796" s="3">
        <f t="shared" ref="E1796:F1859" ca="1" si="56">RAND()</f>
        <v>0.3415949943711506</v>
      </c>
      <c r="F1796" s="3">
        <f t="shared" ca="1" si="56"/>
        <v>0.46789937788223235</v>
      </c>
      <c r="G1796" s="3">
        <f t="shared" ref="G1796:G1859" ca="1" si="57">SQRT(_xlfn.NORM.INV(E1796,$C$3*COS($C$6),$C$4)^2+_xlfn.NORM.INV(F1796,$C$3*SIN($C$6),$C$4)^2)</f>
        <v>5.9049777591430672</v>
      </c>
      <c r="H1796" s="2"/>
      <c r="I1796" s="2"/>
      <c r="J1796" s="2"/>
      <c r="K1796" s="2"/>
    </row>
    <row r="1797" spans="5:11" x14ac:dyDescent="0.25">
      <c r="E1797" s="3">
        <f t="shared" ca="1" si="56"/>
        <v>0.34556055540575725</v>
      </c>
      <c r="F1797" s="3">
        <f t="shared" ca="1" si="56"/>
        <v>7.6627992455241545E-3</v>
      </c>
      <c r="G1797" s="3">
        <f t="shared" ca="1" si="57"/>
        <v>8.7427632343004795</v>
      </c>
      <c r="H1797" s="2"/>
      <c r="I1797" s="2"/>
      <c r="J1797" s="2"/>
      <c r="K1797" s="2"/>
    </row>
    <row r="1798" spans="5:11" x14ac:dyDescent="0.25">
      <c r="E1798" s="3">
        <f t="shared" ca="1" si="56"/>
        <v>0.64834054294367072</v>
      </c>
      <c r="F1798" s="3">
        <f t="shared" ca="1" si="56"/>
        <v>0.86049125683227667</v>
      </c>
      <c r="G1798" s="3">
        <f t="shared" ca="1" si="57"/>
        <v>9.888344085629301</v>
      </c>
      <c r="H1798" s="2"/>
      <c r="I1798" s="2"/>
      <c r="J1798" s="2"/>
      <c r="K1798" s="2"/>
    </row>
    <row r="1799" spans="5:11" x14ac:dyDescent="0.25">
      <c r="E1799" s="3">
        <f t="shared" ca="1" si="56"/>
        <v>0.16977671730514821</v>
      </c>
      <c r="F1799" s="3">
        <f t="shared" ca="1" si="56"/>
        <v>0.59480473545176882</v>
      </c>
      <c r="G1799" s="3">
        <f t="shared" ca="1" si="57"/>
        <v>9.0201473367310161</v>
      </c>
      <c r="H1799" s="2"/>
      <c r="I1799" s="2"/>
      <c r="J1799" s="2"/>
      <c r="K1799" s="2"/>
    </row>
    <row r="1800" spans="5:11" x14ac:dyDescent="0.25">
      <c r="E1800" s="3">
        <f t="shared" ca="1" si="56"/>
        <v>0.65704974223371859</v>
      </c>
      <c r="F1800" s="3">
        <f t="shared" ca="1" si="56"/>
        <v>0.4603048036898848</v>
      </c>
      <c r="G1800" s="3">
        <f t="shared" ca="1" si="57"/>
        <v>3.9776458694986023</v>
      </c>
      <c r="H1800" s="2"/>
      <c r="I1800" s="2"/>
      <c r="J1800" s="2"/>
      <c r="K1800" s="2"/>
    </row>
    <row r="1801" spans="5:11" x14ac:dyDescent="0.25">
      <c r="E1801" s="3">
        <f t="shared" ca="1" si="56"/>
        <v>0.17683414001842168</v>
      </c>
      <c r="F1801" s="3">
        <f t="shared" ca="1" si="56"/>
        <v>0.99453503696329393</v>
      </c>
      <c r="G1801" s="3">
        <f t="shared" ca="1" si="57"/>
        <v>18.519193435091246</v>
      </c>
      <c r="H1801" s="2"/>
      <c r="I1801" s="2"/>
      <c r="J1801" s="2"/>
      <c r="K1801" s="2"/>
    </row>
    <row r="1802" spans="5:11" x14ac:dyDescent="0.25">
      <c r="E1802" s="3">
        <f t="shared" ca="1" si="56"/>
        <v>7.58740150840711E-2</v>
      </c>
      <c r="F1802" s="3">
        <f t="shared" ca="1" si="56"/>
        <v>0.10632770564621519</v>
      </c>
      <c r="G1802" s="3">
        <f t="shared" ca="1" si="57"/>
        <v>9.5707882629254009</v>
      </c>
      <c r="H1802" s="2"/>
      <c r="I1802" s="2"/>
      <c r="J1802" s="2"/>
      <c r="K1802" s="2"/>
    </row>
    <row r="1803" spans="5:11" x14ac:dyDescent="0.25">
      <c r="E1803" s="3">
        <f t="shared" ca="1" si="56"/>
        <v>0.43013514599774205</v>
      </c>
      <c r="F1803" s="3">
        <f t="shared" ca="1" si="56"/>
        <v>0.42059960078187664</v>
      </c>
      <c r="G1803" s="3">
        <f t="shared" ca="1" si="57"/>
        <v>4.6653980550328917</v>
      </c>
      <c r="H1803" s="2"/>
      <c r="I1803" s="2"/>
      <c r="J1803" s="2"/>
      <c r="K1803" s="2"/>
    </row>
    <row r="1804" spans="5:11" x14ac:dyDescent="0.25">
      <c r="E1804" s="3">
        <f t="shared" ca="1" si="56"/>
        <v>0.75768841438183232</v>
      </c>
      <c r="F1804" s="3">
        <f t="shared" ca="1" si="56"/>
        <v>0.31020469373723536</v>
      </c>
      <c r="G1804" s="3">
        <f t="shared" ca="1" si="57"/>
        <v>2.3552585419862555</v>
      </c>
      <c r="H1804" s="2"/>
      <c r="I1804" s="2"/>
      <c r="J1804" s="2"/>
      <c r="K1804" s="2"/>
    </row>
    <row r="1805" spans="5:11" x14ac:dyDescent="0.25">
      <c r="E1805" s="3">
        <f t="shared" ca="1" si="56"/>
        <v>0.18148283284700772</v>
      </c>
      <c r="F1805" s="3">
        <f t="shared" ca="1" si="56"/>
        <v>0.61328971342791982</v>
      </c>
      <c r="G1805" s="3">
        <f t="shared" ca="1" si="57"/>
        <v>9.0007151360942128</v>
      </c>
      <c r="H1805" s="2"/>
      <c r="I1805" s="2"/>
      <c r="J1805" s="2"/>
      <c r="K1805" s="2"/>
    </row>
    <row r="1806" spans="5:11" x14ac:dyDescent="0.25">
      <c r="E1806" s="3">
        <f t="shared" ca="1" si="56"/>
        <v>0.36067454157779621</v>
      </c>
      <c r="F1806" s="3">
        <f t="shared" ca="1" si="56"/>
        <v>0.14092855575963559</v>
      </c>
      <c r="G1806" s="3">
        <f t="shared" ca="1" si="57"/>
        <v>4.1254474358757127</v>
      </c>
      <c r="H1806" s="2"/>
      <c r="I1806" s="2"/>
      <c r="J1806" s="2"/>
      <c r="K1806" s="2"/>
    </row>
    <row r="1807" spans="5:11" x14ac:dyDescent="0.25">
      <c r="E1807" s="3">
        <f t="shared" ca="1" si="56"/>
        <v>0.61333033824494454</v>
      </c>
      <c r="F1807" s="3">
        <f t="shared" ca="1" si="56"/>
        <v>0.51916709137693984</v>
      </c>
      <c r="G1807" s="3">
        <f t="shared" ca="1" si="57"/>
        <v>4.7778064611435536</v>
      </c>
      <c r="H1807" s="2"/>
      <c r="I1807" s="2"/>
      <c r="J1807" s="2"/>
      <c r="K1807" s="2"/>
    </row>
    <row r="1808" spans="5:11" x14ac:dyDescent="0.25">
      <c r="E1808" s="3">
        <f t="shared" ca="1" si="56"/>
        <v>0.92923340239822261</v>
      </c>
      <c r="F1808" s="3">
        <f t="shared" ca="1" si="56"/>
        <v>0.15300180289179832</v>
      </c>
      <c r="G1808" s="3">
        <f t="shared" ca="1" si="57"/>
        <v>5.1511101433798574</v>
      </c>
      <c r="H1808" s="2"/>
      <c r="I1808" s="2"/>
      <c r="J1808" s="2"/>
      <c r="K1808" s="2"/>
    </row>
    <row r="1809" spans="5:11" x14ac:dyDescent="0.25">
      <c r="E1809" s="3">
        <f t="shared" ca="1" si="56"/>
        <v>0.96032340135637284</v>
      </c>
      <c r="F1809" s="3">
        <f t="shared" ca="1" si="56"/>
        <v>8.2817256503605607E-3</v>
      </c>
      <c r="G1809" s="3">
        <f t="shared" ca="1" si="57"/>
        <v>9.9541578207380965</v>
      </c>
      <c r="H1809" s="2"/>
      <c r="I1809" s="2"/>
      <c r="J1809" s="2"/>
      <c r="K1809" s="2"/>
    </row>
    <row r="1810" spans="5:11" x14ac:dyDescent="0.25">
      <c r="E1810" s="3">
        <f t="shared" ca="1" si="56"/>
        <v>0.92602596814305271</v>
      </c>
      <c r="F1810" s="3">
        <f t="shared" ca="1" si="56"/>
        <v>0.46140640834834779</v>
      </c>
      <c r="G1810" s="3">
        <f t="shared" ca="1" si="57"/>
        <v>6.3891829775059321</v>
      </c>
      <c r="H1810" s="2"/>
      <c r="I1810" s="2"/>
      <c r="J1810" s="2"/>
      <c r="K1810" s="2"/>
    </row>
    <row r="1811" spans="5:11" x14ac:dyDescent="0.25">
      <c r="E1811" s="3">
        <f t="shared" ca="1" si="56"/>
        <v>0.97371081448705998</v>
      </c>
      <c r="F1811" s="3">
        <f t="shared" ca="1" si="56"/>
        <v>0.49957443631324439</v>
      </c>
      <c r="G1811" s="3">
        <f t="shared" ca="1" si="57"/>
        <v>8.6866283699410971</v>
      </c>
      <c r="H1811" s="2"/>
      <c r="I1811" s="2"/>
      <c r="J1811" s="2"/>
      <c r="K1811" s="2"/>
    </row>
    <row r="1812" spans="5:11" x14ac:dyDescent="0.25">
      <c r="E1812" s="3">
        <f t="shared" ca="1" si="56"/>
        <v>0.2603755124467535</v>
      </c>
      <c r="F1812" s="3">
        <f t="shared" ca="1" si="56"/>
        <v>0.19075067911619736</v>
      </c>
      <c r="G1812" s="3">
        <f t="shared" ca="1" si="57"/>
        <v>5.4521246957504426</v>
      </c>
      <c r="H1812" s="2"/>
      <c r="I1812" s="2"/>
      <c r="J1812" s="2"/>
      <c r="K1812" s="2"/>
    </row>
    <row r="1813" spans="5:11" x14ac:dyDescent="0.25">
      <c r="E1813" s="3">
        <f t="shared" ca="1" si="56"/>
        <v>0.21549307846677423</v>
      </c>
      <c r="F1813" s="3">
        <f t="shared" ca="1" si="56"/>
        <v>0.81524413886812375</v>
      </c>
      <c r="G1813" s="3">
        <f t="shared" ca="1" si="57"/>
        <v>10.880849495620309</v>
      </c>
      <c r="H1813" s="2"/>
      <c r="I1813" s="2"/>
      <c r="J1813" s="2"/>
      <c r="K1813" s="2"/>
    </row>
    <row r="1814" spans="5:11" x14ac:dyDescent="0.25">
      <c r="E1814" s="3">
        <f t="shared" ca="1" si="56"/>
        <v>0.1915881006561434</v>
      </c>
      <c r="F1814" s="3">
        <f t="shared" ca="1" si="56"/>
        <v>0.35993617230775488</v>
      </c>
      <c r="G1814" s="3">
        <f t="shared" ca="1" si="57"/>
        <v>7.1227947057168919</v>
      </c>
      <c r="H1814" s="2"/>
      <c r="I1814" s="2"/>
      <c r="J1814" s="2"/>
      <c r="K1814" s="2"/>
    </row>
    <row r="1815" spans="5:11" x14ac:dyDescent="0.25">
      <c r="E1815" s="3">
        <f t="shared" ca="1" si="56"/>
        <v>0.57584331588229343</v>
      </c>
      <c r="F1815" s="3">
        <f t="shared" ca="1" si="56"/>
        <v>0.56837280823280711</v>
      </c>
      <c r="G1815" s="3">
        <f t="shared" ca="1" si="57"/>
        <v>5.4835965847824442</v>
      </c>
      <c r="H1815" s="2"/>
      <c r="I1815" s="2"/>
      <c r="J1815" s="2"/>
      <c r="K1815" s="2"/>
    </row>
    <row r="1816" spans="5:11" x14ac:dyDescent="0.25">
      <c r="E1816" s="3">
        <f t="shared" ca="1" si="56"/>
        <v>0.98432605524011008</v>
      </c>
      <c r="F1816" s="3">
        <f t="shared" ca="1" si="56"/>
        <v>0.67779145627433379</v>
      </c>
      <c r="G1816" s="3">
        <f t="shared" ca="1" si="57"/>
        <v>10.889174376388503</v>
      </c>
      <c r="H1816" s="2"/>
      <c r="I1816" s="2"/>
      <c r="J1816" s="2"/>
      <c r="K1816" s="2"/>
    </row>
    <row r="1817" spans="5:11" x14ac:dyDescent="0.25">
      <c r="E1817" s="3">
        <f t="shared" ca="1" si="56"/>
        <v>9.9409397197467553E-2</v>
      </c>
      <c r="F1817" s="3">
        <f t="shared" ca="1" si="56"/>
        <v>7.1914508686811596E-2</v>
      </c>
      <c r="G1817" s="3">
        <f t="shared" ca="1" si="57"/>
        <v>9.1180387023297502</v>
      </c>
      <c r="H1817" s="2"/>
      <c r="I1817" s="2"/>
      <c r="J1817" s="2"/>
      <c r="K1817" s="2"/>
    </row>
    <row r="1818" spans="5:11" x14ac:dyDescent="0.25">
      <c r="E1818" s="3">
        <f t="shared" ca="1" si="56"/>
        <v>0.78167463720508035</v>
      </c>
      <c r="F1818" s="3">
        <f t="shared" ca="1" si="56"/>
        <v>0.47508753109430013</v>
      </c>
      <c r="G1818" s="3">
        <f t="shared" ca="1" si="57"/>
        <v>4.4726066334768291</v>
      </c>
      <c r="H1818" s="2"/>
      <c r="I1818" s="2"/>
      <c r="J1818" s="2"/>
      <c r="K1818" s="2"/>
    </row>
    <row r="1819" spans="5:11" x14ac:dyDescent="0.25">
      <c r="E1819" s="3">
        <f t="shared" ca="1" si="56"/>
        <v>0.50451739957181185</v>
      </c>
      <c r="F1819" s="3">
        <f t="shared" ca="1" si="56"/>
        <v>0.8804684194161948</v>
      </c>
      <c r="G1819" s="3">
        <f t="shared" ca="1" si="57"/>
        <v>10.584365195774621</v>
      </c>
      <c r="H1819" s="2"/>
      <c r="I1819" s="2"/>
      <c r="J1819" s="2"/>
      <c r="K1819" s="2"/>
    </row>
    <row r="1820" spans="5:11" x14ac:dyDescent="0.25">
      <c r="E1820" s="3">
        <f t="shared" ca="1" si="56"/>
        <v>0.80042072342070836</v>
      </c>
      <c r="F1820" s="3">
        <f t="shared" ca="1" si="56"/>
        <v>0.15431330888099204</v>
      </c>
      <c r="G1820" s="3">
        <f t="shared" ca="1" si="57"/>
        <v>2.070442024458409</v>
      </c>
      <c r="H1820" s="2"/>
      <c r="I1820" s="2"/>
      <c r="J1820" s="2"/>
      <c r="K1820" s="2"/>
    </row>
    <row r="1821" spans="5:11" x14ac:dyDescent="0.25">
      <c r="E1821" s="3">
        <f t="shared" ca="1" si="56"/>
        <v>0.54974622295638054</v>
      </c>
      <c r="F1821" s="3">
        <f t="shared" ca="1" si="56"/>
        <v>0.22900085967508288</v>
      </c>
      <c r="G1821" s="3">
        <f t="shared" ca="1" si="57"/>
        <v>1.7848217877034194</v>
      </c>
      <c r="H1821" s="2"/>
      <c r="I1821" s="2"/>
      <c r="J1821" s="2"/>
      <c r="K1821" s="2"/>
    </row>
    <row r="1822" spans="5:11" x14ac:dyDescent="0.25">
      <c r="E1822" s="3">
        <f t="shared" ca="1" si="56"/>
        <v>2.4198529719011708E-3</v>
      </c>
      <c r="F1822" s="3">
        <f t="shared" ca="1" si="56"/>
        <v>0.55374678004740496</v>
      </c>
      <c r="G1822" s="3">
        <f t="shared" ca="1" si="57"/>
        <v>17.119556578795589</v>
      </c>
      <c r="H1822" s="2"/>
      <c r="I1822" s="2"/>
      <c r="J1822" s="2"/>
      <c r="K1822" s="2"/>
    </row>
    <row r="1823" spans="5:11" x14ac:dyDescent="0.25">
      <c r="E1823" s="3">
        <f t="shared" ca="1" si="56"/>
        <v>0.16707414232185824</v>
      </c>
      <c r="F1823" s="3">
        <f t="shared" ca="1" si="56"/>
        <v>0.41614083553430725</v>
      </c>
      <c r="G1823" s="3">
        <f t="shared" ca="1" si="57"/>
        <v>7.849268647260625</v>
      </c>
      <c r="H1823" s="2"/>
      <c r="I1823" s="2"/>
      <c r="J1823" s="2"/>
      <c r="K1823" s="2"/>
    </row>
    <row r="1824" spans="5:11" x14ac:dyDescent="0.25">
      <c r="E1824" s="3">
        <f t="shared" ca="1" si="56"/>
        <v>0.63481943350358139</v>
      </c>
      <c r="F1824" s="3">
        <f t="shared" ca="1" si="56"/>
        <v>0.67616777118238081</v>
      </c>
      <c r="G1824" s="3">
        <f t="shared" ca="1" si="57"/>
        <v>6.7747955521807386</v>
      </c>
      <c r="H1824" s="2"/>
      <c r="I1824" s="2"/>
      <c r="J1824" s="2"/>
      <c r="K1824" s="2"/>
    </row>
    <row r="1825" spans="5:11" x14ac:dyDescent="0.25">
      <c r="E1825" s="3">
        <f t="shared" ca="1" si="56"/>
        <v>0.80748538928066249</v>
      </c>
      <c r="F1825" s="3">
        <f t="shared" ca="1" si="56"/>
        <v>0.34548276221452501</v>
      </c>
      <c r="G1825" s="3">
        <f t="shared" ca="1" si="57"/>
        <v>3.2533177268907032</v>
      </c>
      <c r="H1825" s="2"/>
      <c r="I1825" s="2"/>
      <c r="J1825" s="2"/>
      <c r="K1825" s="2"/>
    </row>
    <row r="1826" spans="5:11" x14ac:dyDescent="0.25">
      <c r="E1826" s="3">
        <f t="shared" ca="1" si="56"/>
        <v>0.29893657508374283</v>
      </c>
      <c r="F1826" s="3">
        <f t="shared" ca="1" si="56"/>
        <v>0.27751907056821368</v>
      </c>
      <c r="G1826" s="3">
        <f t="shared" ca="1" si="57"/>
        <v>5.1086800088578874</v>
      </c>
      <c r="H1826" s="2"/>
      <c r="I1826" s="2"/>
      <c r="J1826" s="2"/>
      <c r="K1826" s="2"/>
    </row>
    <row r="1827" spans="5:11" x14ac:dyDescent="0.25">
      <c r="E1827" s="3">
        <f t="shared" ca="1" si="56"/>
        <v>0.7450846670018606</v>
      </c>
      <c r="F1827" s="3">
        <f t="shared" ca="1" si="56"/>
        <v>0.46262877576840011</v>
      </c>
      <c r="G1827" s="3">
        <f t="shared" ca="1" si="57"/>
        <v>4.1377116452041713</v>
      </c>
      <c r="H1827" s="2"/>
      <c r="I1827" s="2"/>
      <c r="J1827" s="2"/>
      <c r="K1827" s="2"/>
    </row>
    <row r="1828" spans="5:11" x14ac:dyDescent="0.25">
      <c r="E1828" s="3">
        <f t="shared" ca="1" si="56"/>
        <v>0.39606955046073489</v>
      </c>
      <c r="F1828" s="3">
        <f t="shared" ca="1" si="56"/>
        <v>8.1094771222957052E-3</v>
      </c>
      <c r="G1828" s="3">
        <f t="shared" ca="1" si="57"/>
        <v>8.3461770639535136</v>
      </c>
      <c r="H1828" s="2"/>
      <c r="I1828" s="2"/>
      <c r="J1828" s="2"/>
      <c r="K1828" s="2"/>
    </row>
    <row r="1829" spans="5:11" x14ac:dyDescent="0.25">
      <c r="E1829" s="3">
        <f t="shared" ca="1" si="56"/>
        <v>0.85277293084495831</v>
      </c>
      <c r="F1829" s="3">
        <f t="shared" ca="1" si="56"/>
        <v>0.38314437546436397</v>
      </c>
      <c r="G1829" s="3">
        <f t="shared" ca="1" si="57"/>
        <v>4.232373413987931</v>
      </c>
      <c r="H1829" s="2"/>
      <c r="I1829" s="2"/>
      <c r="J1829" s="2"/>
      <c r="K1829" s="2"/>
    </row>
    <row r="1830" spans="5:11" x14ac:dyDescent="0.25">
      <c r="E1830" s="3">
        <f t="shared" ca="1" si="56"/>
        <v>0.51223139875489887</v>
      </c>
      <c r="F1830" s="3">
        <f t="shared" ca="1" si="56"/>
        <v>0.36294332181534983</v>
      </c>
      <c r="G1830" s="3">
        <f t="shared" ca="1" si="57"/>
        <v>3.4260318985343301</v>
      </c>
      <c r="H1830" s="2"/>
      <c r="I1830" s="2"/>
      <c r="J1830" s="2"/>
      <c r="K1830" s="2"/>
    </row>
    <row r="1831" spans="5:11" x14ac:dyDescent="0.25">
      <c r="E1831" s="3">
        <f t="shared" ca="1" si="56"/>
        <v>0.97480172894749839</v>
      </c>
      <c r="F1831" s="3">
        <f t="shared" ca="1" si="56"/>
        <v>0.17462924352487053</v>
      </c>
      <c r="G1831" s="3">
        <f t="shared" ca="1" si="57"/>
        <v>7.5454730704529789</v>
      </c>
      <c r="H1831" s="2"/>
      <c r="I1831" s="2"/>
      <c r="J1831" s="2"/>
      <c r="K1831" s="2"/>
    </row>
    <row r="1832" spans="5:11" x14ac:dyDescent="0.25">
      <c r="E1832" s="3">
        <f t="shared" ca="1" si="56"/>
        <v>0.68974404557448588</v>
      </c>
      <c r="F1832" s="3">
        <f t="shared" ca="1" si="56"/>
        <v>0.23828553628775218</v>
      </c>
      <c r="G1832" s="3">
        <f t="shared" ca="1" si="57"/>
        <v>0.94073273280512426</v>
      </c>
      <c r="H1832" s="2"/>
      <c r="I1832" s="2"/>
      <c r="J1832" s="2"/>
      <c r="K1832" s="2"/>
    </row>
    <row r="1833" spans="5:11" x14ac:dyDescent="0.25">
      <c r="E1833" s="3">
        <f t="shared" ca="1" si="56"/>
        <v>0.87991966398976118</v>
      </c>
      <c r="F1833" s="3">
        <f t="shared" ca="1" si="56"/>
        <v>0.424960209312368</v>
      </c>
      <c r="G1833" s="3">
        <f t="shared" ca="1" si="57"/>
        <v>5.0609519877541178</v>
      </c>
      <c r="H1833" s="2"/>
      <c r="I1833" s="2"/>
      <c r="J1833" s="2"/>
      <c r="K1833" s="2"/>
    </row>
    <row r="1834" spans="5:11" x14ac:dyDescent="0.25">
      <c r="E1834" s="3">
        <f t="shared" ca="1" si="56"/>
        <v>0.69859614188499164</v>
      </c>
      <c r="F1834" s="3">
        <f t="shared" ca="1" si="56"/>
        <v>0.16746167013083357</v>
      </c>
      <c r="G1834" s="3">
        <f t="shared" ca="1" si="57"/>
        <v>0.50401179806290985</v>
      </c>
      <c r="H1834" s="2"/>
      <c r="I1834" s="2"/>
      <c r="J1834" s="2"/>
      <c r="K1834" s="2"/>
    </row>
    <row r="1835" spans="5:11" x14ac:dyDescent="0.25">
      <c r="E1835" s="3">
        <f t="shared" ca="1" si="56"/>
        <v>0.93473395500106271</v>
      </c>
      <c r="F1835" s="3">
        <f t="shared" ca="1" si="56"/>
        <v>0.85533020867668608</v>
      </c>
      <c r="G1835" s="3">
        <f t="shared" ca="1" si="57"/>
        <v>11.122480352029346</v>
      </c>
      <c r="H1835" s="2"/>
      <c r="I1835" s="2"/>
      <c r="J1835" s="2"/>
      <c r="K1835" s="2"/>
    </row>
    <row r="1836" spans="5:11" x14ac:dyDescent="0.25">
      <c r="E1836" s="3">
        <f t="shared" ca="1" si="56"/>
        <v>3.8330710214772856E-2</v>
      </c>
      <c r="F1836" s="3">
        <f t="shared" ca="1" si="56"/>
        <v>0.51874417599806377</v>
      </c>
      <c r="G1836" s="3">
        <f t="shared" ca="1" si="57"/>
        <v>12.048941755395754</v>
      </c>
      <c r="H1836" s="2"/>
      <c r="I1836" s="2"/>
      <c r="J1836" s="2"/>
      <c r="K1836" s="2"/>
    </row>
    <row r="1837" spans="5:11" x14ac:dyDescent="0.25">
      <c r="E1837" s="3">
        <f t="shared" ca="1" si="56"/>
        <v>0.24348223217107667</v>
      </c>
      <c r="F1837" s="3">
        <f t="shared" ca="1" si="56"/>
        <v>0.56258622402614578</v>
      </c>
      <c r="G1837" s="3">
        <f t="shared" ca="1" si="57"/>
        <v>7.7663633653341302</v>
      </c>
      <c r="H1837" s="2"/>
      <c r="I1837" s="2"/>
      <c r="J1837" s="2"/>
      <c r="K1837" s="2"/>
    </row>
    <row r="1838" spans="5:11" x14ac:dyDescent="0.25">
      <c r="E1838" s="3">
        <f t="shared" ca="1" si="56"/>
        <v>0.98239121267404894</v>
      </c>
      <c r="F1838" s="3">
        <f t="shared" ca="1" si="56"/>
        <v>0.54590335011493862</v>
      </c>
      <c r="G1838" s="3">
        <f t="shared" ca="1" si="57"/>
        <v>9.7042912860992399</v>
      </c>
      <c r="H1838" s="2"/>
      <c r="I1838" s="2"/>
      <c r="J1838" s="2"/>
      <c r="K1838" s="2"/>
    </row>
    <row r="1839" spans="5:11" x14ac:dyDescent="0.25">
      <c r="E1839" s="3">
        <f t="shared" ca="1" si="56"/>
        <v>0.72934433608009652</v>
      </c>
      <c r="F1839" s="3">
        <f t="shared" ca="1" si="56"/>
        <v>0.23399616318059169</v>
      </c>
      <c r="G1839" s="3">
        <f t="shared" ca="1" si="57"/>
        <v>1.1704393400811801</v>
      </c>
      <c r="H1839" s="2"/>
      <c r="I1839" s="2"/>
      <c r="J1839" s="2"/>
      <c r="K1839" s="2"/>
    </row>
    <row r="1840" spans="5:11" x14ac:dyDescent="0.25">
      <c r="E1840" s="3">
        <f t="shared" ca="1" si="56"/>
        <v>0.97056765163949321</v>
      </c>
      <c r="F1840" s="3">
        <f t="shared" ca="1" si="56"/>
        <v>0.42054939899556321</v>
      </c>
      <c r="G1840" s="3">
        <f t="shared" ca="1" si="57"/>
        <v>7.9965719824954729</v>
      </c>
      <c r="H1840" s="2"/>
      <c r="I1840" s="2"/>
      <c r="J1840" s="2"/>
      <c r="K1840" s="2"/>
    </row>
    <row r="1841" spans="5:11" x14ac:dyDescent="0.25">
      <c r="E1841" s="3">
        <f t="shared" ca="1" si="56"/>
        <v>0.20151004515433446</v>
      </c>
      <c r="F1841" s="3">
        <f t="shared" ca="1" si="56"/>
        <v>0.32145226819097528</v>
      </c>
      <c r="G1841" s="3">
        <f t="shared" ca="1" si="57"/>
        <v>6.7724922762496789</v>
      </c>
      <c r="H1841" s="2"/>
      <c r="I1841" s="2"/>
      <c r="J1841" s="2"/>
      <c r="K1841" s="2"/>
    </row>
    <row r="1842" spans="5:11" x14ac:dyDescent="0.25">
      <c r="E1842" s="3">
        <f t="shared" ca="1" si="56"/>
        <v>0.33386003416448817</v>
      </c>
      <c r="F1842" s="3">
        <f t="shared" ca="1" si="56"/>
        <v>0.21360542978418384</v>
      </c>
      <c r="G1842" s="3">
        <f t="shared" ca="1" si="57"/>
        <v>4.4151799452981084</v>
      </c>
      <c r="H1842" s="2"/>
      <c r="I1842" s="2"/>
      <c r="J1842" s="2"/>
      <c r="K1842" s="2"/>
    </row>
    <row r="1843" spans="5:11" x14ac:dyDescent="0.25">
      <c r="E1843" s="3">
        <f t="shared" ca="1" si="56"/>
        <v>0.25448436897045046</v>
      </c>
      <c r="F1843" s="3">
        <f t="shared" ca="1" si="56"/>
        <v>0.83327436933138899</v>
      </c>
      <c r="G1843" s="3">
        <f t="shared" ca="1" si="57"/>
        <v>10.831448912926001</v>
      </c>
      <c r="H1843" s="2"/>
      <c r="I1843" s="2"/>
      <c r="J1843" s="2"/>
      <c r="K1843" s="2"/>
    </row>
    <row r="1844" spans="5:11" x14ac:dyDescent="0.25">
      <c r="E1844" s="3">
        <f t="shared" ca="1" si="56"/>
        <v>0.74126423236603689</v>
      </c>
      <c r="F1844" s="3">
        <f t="shared" ca="1" si="56"/>
        <v>0.13609483719868731</v>
      </c>
      <c r="G1844" s="3">
        <f t="shared" ca="1" si="57"/>
        <v>1.4256716668720668</v>
      </c>
      <c r="H1844" s="2"/>
      <c r="I1844" s="2"/>
      <c r="J1844" s="2"/>
      <c r="K1844" s="2"/>
    </row>
    <row r="1845" spans="5:11" x14ac:dyDescent="0.25">
      <c r="E1845" s="3">
        <f t="shared" ca="1" si="56"/>
        <v>0.16383768827797174</v>
      </c>
      <c r="F1845" s="3">
        <f t="shared" ca="1" si="56"/>
        <v>0.30669926540210357</v>
      </c>
      <c r="G1845" s="3">
        <f t="shared" ca="1" si="57"/>
        <v>7.3944726330505954</v>
      </c>
      <c r="H1845" s="2"/>
      <c r="I1845" s="2"/>
      <c r="J1845" s="2"/>
      <c r="K1845" s="2"/>
    </row>
    <row r="1846" spans="5:11" x14ac:dyDescent="0.25">
      <c r="E1846" s="3">
        <f t="shared" ca="1" si="56"/>
        <v>0.8407880755256868</v>
      </c>
      <c r="F1846" s="3">
        <f t="shared" ca="1" si="56"/>
        <v>0.73677278481965813</v>
      </c>
      <c r="G1846" s="3">
        <f t="shared" ca="1" si="57"/>
        <v>8.1165207952525513</v>
      </c>
      <c r="H1846" s="2"/>
      <c r="I1846" s="2"/>
      <c r="J1846" s="2"/>
      <c r="K1846" s="2"/>
    </row>
    <row r="1847" spans="5:11" x14ac:dyDescent="0.25">
      <c r="E1847" s="3">
        <f t="shared" ca="1" si="56"/>
        <v>0.48509690424565921</v>
      </c>
      <c r="F1847" s="3">
        <f t="shared" ca="1" si="56"/>
        <v>0.72441272351865249</v>
      </c>
      <c r="G1847" s="3">
        <f t="shared" ca="1" si="57"/>
        <v>7.8354066914470151</v>
      </c>
      <c r="H1847" s="2"/>
      <c r="I1847" s="2"/>
      <c r="J1847" s="2"/>
      <c r="K1847" s="2"/>
    </row>
    <row r="1848" spans="5:11" x14ac:dyDescent="0.25">
      <c r="E1848" s="3">
        <f t="shared" ca="1" si="56"/>
        <v>0.89176226297259764</v>
      </c>
      <c r="F1848" s="3">
        <f t="shared" ca="1" si="56"/>
        <v>0.67353079771201385</v>
      </c>
      <c r="G1848" s="3">
        <f t="shared" ca="1" si="57"/>
        <v>7.7881860406861279</v>
      </c>
      <c r="H1848" s="2"/>
      <c r="I1848" s="2"/>
      <c r="J1848" s="2"/>
      <c r="K1848" s="2"/>
    </row>
    <row r="1849" spans="5:11" x14ac:dyDescent="0.25">
      <c r="E1849" s="3">
        <f t="shared" ca="1" si="56"/>
        <v>0.21148830906153659</v>
      </c>
      <c r="F1849" s="3">
        <f t="shared" ca="1" si="56"/>
        <v>0.19841790365302536</v>
      </c>
      <c r="G1849" s="3">
        <f t="shared" ca="1" si="57"/>
        <v>6.2510717388280463</v>
      </c>
      <c r="H1849" s="2"/>
      <c r="I1849" s="2"/>
      <c r="J1849" s="2"/>
      <c r="K1849" s="2"/>
    </row>
    <row r="1850" spans="5:11" x14ac:dyDescent="0.25">
      <c r="E1850" s="3">
        <f t="shared" ca="1" si="56"/>
        <v>0.47443458248150872</v>
      </c>
      <c r="F1850" s="3">
        <f t="shared" ca="1" si="56"/>
        <v>0.32623062466989283</v>
      </c>
      <c r="G1850" s="3">
        <f t="shared" ca="1" si="57"/>
        <v>3.3881249985475175</v>
      </c>
      <c r="H1850" s="2"/>
      <c r="I1850" s="2"/>
      <c r="J1850" s="2"/>
      <c r="K1850" s="2"/>
    </row>
    <row r="1851" spans="5:11" x14ac:dyDescent="0.25">
      <c r="E1851" s="3">
        <f t="shared" ca="1" si="56"/>
        <v>0.99499411035826768</v>
      </c>
      <c r="F1851" s="3">
        <f t="shared" ca="1" si="56"/>
        <v>0.73021263906420864</v>
      </c>
      <c r="G1851" s="3">
        <f t="shared" ca="1" si="57"/>
        <v>13.036512390802173</v>
      </c>
      <c r="H1851" s="2"/>
      <c r="I1851" s="2"/>
      <c r="J1851" s="2"/>
      <c r="K1851" s="2"/>
    </row>
    <row r="1852" spans="5:11" x14ac:dyDescent="0.25">
      <c r="E1852" s="3">
        <f t="shared" ca="1" si="56"/>
        <v>0.16293368607449843</v>
      </c>
      <c r="F1852" s="3">
        <f t="shared" ca="1" si="56"/>
        <v>0.95471750295515689</v>
      </c>
      <c r="G1852" s="3">
        <f t="shared" ca="1" si="57"/>
        <v>14.778393934792046</v>
      </c>
      <c r="H1852" s="2"/>
      <c r="I1852" s="2"/>
      <c r="J1852" s="2"/>
      <c r="K1852" s="2"/>
    </row>
    <row r="1853" spans="5:11" x14ac:dyDescent="0.25">
      <c r="E1853" s="3">
        <f t="shared" ca="1" si="56"/>
        <v>0.74834454390012672</v>
      </c>
      <c r="F1853" s="3">
        <f t="shared" ca="1" si="56"/>
        <v>0.34076233737610839</v>
      </c>
      <c r="G1853" s="3">
        <f t="shared" ca="1" si="57"/>
        <v>2.6590324030621466</v>
      </c>
      <c r="H1853" s="2"/>
      <c r="I1853" s="2"/>
      <c r="J1853" s="2"/>
      <c r="K1853" s="2"/>
    </row>
    <row r="1854" spans="5:11" x14ac:dyDescent="0.25">
      <c r="E1854" s="3">
        <f t="shared" ca="1" si="56"/>
        <v>0.17774235493892521</v>
      </c>
      <c r="F1854" s="3">
        <f t="shared" ca="1" si="56"/>
        <v>0.12693235514613221</v>
      </c>
      <c r="G1854" s="3">
        <f t="shared" ca="1" si="57"/>
        <v>6.9706730463769055</v>
      </c>
      <c r="H1854" s="2"/>
      <c r="I1854" s="2"/>
      <c r="J1854" s="2"/>
      <c r="K1854" s="2"/>
    </row>
    <row r="1855" spans="5:11" x14ac:dyDescent="0.25">
      <c r="E1855" s="3">
        <f t="shared" ca="1" si="56"/>
        <v>0.58217912191772347</v>
      </c>
      <c r="F1855" s="3">
        <f t="shared" ca="1" si="56"/>
        <v>0.10532904354796568</v>
      </c>
      <c r="G1855" s="3">
        <f t="shared" ca="1" si="57"/>
        <v>2.1557050046774666</v>
      </c>
      <c r="H1855" s="2"/>
      <c r="I1855" s="2"/>
      <c r="J1855" s="2"/>
      <c r="K1855" s="2"/>
    </row>
    <row r="1856" spans="5:11" x14ac:dyDescent="0.25">
      <c r="E1856" s="3">
        <f t="shared" ca="1" si="56"/>
        <v>1.6052070213418146E-3</v>
      </c>
      <c r="F1856" s="3">
        <f t="shared" ca="1" si="56"/>
        <v>0.59050718693468529</v>
      </c>
      <c r="G1856" s="3">
        <f t="shared" ca="1" si="57"/>
        <v>17.878904309771858</v>
      </c>
      <c r="H1856" s="2"/>
      <c r="I1856" s="2"/>
      <c r="J1856" s="2"/>
      <c r="K1856" s="2"/>
    </row>
    <row r="1857" spans="5:11" x14ac:dyDescent="0.25">
      <c r="E1857" s="3">
        <f t="shared" ca="1" si="56"/>
        <v>0.43102738504568916</v>
      </c>
      <c r="F1857" s="3">
        <f t="shared" ca="1" si="56"/>
        <v>0.89586918476468225</v>
      </c>
      <c r="G1857" s="3">
        <f t="shared" ca="1" si="57"/>
        <v>11.201913558257436</v>
      </c>
      <c r="H1857" s="2"/>
      <c r="I1857" s="2"/>
      <c r="J1857" s="2"/>
      <c r="K1857" s="2"/>
    </row>
    <row r="1858" spans="5:11" x14ac:dyDescent="0.25">
      <c r="E1858" s="3">
        <f t="shared" ca="1" si="56"/>
        <v>0.26751863029007283</v>
      </c>
      <c r="F1858" s="3">
        <f t="shared" ca="1" si="56"/>
        <v>0.66215712449123532</v>
      </c>
      <c r="G1858" s="3">
        <f t="shared" ca="1" si="57"/>
        <v>8.4613391716358688</v>
      </c>
      <c r="H1858" s="2"/>
      <c r="I1858" s="2"/>
      <c r="J1858" s="2"/>
      <c r="K1858" s="2"/>
    </row>
    <row r="1859" spans="5:11" x14ac:dyDescent="0.25">
      <c r="E1859" s="3">
        <f t="shared" ca="1" si="56"/>
        <v>0.20841211722107311</v>
      </c>
      <c r="F1859" s="3">
        <f t="shared" ca="1" si="56"/>
        <v>0.47722574733924339</v>
      </c>
      <c r="G1859" s="3">
        <f t="shared" ca="1" si="57"/>
        <v>7.5630827943771948</v>
      </c>
      <c r="H1859" s="2"/>
      <c r="I1859" s="2"/>
      <c r="J1859" s="2"/>
      <c r="K1859" s="2"/>
    </row>
    <row r="1860" spans="5:11" x14ac:dyDescent="0.25">
      <c r="E1860" s="3">
        <f t="shared" ref="E1860:F1923" ca="1" si="58">RAND()</f>
        <v>0.93193232780317092</v>
      </c>
      <c r="F1860" s="3">
        <f t="shared" ca="1" si="58"/>
        <v>0.6977272546445461</v>
      </c>
      <c r="G1860" s="3">
        <f t="shared" ref="G1860:G1923" ca="1" si="59">SQRT(_xlfn.NORM.INV(E1860,$C$3*COS($C$6),$C$4)^2+_xlfn.NORM.INV(F1860,$C$3*SIN($C$6),$C$4)^2)</f>
        <v>8.7745326764369107</v>
      </c>
      <c r="H1860" s="2"/>
      <c r="I1860" s="2"/>
      <c r="J1860" s="2"/>
      <c r="K1860" s="2"/>
    </row>
    <row r="1861" spans="5:11" x14ac:dyDescent="0.25">
      <c r="E1861" s="3">
        <f t="shared" ca="1" si="58"/>
        <v>6.1921794367847949E-2</v>
      </c>
      <c r="F1861" s="3">
        <f t="shared" ca="1" si="58"/>
        <v>0.35164313670470193</v>
      </c>
      <c r="G1861" s="3">
        <f t="shared" ca="1" si="59"/>
        <v>10.260485383614428</v>
      </c>
      <c r="H1861" s="2"/>
      <c r="I1861" s="2"/>
      <c r="J1861" s="2"/>
      <c r="K1861" s="2"/>
    </row>
    <row r="1862" spans="5:11" x14ac:dyDescent="0.25">
      <c r="E1862" s="3">
        <f t="shared" ca="1" si="58"/>
        <v>0.53530548537630007</v>
      </c>
      <c r="F1862" s="3">
        <f t="shared" ca="1" si="58"/>
        <v>0.47454915574604539</v>
      </c>
      <c r="G1862" s="3">
        <f t="shared" ca="1" si="59"/>
        <v>4.5231986522809562</v>
      </c>
      <c r="H1862" s="2"/>
      <c r="I1862" s="2"/>
      <c r="J1862" s="2"/>
      <c r="K1862" s="2"/>
    </row>
    <row r="1863" spans="5:11" x14ac:dyDescent="0.25">
      <c r="E1863" s="3">
        <f t="shared" ca="1" si="58"/>
        <v>0.26050422152319785</v>
      </c>
      <c r="F1863" s="3">
        <f t="shared" ca="1" si="58"/>
        <v>0.41388367510599577</v>
      </c>
      <c r="G1863" s="3">
        <f t="shared" ca="1" si="59"/>
        <v>6.413589017576947</v>
      </c>
      <c r="H1863" s="2"/>
      <c r="I1863" s="2"/>
      <c r="J1863" s="2"/>
      <c r="K1863" s="2"/>
    </row>
    <row r="1864" spans="5:11" x14ac:dyDescent="0.25">
      <c r="E1864" s="3">
        <f t="shared" ca="1" si="58"/>
        <v>0.7744340874304646</v>
      </c>
      <c r="F1864" s="3">
        <f t="shared" ca="1" si="58"/>
        <v>5.0460532139211645E-2</v>
      </c>
      <c r="G1864" s="3">
        <f t="shared" ca="1" si="59"/>
        <v>4.0324561610982963</v>
      </c>
      <c r="H1864" s="2"/>
      <c r="I1864" s="2"/>
      <c r="J1864" s="2"/>
      <c r="K1864" s="2"/>
    </row>
    <row r="1865" spans="5:11" x14ac:dyDescent="0.25">
      <c r="E1865" s="3">
        <f t="shared" ca="1" si="58"/>
        <v>0.26310036085767341</v>
      </c>
      <c r="F1865" s="3">
        <f t="shared" ca="1" si="58"/>
        <v>7.3728272844498011E-2</v>
      </c>
      <c r="G1865" s="3">
        <f t="shared" ca="1" si="59"/>
        <v>6.0787374303894497</v>
      </c>
      <c r="H1865" s="2"/>
      <c r="I1865" s="2"/>
      <c r="J1865" s="2"/>
      <c r="K1865" s="2"/>
    </row>
    <row r="1866" spans="5:11" x14ac:dyDescent="0.25">
      <c r="E1866" s="3">
        <f t="shared" ca="1" si="58"/>
        <v>0.80583779873170347</v>
      </c>
      <c r="F1866" s="3">
        <f t="shared" ca="1" si="58"/>
        <v>0.84048615135567017</v>
      </c>
      <c r="G1866" s="3">
        <f t="shared" ca="1" si="59"/>
        <v>9.6769061300323305</v>
      </c>
      <c r="H1866" s="2"/>
      <c r="I1866" s="2"/>
      <c r="J1866" s="2"/>
      <c r="K1866" s="2"/>
    </row>
    <row r="1867" spans="5:11" x14ac:dyDescent="0.25">
      <c r="E1867" s="3">
        <f t="shared" ca="1" si="58"/>
        <v>3.1869519551119496E-2</v>
      </c>
      <c r="F1867" s="3">
        <f t="shared" ca="1" si="58"/>
        <v>0.82106684744195046</v>
      </c>
      <c r="G1867" s="3">
        <f t="shared" ca="1" si="59"/>
        <v>14.652724662139061</v>
      </c>
      <c r="H1867" s="2"/>
      <c r="I1867" s="2"/>
      <c r="J1867" s="2"/>
      <c r="K1867" s="2"/>
    </row>
    <row r="1868" spans="5:11" x14ac:dyDescent="0.25">
      <c r="E1868" s="3">
        <f t="shared" ca="1" si="58"/>
        <v>0.17464431426068983</v>
      </c>
      <c r="F1868" s="3">
        <f t="shared" ca="1" si="58"/>
        <v>0.16174681591160889</v>
      </c>
      <c r="G1868" s="3">
        <f t="shared" ca="1" si="59"/>
        <v>6.9359264333301134</v>
      </c>
      <c r="H1868" s="2"/>
      <c r="I1868" s="2"/>
      <c r="J1868" s="2"/>
      <c r="K1868" s="2"/>
    </row>
    <row r="1869" spans="5:11" x14ac:dyDescent="0.25">
      <c r="E1869" s="3">
        <f t="shared" ca="1" si="58"/>
        <v>0.98173510698118915</v>
      </c>
      <c r="F1869" s="3">
        <f t="shared" ca="1" si="58"/>
        <v>0.38810200879738199</v>
      </c>
      <c r="G1869" s="3">
        <f t="shared" ca="1" si="59"/>
        <v>8.7620081176590823</v>
      </c>
      <c r="H1869" s="2"/>
      <c r="I1869" s="2"/>
      <c r="J1869" s="2"/>
      <c r="K1869" s="2"/>
    </row>
    <row r="1870" spans="5:11" x14ac:dyDescent="0.25">
      <c r="E1870" s="3">
        <f t="shared" ca="1" si="58"/>
        <v>0.32445218429833167</v>
      </c>
      <c r="F1870" s="3">
        <f t="shared" ca="1" si="58"/>
        <v>0.71241996409998398</v>
      </c>
      <c r="G1870" s="3">
        <f t="shared" ca="1" si="59"/>
        <v>8.5608478988779755</v>
      </c>
      <c r="H1870" s="2"/>
      <c r="I1870" s="2"/>
      <c r="J1870" s="2"/>
      <c r="K1870" s="2"/>
    </row>
    <row r="1871" spans="5:11" x14ac:dyDescent="0.25">
      <c r="E1871" s="3">
        <f t="shared" ca="1" si="58"/>
        <v>0.17818005348278632</v>
      </c>
      <c r="F1871" s="3">
        <f t="shared" ca="1" si="58"/>
        <v>0.10802142638237233</v>
      </c>
      <c r="G1871" s="3">
        <f t="shared" ca="1" si="59"/>
        <v>7.0634977068572562</v>
      </c>
      <c r="H1871" s="2"/>
      <c r="I1871" s="2"/>
      <c r="J1871" s="2"/>
      <c r="K1871" s="2"/>
    </row>
    <row r="1872" spans="5:11" x14ac:dyDescent="0.25">
      <c r="E1872" s="3">
        <f t="shared" ca="1" si="58"/>
        <v>5.2471108484339335E-2</v>
      </c>
      <c r="F1872" s="3">
        <f t="shared" ca="1" si="58"/>
        <v>0.87065836110227557</v>
      </c>
      <c r="G1872" s="3">
        <f t="shared" ca="1" si="59"/>
        <v>14.471606368252079</v>
      </c>
      <c r="H1872" s="2"/>
      <c r="I1872" s="2"/>
      <c r="J1872" s="2"/>
      <c r="K1872" s="2"/>
    </row>
    <row r="1873" spans="5:11" x14ac:dyDescent="0.25">
      <c r="E1873" s="3">
        <f t="shared" ca="1" si="58"/>
        <v>0.21372724015983835</v>
      </c>
      <c r="F1873" s="3">
        <f t="shared" ca="1" si="58"/>
        <v>0.57849402985029208</v>
      </c>
      <c r="G1873" s="3">
        <f t="shared" ca="1" si="59"/>
        <v>8.2676947286625477</v>
      </c>
      <c r="H1873" s="2"/>
      <c r="I1873" s="2"/>
      <c r="J1873" s="2"/>
      <c r="K1873" s="2"/>
    </row>
    <row r="1874" spans="5:11" x14ac:dyDescent="0.25">
      <c r="E1874" s="3">
        <f t="shared" ca="1" si="58"/>
        <v>0.25211791412004092</v>
      </c>
      <c r="F1874" s="3">
        <f t="shared" ca="1" si="58"/>
        <v>0.24127536308312236</v>
      </c>
      <c r="G1874" s="3">
        <f t="shared" ca="1" si="59"/>
        <v>5.6613746755042129</v>
      </c>
      <c r="H1874" s="2"/>
      <c r="I1874" s="2"/>
      <c r="J1874" s="2"/>
      <c r="K1874" s="2"/>
    </row>
    <row r="1875" spans="5:11" x14ac:dyDescent="0.25">
      <c r="E1875" s="3">
        <f t="shared" ca="1" si="58"/>
        <v>0.30360463155273298</v>
      </c>
      <c r="F1875" s="3">
        <f t="shared" ca="1" si="58"/>
        <v>0.53821566600403237</v>
      </c>
      <c r="G1875" s="3">
        <f t="shared" ca="1" si="59"/>
        <v>6.9023125386054165</v>
      </c>
      <c r="H1875" s="2"/>
      <c r="I1875" s="2"/>
      <c r="J1875" s="2"/>
      <c r="K1875" s="2"/>
    </row>
    <row r="1876" spans="5:11" x14ac:dyDescent="0.25">
      <c r="E1876" s="3">
        <f t="shared" ca="1" si="58"/>
        <v>0.4129944018256696</v>
      </c>
      <c r="F1876" s="3">
        <f t="shared" ca="1" si="58"/>
        <v>0.56108265110886302</v>
      </c>
      <c r="G1876" s="3">
        <f t="shared" ca="1" si="59"/>
        <v>6.2125269230192313</v>
      </c>
      <c r="H1876" s="2"/>
      <c r="I1876" s="2"/>
      <c r="J1876" s="2"/>
      <c r="K1876" s="2"/>
    </row>
    <row r="1877" spans="5:11" x14ac:dyDescent="0.25">
      <c r="E1877" s="3">
        <f t="shared" ca="1" si="58"/>
        <v>0.79324757411493652</v>
      </c>
      <c r="F1877" s="3">
        <f t="shared" ca="1" si="58"/>
        <v>0.45662335201971183</v>
      </c>
      <c r="G1877" s="3">
        <f t="shared" ca="1" si="59"/>
        <v>4.3386679124337038</v>
      </c>
      <c r="H1877" s="2"/>
      <c r="I1877" s="2"/>
      <c r="J1877" s="2"/>
      <c r="K1877" s="2"/>
    </row>
    <row r="1878" spans="5:11" x14ac:dyDescent="0.25">
      <c r="E1878" s="3">
        <f t="shared" ca="1" si="58"/>
        <v>0.40235435091718641</v>
      </c>
      <c r="F1878" s="3">
        <f t="shared" ca="1" si="58"/>
        <v>0.40160978028220384</v>
      </c>
      <c r="G1878" s="3">
        <f t="shared" ca="1" si="59"/>
        <v>4.7414950622814986</v>
      </c>
      <c r="H1878" s="2"/>
      <c r="I1878" s="2"/>
      <c r="J1878" s="2"/>
      <c r="K1878" s="2"/>
    </row>
    <row r="1879" spans="5:11" x14ac:dyDescent="0.25">
      <c r="E1879" s="3">
        <f t="shared" ca="1" si="58"/>
        <v>0.28850563907627669</v>
      </c>
      <c r="F1879" s="3">
        <f t="shared" ca="1" si="58"/>
        <v>0.50353656531257485</v>
      </c>
      <c r="G1879" s="3">
        <f t="shared" ca="1" si="59"/>
        <v>6.7580536464462879</v>
      </c>
      <c r="H1879" s="2"/>
      <c r="I1879" s="2"/>
      <c r="J1879" s="2"/>
      <c r="K1879" s="2"/>
    </row>
    <row r="1880" spans="5:11" x14ac:dyDescent="0.25">
      <c r="E1880" s="3">
        <f t="shared" ca="1" si="58"/>
        <v>0.54671824443934824</v>
      </c>
      <c r="F1880" s="3">
        <f t="shared" ca="1" si="58"/>
        <v>0.25833861797988078</v>
      </c>
      <c r="G1880" s="3">
        <f t="shared" ca="1" si="59"/>
        <v>2.0593844183739582</v>
      </c>
      <c r="H1880" s="2"/>
      <c r="I1880" s="2"/>
      <c r="J1880" s="2"/>
      <c r="K1880" s="2"/>
    </row>
    <row r="1881" spans="5:11" x14ac:dyDescent="0.25">
      <c r="E1881" s="3">
        <f t="shared" ca="1" si="58"/>
        <v>0.18519324239147161</v>
      </c>
      <c r="F1881" s="3">
        <f t="shared" ca="1" si="58"/>
        <v>0.35905079702548559</v>
      </c>
      <c r="G1881" s="3">
        <f t="shared" ca="1" si="59"/>
        <v>7.2283287908523759</v>
      </c>
      <c r="H1881" s="2"/>
      <c r="I1881" s="2"/>
      <c r="J1881" s="2"/>
      <c r="K1881" s="2"/>
    </row>
    <row r="1882" spans="5:11" x14ac:dyDescent="0.25">
      <c r="E1882" s="3">
        <f t="shared" ca="1" si="58"/>
        <v>2.4773676181804705E-2</v>
      </c>
      <c r="F1882" s="3">
        <f t="shared" ca="1" si="58"/>
        <v>8.1271209908695408E-4</v>
      </c>
      <c r="G1882" s="3">
        <f t="shared" ca="1" si="59"/>
        <v>16.517281935004025</v>
      </c>
      <c r="H1882" s="2"/>
      <c r="I1882" s="2"/>
      <c r="J1882" s="2"/>
      <c r="K1882" s="2"/>
    </row>
    <row r="1883" spans="5:11" x14ac:dyDescent="0.25">
      <c r="E1883" s="3">
        <f t="shared" ca="1" si="58"/>
        <v>0.69032713265283874</v>
      </c>
      <c r="F1883" s="3">
        <f t="shared" ca="1" si="58"/>
        <v>0.62092558496648709</v>
      </c>
      <c r="G1883" s="3">
        <f t="shared" ca="1" si="59"/>
        <v>6.0144783700387787</v>
      </c>
      <c r="H1883" s="2"/>
      <c r="I1883" s="2"/>
      <c r="J1883" s="2"/>
      <c r="K1883" s="2"/>
    </row>
    <row r="1884" spans="5:11" x14ac:dyDescent="0.25">
      <c r="E1884" s="3">
        <f t="shared" ca="1" si="58"/>
        <v>0.70703204786764728</v>
      </c>
      <c r="F1884" s="3">
        <f t="shared" ca="1" si="58"/>
        <v>0.94816065871890332</v>
      </c>
      <c r="G1884" s="3">
        <f t="shared" ca="1" si="59"/>
        <v>12.61562000726412</v>
      </c>
      <c r="H1884" s="2"/>
      <c r="I1884" s="2"/>
      <c r="J1884" s="2"/>
      <c r="K1884" s="2"/>
    </row>
    <row r="1885" spans="5:11" x14ac:dyDescent="0.25">
      <c r="E1885" s="3">
        <f t="shared" ca="1" si="58"/>
        <v>0.87554218155819852</v>
      </c>
      <c r="F1885" s="3">
        <f t="shared" ca="1" si="58"/>
        <v>0.18234832511861654</v>
      </c>
      <c r="G1885" s="3">
        <f t="shared" ca="1" si="59"/>
        <v>3.5251180886516154</v>
      </c>
      <c r="H1885" s="2"/>
      <c r="I1885" s="2"/>
      <c r="J1885" s="2"/>
      <c r="K1885" s="2"/>
    </row>
    <row r="1886" spans="5:11" x14ac:dyDescent="0.25">
      <c r="E1886" s="3">
        <f t="shared" ca="1" si="58"/>
        <v>0.43304321874131768</v>
      </c>
      <c r="F1886" s="3">
        <f t="shared" ca="1" si="58"/>
        <v>7.7842528289035706E-2</v>
      </c>
      <c r="G1886" s="3">
        <f t="shared" ca="1" si="59"/>
        <v>4.0519295843077963</v>
      </c>
      <c r="H1886" s="2"/>
      <c r="I1886" s="2"/>
      <c r="J1886" s="2"/>
      <c r="K1886" s="2"/>
    </row>
    <row r="1887" spans="5:11" x14ac:dyDescent="0.25">
      <c r="E1887" s="3">
        <f t="shared" ca="1" si="58"/>
        <v>0.60989404550727078</v>
      </c>
      <c r="F1887" s="3">
        <f t="shared" ca="1" si="58"/>
        <v>1.0595818893761266E-2</v>
      </c>
      <c r="G1887" s="3">
        <f t="shared" ca="1" si="59"/>
        <v>7.1032381874006036</v>
      </c>
      <c r="H1887" s="2"/>
      <c r="I1887" s="2"/>
      <c r="J1887" s="2"/>
      <c r="K1887" s="2"/>
    </row>
    <row r="1888" spans="5:11" x14ac:dyDescent="0.25">
      <c r="E1888" s="3">
        <f t="shared" ca="1" si="58"/>
        <v>0.11586858333253358</v>
      </c>
      <c r="F1888" s="3">
        <f t="shared" ca="1" si="58"/>
        <v>0.37904504200486899</v>
      </c>
      <c r="G1888" s="3">
        <f t="shared" ca="1" si="59"/>
        <v>8.7264539711816909</v>
      </c>
      <c r="H1888" s="2"/>
      <c r="I1888" s="2"/>
      <c r="J1888" s="2"/>
      <c r="K1888" s="2"/>
    </row>
    <row r="1889" spans="5:11" x14ac:dyDescent="0.25">
      <c r="E1889" s="3">
        <f t="shared" ca="1" si="58"/>
        <v>0.59316429050209618</v>
      </c>
      <c r="F1889" s="3">
        <f t="shared" ca="1" si="58"/>
        <v>0.41042818285287586</v>
      </c>
      <c r="G1889" s="3">
        <f t="shared" ca="1" si="59"/>
        <v>3.502616192190565</v>
      </c>
      <c r="H1889" s="2"/>
      <c r="I1889" s="2"/>
      <c r="J1889" s="2"/>
      <c r="K1889" s="2"/>
    </row>
    <row r="1890" spans="5:11" x14ac:dyDescent="0.25">
      <c r="E1890" s="3">
        <f t="shared" ca="1" si="58"/>
        <v>0.40290159070306852</v>
      </c>
      <c r="F1890" s="3">
        <f t="shared" ca="1" si="58"/>
        <v>0.8016384612741777</v>
      </c>
      <c r="G1890" s="3">
        <f t="shared" ca="1" si="59"/>
        <v>9.3732208366442382</v>
      </c>
      <c r="H1890" s="2"/>
      <c r="I1890" s="2"/>
      <c r="J1890" s="2"/>
      <c r="K1890" s="2"/>
    </row>
    <row r="1891" spans="5:11" x14ac:dyDescent="0.25">
      <c r="E1891" s="3">
        <f t="shared" ca="1" si="58"/>
        <v>0.54343079613795686</v>
      </c>
      <c r="F1891" s="3">
        <f t="shared" ca="1" si="58"/>
        <v>0.85153196069875026</v>
      </c>
      <c r="G1891" s="3">
        <f t="shared" ca="1" si="59"/>
        <v>9.8323120066394054</v>
      </c>
      <c r="H1891" s="2"/>
      <c r="I1891" s="2"/>
      <c r="J1891" s="2"/>
      <c r="K1891" s="2"/>
    </row>
    <row r="1892" spans="5:11" x14ac:dyDescent="0.25">
      <c r="E1892" s="3">
        <f t="shared" ca="1" si="58"/>
        <v>0.12915038235870024</v>
      </c>
      <c r="F1892" s="3">
        <f t="shared" ca="1" si="58"/>
        <v>0.34484729499339062</v>
      </c>
      <c r="G1892" s="3">
        <f t="shared" ca="1" si="59"/>
        <v>8.2710125567862498</v>
      </c>
      <c r="H1892" s="2"/>
      <c r="I1892" s="2"/>
      <c r="J1892" s="2"/>
      <c r="K1892" s="2"/>
    </row>
    <row r="1893" spans="5:11" x14ac:dyDescent="0.25">
      <c r="E1893" s="3">
        <f t="shared" ca="1" si="58"/>
        <v>0.1411055021347648</v>
      </c>
      <c r="F1893" s="3">
        <f t="shared" ca="1" si="58"/>
        <v>2.9616906474310145E-3</v>
      </c>
      <c r="G1893" s="3">
        <f t="shared" ca="1" si="59"/>
        <v>12.013552131321518</v>
      </c>
      <c r="H1893" s="2"/>
      <c r="I1893" s="2"/>
      <c r="J1893" s="2"/>
      <c r="K1893" s="2"/>
    </row>
    <row r="1894" spans="5:11" x14ac:dyDescent="0.25">
      <c r="E1894" s="3">
        <f t="shared" ca="1" si="58"/>
        <v>0.10092076714194342</v>
      </c>
      <c r="F1894" s="3">
        <f t="shared" ca="1" si="58"/>
        <v>0.89282159638693248</v>
      </c>
      <c r="G1894" s="3">
        <f t="shared" ca="1" si="59"/>
        <v>13.72464197007535</v>
      </c>
      <c r="H1894" s="2"/>
      <c r="I1894" s="2"/>
      <c r="J1894" s="2"/>
      <c r="K1894" s="2"/>
    </row>
    <row r="1895" spans="5:11" x14ac:dyDescent="0.25">
      <c r="E1895" s="3">
        <f t="shared" ca="1" si="58"/>
        <v>4.6590399540712979E-2</v>
      </c>
      <c r="F1895" s="3">
        <f t="shared" ca="1" si="58"/>
        <v>0.27740876356366662</v>
      </c>
      <c r="G1895" s="3">
        <f t="shared" ca="1" si="59"/>
        <v>10.742311714662671</v>
      </c>
      <c r="H1895" s="2"/>
      <c r="I1895" s="2"/>
      <c r="J1895" s="2"/>
      <c r="K1895" s="2"/>
    </row>
    <row r="1896" spans="5:11" x14ac:dyDescent="0.25">
      <c r="E1896" s="3">
        <f t="shared" ca="1" si="58"/>
        <v>0.17596904140044878</v>
      </c>
      <c r="F1896" s="3">
        <f t="shared" ca="1" si="58"/>
        <v>0.62288769447601877</v>
      </c>
      <c r="G1896" s="3">
        <f t="shared" ca="1" si="59"/>
        <v>9.1629859946841989</v>
      </c>
      <c r="H1896" s="2"/>
      <c r="I1896" s="2"/>
      <c r="J1896" s="2"/>
      <c r="K1896" s="2"/>
    </row>
    <row r="1897" spans="5:11" x14ac:dyDescent="0.25">
      <c r="E1897" s="3">
        <f t="shared" ca="1" si="58"/>
        <v>0.41945510752560267</v>
      </c>
      <c r="F1897" s="3">
        <f t="shared" ca="1" si="58"/>
        <v>0.24238118674150777</v>
      </c>
      <c r="G1897" s="3">
        <f t="shared" ca="1" si="59"/>
        <v>3.4000975972158658</v>
      </c>
      <c r="H1897" s="2"/>
      <c r="I1897" s="2"/>
      <c r="J1897" s="2"/>
      <c r="K1897" s="2"/>
    </row>
    <row r="1898" spans="5:11" x14ac:dyDescent="0.25">
      <c r="E1898" s="3">
        <f t="shared" ca="1" si="58"/>
        <v>5.1853746538228496E-3</v>
      </c>
      <c r="F1898" s="3">
        <f t="shared" ca="1" si="58"/>
        <v>0.73202493766070986</v>
      </c>
      <c r="G1898" s="3">
        <f t="shared" ca="1" si="59"/>
        <v>16.849977181549793</v>
      </c>
      <c r="H1898" s="2"/>
      <c r="I1898" s="2"/>
      <c r="J1898" s="2"/>
      <c r="K1898" s="2"/>
    </row>
    <row r="1899" spans="5:11" x14ac:dyDescent="0.25">
      <c r="E1899" s="3">
        <f t="shared" ca="1" si="58"/>
        <v>0.53832105531055863</v>
      </c>
      <c r="F1899" s="3">
        <f t="shared" ca="1" si="58"/>
        <v>0.96830690151432786</v>
      </c>
      <c r="G1899" s="3">
        <f t="shared" ca="1" si="59"/>
        <v>13.864427404462713</v>
      </c>
      <c r="H1899" s="2"/>
      <c r="I1899" s="2"/>
      <c r="J1899" s="2"/>
      <c r="K1899" s="2"/>
    </row>
    <row r="1900" spans="5:11" x14ac:dyDescent="0.25">
      <c r="E1900" s="3">
        <f t="shared" ca="1" si="58"/>
        <v>0.66665694801987807</v>
      </c>
      <c r="F1900" s="3">
        <f t="shared" ca="1" si="58"/>
        <v>4.3656669495089062E-2</v>
      </c>
      <c r="G1900" s="3">
        <f t="shared" ca="1" si="59"/>
        <v>4.0796584174573765</v>
      </c>
      <c r="H1900" s="2"/>
      <c r="I1900" s="2"/>
      <c r="J1900" s="2"/>
      <c r="K1900" s="2"/>
    </row>
    <row r="1901" spans="5:11" x14ac:dyDescent="0.25">
      <c r="E1901" s="3">
        <f t="shared" ca="1" si="58"/>
        <v>0.98210722226216085</v>
      </c>
      <c r="F1901" s="3">
        <f t="shared" ca="1" si="58"/>
        <v>0.68344042793343762</v>
      </c>
      <c r="G1901" s="3">
        <f t="shared" ca="1" si="59"/>
        <v>10.732311298954126</v>
      </c>
      <c r="H1901" s="2"/>
      <c r="I1901" s="2"/>
      <c r="J1901" s="2"/>
      <c r="K1901" s="2"/>
    </row>
    <row r="1902" spans="5:11" x14ac:dyDescent="0.25">
      <c r="E1902" s="3">
        <f t="shared" ca="1" si="58"/>
        <v>0.20525530330301611</v>
      </c>
      <c r="F1902" s="3">
        <f t="shared" ca="1" si="58"/>
        <v>0.10662791664345628</v>
      </c>
      <c r="G1902" s="3">
        <f t="shared" ca="1" si="59"/>
        <v>6.5927668500257965</v>
      </c>
      <c r="H1902" s="2"/>
      <c r="I1902" s="2"/>
      <c r="J1902" s="2"/>
      <c r="K1902" s="2"/>
    </row>
    <row r="1903" spans="5:11" x14ac:dyDescent="0.25">
      <c r="E1903" s="3">
        <f t="shared" ca="1" si="58"/>
        <v>0.49509682870652127</v>
      </c>
      <c r="F1903" s="3">
        <f t="shared" ca="1" si="58"/>
        <v>0.30396347163972093</v>
      </c>
      <c r="G1903" s="3">
        <f t="shared" ca="1" si="59"/>
        <v>2.9877551839674301</v>
      </c>
      <c r="H1903" s="2"/>
      <c r="I1903" s="2"/>
      <c r="J1903" s="2"/>
      <c r="K1903" s="2"/>
    </row>
    <row r="1904" spans="5:11" x14ac:dyDescent="0.25">
      <c r="E1904" s="3">
        <f t="shared" ca="1" si="58"/>
        <v>0.22648029967755845</v>
      </c>
      <c r="F1904" s="3">
        <f t="shared" ca="1" si="58"/>
        <v>0.22159335571455685</v>
      </c>
      <c r="G1904" s="3">
        <f t="shared" ca="1" si="59"/>
        <v>6.0264501562250441</v>
      </c>
      <c r="H1904" s="2"/>
      <c r="I1904" s="2"/>
      <c r="J1904" s="2"/>
      <c r="K1904" s="2"/>
    </row>
    <row r="1905" spans="5:11" x14ac:dyDescent="0.25">
      <c r="E1905" s="3">
        <f t="shared" ca="1" si="58"/>
        <v>0.57431209433682939</v>
      </c>
      <c r="F1905" s="3">
        <f t="shared" ca="1" si="58"/>
        <v>0.61853084350689014</v>
      </c>
      <c r="G1905" s="3">
        <f t="shared" ca="1" si="59"/>
        <v>6.1185780553570543</v>
      </c>
      <c r="H1905" s="2"/>
      <c r="I1905" s="2"/>
      <c r="J1905" s="2"/>
      <c r="K1905" s="2"/>
    </row>
    <row r="1906" spans="5:11" x14ac:dyDescent="0.25">
      <c r="E1906" s="3">
        <f t="shared" ca="1" si="58"/>
        <v>0.42372517378917895</v>
      </c>
      <c r="F1906" s="3">
        <f t="shared" ca="1" si="58"/>
        <v>0.20234610717781432</v>
      </c>
      <c r="G1906" s="3">
        <f t="shared" ca="1" si="59"/>
        <v>3.216593842089182</v>
      </c>
      <c r="H1906" s="2"/>
      <c r="I1906" s="2"/>
      <c r="J1906" s="2"/>
      <c r="K1906" s="2"/>
    </row>
    <row r="1907" spans="5:11" x14ac:dyDescent="0.25">
      <c r="E1907" s="3">
        <f t="shared" ca="1" si="58"/>
        <v>0.93736192592725442</v>
      </c>
      <c r="F1907" s="3">
        <f t="shared" ca="1" si="58"/>
        <v>0.30399457494615234</v>
      </c>
      <c r="G1907" s="3">
        <f t="shared" ca="1" si="59"/>
        <v>5.7494833340869151</v>
      </c>
      <c r="H1907" s="2"/>
      <c r="I1907" s="2"/>
      <c r="J1907" s="2"/>
      <c r="K1907" s="2"/>
    </row>
    <row r="1908" spans="5:11" x14ac:dyDescent="0.25">
      <c r="E1908" s="3">
        <f t="shared" ca="1" si="58"/>
        <v>0.50712315283204368</v>
      </c>
      <c r="F1908" s="3">
        <f t="shared" ca="1" si="58"/>
        <v>0.73890814612517086</v>
      </c>
      <c r="G1908" s="3">
        <f t="shared" ca="1" si="59"/>
        <v>7.9658340768658276</v>
      </c>
      <c r="H1908" s="2"/>
      <c r="I1908" s="2"/>
      <c r="J1908" s="2"/>
      <c r="K1908" s="2"/>
    </row>
    <row r="1909" spans="5:11" x14ac:dyDescent="0.25">
      <c r="E1909" s="3">
        <f t="shared" ca="1" si="58"/>
        <v>0.68377604286698757</v>
      </c>
      <c r="F1909" s="3">
        <f t="shared" ca="1" si="58"/>
        <v>0.35726830543892318</v>
      </c>
      <c r="G1909" s="3">
        <f t="shared" ca="1" si="59"/>
        <v>2.6454487001148452</v>
      </c>
      <c r="H1909" s="2"/>
      <c r="I1909" s="2"/>
      <c r="J1909" s="2"/>
      <c r="K1909" s="2"/>
    </row>
    <row r="1910" spans="5:11" x14ac:dyDescent="0.25">
      <c r="E1910" s="3">
        <f t="shared" ca="1" si="58"/>
        <v>0.42898514092659434</v>
      </c>
      <c r="F1910" s="3">
        <f t="shared" ca="1" si="58"/>
        <v>0.41777612910827422</v>
      </c>
      <c r="G1910" s="3">
        <f t="shared" ca="1" si="59"/>
        <v>4.6484645883673554</v>
      </c>
      <c r="H1910" s="2"/>
      <c r="I1910" s="2"/>
      <c r="J1910" s="2"/>
      <c r="K1910" s="2"/>
    </row>
    <row r="1911" spans="5:11" x14ac:dyDescent="0.25">
      <c r="E1911" s="3">
        <f t="shared" ca="1" si="58"/>
        <v>0.18104994411133046</v>
      </c>
      <c r="F1911" s="3">
        <f t="shared" ca="1" si="58"/>
        <v>0.72784053416082251</v>
      </c>
      <c r="G1911" s="3">
        <f t="shared" ca="1" si="59"/>
        <v>10.122950045846565</v>
      </c>
      <c r="H1911" s="2"/>
      <c r="I1911" s="2"/>
      <c r="J1911" s="2"/>
      <c r="K1911" s="2"/>
    </row>
    <row r="1912" spans="5:11" x14ac:dyDescent="0.25">
      <c r="E1912" s="3">
        <f t="shared" ca="1" si="58"/>
        <v>0.74379834131238509</v>
      </c>
      <c r="F1912" s="3">
        <f t="shared" ca="1" si="58"/>
        <v>0.94541501450521426</v>
      </c>
      <c r="G1912" s="3">
        <f t="shared" ca="1" si="59"/>
        <v>12.522514841754475</v>
      </c>
      <c r="H1912" s="2"/>
      <c r="I1912" s="2"/>
      <c r="J1912" s="2"/>
      <c r="K1912" s="2"/>
    </row>
    <row r="1913" spans="5:11" x14ac:dyDescent="0.25">
      <c r="E1913" s="3">
        <f t="shared" ca="1" si="58"/>
        <v>0.17885354224940964</v>
      </c>
      <c r="F1913" s="3">
        <f t="shared" ca="1" si="58"/>
        <v>0.58234077624992453</v>
      </c>
      <c r="G1913" s="3">
        <f t="shared" ca="1" si="59"/>
        <v>8.7821784588099163</v>
      </c>
      <c r="H1913" s="2"/>
      <c r="I1913" s="2"/>
      <c r="J1913" s="2"/>
      <c r="K1913" s="2"/>
    </row>
    <row r="1914" spans="5:11" x14ac:dyDescent="0.25">
      <c r="E1914" s="3">
        <f t="shared" ca="1" si="58"/>
        <v>0.48206387490421321</v>
      </c>
      <c r="F1914" s="3">
        <f t="shared" ca="1" si="58"/>
        <v>0.60923810951504032</v>
      </c>
      <c r="G1914" s="3">
        <f t="shared" ca="1" si="59"/>
        <v>6.3543517385340502</v>
      </c>
      <c r="H1914" s="2"/>
      <c r="I1914" s="2"/>
      <c r="J1914" s="2"/>
      <c r="K1914" s="2"/>
    </row>
    <row r="1915" spans="5:11" x14ac:dyDescent="0.25">
      <c r="E1915" s="3">
        <f t="shared" ca="1" si="58"/>
        <v>0.1727711380880752</v>
      </c>
      <c r="F1915" s="3">
        <f t="shared" ca="1" si="58"/>
        <v>0.46216990779379485</v>
      </c>
      <c r="G1915" s="3">
        <f t="shared" ca="1" si="59"/>
        <v>8.0222907293170547</v>
      </c>
      <c r="H1915" s="2"/>
      <c r="I1915" s="2"/>
      <c r="J1915" s="2"/>
      <c r="K1915" s="2"/>
    </row>
    <row r="1916" spans="5:11" x14ac:dyDescent="0.25">
      <c r="E1916" s="3">
        <f t="shared" ca="1" si="58"/>
        <v>0.53906923745711244</v>
      </c>
      <c r="F1916" s="3">
        <f t="shared" ca="1" si="58"/>
        <v>0.6130083523419243</v>
      </c>
      <c r="G1916" s="3">
        <f t="shared" ca="1" si="59"/>
        <v>6.1596272563414738</v>
      </c>
      <c r="H1916" s="2"/>
      <c r="I1916" s="2"/>
      <c r="J1916" s="2"/>
      <c r="K1916" s="2"/>
    </row>
    <row r="1917" spans="5:11" x14ac:dyDescent="0.25">
      <c r="E1917" s="3">
        <f t="shared" ca="1" si="58"/>
        <v>3.2135525851947233E-2</v>
      </c>
      <c r="F1917" s="3">
        <f t="shared" ca="1" si="58"/>
        <v>0.93519862094153627</v>
      </c>
      <c r="G1917" s="3">
        <f t="shared" ca="1" si="59"/>
        <v>16.650069495367426</v>
      </c>
      <c r="H1917" s="2"/>
      <c r="I1917" s="2"/>
      <c r="J1917" s="2"/>
      <c r="K1917" s="2"/>
    </row>
    <row r="1918" spans="5:11" x14ac:dyDescent="0.25">
      <c r="E1918" s="3">
        <f t="shared" ca="1" si="58"/>
        <v>0.65494838045891124</v>
      </c>
      <c r="F1918" s="3">
        <f t="shared" ca="1" si="58"/>
        <v>0.67196005077793497</v>
      </c>
      <c r="G1918" s="3">
        <f t="shared" ca="1" si="59"/>
        <v>6.7011889803272329</v>
      </c>
      <c r="H1918" s="2"/>
      <c r="I1918" s="2"/>
      <c r="J1918" s="2"/>
      <c r="K1918" s="2"/>
    </row>
    <row r="1919" spans="5:11" x14ac:dyDescent="0.25">
      <c r="E1919" s="3">
        <f t="shared" ca="1" si="58"/>
        <v>0.33388509042813475</v>
      </c>
      <c r="F1919" s="3">
        <f t="shared" ca="1" si="58"/>
        <v>8.0576699607880498E-3</v>
      </c>
      <c r="G1919" s="3">
        <f t="shared" ca="1" si="59"/>
        <v>8.7416630067175376</v>
      </c>
      <c r="H1919" s="2"/>
      <c r="I1919" s="2"/>
      <c r="J1919" s="2"/>
      <c r="K1919" s="2"/>
    </row>
    <row r="1920" spans="5:11" x14ac:dyDescent="0.25">
      <c r="E1920" s="3">
        <f t="shared" ca="1" si="58"/>
        <v>0.71756211884369281</v>
      </c>
      <c r="F1920" s="3">
        <f t="shared" ca="1" si="58"/>
        <v>0.98364522937651488</v>
      </c>
      <c r="G1920" s="3">
        <f t="shared" ca="1" si="59"/>
        <v>15.161553012575915</v>
      </c>
      <c r="H1920" s="2"/>
      <c r="I1920" s="2"/>
      <c r="J1920" s="2"/>
      <c r="K1920" s="2"/>
    </row>
    <row r="1921" spans="5:11" x14ac:dyDescent="0.25">
      <c r="E1921" s="3">
        <f t="shared" ca="1" si="58"/>
        <v>0.97494150731060392</v>
      </c>
      <c r="F1921" s="3">
        <f t="shared" ca="1" si="58"/>
        <v>0.74198727467559711</v>
      </c>
      <c r="G1921" s="3">
        <f t="shared" ca="1" si="59"/>
        <v>10.799448372091854</v>
      </c>
      <c r="H1921" s="2"/>
      <c r="I1921" s="2"/>
      <c r="J1921" s="2"/>
      <c r="K1921" s="2"/>
    </row>
    <row r="1922" spans="5:11" x14ac:dyDescent="0.25">
      <c r="E1922" s="3">
        <f t="shared" ca="1" si="58"/>
        <v>0.59398650288757848</v>
      </c>
      <c r="F1922" s="3">
        <f t="shared" ca="1" si="58"/>
        <v>0.37849139018158828</v>
      </c>
      <c r="G1922" s="3">
        <f t="shared" ca="1" si="59"/>
        <v>3.1060836864091104</v>
      </c>
      <c r="H1922" s="2"/>
      <c r="I1922" s="2"/>
      <c r="J1922" s="2"/>
      <c r="K1922" s="2"/>
    </row>
    <row r="1923" spans="5:11" x14ac:dyDescent="0.25">
      <c r="E1923" s="3">
        <f t="shared" ca="1" si="58"/>
        <v>0.69177781237635139</v>
      </c>
      <c r="F1923" s="3">
        <f t="shared" ca="1" si="58"/>
        <v>0.38765921248819868</v>
      </c>
      <c r="G1923" s="3">
        <f t="shared" ca="1" si="59"/>
        <v>3.0542980220388247</v>
      </c>
      <c r="H1923" s="2"/>
      <c r="I1923" s="2"/>
      <c r="J1923" s="2"/>
      <c r="K1923" s="2"/>
    </row>
    <row r="1924" spans="5:11" x14ac:dyDescent="0.25">
      <c r="E1924" s="3">
        <f t="shared" ref="E1924:F1987" ca="1" si="60">RAND()</f>
        <v>0.2716479607257456</v>
      </c>
      <c r="F1924" s="3">
        <f t="shared" ca="1" si="60"/>
        <v>0.50493782979927637</v>
      </c>
      <c r="G1924" s="3">
        <f t="shared" ref="G1924:G1987" ca="1" si="61">SQRT(_xlfn.NORM.INV(E1924,$C$3*COS($C$6),$C$4)^2+_xlfn.NORM.INV(F1924,$C$3*SIN($C$6),$C$4)^2)</f>
        <v>6.9578382159453538</v>
      </c>
      <c r="H1924" s="2"/>
      <c r="I1924" s="2"/>
      <c r="J1924" s="2"/>
      <c r="K1924" s="2"/>
    </row>
    <row r="1925" spans="5:11" x14ac:dyDescent="0.25">
      <c r="E1925" s="3">
        <f t="shared" ca="1" si="60"/>
        <v>0.1817336002491029</v>
      </c>
      <c r="F1925" s="3">
        <f t="shared" ca="1" si="60"/>
        <v>6.8252115149939119E-2</v>
      </c>
      <c r="G1925" s="3">
        <f t="shared" ca="1" si="61"/>
        <v>7.4077657057364705</v>
      </c>
      <c r="H1925" s="2"/>
      <c r="I1925" s="2"/>
      <c r="J1925" s="2"/>
      <c r="K1925" s="2"/>
    </row>
    <row r="1926" spans="5:11" x14ac:dyDescent="0.25">
      <c r="E1926" s="3">
        <f t="shared" ca="1" si="60"/>
        <v>0.90069572330932512</v>
      </c>
      <c r="F1926" s="3">
        <f t="shared" ca="1" si="60"/>
        <v>0.61937779881352661</v>
      </c>
      <c r="G1926" s="3">
        <f t="shared" ca="1" si="61"/>
        <v>7.307797262911782</v>
      </c>
      <c r="H1926" s="2"/>
      <c r="I1926" s="2"/>
      <c r="J1926" s="2"/>
      <c r="K1926" s="2"/>
    </row>
    <row r="1927" spans="5:11" x14ac:dyDescent="0.25">
      <c r="E1927" s="3">
        <f t="shared" ca="1" si="60"/>
        <v>0.23259494303511219</v>
      </c>
      <c r="F1927" s="3">
        <f t="shared" ca="1" si="60"/>
        <v>0.94346141753432811</v>
      </c>
      <c r="G1927" s="3">
        <f t="shared" ca="1" si="61"/>
        <v>13.721913891325308</v>
      </c>
      <c r="H1927" s="2"/>
      <c r="I1927" s="2"/>
      <c r="J1927" s="2"/>
      <c r="K1927" s="2"/>
    </row>
    <row r="1928" spans="5:11" x14ac:dyDescent="0.25">
      <c r="E1928" s="3">
        <f t="shared" ca="1" si="60"/>
        <v>0.43115159748449583</v>
      </c>
      <c r="F1928" s="3">
        <f t="shared" ca="1" si="60"/>
        <v>0.1972392963655778</v>
      </c>
      <c r="G1928" s="3">
        <f t="shared" ca="1" si="61"/>
        <v>3.114831146380689</v>
      </c>
      <c r="H1928" s="2"/>
      <c r="I1928" s="2"/>
      <c r="J1928" s="2"/>
      <c r="K1928" s="2"/>
    </row>
    <row r="1929" spans="5:11" x14ac:dyDescent="0.25">
      <c r="E1929" s="3">
        <f t="shared" ca="1" si="60"/>
        <v>0.49498451894864803</v>
      </c>
      <c r="F1929" s="3">
        <f t="shared" ca="1" si="60"/>
        <v>0.96386049857647682</v>
      </c>
      <c r="G1929" s="3">
        <f t="shared" ca="1" si="61"/>
        <v>13.652451991467602</v>
      </c>
      <c r="H1929" s="2"/>
      <c r="I1929" s="2"/>
      <c r="J1929" s="2"/>
      <c r="K1929" s="2"/>
    </row>
    <row r="1930" spans="5:11" x14ac:dyDescent="0.25">
      <c r="E1930" s="3">
        <f t="shared" ca="1" si="60"/>
        <v>7.1546745852050786E-2</v>
      </c>
      <c r="F1930" s="3">
        <f t="shared" ca="1" si="60"/>
        <v>0.50651547815474562</v>
      </c>
      <c r="G1930" s="3">
        <f t="shared" ca="1" si="61"/>
        <v>10.590244810173298</v>
      </c>
      <c r="H1930" s="2"/>
      <c r="I1930" s="2"/>
      <c r="J1930" s="2"/>
      <c r="K1930" s="2"/>
    </row>
    <row r="1931" spans="5:11" x14ac:dyDescent="0.25">
      <c r="E1931" s="3">
        <f t="shared" ca="1" si="60"/>
        <v>0.78888928302300132</v>
      </c>
      <c r="F1931" s="3">
        <f t="shared" ca="1" si="60"/>
        <v>0.8915361333891958</v>
      </c>
      <c r="G1931" s="3">
        <f t="shared" ca="1" si="61"/>
        <v>10.790255599900233</v>
      </c>
      <c r="H1931" s="2"/>
      <c r="I1931" s="2"/>
      <c r="J1931" s="2"/>
      <c r="K1931" s="2"/>
    </row>
    <row r="1932" spans="5:11" x14ac:dyDescent="0.25">
      <c r="E1932" s="3">
        <f t="shared" ca="1" si="60"/>
        <v>0.97855519519183398</v>
      </c>
      <c r="F1932" s="3">
        <f t="shared" ca="1" si="60"/>
        <v>0.53079806207300062</v>
      </c>
      <c r="G1932" s="3">
        <f t="shared" ca="1" si="61"/>
        <v>9.259298858331773</v>
      </c>
      <c r="H1932" s="2"/>
      <c r="I1932" s="2"/>
      <c r="J1932" s="2"/>
      <c r="K1932" s="2"/>
    </row>
    <row r="1933" spans="5:11" x14ac:dyDescent="0.25">
      <c r="E1933" s="3">
        <f t="shared" ca="1" si="60"/>
        <v>0.83373029229549744</v>
      </c>
      <c r="F1933" s="3">
        <f t="shared" ca="1" si="60"/>
        <v>0.11982350442895173</v>
      </c>
      <c r="G1933" s="3">
        <f t="shared" ca="1" si="61"/>
        <v>2.961539623293107</v>
      </c>
      <c r="H1933" s="2"/>
      <c r="I1933" s="2"/>
      <c r="J1933" s="2"/>
      <c r="K1933" s="2"/>
    </row>
    <row r="1934" spans="5:11" x14ac:dyDescent="0.25">
      <c r="E1934" s="3">
        <f t="shared" ca="1" si="60"/>
        <v>0.62853317049126789</v>
      </c>
      <c r="F1934" s="3">
        <f t="shared" ca="1" si="60"/>
        <v>0.3132085927006506</v>
      </c>
      <c r="G1934" s="3">
        <f t="shared" ca="1" si="61"/>
        <v>2.1228132891845983</v>
      </c>
      <c r="H1934" s="2"/>
      <c r="I1934" s="2"/>
      <c r="J1934" s="2"/>
      <c r="K1934" s="2"/>
    </row>
    <row r="1935" spans="5:11" x14ac:dyDescent="0.25">
      <c r="E1935" s="3">
        <f t="shared" ca="1" si="60"/>
        <v>0.59296928752766975</v>
      </c>
      <c r="F1935" s="3">
        <f t="shared" ca="1" si="60"/>
        <v>0.51172062565820164</v>
      </c>
      <c r="G1935" s="3">
        <f t="shared" ca="1" si="61"/>
        <v>4.7380122650747047</v>
      </c>
      <c r="H1935" s="2"/>
      <c r="I1935" s="2"/>
      <c r="J1935" s="2"/>
      <c r="K1935" s="2"/>
    </row>
    <row r="1936" spans="5:11" x14ac:dyDescent="0.25">
      <c r="E1936" s="3">
        <f t="shared" ca="1" si="60"/>
        <v>0.99857963698793095</v>
      </c>
      <c r="F1936" s="3">
        <f t="shared" ca="1" si="60"/>
        <v>7.2078391169560385E-2</v>
      </c>
      <c r="G1936" s="3">
        <f t="shared" ca="1" si="61"/>
        <v>12.994423731783481</v>
      </c>
      <c r="H1936" s="2"/>
      <c r="I1936" s="2"/>
      <c r="J1936" s="2"/>
      <c r="K1936" s="2"/>
    </row>
    <row r="1937" spans="5:11" x14ac:dyDescent="0.25">
      <c r="E1937" s="3">
        <f t="shared" ca="1" si="60"/>
        <v>0.94730859718259619</v>
      </c>
      <c r="F1937" s="3">
        <f t="shared" ca="1" si="60"/>
        <v>0.79082814250730227</v>
      </c>
      <c r="G1937" s="3">
        <f t="shared" ca="1" si="61"/>
        <v>10.335597929247992</v>
      </c>
      <c r="H1937" s="2"/>
      <c r="I1937" s="2"/>
      <c r="J1937" s="2"/>
      <c r="K1937" s="2"/>
    </row>
    <row r="1938" spans="5:11" x14ac:dyDescent="0.25">
      <c r="E1938" s="3">
        <f t="shared" ca="1" si="60"/>
        <v>0.28972165168250663</v>
      </c>
      <c r="F1938" s="3">
        <f t="shared" ca="1" si="60"/>
        <v>0.46708837869964848</v>
      </c>
      <c r="G1938" s="3">
        <f t="shared" ca="1" si="61"/>
        <v>6.4477276428353161</v>
      </c>
      <c r="H1938" s="2"/>
      <c r="I1938" s="2"/>
      <c r="J1938" s="2"/>
      <c r="K1938" s="2"/>
    </row>
    <row r="1939" spans="5:11" x14ac:dyDescent="0.25">
      <c r="E1939" s="3">
        <f t="shared" ca="1" si="60"/>
        <v>0.90202795430250071</v>
      </c>
      <c r="F1939" s="3">
        <f t="shared" ca="1" si="60"/>
        <v>0.44860301582368611</v>
      </c>
      <c r="G1939" s="3">
        <f t="shared" ca="1" si="61"/>
        <v>5.6990232391923081</v>
      </c>
      <c r="H1939" s="2"/>
      <c r="I1939" s="2"/>
      <c r="J1939" s="2"/>
      <c r="K1939" s="2"/>
    </row>
    <row r="1940" spans="5:11" x14ac:dyDescent="0.25">
      <c r="E1940" s="3">
        <f t="shared" ca="1" si="60"/>
        <v>5.7953132649708472E-2</v>
      </c>
      <c r="F1940" s="3">
        <f t="shared" ca="1" si="60"/>
        <v>0.83725491957173614</v>
      </c>
      <c r="G1940" s="3">
        <f t="shared" ca="1" si="61"/>
        <v>13.789017579356893</v>
      </c>
      <c r="H1940" s="2"/>
      <c r="I1940" s="2"/>
      <c r="J1940" s="2"/>
      <c r="K1940" s="2"/>
    </row>
    <row r="1941" spans="5:11" x14ac:dyDescent="0.25">
      <c r="E1941" s="3">
        <f t="shared" ca="1" si="60"/>
        <v>0.87133767299051368</v>
      </c>
      <c r="F1941" s="3">
        <f t="shared" ca="1" si="60"/>
        <v>0.8487292598720424</v>
      </c>
      <c r="G1941" s="3">
        <f t="shared" ca="1" si="61"/>
        <v>10.215638599734771</v>
      </c>
      <c r="H1941" s="2"/>
      <c r="I1941" s="2"/>
      <c r="J1941" s="2"/>
      <c r="K1941" s="2"/>
    </row>
    <row r="1942" spans="5:11" x14ac:dyDescent="0.25">
      <c r="E1942" s="3">
        <f t="shared" ca="1" si="60"/>
        <v>0.90163055115314272</v>
      </c>
      <c r="F1942" s="3">
        <f t="shared" ca="1" si="60"/>
        <v>0.31717871429459255</v>
      </c>
      <c r="G1942" s="3">
        <f t="shared" ca="1" si="61"/>
        <v>4.7048038203322911</v>
      </c>
      <c r="H1942" s="2"/>
      <c r="I1942" s="2"/>
      <c r="J1942" s="2"/>
      <c r="K1942" s="2"/>
    </row>
    <row r="1943" spans="5:11" x14ac:dyDescent="0.25">
      <c r="E1943" s="3">
        <f t="shared" ca="1" si="60"/>
        <v>0.37123623277350815</v>
      </c>
      <c r="F1943" s="3">
        <f t="shared" ca="1" si="60"/>
        <v>6.5526872947046177E-2</v>
      </c>
      <c r="G1943" s="3">
        <f t="shared" ca="1" si="61"/>
        <v>4.9563155637674638</v>
      </c>
      <c r="H1943" s="2"/>
      <c r="I1943" s="2"/>
      <c r="J1943" s="2"/>
      <c r="K1943" s="2"/>
    </row>
    <row r="1944" spans="5:11" x14ac:dyDescent="0.25">
      <c r="E1944" s="3">
        <f t="shared" ca="1" si="60"/>
        <v>0.25581644043703577</v>
      </c>
      <c r="F1944" s="3">
        <f t="shared" ca="1" si="60"/>
        <v>0.78228690348538987</v>
      </c>
      <c r="G1944" s="3">
        <f t="shared" ca="1" si="61"/>
        <v>10.027087040824307</v>
      </c>
      <c r="H1944" s="2"/>
      <c r="I1944" s="2"/>
      <c r="J1944" s="2"/>
      <c r="K1944" s="2"/>
    </row>
    <row r="1945" spans="5:11" x14ac:dyDescent="0.25">
      <c r="E1945" s="3">
        <f t="shared" ca="1" si="60"/>
        <v>0.72590140889375088</v>
      </c>
      <c r="F1945" s="3">
        <f t="shared" ca="1" si="60"/>
        <v>0.78382573584704351</v>
      </c>
      <c r="G1945" s="3">
        <f t="shared" ca="1" si="61"/>
        <v>8.4303829047285106</v>
      </c>
      <c r="H1945" s="2"/>
      <c r="I1945" s="2"/>
      <c r="J1945" s="2"/>
      <c r="K1945" s="2"/>
    </row>
    <row r="1946" spans="5:11" x14ac:dyDescent="0.25">
      <c r="E1946" s="3">
        <f t="shared" ca="1" si="60"/>
        <v>0.31269276710126237</v>
      </c>
      <c r="F1946" s="3">
        <f t="shared" ca="1" si="60"/>
        <v>0.48997431146653725</v>
      </c>
      <c r="G1946" s="3">
        <f t="shared" ca="1" si="61"/>
        <v>6.3866886587362721</v>
      </c>
      <c r="H1946" s="2"/>
      <c r="I1946" s="2"/>
      <c r="J1946" s="2"/>
      <c r="K1946" s="2"/>
    </row>
    <row r="1947" spans="5:11" x14ac:dyDescent="0.25">
      <c r="E1947" s="3">
        <f t="shared" ca="1" si="60"/>
        <v>0.58935199976932895</v>
      </c>
      <c r="F1947" s="3">
        <f t="shared" ca="1" si="60"/>
        <v>0.95472196756255689</v>
      </c>
      <c r="G1947" s="3">
        <f t="shared" ca="1" si="61"/>
        <v>12.979974473441674</v>
      </c>
      <c r="H1947" s="2"/>
      <c r="I1947" s="2"/>
      <c r="J1947" s="2"/>
      <c r="K1947" s="2"/>
    </row>
    <row r="1948" spans="5:11" x14ac:dyDescent="0.25">
      <c r="E1948" s="3">
        <f t="shared" ca="1" si="60"/>
        <v>0.32083313467657926</v>
      </c>
      <c r="F1948" s="3">
        <f t="shared" ca="1" si="60"/>
        <v>0.98422944368095444</v>
      </c>
      <c r="G1948" s="3">
        <f t="shared" ca="1" si="61"/>
        <v>15.891335039418392</v>
      </c>
      <c r="H1948" s="2"/>
      <c r="I1948" s="2"/>
      <c r="J1948" s="2"/>
      <c r="K1948" s="2"/>
    </row>
    <row r="1949" spans="5:11" x14ac:dyDescent="0.25">
      <c r="E1949" s="3">
        <f t="shared" ca="1" si="60"/>
        <v>0.59701392607084258</v>
      </c>
      <c r="F1949" s="3">
        <f t="shared" ca="1" si="60"/>
        <v>0.10971185834553732</v>
      </c>
      <c r="G1949" s="3">
        <f t="shared" ca="1" si="61"/>
        <v>1.9531055357281142</v>
      </c>
      <c r="H1949" s="2"/>
      <c r="I1949" s="2"/>
      <c r="J1949" s="2"/>
      <c r="K1949" s="2"/>
    </row>
    <row r="1950" spans="5:11" x14ac:dyDescent="0.25">
      <c r="E1950" s="3">
        <f t="shared" ca="1" si="60"/>
        <v>0.14820138242837755</v>
      </c>
      <c r="F1950" s="3">
        <f t="shared" ca="1" si="60"/>
        <v>0.6750900139302024</v>
      </c>
      <c r="G1950" s="3">
        <f t="shared" ca="1" si="61"/>
        <v>10.054781022216623</v>
      </c>
      <c r="H1950" s="2"/>
      <c r="I1950" s="2"/>
      <c r="J1950" s="2"/>
      <c r="K1950" s="2"/>
    </row>
    <row r="1951" spans="5:11" x14ac:dyDescent="0.25">
      <c r="E1951" s="3">
        <f t="shared" ca="1" si="60"/>
        <v>0.90473146446691222</v>
      </c>
      <c r="F1951" s="3">
        <f t="shared" ca="1" si="60"/>
        <v>0.6935056805295079</v>
      </c>
      <c r="G1951" s="3">
        <f t="shared" ca="1" si="61"/>
        <v>8.216819159630063</v>
      </c>
      <c r="H1951" s="2"/>
      <c r="I1951" s="2"/>
      <c r="J1951" s="2"/>
      <c r="K1951" s="2"/>
    </row>
    <row r="1952" spans="5:11" x14ac:dyDescent="0.25">
      <c r="E1952" s="3">
        <f t="shared" ca="1" si="60"/>
        <v>0.13095570934297984</v>
      </c>
      <c r="F1952" s="3">
        <f t="shared" ca="1" si="60"/>
        <v>0.56572382361635443</v>
      </c>
      <c r="G1952" s="3">
        <f t="shared" ca="1" si="61"/>
        <v>9.4700812117603661</v>
      </c>
      <c r="H1952" s="2"/>
      <c r="I1952" s="2"/>
      <c r="J1952" s="2"/>
      <c r="K1952" s="2"/>
    </row>
    <row r="1953" spans="5:11" x14ac:dyDescent="0.25">
      <c r="E1953" s="3">
        <f t="shared" ca="1" si="60"/>
        <v>0.66726930626156034</v>
      </c>
      <c r="F1953" s="3">
        <f t="shared" ca="1" si="60"/>
        <v>0.97287379390454931</v>
      </c>
      <c r="G1953" s="3">
        <f t="shared" ca="1" si="61"/>
        <v>14.09428037976431</v>
      </c>
      <c r="H1953" s="2"/>
      <c r="I1953" s="2"/>
      <c r="J1953" s="2"/>
      <c r="K1953" s="2"/>
    </row>
    <row r="1954" spans="5:11" x14ac:dyDescent="0.25">
      <c r="E1954" s="3">
        <f t="shared" ca="1" si="60"/>
        <v>0.94371404285143379</v>
      </c>
      <c r="F1954" s="3">
        <f t="shared" ca="1" si="60"/>
        <v>0.31021403996174912</v>
      </c>
      <c r="G1954" s="3">
        <f t="shared" ca="1" si="61"/>
        <v>6.032332253301167</v>
      </c>
      <c r="H1954" s="2"/>
      <c r="I1954" s="2"/>
      <c r="J1954" s="2"/>
      <c r="K1954" s="2"/>
    </row>
    <row r="1955" spans="5:11" x14ac:dyDescent="0.25">
      <c r="E1955" s="3">
        <f t="shared" ca="1" si="60"/>
        <v>0.20443854086238711</v>
      </c>
      <c r="F1955" s="3">
        <f t="shared" ca="1" si="60"/>
        <v>0.74796660918303226</v>
      </c>
      <c r="G1955" s="3">
        <f t="shared" ca="1" si="61"/>
        <v>10.078561798325671</v>
      </c>
      <c r="H1955" s="2"/>
      <c r="I1955" s="2"/>
      <c r="J1955" s="2"/>
      <c r="K1955" s="2"/>
    </row>
    <row r="1956" spans="5:11" x14ac:dyDescent="0.25">
      <c r="E1956" s="3">
        <f t="shared" ca="1" si="60"/>
        <v>0.97210944172008473</v>
      </c>
      <c r="F1956" s="3">
        <f t="shared" ca="1" si="60"/>
        <v>0.15825169085488111</v>
      </c>
      <c r="G1956" s="3">
        <f t="shared" ca="1" si="61"/>
        <v>7.3431026037383216</v>
      </c>
      <c r="H1956" s="2"/>
      <c r="I1956" s="2"/>
      <c r="J1956" s="2"/>
      <c r="K1956" s="2"/>
    </row>
    <row r="1957" spans="5:11" x14ac:dyDescent="0.25">
      <c r="E1957" s="3">
        <f t="shared" ca="1" si="60"/>
        <v>0.63245054964458591</v>
      </c>
      <c r="F1957" s="3">
        <f t="shared" ca="1" si="60"/>
        <v>0.26431601264245497</v>
      </c>
      <c r="G1957" s="3">
        <f t="shared" ca="1" si="61"/>
        <v>1.429010787631992</v>
      </c>
      <c r="H1957" s="2"/>
      <c r="I1957" s="2"/>
      <c r="J1957" s="2"/>
      <c r="K1957" s="2"/>
    </row>
    <row r="1958" spans="5:11" x14ac:dyDescent="0.25">
      <c r="E1958" s="3">
        <f t="shared" ca="1" si="60"/>
        <v>0.38925696509343544</v>
      </c>
      <c r="F1958" s="3">
        <f t="shared" ca="1" si="60"/>
        <v>0.22614992420346713</v>
      </c>
      <c r="G1958" s="3">
        <f t="shared" ca="1" si="61"/>
        <v>3.7155168614777967</v>
      </c>
      <c r="H1958" s="2"/>
      <c r="I1958" s="2"/>
      <c r="J1958" s="2"/>
      <c r="K1958" s="2"/>
    </row>
    <row r="1959" spans="5:11" x14ac:dyDescent="0.25">
      <c r="E1959" s="3">
        <f t="shared" ca="1" si="60"/>
        <v>0.51691425925869405</v>
      </c>
      <c r="F1959" s="3">
        <f t="shared" ca="1" si="60"/>
        <v>0.92136086873501022</v>
      </c>
      <c r="G1959" s="3">
        <f t="shared" ca="1" si="61"/>
        <v>11.718283216413271</v>
      </c>
      <c r="H1959" s="2"/>
      <c r="I1959" s="2"/>
      <c r="J1959" s="2"/>
      <c r="K1959" s="2"/>
    </row>
    <row r="1960" spans="5:11" x14ac:dyDescent="0.25">
      <c r="E1960" s="3">
        <f t="shared" ca="1" si="60"/>
        <v>0.24718403568955893</v>
      </c>
      <c r="F1960" s="3">
        <f t="shared" ca="1" si="60"/>
        <v>0.69736298423430709</v>
      </c>
      <c r="G1960" s="3">
        <f t="shared" ca="1" si="61"/>
        <v>9.0424245839847721</v>
      </c>
      <c r="H1960" s="2"/>
      <c r="I1960" s="2"/>
      <c r="J1960" s="2"/>
      <c r="K1960" s="2"/>
    </row>
    <row r="1961" spans="5:11" x14ac:dyDescent="0.25">
      <c r="E1961" s="3">
        <f t="shared" ca="1" si="60"/>
        <v>0.37314255033289823</v>
      </c>
      <c r="F1961" s="3">
        <f t="shared" ca="1" si="60"/>
        <v>0.57266219875661906</v>
      </c>
      <c r="G1961" s="3">
        <f t="shared" ca="1" si="61"/>
        <v>6.6250433161143185</v>
      </c>
      <c r="H1961" s="2"/>
      <c r="I1961" s="2"/>
      <c r="J1961" s="2"/>
      <c r="K1961" s="2"/>
    </row>
    <row r="1962" spans="5:11" x14ac:dyDescent="0.25">
      <c r="E1962" s="3">
        <f t="shared" ca="1" si="60"/>
        <v>5.5546124161570454E-2</v>
      </c>
      <c r="F1962" s="3">
        <f t="shared" ca="1" si="60"/>
        <v>0.28861954707938475</v>
      </c>
      <c r="G1962" s="3">
        <f t="shared" ca="1" si="61"/>
        <v>10.344685458696476</v>
      </c>
      <c r="H1962" s="2"/>
      <c r="I1962" s="2"/>
      <c r="J1962" s="2"/>
      <c r="K1962" s="2"/>
    </row>
    <row r="1963" spans="5:11" x14ac:dyDescent="0.25">
      <c r="E1963" s="3">
        <f t="shared" ca="1" si="60"/>
        <v>0.59571876031197268</v>
      </c>
      <c r="F1963" s="3">
        <f t="shared" ca="1" si="60"/>
        <v>2.8599910343022006E-2</v>
      </c>
      <c r="G1963" s="3">
        <f t="shared" ca="1" si="61"/>
        <v>5.1429063744913064</v>
      </c>
      <c r="H1963" s="2"/>
      <c r="I1963" s="2"/>
      <c r="J1963" s="2"/>
      <c r="K1963" s="2"/>
    </row>
    <row r="1964" spans="5:11" x14ac:dyDescent="0.25">
      <c r="E1964" s="3">
        <f t="shared" ca="1" si="60"/>
        <v>6.2563718457150475E-2</v>
      </c>
      <c r="F1964" s="3">
        <f t="shared" ca="1" si="60"/>
        <v>0.44113085138460706</v>
      </c>
      <c r="G1964" s="3">
        <f t="shared" ca="1" si="61"/>
        <v>10.587018683076392</v>
      </c>
      <c r="H1964" s="2"/>
      <c r="I1964" s="2"/>
      <c r="J1964" s="2"/>
      <c r="K1964" s="2"/>
    </row>
    <row r="1965" spans="5:11" x14ac:dyDescent="0.25">
      <c r="E1965" s="3">
        <f t="shared" ca="1" si="60"/>
        <v>0.14925374363372412</v>
      </c>
      <c r="F1965" s="3">
        <f t="shared" ca="1" si="60"/>
        <v>0.81864448453907857</v>
      </c>
      <c r="G1965" s="3">
        <f t="shared" ca="1" si="61"/>
        <v>11.692365699578408</v>
      </c>
      <c r="H1965" s="2"/>
      <c r="I1965" s="2"/>
      <c r="J1965" s="2"/>
      <c r="K1965" s="2"/>
    </row>
    <row r="1966" spans="5:11" x14ac:dyDescent="0.25">
      <c r="E1966" s="3">
        <f t="shared" ca="1" si="60"/>
        <v>0.37389744616114573</v>
      </c>
      <c r="F1966" s="3">
        <f t="shared" ca="1" si="60"/>
        <v>0.78291034030197759</v>
      </c>
      <c r="G1966" s="3">
        <f t="shared" ca="1" si="61"/>
        <v>9.2215560566594128</v>
      </c>
      <c r="H1966" s="2"/>
      <c r="I1966" s="2"/>
      <c r="J1966" s="2"/>
      <c r="K1966" s="2"/>
    </row>
    <row r="1967" spans="5:11" x14ac:dyDescent="0.25">
      <c r="E1967" s="3">
        <f t="shared" ca="1" si="60"/>
        <v>0.9032220490297701</v>
      </c>
      <c r="F1967" s="3">
        <f t="shared" ca="1" si="60"/>
        <v>0.20454183121854153</v>
      </c>
      <c r="G1967" s="3">
        <f t="shared" ca="1" si="61"/>
        <v>4.2740304207597468</v>
      </c>
      <c r="H1967" s="2"/>
      <c r="I1967" s="2"/>
      <c r="J1967" s="2"/>
      <c r="K1967" s="2"/>
    </row>
    <row r="1968" spans="5:11" x14ac:dyDescent="0.25">
      <c r="E1968" s="3">
        <f t="shared" ca="1" si="60"/>
        <v>0.32954993719666614</v>
      </c>
      <c r="F1968" s="3">
        <f t="shared" ca="1" si="60"/>
        <v>0.90925163907765227</v>
      </c>
      <c r="G1968" s="3">
        <f t="shared" ca="1" si="61"/>
        <v>12.004511729203584</v>
      </c>
      <c r="H1968" s="2"/>
      <c r="I1968" s="2"/>
      <c r="J1968" s="2"/>
      <c r="K1968" s="2"/>
    </row>
    <row r="1969" spans="5:11" x14ac:dyDescent="0.25">
      <c r="E1969" s="3">
        <f t="shared" ca="1" si="60"/>
        <v>0.3781993500404075</v>
      </c>
      <c r="F1969" s="3">
        <f t="shared" ca="1" si="60"/>
        <v>0.61541043421874553</v>
      </c>
      <c r="G1969" s="3">
        <f t="shared" ca="1" si="61"/>
        <v>7.0445473293386325</v>
      </c>
      <c r="H1969" s="2"/>
      <c r="I1969" s="2"/>
      <c r="J1969" s="2"/>
      <c r="K1969" s="2"/>
    </row>
    <row r="1970" spans="5:11" x14ac:dyDescent="0.25">
      <c r="E1970" s="3">
        <f t="shared" ca="1" si="60"/>
        <v>0.88263125879146598</v>
      </c>
      <c r="F1970" s="3">
        <f t="shared" ca="1" si="60"/>
        <v>0.76489295886715092</v>
      </c>
      <c r="G1970" s="3">
        <f t="shared" ca="1" si="61"/>
        <v>8.8877997363978931</v>
      </c>
      <c r="H1970" s="2"/>
      <c r="I1970" s="2"/>
      <c r="J1970" s="2"/>
      <c r="K1970" s="2"/>
    </row>
    <row r="1971" spans="5:11" x14ac:dyDescent="0.25">
      <c r="E1971" s="3">
        <f t="shared" ca="1" si="60"/>
        <v>0.6551110437599994</v>
      </c>
      <c r="F1971" s="3">
        <f t="shared" ca="1" si="60"/>
        <v>0.42231462500029204</v>
      </c>
      <c r="G1971" s="3">
        <f t="shared" ca="1" si="61"/>
        <v>3.4986649846154618</v>
      </c>
      <c r="H1971" s="2"/>
      <c r="I1971" s="2"/>
      <c r="J1971" s="2"/>
      <c r="K1971" s="2"/>
    </row>
    <row r="1972" spans="5:11" x14ac:dyDescent="0.25">
      <c r="E1972" s="3">
        <f t="shared" ca="1" si="60"/>
        <v>0.33456143390014903</v>
      </c>
      <c r="F1972" s="3">
        <f t="shared" ca="1" si="60"/>
        <v>0.83957983022988092</v>
      </c>
      <c r="G1972" s="3">
        <f t="shared" ca="1" si="61"/>
        <v>10.399659993784306</v>
      </c>
      <c r="H1972" s="2"/>
      <c r="I1972" s="2"/>
      <c r="J1972" s="2"/>
      <c r="K1972" s="2"/>
    </row>
    <row r="1973" spans="5:11" x14ac:dyDescent="0.25">
      <c r="E1973" s="3">
        <f t="shared" ca="1" si="60"/>
        <v>0.79566895028914553</v>
      </c>
      <c r="F1973" s="3">
        <f t="shared" ca="1" si="60"/>
        <v>0.70877994287358348</v>
      </c>
      <c r="G1973" s="3">
        <f t="shared" ca="1" si="61"/>
        <v>7.462633017601898</v>
      </c>
      <c r="H1973" s="2"/>
      <c r="I1973" s="2"/>
      <c r="J1973" s="2"/>
      <c r="K1973" s="2"/>
    </row>
    <row r="1974" spans="5:11" x14ac:dyDescent="0.25">
      <c r="E1974" s="3">
        <f t="shared" ca="1" si="60"/>
        <v>0.30932167618401618</v>
      </c>
      <c r="F1974" s="3">
        <f t="shared" ca="1" si="60"/>
        <v>0.98943682920484932</v>
      </c>
      <c r="G1974" s="3">
        <f t="shared" ca="1" si="61"/>
        <v>16.682931166587156</v>
      </c>
      <c r="H1974" s="2"/>
      <c r="I1974" s="2"/>
      <c r="J1974" s="2"/>
      <c r="K1974" s="2"/>
    </row>
    <row r="1975" spans="5:11" x14ac:dyDescent="0.25">
      <c r="E1975" s="3">
        <f t="shared" ca="1" si="60"/>
        <v>0.35692355497752426</v>
      </c>
      <c r="F1975" s="3">
        <f t="shared" ca="1" si="60"/>
        <v>0.3199931500641624</v>
      </c>
      <c r="G1975" s="3">
        <f t="shared" ca="1" si="61"/>
        <v>4.5977173241234652</v>
      </c>
      <c r="H1975" s="2"/>
      <c r="I1975" s="2"/>
      <c r="J1975" s="2"/>
      <c r="K1975" s="2"/>
    </row>
    <row r="1976" spans="5:11" x14ac:dyDescent="0.25">
      <c r="E1976" s="3">
        <f t="shared" ca="1" si="60"/>
        <v>0.53095231037170276</v>
      </c>
      <c r="F1976" s="3">
        <f t="shared" ca="1" si="60"/>
        <v>0.45252168764823664</v>
      </c>
      <c r="G1976" s="3">
        <f t="shared" ca="1" si="61"/>
        <v>4.2935107447626377</v>
      </c>
      <c r="H1976" s="2"/>
      <c r="I1976" s="2"/>
      <c r="J1976" s="2"/>
      <c r="K1976" s="2"/>
    </row>
    <row r="1977" spans="5:11" x14ac:dyDescent="0.25">
      <c r="E1977" s="3">
        <f t="shared" ca="1" si="60"/>
        <v>0.44105771250659442</v>
      </c>
      <c r="F1977" s="3">
        <f t="shared" ca="1" si="60"/>
        <v>0.23304395770217112</v>
      </c>
      <c r="G1977" s="3">
        <f t="shared" ca="1" si="61"/>
        <v>3.0940172732459321</v>
      </c>
      <c r="H1977" s="2"/>
      <c r="I1977" s="2"/>
      <c r="J1977" s="2"/>
      <c r="K1977" s="2"/>
    </row>
    <row r="1978" spans="5:11" x14ac:dyDescent="0.25">
      <c r="E1978" s="3">
        <f t="shared" ca="1" si="60"/>
        <v>0.72571925811141713</v>
      </c>
      <c r="F1978" s="3">
        <f t="shared" ca="1" si="60"/>
        <v>0.97735584202402204</v>
      </c>
      <c r="G1978" s="3">
        <f t="shared" ca="1" si="61"/>
        <v>14.499706973915625</v>
      </c>
      <c r="H1978" s="2"/>
      <c r="I1978" s="2"/>
      <c r="J1978" s="2"/>
      <c r="K1978" s="2"/>
    </row>
    <row r="1979" spans="5:11" x14ac:dyDescent="0.25">
      <c r="E1979" s="3">
        <f t="shared" ca="1" si="60"/>
        <v>0.43386438650807035</v>
      </c>
      <c r="F1979" s="3">
        <f t="shared" ca="1" si="60"/>
        <v>0.4053594361824514</v>
      </c>
      <c r="G1979" s="3">
        <f t="shared" ca="1" si="61"/>
        <v>4.4892161890281699</v>
      </c>
      <c r="H1979" s="2"/>
      <c r="I1979" s="2"/>
      <c r="J1979" s="2"/>
      <c r="K1979" s="2"/>
    </row>
    <row r="1980" spans="5:11" x14ac:dyDescent="0.25">
      <c r="E1980" s="3">
        <f t="shared" ca="1" si="60"/>
        <v>0.59026035313561653</v>
      </c>
      <c r="F1980" s="3">
        <f t="shared" ca="1" si="60"/>
        <v>0.45392479887955761</v>
      </c>
      <c r="G1980" s="3">
        <f t="shared" ca="1" si="61"/>
        <v>4.0435246618030156</v>
      </c>
      <c r="H1980" s="2"/>
      <c r="I1980" s="2"/>
      <c r="J1980" s="2"/>
      <c r="K1980" s="2"/>
    </row>
    <row r="1981" spans="5:11" x14ac:dyDescent="0.25">
      <c r="E1981" s="3">
        <f t="shared" ca="1" si="60"/>
        <v>3.5876262635272993E-2</v>
      </c>
      <c r="F1981" s="3">
        <f t="shared" ca="1" si="60"/>
        <v>0.54369759259523309</v>
      </c>
      <c r="G1981" s="3">
        <f t="shared" ca="1" si="61"/>
        <v>12.313032074024015</v>
      </c>
      <c r="H1981" s="2"/>
      <c r="I1981" s="2"/>
      <c r="J1981" s="2"/>
      <c r="K1981" s="2"/>
    </row>
    <row r="1982" spans="5:11" x14ac:dyDescent="0.25">
      <c r="E1982" s="3">
        <f t="shared" ca="1" si="60"/>
        <v>8.3036242234696744E-2</v>
      </c>
      <c r="F1982" s="3">
        <f t="shared" ca="1" si="60"/>
        <v>0.67638947582774567</v>
      </c>
      <c r="G1982" s="3">
        <f t="shared" ca="1" si="61"/>
        <v>11.387277052246723</v>
      </c>
      <c r="H1982" s="2"/>
      <c r="I1982" s="2"/>
      <c r="J1982" s="2"/>
      <c r="K1982" s="2"/>
    </row>
    <row r="1983" spans="5:11" x14ac:dyDescent="0.25">
      <c r="E1983" s="3">
        <f t="shared" ca="1" si="60"/>
        <v>0.66033560004930791</v>
      </c>
      <c r="F1983" s="3">
        <f t="shared" ca="1" si="60"/>
        <v>0.91327352210116086</v>
      </c>
      <c r="G1983" s="3">
        <f t="shared" ca="1" si="61"/>
        <v>11.277278650255184</v>
      </c>
      <c r="H1983" s="2"/>
      <c r="I1983" s="2"/>
      <c r="J1983" s="2"/>
      <c r="K1983" s="2"/>
    </row>
    <row r="1984" spans="5:11" x14ac:dyDescent="0.25">
      <c r="E1984" s="3">
        <f t="shared" ca="1" si="60"/>
        <v>0.91215898000657858</v>
      </c>
      <c r="F1984" s="3">
        <f t="shared" ca="1" si="60"/>
        <v>0.63747101323953725</v>
      </c>
      <c r="G1984" s="3">
        <f t="shared" ca="1" si="61"/>
        <v>7.701929967250269</v>
      </c>
      <c r="H1984" s="2"/>
      <c r="I1984" s="2"/>
      <c r="J1984" s="2"/>
      <c r="K1984" s="2"/>
    </row>
    <row r="1985" spans="5:11" x14ac:dyDescent="0.25">
      <c r="E1985" s="3">
        <f t="shared" ca="1" si="60"/>
        <v>0.35055728384969564</v>
      </c>
      <c r="F1985" s="3">
        <f t="shared" ca="1" si="60"/>
        <v>0.39502199460985088</v>
      </c>
      <c r="G1985" s="3">
        <f t="shared" ca="1" si="61"/>
        <v>5.2108118586994321</v>
      </c>
      <c r="H1985" s="2"/>
      <c r="I1985" s="2"/>
      <c r="J1985" s="2"/>
      <c r="K1985" s="2"/>
    </row>
    <row r="1986" spans="5:11" x14ac:dyDescent="0.25">
      <c r="E1986" s="3">
        <f t="shared" ca="1" si="60"/>
        <v>0.43443503905954128</v>
      </c>
      <c r="F1986" s="3">
        <f t="shared" ca="1" si="60"/>
        <v>0.8838908088682047</v>
      </c>
      <c r="G1986" s="3">
        <f t="shared" ca="1" si="61"/>
        <v>10.884021820742154</v>
      </c>
      <c r="H1986" s="2"/>
      <c r="I1986" s="2"/>
      <c r="J1986" s="2"/>
      <c r="K1986" s="2"/>
    </row>
    <row r="1987" spans="5:11" x14ac:dyDescent="0.25">
      <c r="E1987" s="3">
        <f t="shared" ca="1" si="60"/>
        <v>0.90331284059084394</v>
      </c>
      <c r="F1987" s="3">
        <f t="shared" ca="1" si="60"/>
        <v>0.96198870624900679</v>
      </c>
      <c r="G1987" s="3">
        <f t="shared" ca="1" si="61"/>
        <v>14.005732132033824</v>
      </c>
      <c r="H1987" s="2"/>
      <c r="I1987" s="2"/>
      <c r="J1987" s="2"/>
      <c r="K1987" s="2"/>
    </row>
    <row r="1988" spans="5:11" x14ac:dyDescent="0.25">
      <c r="E1988" s="3">
        <f t="shared" ref="E1988:F2051" ca="1" si="62">RAND()</f>
        <v>0.48853549543993324</v>
      </c>
      <c r="F1988" s="3">
        <f t="shared" ca="1" si="62"/>
        <v>0.33530927698358004</v>
      </c>
      <c r="G1988" s="3">
        <f t="shared" ref="G1988:G2051" ca="1" si="63">SQRT(_xlfn.NORM.INV(E1988,$C$3*COS($C$6),$C$4)^2+_xlfn.NORM.INV(F1988,$C$3*SIN($C$6),$C$4)^2)</f>
        <v>3.3430138328869918</v>
      </c>
      <c r="H1988" s="2"/>
      <c r="I1988" s="2"/>
      <c r="J1988" s="2"/>
      <c r="K1988" s="2"/>
    </row>
    <row r="1989" spans="5:11" x14ac:dyDescent="0.25">
      <c r="E1989" s="3">
        <f t="shared" ca="1" si="62"/>
        <v>0.74126216555985025</v>
      </c>
      <c r="F1989" s="3">
        <f t="shared" ca="1" si="62"/>
        <v>0.85080597085901977</v>
      </c>
      <c r="G1989" s="3">
        <f t="shared" ca="1" si="63"/>
        <v>9.7206095840859224</v>
      </c>
      <c r="H1989" s="2"/>
      <c r="I1989" s="2"/>
      <c r="J1989" s="2"/>
      <c r="K1989" s="2"/>
    </row>
    <row r="1990" spans="5:11" x14ac:dyDescent="0.25">
      <c r="E1990" s="3">
        <f t="shared" ca="1" si="62"/>
        <v>0.4347466328402918</v>
      </c>
      <c r="F1990" s="3">
        <f t="shared" ca="1" si="62"/>
        <v>0.85683016957248492</v>
      </c>
      <c r="G1990" s="3">
        <f t="shared" ca="1" si="63"/>
        <v>10.268056532293063</v>
      </c>
      <c r="H1990" s="2"/>
      <c r="I1990" s="2"/>
      <c r="J1990" s="2"/>
      <c r="K1990" s="2"/>
    </row>
    <row r="1991" spans="5:11" x14ac:dyDescent="0.25">
      <c r="E1991" s="3">
        <f t="shared" ca="1" si="62"/>
        <v>0.80850559469344641</v>
      </c>
      <c r="F1991" s="3">
        <f t="shared" ca="1" si="62"/>
        <v>0.95963802832458389</v>
      </c>
      <c r="G1991" s="3">
        <f t="shared" ca="1" si="63"/>
        <v>13.371875946918685</v>
      </c>
      <c r="H1991" s="2"/>
      <c r="I1991" s="2"/>
      <c r="J1991" s="2"/>
      <c r="K1991" s="2"/>
    </row>
    <row r="1992" spans="5:11" x14ac:dyDescent="0.25">
      <c r="E1992" s="3">
        <f t="shared" ca="1" si="62"/>
        <v>0.23317486668362764</v>
      </c>
      <c r="F1992" s="3">
        <f t="shared" ca="1" si="62"/>
        <v>4.6454543468424481E-2</v>
      </c>
      <c r="G1992" s="3">
        <f t="shared" ca="1" si="63"/>
        <v>7.0752286121638592</v>
      </c>
      <c r="H1992" s="2"/>
      <c r="I1992" s="2"/>
      <c r="J1992" s="2"/>
      <c r="K1992" s="2"/>
    </row>
    <row r="1993" spans="5:11" x14ac:dyDescent="0.25">
      <c r="E1993" s="3">
        <f t="shared" ca="1" si="62"/>
        <v>1.7508291053091929E-2</v>
      </c>
      <c r="F1993" s="3">
        <f t="shared" ca="1" si="62"/>
        <v>0.21081502014543241</v>
      </c>
      <c r="G1993" s="3">
        <f t="shared" ca="1" si="63"/>
        <v>12.789190923950368</v>
      </c>
      <c r="H1993" s="2"/>
      <c r="I1993" s="2"/>
      <c r="J1993" s="2"/>
      <c r="K1993" s="2"/>
    </row>
    <row r="1994" spans="5:11" x14ac:dyDescent="0.25">
      <c r="E1994" s="3">
        <f t="shared" ca="1" si="62"/>
        <v>0.11639172647622298</v>
      </c>
      <c r="F1994" s="3">
        <f t="shared" ca="1" si="62"/>
        <v>0.34899992655516321</v>
      </c>
      <c r="G1994" s="3">
        <f t="shared" ca="1" si="63"/>
        <v>8.5875685016815613</v>
      </c>
      <c r="H1994" s="2"/>
      <c r="I1994" s="2"/>
      <c r="J1994" s="2"/>
      <c r="K1994" s="2"/>
    </row>
    <row r="1995" spans="5:11" x14ac:dyDescent="0.25">
      <c r="E1995" s="3">
        <f t="shared" ca="1" si="62"/>
        <v>0.32860908533007094</v>
      </c>
      <c r="F1995" s="3">
        <f t="shared" ca="1" si="62"/>
        <v>0.33641728284160699</v>
      </c>
      <c r="G1995" s="3">
        <f t="shared" ca="1" si="63"/>
        <v>5.0445433673410607</v>
      </c>
      <c r="H1995" s="2"/>
      <c r="I1995" s="2"/>
      <c r="J1995" s="2"/>
      <c r="K1995" s="2"/>
    </row>
    <row r="1996" spans="5:11" x14ac:dyDescent="0.25">
      <c r="E1996" s="3">
        <f t="shared" ca="1" si="62"/>
        <v>0.10032881838918062</v>
      </c>
      <c r="F1996" s="3">
        <f t="shared" ca="1" si="62"/>
        <v>0.65809297585925686</v>
      </c>
      <c r="G1996" s="3">
        <f t="shared" ca="1" si="63"/>
        <v>10.814819336530219</v>
      </c>
      <c r="H1996" s="2"/>
      <c r="I1996" s="2"/>
      <c r="J1996" s="2"/>
      <c r="K1996" s="2"/>
    </row>
    <row r="1997" spans="5:11" x14ac:dyDescent="0.25">
      <c r="E1997" s="3">
        <f t="shared" ca="1" si="62"/>
        <v>0.18575362441471055</v>
      </c>
      <c r="F1997" s="3">
        <f t="shared" ca="1" si="62"/>
        <v>0.51542368149408901</v>
      </c>
      <c r="G1997" s="3">
        <f t="shared" ca="1" si="63"/>
        <v>8.1702219629552353</v>
      </c>
      <c r="H1997" s="2"/>
      <c r="I1997" s="2"/>
      <c r="J1997" s="2"/>
      <c r="K1997" s="2"/>
    </row>
    <row r="1998" spans="5:11" x14ac:dyDescent="0.25">
      <c r="E1998" s="3">
        <f t="shared" ca="1" si="62"/>
        <v>4.7307005391733714E-2</v>
      </c>
      <c r="F1998" s="3">
        <f t="shared" ca="1" si="62"/>
        <v>0.26422172296360391</v>
      </c>
      <c r="G1998" s="3">
        <f t="shared" ca="1" si="63"/>
        <v>10.679742757746132</v>
      </c>
      <c r="H1998" s="2"/>
      <c r="I1998" s="2"/>
      <c r="J1998" s="2"/>
      <c r="K1998" s="2"/>
    </row>
    <row r="1999" spans="5:11" x14ac:dyDescent="0.25">
      <c r="E1999" s="3">
        <f t="shared" ca="1" si="62"/>
        <v>0.94237962328615599</v>
      </c>
      <c r="F1999" s="3">
        <f t="shared" ca="1" si="62"/>
        <v>0.3277007219769279</v>
      </c>
      <c r="G1999" s="3">
        <f t="shared" ca="1" si="63"/>
        <v>6.0633623108059549</v>
      </c>
      <c r="H1999" s="2"/>
      <c r="I1999" s="2"/>
      <c r="J1999" s="2"/>
      <c r="K1999" s="2"/>
    </row>
    <row r="2000" spans="5:11" x14ac:dyDescent="0.25">
      <c r="E2000" s="3">
        <f t="shared" ca="1" si="62"/>
        <v>0.94127508120594949</v>
      </c>
      <c r="F2000" s="3">
        <f t="shared" ca="1" si="62"/>
        <v>0.78446507424989331</v>
      </c>
      <c r="G2000" s="3">
        <f t="shared" ca="1" si="63"/>
        <v>10.094256945979604</v>
      </c>
      <c r="H2000" s="2"/>
      <c r="I2000" s="2"/>
      <c r="J2000" s="2"/>
      <c r="K2000" s="2"/>
    </row>
    <row r="2001" spans="5:11" x14ac:dyDescent="0.25">
      <c r="E2001" s="3">
        <f t="shared" ca="1" si="62"/>
        <v>0.74414455084863851</v>
      </c>
      <c r="F2001" s="3">
        <f t="shared" ca="1" si="62"/>
        <v>0.47979447923259433</v>
      </c>
      <c r="G2001" s="3">
        <f t="shared" ca="1" si="63"/>
        <v>4.3431194585207171</v>
      </c>
      <c r="H2001" s="2"/>
      <c r="I2001" s="2"/>
      <c r="J2001" s="2"/>
      <c r="K2001" s="2"/>
    </row>
    <row r="2002" spans="5:11" x14ac:dyDescent="0.25">
      <c r="E2002" s="3">
        <f t="shared" ca="1" si="62"/>
        <v>0.2439182006068743</v>
      </c>
      <c r="F2002" s="3">
        <f t="shared" ca="1" si="62"/>
        <v>0.73651040312675364</v>
      </c>
      <c r="G2002" s="3">
        <f t="shared" ca="1" si="63"/>
        <v>9.5319743168795092</v>
      </c>
      <c r="H2002" s="2"/>
      <c r="I2002" s="2"/>
      <c r="J2002" s="2"/>
      <c r="K2002" s="2"/>
    </row>
    <row r="2003" spans="5:11" x14ac:dyDescent="0.25">
      <c r="E2003" s="3">
        <f t="shared" ca="1" si="62"/>
        <v>0.90140219613968298</v>
      </c>
      <c r="F2003" s="3">
        <f t="shared" ca="1" si="62"/>
        <v>0.43654546301136166</v>
      </c>
      <c r="G2003" s="3">
        <f t="shared" ca="1" si="63"/>
        <v>5.5840837803704835</v>
      </c>
      <c r="H2003" s="2"/>
      <c r="I2003" s="2"/>
      <c r="J2003" s="2"/>
      <c r="K2003" s="2"/>
    </row>
    <row r="2004" spans="5:11" x14ac:dyDescent="0.25">
      <c r="E2004" s="3">
        <f t="shared" ca="1" si="62"/>
        <v>0.19684697753090108</v>
      </c>
      <c r="F2004" s="3">
        <f t="shared" ca="1" si="62"/>
        <v>0.81557077356798624</v>
      </c>
      <c r="G2004" s="3">
        <f t="shared" ca="1" si="63"/>
        <v>11.074838514532393</v>
      </c>
      <c r="H2004" s="2"/>
      <c r="I2004" s="2"/>
      <c r="J2004" s="2"/>
      <c r="K2004" s="2"/>
    </row>
    <row r="2005" spans="5:11" x14ac:dyDescent="0.25">
      <c r="E2005" s="3">
        <f t="shared" ca="1" si="62"/>
        <v>3.9684851906003238E-2</v>
      </c>
      <c r="F2005" s="3">
        <f t="shared" ca="1" si="62"/>
        <v>0.79907535733313351</v>
      </c>
      <c r="G2005" s="3">
        <f t="shared" ca="1" si="63"/>
        <v>14.010374080625105</v>
      </c>
      <c r="H2005" s="2"/>
      <c r="I2005" s="2"/>
      <c r="J2005" s="2"/>
      <c r="K2005" s="2"/>
    </row>
    <row r="2006" spans="5:11" x14ac:dyDescent="0.25">
      <c r="E2006" s="3">
        <f t="shared" ca="1" si="62"/>
        <v>0.16262152891988535</v>
      </c>
      <c r="F2006" s="3">
        <f t="shared" ca="1" si="62"/>
        <v>0.58886188881169055</v>
      </c>
      <c r="G2006" s="3">
        <f t="shared" ca="1" si="63"/>
        <v>9.0848658255767862</v>
      </c>
      <c r="H2006" s="2"/>
      <c r="I2006" s="2"/>
      <c r="J2006" s="2"/>
      <c r="K2006" s="2"/>
    </row>
    <row r="2007" spans="5:11" x14ac:dyDescent="0.25">
      <c r="E2007" s="3">
        <f t="shared" ca="1" si="62"/>
        <v>0.36509155105529723</v>
      </c>
      <c r="F2007" s="3">
        <f t="shared" ca="1" si="62"/>
        <v>0.53845083535689942</v>
      </c>
      <c r="G2007" s="3">
        <f t="shared" ca="1" si="63"/>
        <v>6.3441408632978975</v>
      </c>
      <c r="H2007" s="2"/>
      <c r="I2007" s="2"/>
      <c r="J2007" s="2"/>
      <c r="K2007" s="2"/>
    </row>
    <row r="2008" spans="5:11" x14ac:dyDescent="0.25">
      <c r="E2008" s="3">
        <f t="shared" ca="1" si="62"/>
        <v>6.4893339226751556E-2</v>
      </c>
      <c r="F2008" s="3">
        <f t="shared" ca="1" si="62"/>
        <v>0.52661864745273546</v>
      </c>
      <c r="G2008" s="3">
        <f t="shared" ca="1" si="63"/>
        <v>10.927619122890547</v>
      </c>
      <c r="H2008" s="2"/>
      <c r="I2008" s="2"/>
      <c r="J2008" s="2"/>
      <c r="K2008" s="2"/>
    </row>
    <row r="2009" spans="5:11" x14ac:dyDescent="0.25">
      <c r="E2009" s="3">
        <f t="shared" ca="1" si="62"/>
        <v>0.28116218658611691</v>
      </c>
      <c r="F2009" s="3">
        <f t="shared" ca="1" si="62"/>
        <v>0.94324590756583171</v>
      </c>
      <c r="G2009" s="3">
        <f t="shared" ca="1" si="63"/>
        <v>13.40644890831175</v>
      </c>
      <c r="H2009" s="2"/>
      <c r="I2009" s="2"/>
      <c r="J2009" s="2"/>
      <c r="K2009" s="2"/>
    </row>
    <row r="2010" spans="5:11" x14ac:dyDescent="0.25">
      <c r="E2010" s="3">
        <f t="shared" ca="1" si="62"/>
        <v>0.56533058593424046</v>
      </c>
      <c r="F2010" s="3">
        <f t="shared" ca="1" si="62"/>
        <v>0.58847741253771302</v>
      </c>
      <c r="G2010" s="3">
        <f t="shared" ca="1" si="63"/>
        <v>5.765206853194476</v>
      </c>
      <c r="H2010" s="2"/>
      <c r="I2010" s="2"/>
      <c r="J2010" s="2"/>
      <c r="K2010" s="2"/>
    </row>
    <row r="2011" spans="5:11" x14ac:dyDescent="0.25">
      <c r="E2011" s="3">
        <f t="shared" ca="1" si="62"/>
        <v>0.15699612686765596</v>
      </c>
      <c r="F2011" s="3">
        <f t="shared" ca="1" si="62"/>
        <v>0.87233115264314964</v>
      </c>
      <c r="G2011" s="3">
        <f t="shared" ca="1" si="63"/>
        <v>12.493786932841154</v>
      </c>
      <c r="H2011" s="2"/>
      <c r="I2011" s="2"/>
      <c r="J2011" s="2"/>
      <c r="K2011" s="2"/>
    </row>
    <row r="2012" spans="5:11" x14ac:dyDescent="0.25">
      <c r="E2012" s="3">
        <f t="shared" ca="1" si="62"/>
        <v>0.85739698981894363</v>
      </c>
      <c r="F2012" s="3">
        <f t="shared" ca="1" si="62"/>
        <v>0.50867355124509184</v>
      </c>
      <c r="G2012" s="3">
        <f t="shared" ca="1" si="63"/>
        <v>5.5311690135197509</v>
      </c>
      <c r="H2012" s="2"/>
      <c r="I2012" s="2"/>
      <c r="J2012" s="2"/>
      <c r="K2012" s="2"/>
    </row>
    <row r="2013" spans="5:11" x14ac:dyDescent="0.25">
      <c r="E2013" s="3">
        <f t="shared" ca="1" si="62"/>
        <v>0.18747944947673856</v>
      </c>
      <c r="F2013" s="3">
        <f t="shared" ca="1" si="62"/>
        <v>0.75716513765820392</v>
      </c>
      <c r="G2013" s="3">
        <f t="shared" ca="1" si="63"/>
        <v>10.386245583653372</v>
      </c>
      <c r="H2013" s="2"/>
      <c r="I2013" s="2"/>
      <c r="J2013" s="2"/>
      <c r="K2013" s="2"/>
    </row>
    <row r="2014" spans="5:11" x14ac:dyDescent="0.25">
      <c r="E2014" s="3">
        <f t="shared" ca="1" si="62"/>
        <v>0.89232439435366739</v>
      </c>
      <c r="F2014" s="3">
        <f t="shared" ca="1" si="62"/>
        <v>0.24578038832252103</v>
      </c>
      <c r="G2014" s="3">
        <f t="shared" ca="1" si="63"/>
        <v>4.0867023587104425</v>
      </c>
      <c r="H2014" s="2"/>
      <c r="I2014" s="2"/>
      <c r="J2014" s="2"/>
      <c r="K2014" s="2"/>
    </row>
    <row r="2015" spans="5:11" x14ac:dyDescent="0.25">
      <c r="E2015" s="3">
        <f t="shared" ca="1" si="62"/>
        <v>0.94092980480801403</v>
      </c>
      <c r="F2015" s="3">
        <f t="shared" ca="1" si="62"/>
        <v>0.86072647351793596</v>
      </c>
      <c r="G2015" s="3">
        <f t="shared" ca="1" si="63"/>
        <v>11.350191748959604</v>
      </c>
      <c r="H2015" s="2"/>
      <c r="I2015" s="2"/>
      <c r="J2015" s="2"/>
      <c r="K2015" s="2"/>
    </row>
    <row r="2016" spans="5:11" x14ac:dyDescent="0.25">
      <c r="E2016" s="3">
        <f t="shared" ca="1" si="62"/>
        <v>0.80436052566627547</v>
      </c>
      <c r="F2016" s="3">
        <f t="shared" ca="1" si="62"/>
        <v>0.17295941283288585</v>
      </c>
      <c r="G2016" s="3">
        <f t="shared" ca="1" si="63"/>
        <v>2.0604758880442806</v>
      </c>
      <c r="H2016" s="2"/>
      <c r="I2016" s="2"/>
      <c r="J2016" s="2"/>
      <c r="K2016" s="2"/>
    </row>
    <row r="2017" spans="5:11" x14ac:dyDescent="0.25">
      <c r="E2017" s="3">
        <f t="shared" ca="1" si="62"/>
        <v>0.50180537123587465</v>
      </c>
      <c r="F2017" s="3">
        <f t="shared" ca="1" si="62"/>
        <v>0.75584972504336068</v>
      </c>
      <c r="G2017" s="3">
        <f t="shared" ca="1" si="63"/>
        <v>8.239142778453326</v>
      </c>
      <c r="H2017" s="2"/>
      <c r="I2017" s="2"/>
      <c r="J2017" s="2"/>
      <c r="K2017" s="2"/>
    </row>
    <row r="2018" spans="5:11" x14ac:dyDescent="0.25">
      <c r="E2018" s="3">
        <f t="shared" ca="1" si="62"/>
        <v>0.11751491808449843</v>
      </c>
      <c r="F2018" s="3">
        <f t="shared" ca="1" si="62"/>
        <v>5.7821247867763992E-2</v>
      </c>
      <c r="G2018" s="3">
        <f t="shared" ca="1" si="63"/>
        <v>8.8552238482554113</v>
      </c>
      <c r="H2018" s="2"/>
      <c r="I2018" s="2"/>
      <c r="J2018" s="2"/>
      <c r="K2018" s="2"/>
    </row>
    <row r="2019" spans="5:11" x14ac:dyDescent="0.25">
      <c r="E2019" s="3">
        <f t="shared" ca="1" si="62"/>
        <v>0.29427950071860964</v>
      </c>
      <c r="F2019" s="3">
        <f t="shared" ca="1" si="62"/>
        <v>0.72335199136588069</v>
      </c>
      <c r="G2019" s="3">
        <f t="shared" ca="1" si="63"/>
        <v>8.9285605610988288</v>
      </c>
      <c r="H2019" s="2"/>
      <c r="I2019" s="2"/>
      <c r="J2019" s="2"/>
      <c r="K2019" s="2"/>
    </row>
    <row r="2020" spans="5:11" x14ac:dyDescent="0.25">
      <c r="E2020" s="3">
        <f t="shared" ca="1" si="62"/>
        <v>0.35693666763355214</v>
      </c>
      <c r="F2020" s="3">
        <f t="shared" ca="1" si="62"/>
        <v>0.91637606257207327</v>
      </c>
      <c r="G2020" s="3">
        <f t="shared" ca="1" si="63"/>
        <v>12.08290034894268</v>
      </c>
      <c r="H2020" s="2"/>
      <c r="I2020" s="2"/>
      <c r="J2020" s="2"/>
      <c r="K2020" s="2"/>
    </row>
    <row r="2021" spans="5:11" x14ac:dyDescent="0.25">
      <c r="E2021" s="3">
        <f t="shared" ca="1" si="62"/>
        <v>0.31637871355392555</v>
      </c>
      <c r="F2021" s="3">
        <f t="shared" ca="1" si="62"/>
        <v>0.1178937623220605</v>
      </c>
      <c r="G2021" s="3">
        <f t="shared" ca="1" si="63"/>
        <v>4.8537490695567724</v>
      </c>
      <c r="H2021" s="2"/>
      <c r="I2021" s="2"/>
      <c r="J2021" s="2"/>
      <c r="K2021" s="2"/>
    </row>
    <row r="2022" spans="5:11" x14ac:dyDescent="0.25">
      <c r="E2022" s="3">
        <f t="shared" ca="1" si="62"/>
        <v>0.82478963392845039</v>
      </c>
      <c r="F2022" s="3">
        <f t="shared" ca="1" si="62"/>
        <v>0.50974583529145812</v>
      </c>
      <c r="G2022" s="3">
        <f t="shared" ca="1" si="63"/>
        <v>5.1947447036191559</v>
      </c>
      <c r="H2022" s="2"/>
      <c r="I2022" s="2"/>
      <c r="J2022" s="2"/>
      <c r="K2022" s="2"/>
    </row>
    <row r="2023" spans="5:11" x14ac:dyDescent="0.25">
      <c r="E2023" s="3">
        <f t="shared" ca="1" si="62"/>
        <v>0.56650530283084632</v>
      </c>
      <c r="F2023" s="3">
        <f t="shared" ca="1" si="62"/>
        <v>0.87564211040091577</v>
      </c>
      <c r="G2023" s="3">
        <f t="shared" ca="1" si="63"/>
        <v>10.33303900540144</v>
      </c>
      <c r="H2023" s="2"/>
      <c r="I2023" s="2"/>
      <c r="J2023" s="2"/>
      <c r="K2023" s="2"/>
    </row>
    <row r="2024" spans="5:11" x14ac:dyDescent="0.25">
      <c r="E2024" s="3">
        <f t="shared" ca="1" si="62"/>
        <v>0.56782568380955911</v>
      </c>
      <c r="F2024" s="3">
        <f t="shared" ca="1" si="62"/>
        <v>0.20623646825060038</v>
      </c>
      <c r="G2024" s="3">
        <f t="shared" ca="1" si="63"/>
        <v>1.435271606475012</v>
      </c>
      <c r="H2024" s="2"/>
      <c r="I2024" s="2"/>
      <c r="J2024" s="2"/>
      <c r="K2024" s="2"/>
    </row>
    <row r="2025" spans="5:11" x14ac:dyDescent="0.25">
      <c r="E2025" s="3">
        <f t="shared" ca="1" si="62"/>
        <v>0.28452058038529315</v>
      </c>
      <c r="F2025" s="3">
        <f t="shared" ca="1" si="62"/>
        <v>8.3914380924306142E-2</v>
      </c>
      <c r="G2025" s="3">
        <f t="shared" ca="1" si="63"/>
        <v>5.6365306972490252</v>
      </c>
      <c r="H2025" s="2"/>
      <c r="I2025" s="2"/>
      <c r="J2025" s="2"/>
      <c r="K2025" s="2"/>
    </row>
    <row r="2026" spans="5:11" x14ac:dyDescent="0.25">
      <c r="E2026" s="3">
        <f t="shared" ca="1" si="62"/>
        <v>0.49735155638956907</v>
      </c>
      <c r="F2026" s="3">
        <f t="shared" ca="1" si="62"/>
        <v>0.43521864393020937</v>
      </c>
      <c r="G2026" s="3">
        <f t="shared" ca="1" si="63"/>
        <v>4.303977104217859</v>
      </c>
      <c r="H2026" s="2"/>
      <c r="I2026" s="2"/>
      <c r="J2026" s="2"/>
      <c r="K2026" s="2"/>
    </row>
    <row r="2027" spans="5:11" x14ac:dyDescent="0.25">
      <c r="E2027" s="3">
        <f t="shared" ca="1" si="62"/>
        <v>0.38246532868146688</v>
      </c>
      <c r="F2027" s="3">
        <f t="shared" ca="1" si="62"/>
        <v>3.2709931913088131E-2</v>
      </c>
      <c r="G2027" s="3">
        <f t="shared" ca="1" si="63"/>
        <v>6.0364822320390381</v>
      </c>
      <c r="H2027" s="2"/>
      <c r="I2027" s="2"/>
      <c r="J2027" s="2"/>
      <c r="K2027" s="2"/>
    </row>
    <row r="2028" spans="5:11" x14ac:dyDescent="0.25">
      <c r="E2028" s="3">
        <f t="shared" ca="1" si="62"/>
        <v>0.8111451518166336</v>
      </c>
      <c r="F2028" s="3">
        <f t="shared" ca="1" si="62"/>
        <v>0.31450826607965321</v>
      </c>
      <c r="G2028" s="3">
        <f t="shared" ca="1" si="63"/>
        <v>2.9884210075533386</v>
      </c>
      <c r="H2028" s="2"/>
      <c r="I2028" s="2"/>
      <c r="J2028" s="2"/>
      <c r="K2028" s="2"/>
    </row>
    <row r="2029" spans="5:11" x14ac:dyDescent="0.25">
      <c r="E2029" s="3">
        <f t="shared" ca="1" si="62"/>
        <v>0.58690343857746774</v>
      </c>
      <c r="F2029" s="3">
        <f t="shared" ca="1" si="62"/>
        <v>0.33263270728671734</v>
      </c>
      <c r="G2029" s="3">
        <f t="shared" ca="1" si="63"/>
        <v>2.5741135805738811</v>
      </c>
      <c r="H2029" s="2"/>
      <c r="I2029" s="2"/>
      <c r="J2029" s="2"/>
      <c r="K2029" s="2"/>
    </row>
    <row r="2030" spans="5:11" x14ac:dyDescent="0.25">
      <c r="E2030" s="3">
        <f t="shared" ca="1" si="62"/>
        <v>0.88629215051142496</v>
      </c>
      <c r="F2030" s="3">
        <f t="shared" ca="1" si="62"/>
        <v>0.67435141204028504</v>
      </c>
      <c r="G2030" s="3">
        <f t="shared" ca="1" si="63"/>
        <v>7.7259881930504015</v>
      </c>
      <c r="H2030" s="2"/>
      <c r="I2030" s="2"/>
      <c r="J2030" s="2"/>
      <c r="K2030" s="2"/>
    </row>
    <row r="2031" spans="5:11" x14ac:dyDescent="0.25">
      <c r="E2031" s="3">
        <f t="shared" ca="1" si="62"/>
        <v>7.1240529133836605E-2</v>
      </c>
      <c r="F2031" s="3">
        <f t="shared" ca="1" si="62"/>
        <v>7.7637562549213834E-2</v>
      </c>
      <c r="G2031" s="3">
        <f t="shared" ca="1" si="63"/>
        <v>9.9296432538604211</v>
      </c>
      <c r="H2031" s="2"/>
      <c r="I2031" s="2"/>
      <c r="J2031" s="2"/>
      <c r="K2031" s="2"/>
    </row>
    <row r="2032" spans="5:11" x14ac:dyDescent="0.25">
      <c r="E2032" s="3">
        <f t="shared" ca="1" si="62"/>
        <v>0.77974363187498563</v>
      </c>
      <c r="F2032" s="3">
        <f t="shared" ca="1" si="62"/>
        <v>0.39593398431182569</v>
      </c>
      <c r="G2032" s="3">
        <f t="shared" ca="1" si="63"/>
        <v>3.5409496107853111</v>
      </c>
      <c r="H2032" s="2"/>
      <c r="I2032" s="2"/>
      <c r="J2032" s="2"/>
      <c r="K2032" s="2"/>
    </row>
    <row r="2033" spans="5:11" x14ac:dyDescent="0.25">
      <c r="E2033" s="3">
        <f t="shared" ca="1" si="62"/>
        <v>0.79997744932938675</v>
      </c>
      <c r="F2033" s="3">
        <f t="shared" ca="1" si="62"/>
        <v>0.30955108777122942</v>
      </c>
      <c r="G2033" s="3">
        <f t="shared" ca="1" si="63"/>
        <v>2.7943017127530969</v>
      </c>
      <c r="H2033" s="2"/>
      <c r="I2033" s="2"/>
      <c r="J2033" s="2"/>
      <c r="K2033" s="2"/>
    </row>
    <row r="2034" spans="5:11" x14ac:dyDescent="0.25">
      <c r="E2034" s="3">
        <f t="shared" ca="1" si="62"/>
        <v>0.21163204597153518</v>
      </c>
      <c r="F2034" s="3">
        <f t="shared" ca="1" si="62"/>
        <v>0.91522636021508186</v>
      </c>
      <c r="G2034" s="3">
        <f t="shared" ca="1" si="63"/>
        <v>12.943994686063656</v>
      </c>
      <c r="H2034" s="2"/>
      <c r="I2034" s="2"/>
      <c r="J2034" s="2"/>
      <c r="K2034" s="2"/>
    </row>
    <row r="2035" spans="5:11" x14ac:dyDescent="0.25">
      <c r="E2035" s="3">
        <f t="shared" ca="1" si="62"/>
        <v>0.5714397957431423</v>
      </c>
      <c r="F2035" s="3">
        <f t="shared" ca="1" si="62"/>
        <v>0.17405628986451316</v>
      </c>
      <c r="G2035" s="3">
        <f t="shared" ca="1" si="63"/>
        <v>1.3583118236980891</v>
      </c>
      <c r="H2035" s="2"/>
      <c r="I2035" s="2"/>
      <c r="J2035" s="2"/>
      <c r="K2035" s="2"/>
    </row>
    <row r="2036" spans="5:11" x14ac:dyDescent="0.25">
      <c r="E2036" s="3">
        <f t="shared" ca="1" si="62"/>
        <v>0.99301562338535942</v>
      </c>
      <c r="F2036" s="3">
        <f t="shared" ca="1" si="62"/>
        <v>4.3160959866295645E-2</v>
      </c>
      <c r="G2036" s="3">
        <f t="shared" ca="1" si="63"/>
        <v>10.856247400977487</v>
      </c>
      <c r="H2036" s="2"/>
      <c r="I2036" s="2"/>
      <c r="J2036" s="2"/>
      <c r="K2036" s="2"/>
    </row>
    <row r="2037" spans="5:11" x14ac:dyDescent="0.25">
      <c r="E2037" s="3">
        <f t="shared" ca="1" si="62"/>
        <v>0.74398814291398163</v>
      </c>
      <c r="F2037" s="3">
        <f t="shared" ca="1" si="62"/>
        <v>2.8515605974327451E-3</v>
      </c>
      <c r="G2037" s="3">
        <f t="shared" ca="1" si="63"/>
        <v>9.4093510541099796</v>
      </c>
      <c r="H2037" s="2"/>
      <c r="I2037" s="2"/>
      <c r="J2037" s="2"/>
      <c r="K2037" s="2"/>
    </row>
    <row r="2038" spans="5:11" x14ac:dyDescent="0.25">
      <c r="E2038" s="3">
        <f t="shared" ca="1" si="62"/>
        <v>0.17673443098572017</v>
      </c>
      <c r="F2038" s="3">
        <f t="shared" ca="1" si="62"/>
        <v>0.26370810162480107</v>
      </c>
      <c r="G2038" s="3">
        <f t="shared" ca="1" si="63"/>
        <v>7.0034263139388715</v>
      </c>
      <c r="H2038" s="2"/>
      <c r="I2038" s="2"/>
      <c r="J2038" s="2"/>
      <c r="K2038" s="2"/>
    </row>
    <row r="2039" spans="5:11" x14ac:dyDescent="0.25">
      <c r="E2039" s="3">
        <f t="shared" ca="1" si="62"/>
        <v>0.28464432593705757</v>
      </c>
      <c r="F2039" s="3">
        <f t="shared" ca="1" si="62"/>
        <v>0.50605130008460375</v>
      </c>
      <c r="G2039" s="3">
        <f t="shared" ca="1" si="63"/>
        <v>6.8213326104725409</v>
      </c>
      <c r="H2039" s="2"/>
      <c r="I2039" s="2"/>
      <c r="J2039" s="2"/>
      <c r="K2039" s="2"/>
    </row>
    <row r="2040" spans="5:11" x14ac:dyDescent="0.25">
      <c r="E2040" s="3">
        <f t="shared" ca="1" si="62"/>
        <v>0.69198274135877336</v>
      </c>
      <c r="F2040" s="3">
        <f t="shared" ca="1" si="62"/>
        <v>0.13245481062703568</v>
      </c>
      <c r="G2040" s="3">
        <f t="shared" ca="1" si="63"/>
        <v>1.1361503121892325</v>
      </c>
      <c r="H2040" s="2"/>
      <c r="I2040" s="2"/>
      <c r="J2040" s="2"/>
      <c r="K2040" s="2"/>
    </row>
    <row r="2041" spans="5:11" x14ac:dyDescent="0.25">
      <c r="E2041" s="3">
        <f t="shared" ca="1" si="62"/>
        <v>0.73459979993498625</v>
      </c>
      <c r="F2041" s="3">
        <f t="shared" ca="1" si="62"/>
        <v>0.10264653695860559</v>
      </c>
      <c r="G2041" s="3">
        <f t="shared" ca="1" si="63"/>
        <v>2.066288214154254</v>
      </c>
      <c r="H2041" s="2"/>
      <c r="I2041" s="2"/>
      <c r="J2041" s="2"/>
      <c r="K2041" s="2"/>
    </row>
    <row r="2042" spans="5:11" x14ac:dyDescent="0.25">
      <c r="E2042" s="3">
        <f t="shared" ca="1" si="62"/>
        <v>0.8986314953550123</v>
      </c>
      <c r="F2042" s="3">
        <f t="shared" ca="1" si="62"/>
        <v>0.15085436820169917</v>
      </c>
      <c r="G2042" s="3">
        <f t="shared" ca="1" si="63"/>
        <v>4.1864996373736894</v>
      </c>
      <c r="H2042" s="2"/>
      <c r="I2042" s="2"/>
      <c r="J2042" s="2"/>
      <c r="K2042" s="2"/>
    </row>
    <row r="2043" spans="5:11" x14ac:dyDescent="0.25">
      <c r="E2043" s="3">
        <f t="shared" ca="1" si="62"/>
        <v>0.52693767851656836</v>
      </c>
      <c r="F2043" s="3">
        <f t="shared" ca="1" si="62"/>
        <v>0.20020695703918734</v>
      </c>
      <c r="G2043" s="3">
        <f t="shared" ca="1" si="63"/>
        <v>1.9209437499406907</v>
      </c>
      <c r="H2043" s="2"/>
      <c r="I2043" s="2"/>
      <c r="J2043" s="2"/>
      <c r="K2043" s="2"/>
    </row>
    <row r="2044" spans="5:11" x14ac:dyDescent="0.25">
      <c r="E2044" s="3">
        <f t="shared" ca="1" si="62"/>
        <v>0.61691795474909117</v>
      </c>
      <c r="F2044" s="3">
        <f t="shared" ca="1" si="62"/>
        <v>0.91394484567971657</v>
      </c>
      <c r="G2044" s="3">
        <f t="shared" ca="1" si="63"/>
        <v>11.322347746306939</v>
      </c>
      <c r="H2044" s="2"/>
      <c r="I2044" s="2"/>
      <c r="J2044" s="2"/>
      <c r="K2044" s="2"/>
    </row>
    <row r="2045" spans="5:11" x14ac:dyDescent="0.25">
      <c r="E2045" s="3">
        <f t="shared" ca="1" si="62"/>
        <v>0.49997937698499528</v>
      </c>
      <c r="F2045" s="3">
        <f t="shared" ca="1" si="62"/>
        <v>5.4463800766801462E-2</v>
      </c>
      <c r="G2045" s="3">
        <f t="shared" ca="1" si="63"/>
        <v>4.193886395375948</v>
      </c>
      <c r="H2045" s="2"/>
      <c r="I2045" s="2"/>
      <c r="J2045" s="2"/>
      <c r="K2045" s="2"/>
    </row>
    <row r="2046" spans="5:11" x14ac:dyDescent="0.25">
      <c r="E2046" s="3">
        <f t="shared" ca="1" si="62"/>
        <v>0.10602421731223866</v>
      </c>
      <c r="F2046" s="3">
        <f t="shared" ca="1" si="62"/>
        <v>0.20265126571551506</v>
      </c>
      <c r="G2046" s="3">
        <f t="shared" ca="1" si="63"/>
        <v>8.4857601291985016</v>
      </c>
      <c r="H2046" s="2"/>
      <c r="I2046" s="2"/>
      <c r="J2046" s="2"/>
      <c r="K2046" s="2"/>
    </row>
    <row r="2047" spans="5:11" x14ac:dyDescent="0.25">
      <c r="E2047" s="3">
        <f t="shared" ca="1" si="62"/>
        <v>0.24005609882235446</v>
      </c>
      <c r="F2047" s="3">
        <f t="shared" ca="1" si="62"/>
        <v>0.16168920577174228</v>
      </c>
      <c r="G2047" s="3">
        <f t="shared" ca="1" si="63"/>
        <v>5.7899006612806296</v>
      </c>
      <c r="H2047" s="2"/>
      <c r="I2047" s="2"/>
      <c r="J2047" s="2"/>
      <c r="K2047" s="2"/>
    </row>
    <row r="2048" spans="5:11" x14ac:dyDescent="0.25">
      <c r="E2048" s="3">
        <f t="shared" ca="1" si="62"/>
        <v>4.1551079994960549E-2</v>
      </c>
      <c r="F2048" s="3">
        <f t="shared" ca="1" si="62"/>
        <v>0.64520128448382741</v>
      </c>
      <c r="G2048" s="3">
        <f t="shared" ca="1" si="63"/>
        <v>12.610189568392375</v>
      </c>
      <c r="H2048" s="2"/>
      <c r="I2048" s="2"/>
      <c r="J2048" s="2"/>
      <c r="K2048" s="2"/>
    </row>
    <row r="2049" spans="5:11" x14ac:dyDescent="0.25">
      <c r="E2049" s="3">
        <f t="shared" ca="1" si="62"/>
        <v>0.5726666132984729</v>
      </c>
      <c r="F2049" s="3">
        <f t="shared" ca="1" si="62"/>
        <v>2.3761446126144836E-2</v>
      </c>
      <c r="G2049" s="3">
        <f t="shared" ca="1" si="63"/>
        <v>5.5970492874727604</v>
      </c>
      <c r="H2049" s="2"/>
      <c r="I2049" s="2"/>
      <c r="J2049" s="2"/>
      <c r="K2049" s="2"/>
    </row>
    <row r="2050" spans="5:11" x14ac:dyDescent="0.25">
      <c r="E2050" s="3">
        <f t="shared" ca="1" si="62"/>
        <v>0.92294807445799321</v>
      </c>
      <c r="F2050" s="3">
        <f t="shared" ca="1" si="62"/>
        <v>0.42131644230744825</v>
      </c>
      <c r="G2050" s="3">
        <f t="shared" ca="1" si="63"/>
        <v>5.9967160096699583</v>
      </c>
      <c r="H2050" s="2"/>
      <c r="I2050" s="2"/>
      <c r="J2050" s="2"/>
      <c r="K2050" s="2"/>
    </row>
    <row r="2051" spans="5:11" x14ac:dyDescent="0.25">
      <c r="E2051" s="3">
        <f t="shared" ca="1" si="62"/>
        <v>0.61275736237350564</v>
      </c>
      <c r="F2051" s="3">
        <f t="shared" ca="1" si="62"/>
        <v>0.60105628156412694</v>
      </c>
      <c r="G2051" s="3">
        <f t="shared" ca="1" si="63"/>
        <v>5.8068559269471782</v>
      </c>
      <c r="H2051" s="2"/>
      <c r="I2051" s="2"/>
      <c r="J2051" s="2"/>
      <c r="K2051" s="2"/>
    </row>
    <row r="2052" spans="5:11" x14ac:dyDescent="0.25">
      <c r="E2052" s="3">
        <f t="shared" ref="E2052:F2115" ca="1" si="64">RAND()</f>
        <v>0.46706230006734195</v>
      </c>
      <c r="F2052" s="3">
        <f t="shared" ca="1" si="64"/>
        <v>0.40406525741599486</v>
      </c>
      <c r="G2052" s="3">
        <f t="shared" ref="G2052:G2115" ca="1" si="65">SQRT(_xlfn.NORM.INV(E2052,$C$3*COS($C$6),$C$4)^2+_xlfn.NORM.INV(F2052,$C$3*SIN($C$6),$C$4)^2)</f>
        <v>4.2002426075755901</v>
      </c>
      <c r="H2052" s="2"/>
      <c r="I2052" s="2"/>
      <c r="J2052" s="2"/>
      <c r="K2052" s="2"/>
    </row>
    <row r="2053" spans="5:11" x14ac:dyDescent="0.25">
      <c r="E2053" s="3">
        <f t="shared" ca="1" si="64"/>
        <v>0.46320412330447558</v>
      </c>
      <c r="F2053" s="3">
        <f t="shared" ca="1" si="64"/>
        <v>0.643734683662192</v>
      </c>
      <c r="G2053" s="3">
        <f t="shared" ca="1" si="65"/>
        <v>6.8663476649981048</v>
      </c>
      <c r="H2053" s="2"/>
      <c r="I2053" s="2"/>
      <c r="J2053" s="2"/>
      <c r="K2053" s="2"/>
    </row>
    <row r="2054" spans="5:11" x14ac:dyDescent="0.25">
      <c r="E2054" s="3">
        <f t="shared" ca="1" si="64"/>
        <v>0.47251616265306418</v>
      </c>
      <c r="F2054" s="3">
        <f t="shared" ca="1" si="64"/>
        <v>0.66095419820359369</v>
      </c>
      <c r="G2054" s="3">
        <f t="shared" ca="1" si="65"/>
        <v>7.037332235791216</v>
      </c>
      <c r="H2054" s="2"/>
      <c r="I2054" s="2"/>
      <c r="J2054" s="2"/>
      <c r="K2054" s="2"/>
    </row>
    <row r="2055" spans="5:11" x14ac:dyDescent="0.25">
      <c r="E2055" s="3">
        <f t="shared" ca="1" si="64"/>
        <v>0.19717215365349605</v>
      </c>
      <c r="F2055" s="3">
        <f t="shared" ca="1" si="64"/>
        <v>0.26234308970266329</v>
      </c>
      <c r="G2055" s="3">
        <f t="shared" ca="1" si="65"/>
        <v>6.6258440047661766</v>
      </c>
      <c r="H2055" s="2"/>
      <c r="I2055" s="2"/>
      <c r="J2055" s="2"/>
      <c r="K2055" s="2"/>
    </row>
    <row r="2056" spans="5:11" x14ac:dyDescent="0.25">
      <c r="E2056" s="3">
        <f t="shared" ca="1" si="64"/>
        <v>0.87558754605823241</v>
      </c>
      <c r="F2056" s="3">
        <f t="shared" ca="1" si="64"/>
        <v>0.86741246883089607</v>
      </c>
      <c r="G2056" s="3">
        <f t="shared" ca="1" si="65"/>
        <v>10.642180706805327</v>
      </c>
      <c r="H2056" s="2"/>
      <c r="I2056" s="2"/>
      <c r="J2056" s="2"/>
      <c r="K2056" s="2"/>
    </row>
    <row r="2057" spans="5:11" x14ac:dyDescent="0.25">
      <c r="E2057" s="3">
        <f t="shared" ca="1" si="64"/>
        <v>0.94836338734409531</v>
      </c>
      <c r="F2057" s="3">
        <f t="shared" ca="1" si="64"/>
        <v>0.58235122776205861</v>
      </c>
      <c r="G2057" s="3">
        <f t="shared" ca="1" si="65"/>
        <v>8.0765622088006204</v>
      </c>
      <c r="H2057" s="2"/>
      <c r="I2057" s="2"/>
      <c r="J2057" s="2"/>
      <c r="K2057" s="2"/>
    </row>
    <row r="2058" spans="5:11" x14ac:dyDescent="0.25">
      <c r="E2058" s="3">
        <f t="shared" ca="1" si="64"/>
        <v>0.12923820453838353</v>
      </c>
      <c r="F2058" s="3">
        <f t="shared" ca="1" si="64"/>
        <v>0.80317271769959764</v>
      </c>
      <c r="G2058" s="3">
        <f t="shared" ca="1" si="65"/>
        <v>11.771089754461954</v>
      </c>
      <c r="H2058" s="2"/>
      <c r="I2058" s="2"/>
      <c r="J2058" s="2"/>
      <c r="K2058" s="2"/>
    </row>
    <row r="2059" spans="5:11" x14ac:dyDescent="0.25">
      <c r="E2059" s="3">
        <f t="shared" ca="1" si="64"/>
        <v>0.87897412180340229</v>
      </c>
      <c r="F2059" s="3">
        <f t="shared" ca="1" si="64"/>
        <v>0.90799523506554347</v>
      </c>
      <c r="G2059" s="3">
        <f t="shared" ca="1" si="65"/>
        <v>11.683892154910007</v>
      </c>
      <c r="H2059" s="2"/>
      <c r="I2059" s="2"/>
      <c r="J2059" s="2"/>
      <c r="K2059" s="2"/>
    </row>
    <row r="2060" spans="5:11" x14ac:dyDescent="0.25">
      <c r="E2060" s="3">
        <f t="shared" ca="1" si="64"/>
        <v>0.10434102372080656</v>
      </c>
      <c r="F2060" s="3">
        <f t="shared" ca="1" si="64"/>
        <v>0.78230671963289389</v>
      </c>
      <c r="G2060" s="3">
        <f t="shared" ca="1" si="65"/>
        <v>11.948053933566214</v>
      </c>
      <c r="H2060" s="2"/>
      <c r="I2060" s="2"/>
      <c r="J2060" s="2"/>
      <c r="K2060" s="2"/>
    </row>
    <row r="2061" spans="5:11" x14ac:dyDescent="0.25">
      <c r="E2061" s="3">
        <f t="shared" ca="1" si="64"/>
        <v>0.72454433747258362</v>
      </c>
      <c r="F2061" s="3">
        <f t="shared" ca="1" si="64"/>
        <v>0.72192847491582313</v>
      </c>
      <c r="G2061" s="3">
        <f t="shared" ca="1" si="65"/>
        <v>7.44988730754398</v>
      </c>
      <c r="H2061" s="2"/>
      <c r="I2061" s="2"/>
      <c r="J2061" s="2"/>
      <c r="K2061" s="2"/>
    </row>
    <row r="2062" spans="5:11" x14ac:dyDescent="0.25">
      <c r="E2062" s="3">
        <f t="shared" ca="1" si="64"/>
        <v>0.83065165711780375</v>
      </c>
      <c r="F2062" s="3">
        <f t="shared" ca="1" si="64"/>
        <v>0.56278574124968239</v>
      </c>
      <c r="G2062" s="3">
        <f t="shared" ca="1" si="65"/>
        <v>5.8427682808540835</v>
      </c>
      <c r="H2062" s="2"/>
      <c r="I2062" s="2"/>
      <c r="J2062" s="2"/>
      <c r="K2062" s="2"/>
    </row>
    <row r="2063" spans="5:11" x14ac:dyDescent="0.25">
      <c r="E2063" s="3">
        <f t="shared" ca="1" si="64"/>
        <v>0.2348287225391148</v>
      </c>
      <c r="F2063" s="3">
        <f t="shared" ca="1" si="64"/>
        <v>0.32785754545442836</v>
      </c>
      <c r="G2063" s="3">
        <f t="shared" ca="1" si="65"/>
        <v>6.2696614075093793</v>
      </c>
      <c r="H2063" s="2"/>
      <c r="I2063" s="2"/>
      <c r="J2063" s="2"/>
      <c r="K2063" s="2"/>
    </row>
    <row r="2064" spans="5:11" x14ac:dyDescent="0.25">
      <c r="E2064" s="3">
        <f t="shared" ca="1" si="64"/>
        <v>0.67505495702366969</v>
      </c>
      <c r="F2064" s="3">
        <f t="shared" ca="1" si="64"/>
        <v>0.40251294430236839</v>
      </c>
      <c r="G2064" s="3">
        <f t="shared" ca="1" si="65"/>
        <v>3.2358753041381805</v>
      </c>
      <c r="H2064" s="2"/>
      <c r="I2064" s="2"/>
      <c r="J2064" s="2"/>
      <c r="K2064" s="2"/>
    </row>
    <row r="2065" spans="5:11" x14ac:dyDescent="0.25">
      <c r="E2065" s="3">
        <f t="shared" ca="1" si="64"/>
        <v>0.67107481375545908</v>
      </c>
      <c r="F2065" s="3">
        <f t="shared" ca="1" si="64"/>
        <v>0.93824524267169107</v>
      </c>
      <c r="G2065" s="3">
        <f t="shared" ca="1" si="65"/>
        <v>12.171053981133706</v>
      </c>
      <c r="H2065" s="2"/>
      <c r="I2065" s="2"/>
      <c r="J2065" s="2"/>
      <c r="K2065" s="2"/>
    </row>
    <row r="2066" spans="5:11" x14ac:dyDescent="0.25">
      <c r="E2066" s="3">
        <f t="shared" ca="1" si="64"/>
        <v>0.76213394322936912</v>
      </c>
      <c r="F2066" s="3">
        <f t="shared" ca="1" si="64"/>
        <v>0.74215569104631207</v>
      </c>
      <c r="G2066" s="3">
        <f t="shared" ca="1" si="65"/>
        <v>7.832985163107379</v>
      </c>
      <c r="H2066" s="2"/>
      <c r="I2066" s="2"/>
      <c r="J2066" s="2"/>
      <c r="K2066" s="2"/>
    </row>
    <row r="2067" spans="5:11" x14ac:dyDescent="0.25">
      <c r="E2067" s="3">
        <f t="shared" ca="1" si="64"/>
        <v>0.82461263951846564</v>
      </c>
      <c r="F2067" s="3">
        <f t="shared" ca="1" si="64"/>
        <v>0.58346708922772683</v>
      </c>
      <c r="G2067" s="3">
        <f t="shared" ca="1" si="65"/>
        <v>6.0327245287246374</v>
      </c>
      <c r="H2067" s="2"/>
      <c r="I2067" s="2"/>
      <c r="J2067" s="2"/>
      <c r="K2067" s="2"/>
    </row>
    <row r="2068" spans="5:11" x14ac:dyDescent="0.25">
      <c r="E2068" s="3">
        <f t="shared" ca="1" si="64"/>
        <v>0.12962521436857</v>
      </c>
      <c r="F2068" s="3">
        <f t="shared" ca="1" si="64"/>
        <v>0.42991060463397179</v>
      </c>
      <c r="G2068" s="3">
        <f t="shared" ca="1" si="65"/>
        <v>8.6590736023749528</v>
      </c>
      <c r="H2068" s="2"/>
      <c r="I2068" s="2"/>
      <c r="J2068" s="2"/>
      <c r="K2068" s="2"/>
    </row>
    <row r="2069" spans="5:11" x14ac:dyDescent="0.25">
      <c r="E2069" s="3">
        <f t="shared" ca="1" si="64"/>
        <v>0.14598432609983381</v>
      </c>
      <c r="F2069" s="3">
        <f t="shared" ca="1" si="64"/>
        <v>0.18063946465757275</v>
      </c>
      <c r="G2069" s="3">
        <f t="shared" ca="1" si="65"/>
        <v>7.5100285899726584</v>
      </c>
      <c r="H2069" s="2"/>
      <c r="I2069" s="2"/>
      <c r="J2069" s="2"/>
      <c r="K2069" s="2"/>
    </row>
    <row r="2070" spans="5:11" x14ac:dyDescent="0.25">
      <c r="E2070" s="3">
        <f t="shared" ca="1" si="64"/>
        <v>0.50512519852482074</v>
      </c>
      <c r="F2070" s="3">
        <f t="shared" ca="1" si="64"/>
        <v>2.6165935222047132E-2</v>
      </c>
      <c r="G2070" s="3">
        <f t="shared" ca="1" si="65"/>
        <v>5.6664992154525242</v>
      </c>
      <c r="H2070" s="2"/>
      <c r="I2070" s="2"/>
      <c r="J2070" s="2"/>
      <c r="K2070" s="2"/>
    </row>
    <row r="2071" spans="5:11" x14ac:dyDescent="0.25">
      <c r="E2071" s="3">
        <f t="shared" ca="1" si="64"/>
        <v>0.55085389144047892</v>
      </c>
      <c r="F2071" s="3">
        <f t="shared" ca="1" si="64"/>
        <v>0.16721651703080986</v>
      </c>
      <c r="G2071" s="3">
        <f t="shared" ca="1" si="65"/>
        <v>1.6403981231488953</v>
      </c>
      <c r="H2071" s="2"/>
      <c r="I2071" s="2"/>
      <c r="J2071" s="2"/>
      <c r="K2071" s="2"/>
    </row>
    <row r="2072" spans="5:11" x14ac:dyDescent="0.25">
      <c r="E2072" s="3">
        <f t="shared" ca="1" si="64"/>
        <v>0.71960618830742151</v>
      </c>
      <c r="F2072" s="3">
        <f t="shared" ca="1" si="64"/>
        <v>0.16122949959379551</v>
      </c>
      <c r="G2072" s="3">
        <f t="shared" ca="1" si="65"/>
        <v>0.82087813254478659</v>
      </c>
      <c r="H2072" s="2"/>
      <c r="I2072" s="2"/>
      <c r="J2072" s="2"/>
      <c r="K2072" s="2"/>
    </row>
    <row r="2073" spans="5:11" x14ac:dyDescent="0.25">
      <c r="E2073" s="3">
        <f t="shared" ca="1" si="64"/>
        <v>0.89757086207739545</v>
      </c>
      <c r="F2073" s="3">
        <f t="shared" ca="1" si="64"/>
        <v>0.16940094739411393</v>
      </c>
      <c r="G2073" s="3">
        <f t="shared" ca="1" si="65"/>
        <v>4.1106976087990228</v>
      </c>
      <c r="H2073" s="2"/>
      <c r="I2073" s="2"/>
      <c r="J2073" s="2"/>
      <c r="K2073" s="2"/>
    </row>
    <row r="2074" spans="5:11" x14ac:dyDescent="0.25">
      <c r="E2074" s="3">
        <f t="shared" ca="1" si="64"/>
        <v>0.79515756488090039</v>
      </c>
      <c r="F2074" s="3">
        <f t="shared" ca="1" si="64"/>
        <v>0.47871274301424271</v>
      </c>
      <c r="G2074" s="3">
        <f t="shared" ca="1" si="65"/>
        <v>4.6051237238665754</v>
      </c>
      <c r="H2074" s="2"/>
      <c r="I2074" s="2"/>
      <c r="J2074" s="2"/>
      <c r="K2074" s="2"/>
    </row>
    <row r="2075" spans="5:11" x14ac:dyDescent="0.25">
      <c r="E2075" s="3">
        <f t="shared" ca="1" si="64"/>
        <v>6.4113024496387672E-2</v>
      </c>
      <c r="F2075" s="3">
        <f t="shared" ca="1" si="64"/>
        <v>0.12014333520299447</v>
      </c>
      <c r="G2075" s="3">
        <f t="shared" ca="1" si="65"/>
        <v>9.9452685744820126</v>
      </c>
      <c r="H2075" s="2"/>
      <c r="I2075" s="2"/>
      <c r="J2075" s="2"/>
      <c r="K2075" s="2"/>
    </row>
    <row r="2076" spans="5:11" x14ac:dyDescent="0.25">
      <c r="E2076" s="3">
        <f t="shared" ca="1" si="64"/>
        <v>0.52340473754204531</v>
      </c>
      <c r="F2076" s="3">
        <f t="shared" ca="1" si="64"/>
        <v>0.21371621014277264</v>
      </c>
      <c r="G2076" s="3">
        <f t="shared" ca="1" si="65"/>
        <v>2.0105483706293543</v>
      </c>
      <c r="H2076" s="2"/>
      <c r="I2076" s="2"/>
      <c r="J2076" s="2"/>
      <c r="K2076" s="2"/>
    </row>
    <row r="2077" spans="5:11" x14ac:dyDescent="0.25">
      <c r="E2077" s="3">
        <f t="shared" ca="1" si="64"/>
        <v>0.50793729739134852</v>
      </c>
      <c r="F2077" s="3">
        <f t="shared" ca="1" si="64"/>
        <v>5.7538093103133181E-2</v>
      </c>
      <c r="G2077" s="3">
        <f t="shared" ca="1" si="65"/>
        <v>4.0254363836920222</v>
      </c>
      <c r="H2077" s="2"/>
      <c r="I2077" s="2"/>
      <c r="J2077" s="2"/>
      <c r="K2077" s="2"/>
    </row>
    <row r="2078" spans="5:11" x14ac:dyDescent="0.25">
      <c r="E2078" s="3">
        <f t="shared" ca="1" si="64"/>
        <v>0.87235569087731213</v>
      </c>
      <c r="F2078" s="3">
        <f t="shared" ca="1" si="64"/>
        <v>0.65981697257068417</v>
      </c>
      <c r="G2078" s="3">
        <f t="shared" ca="1" si="65"/>
        <v>7.3840630396307896</v>
      </c>
      <c r="H2078" s="2"/>
      <c r="I2078" s="2"/>
      <c r="J2078" s="2"/>
      <c r="K2078" s="2"/>
    </row>
    <row r="2079" spans="5:11" x14ac:dyDescent="0.25">
      <c r="E2079" s="3">
        <f t="shared" ca="1" si="64"/>
        <v>0.76533563364492241</v>
      </c>
      <c r="F2079" s="3">
        <f t="shared" ca="1" si="64"/>
        <v>6.5161041647300078E-2</v>
      </c>
      <c r="G2079" s="3">
        <f t="shared" ca="1" si="65"/>
        <v>3.3869514271776047</v>
      </c>
      <c r="H2079" s="2"/>
      <c r="I2079" s="2"/>
      <c r="J2079" s="2"/>
      <c r="K2079" s="2"/>
    </row>
    <row r="2080" spans="5:11" x14ac:dyDescent="0.25">
      <c r="E2080" s="3">
        <f t="shared" ca="1" si="64"/>
        <v>0.39495677852131073</v>
      </c>
      <c r="F2080" s="3">
        <f t="shared" ca="1" si="64"/>
        <v>0.96139730168330484</v>
      </c>
      <c r="G2080" s="3">
        <f t="shared" ca="1" si="65"/>
        <v>13.776913772746548</v>
      </c>
      <c r="H2080" s="2"/>
      <c r="I2080" s="2"/>
      <c r="J2080" s="2"/>
      <c r="K2080" s="2"/>
    </row>
    <row r="2081" spans="5:11" x14ac:dyDescent="0.25">
      <c r="E2081" s="3">
        <f t="shared" ca="1" si="64"/>
        <v>0.42234093429537334</v>
      </c>
      <c r="F2081" s="3">
        <f t="shared" ca="1" si="64"/>
        <v>0.11384890003100723</v>
      </c>
      <c r="G2081" s="3">
        <f t="shared" ca="1" si="65"/>
        <v>3.5785917062386292</v>
      </c>
      <c r="H2081" s="2"/>
      <c r="I2081" s="2"/>
      <c r="J2081" s="2"/>
      <c r="K2081" s="2"/>
    </row>
    <row r="2082" spans="5:11" x14ac:dyDescent="0.25">
      <c r="E2082" s="3">
        <f t="shared" ca="1" si="64"/>
        <v>0.46884153692191022</v>
      </c>
      <c r="F2082" s="3">
        <f t="shared" ca="1" si="64"/>
        <v>0.97131871702840045</v>
      </c>
      <c r="G2082" s="3">
        <f t="shared" ca="1" si="65"/>
        <v>14.218270538800937</v>
      </c>
      <c r="H2082" s="2"/>
      <c r="I2082" s="2"/>
      <c r="J2082" s="2"/>
      <c r="K2082" s="2"/>
    </row>
    <row r="2083" spans="5:11" x14ac:dyDescent="0.25">
      <c r="E2083" s="3">
        <f t="shared" ca="1" si="64"/>
        <v>0.22805432514638957</v>
      </c>
      <c r="F2083" s="3">
        <f t="shared" ca="1" si="64"/>
        <v>0.43412214909766</v>
      </c>
      <c r="G2083" s="3">
        <f t="shared" ca="1" si="65"/>
        <v>6.9896516423572654</v>
      </c>
      <c r="H2083" s="2"/>
      <c r="I2083" s="2"/>
      <c r="J2083" s="2"/>
      <c r="K2083" s="2"/>
    </row>
    <row r="2084" spans="5:11" x14ac:dyDescent="0.25">
      <c r="E2084" s="3">
        <f t="shared" ca="1" si="64"/>
        <v>0.64248021354114071</v>
      </c>
      <c r="F2084" s="3">
        <f t="shared" ca="1" si="64"/>
        <v>0.69241759513464485</v>
      </c>
      <c r="G2084" s="3">
        <f t="shared" ca="1" si="65"/>
        <v>6.9958704439892134</v>
      </c>
      <c r="H2084" s="2"/>
      <c r="I2084" s="2"/>
      <c r="J2084" s="2"/>
      <c r="K2084" s="2"/>
    </row>
    <row r="2085" spans="5:11" x14ac:dyDescent="0.25">
      <c r="E2085" s="3">
        <f t="shared" ca="1" si="64"/>
        <v>0.94329795375286662</v>
      </c>
      <c r="F2085" s="3">
        <f t="shared" ca="1" si="64"/>
        <v>8.3781820750054581E-2</v>
      </c>
      <c r="G2085" s="3">
        <f t="shared" ca="1" si="65"/>
        <v>6.1735378580947424</v>
      </c>
      <c r="H2085" s="2"/>
      <c r="I2085" s="2"/>
      <c r="J2085" s="2"/>
      <c r="K2085" s="2"/>
    </row>
    <row r="2086" spans="5:11" x14ac:dyDescent="0.25">
      <c r="E2086" s="3">
        <f t="shared" ca="1" si="64"/>
        <v>0.75951730029851727</v>
      </c>
      <c r="F2086" s="3">
        <f t="shared" ca="1" si="64"/>
        <v>0.17203010162504673</v>
      </c>
      <c r="G2086" s="3">
        <f t="shared" ca="1" si="65"/>
        <v>1.3096327904029792</v>
      </c>
      <c r="H2086" s="2"/>
      <c r="I2086" s="2"/>
      <c r="J2086" s="2"/>
      <c r="K2086" s="2"/>
    </row>
    <row r="2087" spans="5:11" x14ac:dyDescent="0.25">
      <c r="E2087" s="3">
        <f t="shared" ca="1" si="64"/>
        <v>0.20357951353923698</v>
      </c>
      <c r="F2087" s="3">
        <f t="shared" ca="1" si="64"/>
        <v>0.42930163835983703</v>
      </c>
      <c r="G2087" s="3">
        <f t="shared" ca="1" si="65"/>
        <v>7.319671241222391</v>
      </c>
      <c r="H2087" s="2"/>
      <c r="I2087" s="2"/>
      <c r="J2087" s="2"/>
      <c r="K2087" s="2"/>
    </row>
    <row r="2088" spans="5:11" x14ac:dyDescent="0.25">
      <c r="E2088" s="3">
        <f t="shared" ca="1" si="64"/>
        <v>0.83177985370557594</v>
      </c>
      <c r="F2088" s="3">
        <f t="shared" ca="1" si="64"/>
        <v>4.6082811110637278E-2</v>
      </c>
      <c r="G2088" s="3">
        <f t="shared" ca="1" si="65"/>
        <v>4.7105155775837826</v>
      </c>
      <c r="H2088" s="2"/>
      <c r="I2088" s="2"/>
      <c r="J2088" s="2"/>
      <c r="K2088" s="2"/>
    </row>
    <row r="2089" spans="5:11" x14ac:dyDescent="0.25">
      <c r="E2089" s="3">
        <f t="shared" ca="1" si="64"/>
        <v>0.41899290791693244</v>
      </c>
      <c r="F2089" s="3">
        <f t="shared" ca="1" si="64"/>
        <v>0.30618934892442307</v>
      </c>
      <c r="G2089" s="3">
        <f t="shared" ca="1" si="65"/>
        <v>3.7941643636697981</v>
      </c>
      <c r="H2089" s="2"/>
      <c r="I2089" s="2"/>
      <c r="J2089" s="2"/>
      <c r="K2089" s="2"/>
    </row>
    <row r="2090" spans="5:11" x14ac:dyDescent="0.25">
      <c r="E2090" s="3">
        <f t="shared" ca="1" si="64"/>
        <v>0.36135053037805309</v>
      </c>
      <c r="F2090" s="3">
        <f t="shared" ca="1" si="64"/>
        <v>0.2822502326133266</v>
      </c>
      <c r="G2090" s="3">
        <f t="shared" ca="1" si="65"/>
        <v>4.317702629321702</v>
      </c>
      <c r="H2090" s="2"/>
      <c r="I2090" s="2"/>
      <c r="J2090" s="2"/>
      <c r="K2090" s="2"/>
    </row>
    <row r="2091" spans="5:11" x14ac:dyDescent="0.25">
      <c r="E2091" s="3">
        <f t="shared" ca="1" si="64"/>
        <v>0.65925376742013286</v>
      </c>
      <c r="F2091" s="3">
        <f t="shared" ca="1" si="64"/>
        <v>0.36589668213690296</v>
      </c>
      <c r="G2091" s="3">
        <f t="shared" ca="1" si="65"/>
        <v>2.7626984883645713</v>
      </c>
      <c r="H2091" s="2"/>
      <c r="I2091" s="2"/>
      <c r="J2091" s="2"/>
      <c r="K2091" s="2"/>
    </row>
    <row r="2092" spans="5:11" x14ac:dyDescent="0.25">
      <c r="E2092" s="3">
        <f t="shared" ca="1" si="64"/>
        <v>0.53601562262905855</v>
      </c>
      <c r="F2092" s="3">
        <f t="shared" ca="1" si="64"/>
        <v>0.85403114566972438</v>
      </c>
      <c r="G2092" s="3">
        <f t="shared" ca="1" si="65"/>
        <v>9.9022152363614016</v>
      </c>
      <c r="H2092" s="2"/>
      <c r="I2092" s="2"/>
      <c r="J2092" s="2"/>
      <c r="K2092" s="2"/>
    </row>
    <row r="2093" spans="5:11" x14ac:dyDescent="0.25">
      <c r="E2093" s="3">
        <f t="shared" ca="1" si="64"/>
        <v>0.82360326204893508</v>
      </c>
      <c r="F2093" s="3">
        <f t="shared" ca="1" si="64"/>
        <v>0.48099983530018864</v>
      </c>
      <c r="G2093" s="3">
        <f t="shared" ca="1" si="65"/>
        <v>4.8676993899403476</v>
      </c>
      <c r="H2093" s="2"/>
      <c r="I2093" s="2"/>
      <c r="J2093" s="2"/>
      <c r="K2093" s="2"/>
    </row>
    <row r="2094" spans="5:11" x14ac:dyDescent="0.25">
      <c r="E2094" s="3">
        <f t="shared" ca="1" si="64"/>
        <v>0.78623835895642546</v>
      </c>
      <c r="F2094" s="3">
        <f t="shared" ca="1" si="64"/>
        <v>0.97995548054129056</v>
      </c>
      <c r="G2094" s="3">
        <f t="shared" ca="1" si="65"/>
        <v>14.834979766430699</v>
      </c>
      <c r="H2094" s="2"/>
      <c r="I2094" s="2"/>
      <c r="J2094" s="2"/>
      <c r="K2094" s="2"/>
    </row>
    <row r="2095" spans="5:11" x14ac:dyDescent="0.25">
      <c r="E2095" s="3">
        <f t="shared" ca="1" si="64"/>
        <v>0.27236691441472716</v>
      </c>
      <c r="F2095" s="3">
        <f t="shared" ca="1" si="64"/>
        <v>0.94999595662196623</v>
      </c>
      <c r="G2095" s="3">
        <f t="shared" ca="1" si="65"/>
        <v>13.744032887466053</v>
      </c>
      <c r="H2095" s="2"/>
      <c r="I2095" s="2"/>
      <c r="J2095" s="2"/>
      <c r="K2095" s="2"/>
    </row>
    <row r="2096" spans="5:11" x14ac:dyDescent="0.25">
      <c r="E2096" s="3">
        <f t="shared" ca="1" si="64"/>
        <v>0.67090018104500171</v>
      </c>
      <c r="F2096" s="3">
        <f t="shared" ca="1" si="64"/>
        <v>0.67384654837829572</v>
      </c>
      <c r="G2096" s="3">
        <f t="shared" ca="1" si="65"/>
        <v>6.7228417650468915</v>
      </c>
      <c r="H2096" s="2"/>
      <c r="I2096" s="2"/>
      <c r="J2096" s="2"/>
      <c r="K2096" s="2"/>
    </row>
    <row r="2097" spans="5:11" x14ac:dyDescent="0.25">
      <c r="E2097" s="3">
        <f t="shared" ca="1" si="64"/>
        <v>3.1852786848878933E-2</v>
      </c>
      <c r="F2097" s="3">
        <f t="shared" ca="1" si="64"/>
        <v>0.96080962432901129</v>
      </c>
      <c r="G2097" s="3">
        <f t="shared" ca="1" si="65"/>
        <v>17.567846709457765</v>
      </c>
      <c r="H2097" s="2"/>
      <c r="I2097" s="2"/>
      <c r="J2097" s="2"/>
      <c r="K2097" s="2"/>
    </row>
    <row r="2098" spans="5:11" x14ac:dyDescent="0.25">
      <c r="E2098" s="3">
        <f t="shared" ca="1" si="64"/>
        <v>0.27438084875182223</v>
      </c>
      <c r="F2098" s="3">
        <f t="shared" ca="1" si="64"/>
        <v>0.85908167801747537</v>
      </c>
      <c r="G2098" s="3">
        <f t="shared" ca="1" si="65"/>
        <v>11.157217740203361</v>
      </c>
      <c r="H2098" s="2"/>
      <c r="I2098" s="2"/>
      <c r="J2098" s="2"/>
      <c r="K2098" s="2"/>
    </row>
    <row r="2099" spans="5:11" x14ac:dyDescent="0.25">
      <c r="E2099" s="3">
        <f t="shared" ca="1" si="64"/>
        <v>0.60342784461502053</v>
      </c>
      <c r="F2099" s="3">
        <f t="shared" ca="1" si="64"/>
        <v>0.45342359630369455</v>
      </c>
      <c r="G2099" s="3">
        <f t="shared" ca="1" si="65"/>
        <v>3.9944853671304981</v>
      </c>
      <c r="H2099" s="2"/>
      <c r="I2099" s="2"/>
      <c r="J2099" s="2"/>
      <c r="K2099" s="2"/>
    </row>
    <row r="2100" spans="5:11" x14ac:dyDescent="0.25">
      <c r="E2100" s="3">
        <f t="shared" ca="1" si="64"/>
        <v>3.7923981447859356E-3</v>
      </c>
      <c r="F2100" s="3">
        <f t="shared" ca="1" si="64"/>
        <v>0.34261603115721251</v>
      </c>
      <c r="G2100" s="3">
        <f t="shared" ca="1" si="65"/>
        <v>15.780735878057259</v>
      </c>
      <c r="H2100" s="2"/>
      <c r="I2100" s="2"/>
      <c r="J2100" s="2"/>
      <c r="K2100" s="2"/>
    </row>
    <row r="2101" spans="5:11" x14ac:dyDescent="0.25">
      <c r="E2101" s="3">
        <f t="shared" ca="1" si="64"/>
        <v>0.63715871289325932</v>
      </c>
      <c r="F2101" s="3">
        <f t="shared" ca="1" si="64"/>
        <v>8.9420143637444549E-2</v>
      </c>
      <c r="G2101" s="3">
        <f t="shared" ca="1" si="65"/>
        <v>2.3035393052187971</v>
      </c>
      <c r="H2101" s="2"/>
      <c r="I2101" s="2"/>
      <c r="J2101" s="2"/>
      <c r="K2101" s="2"/>
    </row>
    <row r="2102" spans="5:11" x14ac:dyDescent="0.25">
      <c r="E2102" s="3">
        <f t="shared" ca="1" si="64"/>
        <v>0.62862728828715142</v>
      </c>
      <c r="F2102" s="3">
        <f t="shared" ca="1" si="64"/>
        <v>0.3448023081068915</v>
      </c>
      <c r="G2102" s="3">
        <f t="shared" ca="1" si="65"/>
        <v>2.5445972175560461</v>
      </c>
      <c r="H2102" s="2"/>
      <c r="I2102" s="2"/>
      <c r="J2102" s="2"/>
      <c r="K2102" s="2"/>
    </row>
    <row r="2103" spans="5:11" x14ac:dyDescent="0.25">
      <c r="E2103" s="3">
        <f t="shared" ca="1" si="64"/>
        <v>0.13780242664761755</v>
      </c>
      <c r="F2103" s="3">
        <f t="shared" ca="1" si="64"/>
        <v>0.52932070252877195</v>
      </c>
      <c r="G2103" s="3">
        <f t="shared" ca="1" si="65"/>
        <v>9.0865248670007137</v>
      </c>
      <c r="H2103" s="2"/>
      <c r="I2103" s="2"/>
      <c r="J2103" s="2"/>
      <c r="K2103" s="2"/>
    </row>
    <row r="2104" spans="5:11" x14ac:dyDescent="0.25">
      <c r="E2104" s="3">
        <f t="shared" ca="1" si="64"/>
        <v>0.70793413613865319</v>
      </c>
      <c r="F2104" s="3">
        <f t="shared" ca="1" si="64"/>
        <v>0.32713772845990274</v>
      </c>
      <c r="G2104" s="3">
        <f t="shared" ca="1" si="65"/>
        <v>2.2853985188511183</v>
      </c>
      <c r="H2104" s="2"/>
      <c r="I2104" s="2"/>
      <c r="J2104" s="2"/>
      <c r="K2104" s="2"/>
    </row>
    <row r="2105" spans="5:11" x14ac:dyDescent="0.25">
      <c r="E2105" s="3">
        <f t="shared" ca="1" si="64"/>
        <v>0.1888838230435459</v>
      </c>
      <c r="F2105" s="3">
        <f t="shared" ca="1" si="64"/>
        <v>0.92000772572894129</v>
      </c>
      <c r="G2105" s="3">
        <f t="shared" ca="1" si="65"/>
        <v>13.28071397820735</v>
      </c>
      <c r="H2105" s="2"/>
      <c r="I2105" s="2"/>
      <c r="J2105" s="2"/>
      <c r="K2105" s="2"/>
    </row>
    <row r="2106" spans="5:11" x14ac:dyDescent="0.25">
      <c r="E2106" s="3">
        <f t="shared" ca="1" si="64"/>
        <v>0.68201515134958812</v>
      </c>
      <c r="F2106" s="3">
        <f t="shared" ca="1" si="64"/>
        <v>0.68307463657674561</v>
      </c>
      <c r="G2106" s="3">
        <f t="shared" ca="1" si="65"/>
        <v>6.8527177824999903</v>
      </c>
      <c r="H2106" s="2"/>
      <c r="I2106" s="2"/>
      <c r="J2106" s="2"/>
      <c r="K2106" s="2"/>
    </row>
    <row r="2107" spans="5:11" x14ac:dyDescent="0.25">
      <c r="E2107" s="3">
        <f t="shared" ca="1" si="64"/>
        <v>4.9387311742189022E-2</v>
      </c>
      <c r="F2107" s="3">
        <f t="shared" ca="1" si="64"/>
        <v>0.120882607013164</v>
      </c>
      <c r="G2107" s="3">
        <f t="shared" ca="1" si="65"/>
        <v>10.585214587619292</v>
      </c>
      <c r="H2107" s="2"/>
      <c r="I2107" s="2"/>
      <c r="J2107" s="2"/>
      <c r="K2107" s="2"/>
    </row>
    <row r="2108" spans="5:11" x14ac:dyDescent="0.25">
      <c r="E2108" s="3">
        <f t="shared" ca="1" si="64"/>
        <v>0.98387182215880631</v>
      </c>
      <c r="F2108" s="3">
        <f t="shared" ca="1" si="64"/>
        <v>8.555315191224977E-2</v>
      </c>
      <c r="G2108" s="3">
        <f t="shared" ca="1" si="65"/>
        <v>8.7921064890019789</v>
      </c>
      <c r="H2108" s="2"/>
      <c r="I2108" s="2"/>
      <c r="J2108" s="2"/>
      <c r="K2108" s="2"/>
    </row>
    <row r="2109" spans="5:11" x14ac:dyDescent="0.25">
      <c r="E2109" s="3">
        <f t="shared" ca="1" si="64"/>
        <v>0.88611882791333485</v>
      </c>
      <c r="F2109" s="3">
        <f t="shared" ca="1" si="64"/>
        <v>3.5124998503353599E-2</v>
      </c>
      <c r="G2109" s="3">
        <f t="shared" ca="1" si="65"/>
        <v>5.9461595474814963</v>
      </c>
      <c r="H2109" s="2"/>
      <c r="I2109" s="2"/>
      <c r="J2109" s="2"/>
      <c r="K2109" s="2"/>
    </row>
    <row r="2110" spans="5:11" x14ac:dyDescent="0.25">
      <c r="E2110" s="3">
        <f t="shared" ca="1" si="64"/>
        <v>0.61430265007095097</v>
      </c>
      <c r="F2110" s="3">
        <f t="shared" ca="1" si="64"/>
        <v>0.8144375730453951</v>
      </c>
      <c r="G2110" s="3">
        <f t="shared" ca="1" si="65"/>
        <v>8.9764451369421643</v>
      </c>
      <c r="H2110" s="2"/>
      <c r="I2110" s="2"/>
      <c r="J2110" s="2"/>
      <c r="K2110" s="2"/>
    </row>
    <row r="2111" spans="5:11" x14ac:dyDescent="0.25">
      <c r="E2111" s="3">
        <f t="shared" ca="1" si="64"/>
        <v>0.90086353715968426</v>
      </c>
      <c r="F2111" s="3">
        <f t="shared" ca="1" si="64"/>
        <v>0.39822510040871806</v>
      </c>
      <c r="G2111" s="3">
        <f t="shared" ca="1" si="65"/>
        <v>5.2618941650696387</v>
      </c>
      <c r="H2111" s="2"/>
      <c r="I2111" s="2"/>
      <c r="J2111" s="2"/>
      <c r="K2111" s="2"/>
    </row>
    <row r="2112" spans="5:11" x14ac:dyDescent="0.25">
      <c r="E2112" s="3">
        <f t="shared" ca="1" si="64"/>
        <v>0.26665460318591838</v>
      </c>
      <c r="F2112" s="3">
        <f t="shared" ca="1" si="64"/>
        <v>3.1008994257485156E-2</v>
      </c>
      <c r="G2112" s="3">
        <f t="shared" ca="1" si="65"/>
        <v>7.2322776701055504</v>
      </c>
      <c r="H2112" s="2"/>
      <c r="I2112" s="2"/>
      <c r="J2112" s="2"/>
      <c r="K2112" s="2"/>
    </row>
    <row r="2113" spans="5:11" x14ac:dyDescent="0.25">
      <c r="E2113" s="3">
        <f t="shared" ca="1" si="64"/>
        <v>0.51121653271120659</v>
      </c>
      <c r="F2113" s="3">
        <f t="shared" ca="1" si="64"/>
        <v>4.6791741160789435E-2</v>
      </c>
      <c r="G2113" s="3">
        <f t="shared" ca="1" si="65"/>
        <v>4.4416425397344712</v>
      </c>
      <c r="H2113" s="2"/>
      <c r="I2113" s="2"/>
      <c r="J2113" s="2"/>
      <c r="K2113" s="2"/>
    </row>
    <row r="2114" spans="5:11" x14ac:dyDescent="0.25">
      <c r="E2114" s="3">
        <f t="shared" ca="1" si="64"/>
        <v>0.1679590770993622</v>
      </c>
      <c r="F2114" s="3">
        <f t="shared" ca="1" si="64"/>
        <v>5.3229270601755863E-2</v>
      </c>
      <c r="G2114" s="3">
        <f t="shared" ca="1" si="65"/>
        <v>7.9181880683958905</v>
      </c>
      <c r="H2114" s="2"/>
      <c r="I2114" s="2"/>
      <c r="J2114" s="2"/>
      <c r="K2114" s="2"/>
    </row>
    <row r="2115" spans="5:11" x14ac:dyDescent="0.25">
      <c r="E2115" s="3">
        <f t="shared" ca="1" si="64"/>
        <v>0.9783447366186897</v>
      </c>
      <c r="F2115" s="3">
        <f t="shared" ca="1" si="64"/>
        <v>0.26182712314315881</v>
      </c>
      <c r="G2115" s="3">
        <f t="shared" ca="1" si="65"/>
        <v>7.9668678325797133</v>
      </c>
      <c r="H2115" s="2"/>
      <c r="I2115" s="2"/>
      <c r="J2115" s="2"/>
      <c r="K2115" s="2"/>
    </row>
    <row r="2116" spans="5:11" x14ac:dyDescent="0.25">
      <c r="E2116" s="3">
        <f t="shared" ref="E2116:F2160" ca="1" si="66">RAND()</f>
        <v>0.12346259483345501</v>
      </c>
      <c r="F2116" s="3">
        <f t="shared" ca="1" si="66"/>
        <v>0.54781268201041733</v>
      </c>
      <c r="G2116" s="3">
        <f t="shared" ref="G2116:G2160" ca="1" si="67">SQRT(_xlfn.NORM.INV(E2116,$C$3*COS($C$6),$C$4)^2+_xlfn.NORM.INV(F2116,$C$3*SIN($C$6),$C$4)^2)</f>
        <v>9.4966549743329978</v>
      </c>
      <c r="H2116" s="2"/>
      <c r="I2116" s="2"/>
      <c r="J2116" s="2"/>
      <c r="K2116" s="2"/>
    </row>
    <row r="2117" spans="5:11" x14ac:dyDescent="0.25">
      <c r="E2117" s="3">
        <f t="shared" ca="1" si="66"/>
        <v>0.88600358539867796</v>
      </c>
      <c r="F2117" s="3">
        <f t="shared" ca="1" si="66"/>
        <v>5.2648386029610972E-2</v>
      </c>
      <c r="G2117" s="3">
        <f t="shared" ca="1" si="67"/>
        <v>5.2450180363891752</v>
      </c>
      <c r="H2117" s="2"/>
      <c r="I2117" s="2"/>
      <c r="J2117" s="2"/>
      <c r="K2117" s="2"/>
    </row>
    <row r="2118" spans="5:11" x14ac:dyDescent="0.25">
      <c r="E2118" s="3">
        <f t="shared" ca="1" si="66"/>
        <v>0.41708528293599734</v>
      </c>
      <c r="F2118" s="3">
        <f t="shared" ca="1" si="66"/>
        <v>0.77623546999932569</v>
      </c>
      <c r="G2118" s="3">
        <f t="shared" ca="1" si="67"/>
        <v>8.8971902545263806</v>
      </c>
      <c r="H2118" s="2"/>
      <c r="I2118" s="2"/>
      <c r="J2118" s="2"/>
      <c r="K2118" s="2"/>
    </row>
    <row r="2119" spans="5:11" x14ac:dyDescent="0.25">
      <c r="E2119" s="3">
        <f t="shared" ca="1" si="66"/>
        <v>0.6263470745480787</v>
      </c>
      <c r="F2119" s="3">
        <f t="shared" ca="1" si="66"/>
        <v>0.99517814148462258</v>
      </c>
      <c r="G2119" s="3">
        <f t="shared" ca="1" si="67"/>
        <v>17.423101207253616</v>
      </c>
      <c r="H2119" s="2"/>
      <c r="I2119" s="2"/>
      <c r="J2119" s="2"/>
      <c r="K2119" s="2"/>
    </row>
    <row r="2120" spans="5:11" x14ac:dyDescent="0.25">
      <c r="E2120" s="3">
        <f t="shared" ca="1" si="66"/>
        <v>0.83941692103657572</v>
      </c>
      <c r="F2120" s="3">
        <f t="shared" ca="1" si="66"/>
        <v>0.56348832820995332</v>
      </c>
      <c r="G2120" s="3">
        <f t="shared" ca="1" si="67"/>
        <v>5.92970100272598</v>
      </c>
      <c r="H2120" s="2"/>
      <c r="I2120" s="2"/>
      <c r="J2120" s="2"/>
      <c r="K2120" s="2"/>
    </row>
    <row r="2121" spans="5:11" x14ac:dyDescent="0.25">
      <c r="E2121" s="3">
        <f t="shared" ca="1" si="66"/>
        <v>7.6550987896496392E-2</v>
      </c>
      <c r="F2121" s="3">
        <f t="shared" ca="1" si="66"/>
        <v>0.8758645080572206</v>
      </c>
      <c r="G2121" s="3">
        <f t="shared" ca="1" si="67"/>
        <v>13.891283447666622</v>
      </c>
      <c r="H2121" s="2"/>
      <c r="I2121" s="2"/>
      <c r="J2121" s="2"/>
      <c r="K2121" s="2"/>
    </row>
    <row r="2122" spans="5:11" x14ac:dyDescent="0.25">
      <c r="E2122" s="3">
        <f t="shared" ca="1" si="66"/>
        <v>0.26409691239382049</v>
      </c>
      <c r="F2122" s="3">
        <f t="shared" ca="1" si="66"/>
        <v>6.9925861821700797E-2</v>
      </c>
      <c r="G2122" s="3">
        <f t="shared" ca="1" si="67"/>
        <v>6.1298893000107206</v>
      </c>
      <c r="H2122" s="2"/>
      <c r="I2122" s="2"/>
      <c r="J2122" s="2"/>
      <c r="K2122" s="2"/>
    </row>
    <row r="2123" spans="5:11" x14ac:dyDescent="0.25">
      <c r="E2123" s="3">
        <f t="shared" ca="1" si="66"/>
        <v>0.38839874923926576</v>
      </c>
      <c r="F2123" s="3">
        <f t="shared" ca="1" si="66"/>
        <v>5.3598358295916082E-2</v>
      </c>
      <c r="G2123" s="3">
        <f t="shared" ca="1" si="67"/>
        <v>5.1214608929429826</v>
      </c>
      <c r="H2123" s="2"/>
      <c r="I2123" s="2"/>
      <c r="J2123" s="2"/>
      <c r="K2123" s="2"/>
    </row>
    <row r="2124" spans="5:11" x14ac:dyDescent="0.25">
      <c r="E2124" s="3">
        <f t="shared" ca="1" si="66"/>
        <v>0.25926816221456772</v>
      </c>
      <c r="F2124" s="3">
        <f t="shared" ca="1" si="66"/>
        <v>0.26144705708890792</v>
      </c>
      <c r="G2124" s="3">
        <f t="shared" ca="1" si="67"/>
        <v>5.6151763669051684</v>
      </c>
      <c r="H2124" s="2"/>
      <c r="I2124" s="2"/>
      <c r="J2124" s="2"/>
      <c r="K2124" s="2"/>
    </row>
    <row r="2125" spans="5:11" x14ac:dyDescent="0.25">
      <c r="E2125" s="3">
        <f t="shared" ca="1" si="66"/>
        <v>0.17141242950214775</v>
      </c>
      <c r="F2125" s="3">
        <f t="shared" ca="1" si="66"/>
        <v>0.44585842923644625</v>
      </c>
      <c r="G2125" s="3">
        <f t="shared" ca="1" si="67"/>
        <v>7.9452056039125178</v>
      </c>
      <c r="H2125" s="2"/>
      <c r="I2125" s="2"/>
      <c r="J2125" s="2"/>
      <c r="K2125" s="2"/>
    </row>
    <row r="2126" spans="5:11" x14ac:dyDescent="0.25">
      <c r="E2126" s="3">
        <f t="shared" ca="1" si="66"/>
        <v>0.59187778332950292</v>
      </c>
      <c r="F2126" s="3">
        <f t="shared" ca="1" si="66"/>
        <v>0.22608452313272986</v>
      </c>
      <c r="G2126" s="3">
        <f t="shared" ca="1" si="67"/>
        <v>1.2917372379284564</v>
      </c>
      <c r="H2126" s="2"/>
      <c r="I2126" s="2"/>
      <c r="J2126" s="2"/>
      <c r="K2126" s="2"/>
    </row>
    <row r="2127" spans="5:11" x14ac:dyDescent="0.25">
      <c r="E2127" s="3">
        <f t="shared" ca="1" si="66"/>
        <v>0.86943200335801152</v>
      </c>
      <c r="F2127" s="3">
        <f t="shared" ca="1" si="66"/>
        <v>0.97383028208321665</v>
      </c>
      <c r="G2127" s="3">
        <f t="shared" ca="1" si="67"/>
        <v>14.568716456250504</v>
      </c>
      <c r="H2127" s="2"/>
      <c r="I2127" s="2"/>
      <c r="J2127" s="2"/>
      <c r="K2127" s="2"/>
    </row>
    <row r="2128" spans="5:11" x14ac:dyDescent="0.25">
      <c r="E2128" s="3">
        <f t="shared" ca="1" si="66"/>
        <v>0.71461428833942109</v>
      </c>
      <c r="F2128" s="3">
        <f t="shared" ca="1" si="66"/>
        <v>0.39035834068787667</v>
      </c>
      <c r="G2128" s="3">
        <f t="shared" ca="1" si="67"/>
        <v>3.1348880762378535</v>
      </c>
      <c r="H2128" s="2"/>
      <c r="I2128" s="2"/>
      <c r="J2128" s="2"/>
      <c r="K2128" s="2"/>
    </row>
    <row r="2129" spans="5:11" x14ac:dyDescent="0.25">
      <c r="E2129" s="3">
        <f t="shared" ca="1" si="66"/>
        <v>0.43552096998947099</v>
      </c>
      <c r="F2129" s="3">
        <f t="shared" ca="1" si="66"/>
        <v>0.39546750645525097</v>
      </c>
      <c r="G2129" s="3">
        <f t="shared" ca="1" si="67"/>
        <v>4.3821059175486665</v>
      </c>
      <c r="H2129" s="2"/>
      <c r="I2129" s="2"/>
      <c r="J2129" s="2"/>
      <c r="K2129" s="2"/>
    </row>
    <row r="2130" spans="5:11" x14ac:dyDescent="0.25">
      <c r="E2130" s="3">
        <f t="shared" ca="1" si="66"/>
        <v>0.35751764826983112</v>
      </c>
      <c r="F2130" s="3">
        <f t="shared" ca="1" si="66"/>
        <v>0.5745857398406593</v>
      </c>
      <c r="G2130" s="3">
        <f t="shared" ca="1" si="67"/>
        <v>6.7677621324804047</v>
      </c>
      <c r="H2130" s="2"/>
      <c r="I2130" s="2"/>
      <c r="J2130" s="2"/>
      <c r="K2130" s="2"/>
    </row>
    <row r="2131" spans="5:11" x14ac:dyDescent="0.25">
      <c r="E2131" s="3">
        <f t="shared" ca="1" si="66"/>
        <v>0.13136428677573309</v>
      </c>
      <c r="F2131" s="3">
        <f t="shared" ca="1" si="66"/>
        <v>0.96239256364714121</v>
      </c>
      <c r="G2131" s="3">
        <f t="shared" ca="1" si="67"/>
        <v>15.495538673254359</v>
      </c>
      <c r="H2131" s="2"/>
      <c r="I2131" s="2"/>
      <c r="J2131" s="2"/>
      <c r="K2131" s="2"/>
    </row>
    <row r="2132" spans="5:11" x14ac:dyDescent="0.25">
      <c r="E2132" s="3">
        <f t="shared" ca="1" si="66"/>
        <v>0.55016785263480472</v>
      </c>
      <c r="F2132" s="3">
        <f t="shared" ca="1" si="66"/>
        <v>0.22742473703069932</v>
      </c>
      <c r="G2132" s="3">
        <f t="shared" ca="1" si="67"/>
        <v>1.7690410455144538</v>
      </c>
      <c r="H2132" s="2"/>
      <c r="I2132" s="2"/>
      <c r="J2132" s="2"/>
      <c r="K2132" s="2"/>
    </row>
    <row r="2133" spans="5:11" x14ac:dyDescent="0.25">
      <c r="E2133" s="3">
        <f t="shared" ca="1" si="66"/>
        <v>0.96842050513239863</v>
      </c>
      <c r="F2133" s="3">
        <f t="shared" ca="1" si="66"/>
        <v>0.80765581799018904</v>
      </c>
      <c r="G2133" s="3">
        <f t="shared" ca="1" si="67"/>
        <v>11.288569904927561</v>
      </c>
      <c r="H2133" s="2"/>
      <c r="I2133" s="2"/>
      <c r="J2133" s="2"/>
      <c r="K2133" s="2"/>
    </row>
    <row r="2134" spans="5:11" x14ac:dyDescent="0.25">
      <c r="E2134" s="3">
        <f t="shared" ca="1" si="66"/>
        <v>0.10122050006538208</v>
      </c>
      <c r="F2134" s="3">
        <f t="shared" ca="1" si="66"/>
        <v>0.46798671191937558</v>
      </c>
      <c r="G2134" s="3">
        <f t="shared" ca="1" si="67"/>
        <v>9.5259526024810519</v>
      </c>
      <c r="H2134" s="2"/>
      <c r="I2134" s="2"/>
      <c r="J2134" s="2"/>
      <c r="K2134" s="2"/>
    </row>
    <row r="2135" spans="5:11" x14ac:dyDescent="0.25">
      <c r="E2135" s="3">
        <f t="shared" ca="1" si="66"/>
        <v>0.95927915561349719</v>
      </c>
      <c r="F2135" s="3">
        <f t="shared" ca="1" si="66"/>
        <v>0.66921220729314557</v>
      </c>
      <c r="G2135" s="3">
        <f t="shared" ca="1" si="67"/>
        <v>9.2854089436351792</v>
      </c>
      <c r="H2135" s="2"/>
      <c r="I2135" s="2"/>
      <c r="J2135" s="2"/>
      <c r="K2135" s="2"/>
    </row>
    <row r="2136" spans="5:11" x14ac:dyDescent="0.25">
      <c r="E2136" s="3">
        <f t="shared" ca="1" si="66"/>
        <v>0.87826718654978009</v>
      </c>
      <c r="F2136" s="3">
        <f t="shared" ca="1" si="66"/>
        <v>0.47820781554402159</v>
      </c>
      <c r="G2136" s="3">
        <f t="shared" ca="1" si="67"/>
        <v>5.5236906717622034</v>
      </c>
      <c r="H2136" s="2"/>
      <c r="I2136" s="2"/>
      <c r="J2136" s="2"/>
      <c r="K2136" s="2"/>
    </row>
    <row r="2137" spans="5:11" x14ac:dyDescent="0.25">
      <c r="E2137" s="3">
        <f t="shared" ca="1" si="66"/>
        <v>0.96864917466437939</v>
      </c>
      <c r="F2137" s="3">
        <f t="shared" ca="1" si="66"/>
        <v>0.35461544440372461</v>
      </c>
      <c r="G2137" s="3">
        <f t="shared" ca="1" si="67"/>
        <v>7.5312104356375933</v>
      </c>
      <c r="H2137" s="2"/>
      <c r="I2137" s="2"/>
      <c r="J2137" s="2"/>
      <c r="K2137" s="2"/>
    </row>
    <row r="2138" spans="5:11" x14ac:dyDescent="0.25">
      <c r="E2138" s="3">
        <f t="shared" ca="1" si="66"/>
        <v>0.73270400304396621</v>
      </c>
      <c r="F2138" s="3">
        <f t="shared" ca="1" si="66"/>
        <v>2.6968778038419683E-2</v>
      </c>
      <c r="G2138" s="3">
        <f t="shared" ca="1" si="67"/>
        <v>5.238562009326416</v>
      </c>
      <c r="H2138" s="2"/>
      <c r="I2138" s="2"/>
      <c r="J2138" s="2"/>
      <c r="K2138" s="2"/>
    </row>
    <row r="2139" spans="5:11" x14ac:dyDescent="0.25">
      <c r="E2139" s="3">
        <f t="shared" ca="1" si="66"/>
        <v>0.17078089206296887</v>
      </c>
      <c r="F2139" s="3">
        <f t="shared" ca="1" si="66"/>
        <v>7.8451400900293677E-2</v>
      </c>
      <c r="G2139" s="3">
        <f t="shared" ca="1" si="67"/>
        <v>7.4660492681059472</v>
      </c>
      <c r="H2139" s="2"/>
      <c r="I2139" s="2"/>
      <c r="J2139" s="2"/>
      <c r="K2139" s="2"/>
    </row>
    <row r="2140" spans="5:11" x14ac:dyDescent="0.25">
      <c r="E2140" s="3">
        <f t="shared" ca="1" si="66"/>
        <v>0.82877700983362979</v>
      </c>
      <c r="F2140" s="3">
        <f t="shared" ca="1" si="66"/>
        <v>0.34966352340706175</v>
      </c>
      <c r="G2140" s="3">
        <f t="shared" ca="1" si="67"/>
        <v>3.5675599743701714</v>
      </c>
      <c r="H2140" s="2"/>
      <c r="I2140" s="2"/>
      <c r="J2140" s="2"/>
      <c r="K2140" s="2"/>
    </row>
    <row r="2141" spans="5:11" x14ac:dyDescent="0.25">
      <c r="E2141" s="3">
        <f t="shared" ca="1" si="66"/>
        <v>0.20892569127437577</v>
      </c>
      <c r="F2141" s="3">
        <f t="shared" ca="1" si="66"/>
        <v>0.19975728092786416</v>
      </c>
      <c r="G2141" s="3">
        <f t="shared" ca="1" si="67"/>
        <v>6.2964098671321995</v>
      </c>
      <c r="H2141" s="2"/>
      <c r="I2141" s="2"/>
      <c r="J2141" s="2"/>
      <c r="K2141" s="2"/>
    </row>
    <row r="2142" spans="5:11" x14ac:dyDescent="0.25">
      <c r="E2142" s="3">
        <f t="shared" ca="1" si="66"/>
        <v>0.19302468357171199</v>
      </c>
      <c r="F2142" s="3">
        <f t="shared" ca="1" si="66"/>
        <v>0.99341318335113238</v>
      </c>
      <c r="G2142" s="3">
        <f t="shared" ca="1" si="67"/>
        <v>18.101300584401407</v>
      </c>
      <c r="H2142" s="2"/>
      <c r="I2142" s="2"/>
      <c r="J2142" s="2"/>
      <c r="K2142" s="2"/>
    </row>
    <row r="2143" spans="5:11" x14ac:dyDescent="0.25">
      <c r="E2143" s="3">
        <f t="shared" ca="1" si="66"/>
        <v>0.20876255916603559</v>
      </c>
      <c r="F2143" s="3">
        <f t="shared" ca="1" si="66"/>
        <v>9.7410697495557974E-2</v>
      </c>
      <c r="G2143" s="3">
        <f t="shared" ca="1" si="67"/>
        <v>6.6078248015194463</v>
      </c>
      <c r="H2143" s="2"/>
      <c r="I2143" s="2"/>
      <c r="J2143" s="2"/>
      <c r="K2143" s="2"/>
    </row>
    <row r="2144" spans="5:11" x14ac:dyDescent="0.25">
      <c r="E2144" s="3">
        <f t="shared" ca="1" si="66"/>
        <v>8.2348253335280064E-2</v>
      </c>
      <c r="F2144" s="3">
        <f t="shared" ca="1" si="66"/>
        <v>0.92925459106265529</v>
      </c>
      <c r="G2144" s="3">
        <f t="shared" ca="1" si="67"/>
        <v>14.971811209343173</v>
      </c>
      <c r="H2144" s="2"/>
      <c r="I2144" s="2"/>
      <c r="J2144" s="2"/>
      <c r="K2144" s="2"/>
    </row>
    <row r="2145" spans="5:11" x14ac:dyDescent="0.25">
      <c r="E2145" s="3">
        <f t="shared" ca="1" si="66"/>
        <v>0.54823127315628439</v>
      </c>
      <c r="F2145" s="3">
        <f t="shared" ca="1" si="66"/>
        <v>0.60851326595153921</v>
      </c>
      <c r="G2145" s="3">
        <f t="shared" ca="1" si="67"/>
        <v>6.0713402862948618</v>
      </c>
      <c r="H2145" s="2"/>
      <c r="I2145" s="2"/>
      <c r="J2145" s="2"/>
      <c r="K2145" s="2"/>
    </row>
    <row r="2146" spans="5:11" x14ac:dyDescent="0.25">
      <c r="E2146" s="3">
        <f t="shared" ca="1" si="66"/>
        <v>0.59978892118986582</v>
      </c>
      <c r="F2146" s="3">
        <f t="shared" ca="1" si="66"/>
        <v>0.74061193427067296</v>
      </c>
      <c r="G2146" s="3">
        <f t="shared" ca="1" si="67"/>
        <v>7.7578343921859014</v>
      </c>
      <c r="H2146" s="2"/>
      <c r="I2146" s="2"/>
      <c r="J2146" s="2"/>
      <c r="K2146" s="2"/>
    </row>
    <row r="2147" spans="5:11" x14ac:dyDescent="0.25">
      <c r="E2147" s="3">
        <f t="shared" ca="1" si="66"/>
        <v>0.36179303669730833</v>
      </c>
      <c r="F2147" s="3">
        <f t="shared" ca="1" si="66"/>
        <v>0.69858861074891088</v>
      </c>
      <c r="G2147" s="3">
        <f t="shared" ca="1" si="67"/>
        <v>8.1288943122324735</v>
      </c>
      <c r="H2147" s="2"/>
      <c r="I2147" s="2"/>
      <c r="J2147" s="2"/>
      <c r="K2147" s="2"/>
    </row>
    <row r="2148" spans="5:11" x14ac:dyDescent="0.25">
      <c r="E2148" s="3">
        <f t="shared" ca="1" si="66"/>
        <v>0.79477901941950491</v>
      </c>
      <c r="F2148" s="3">
        <f t="shared" ca="1" si="66"/>
        <v>0.86789112544345215</v>
      </c>
      <c r="G2148" s="3">
        <f t="shared" ca="1" si="67"/>
        <v>10.22578075884136</v>
      </c>
      <c r="H2148" s="2"/>
      <c r="I2148" s="2"/>
      <c r="J2148" s="2"/>
      <c r="K2148" s="2"/>
    </row>
    <row r="2149" spans="5:11" x14ac:dyDescent="0.25">
      <c r="E2149" s="3">
        <f t="shared" ca="1" si="66"/>
        <v>0.96427302933205861</v>
      </c>
      <c r="F2149" s="3">
        <f t="shared" ca="1" si="66"/>
        <v>0.20389834036043741</v>
      </c>
      <c r="G2149" s="3">
        <f t="shared" ca="1" si="67"/>
        <v>6.7806287017108833</v>
      </c>
      <c r="H2149" s="2"/>
      <c r="I2149" s="2"/>
      <c r="J2149" s="2"/>
      <c r="K2149" s="2"/>
    </row>
    <row r="2150" spans="5:11" x14ac:dyDescent="0.25">
      <c r="E2150" s="3">
        <f t="shared" ca="1" si="66"/>
        <v>0.82115580219362072</v>
      </c>
      <c r="F2150" s="3">
        <f t="shared" ca="1" si="66"/>
        <v>0.2461603120884801</v>
      </c>
      <c r="G2150" s="3">
        <f t="shared" ca="1" si="67"/>
        <v>2.5763819247116921</v>
      </c>
      <c r="H2150" s="2"/>
      <c r="I2150" s="2"/>
      <c r="J2150" s="2"/>
      <c r="K2150" s="2"/>
    </row>
    <row r="2151" spans="5:11" x14ac:dyDescent="0.25">
      <c r="E2151" s="3">
        <f t="shared" ca="1" si="66"/>
        <v>0.23920896166400896</v>
      </c>
      <c r="F2151" s="3">
        <f t="shared" ca="1" si="66"/>
        <v>0.94841878502632582</v>
      </c>
      <c r="G2151" s="3">
        <f t="shared" ca="1" si="67"/>
        <v>13.881259981298641</v>
      </c>
      <c r="H2151" s="2"/>
      <c r="I2151" s="2"/>
      <c r="J2151" s="2"/>
      <c r="K2151" s="2"/>
    </row>
    <row r="2152" spans="5:11" x14ac:dyDescent="0.25">
      <c r="E2152" s="3">
        <f t="shared" ca="1" si="66"/>
        <v>0.6917050182590454</v>
      </c>
      <c r="F2152" s="3">
        <f t="shared" ca="1" si="66"/>
        <v>0.96063727359368534</v>
      </c>
      <c r="G2152" s="3">
        <f t="shared" ca="1" si="67"/>
        <v>13.263240874393921</v>
      </c>
      <c r="H2152" s="2"/>
      <c r="I2152" s="2"/>
      <c r="J2152" s="2"/>
      <c r="K2152" s="2"/>
    </row>
    <row r="2153" spans="5:11" x14ac:dyDescent="0.25">
      <c r="E2153" s="3">
        <f t="shared" ca="1" si="66"/>
        <v>0.7585860482687381</v>
      </c>
      <c r="F2153" s="3">
        <f t="shared" ca="1" si="66"/>
        <v>0.16283879609304108</v>
      </c>
      <c r="G2153" s="3">
        <f t="shared" ca="1" si="67"/>
        <v>1.3440032792060346</v>
      </c>
      <c r="H2153" s="2"/>
      <c r="I2153" s="2"/>
      <c r="J2153" s="2"/>
      <c r="K2153" s="2"/>
    </row>
    <row r="2154" spans="5:11" x14ac:dyDescent="0.25">
      <c r="E2154" s="3">
        <f t="shared" ca="1" si="66"/>
        <v>0.10967744611997787</v>
      </c>
      <c r="F2154" s="3">
        <f t="shared" ca="1" si="66"/>
        <v>0.94235605766149955</v>
      </c>
      <c r="G2154" s="3">
        <f t="shared" ca="1" si="67"/>
        <v>14.920889030447249</v>
      </c>
      <c r="H2154" s="2"/>
      <c r="I2154" s="2"/>
      <c r="J2154" s="2"/>
      <c r="K2154" s="2"/>
    </row>
    <row r="2155" spans="5:11" x14ac:dyDescent="0.25">
      <c r="E2155" s="3">
        <f t="shared" ca="1" si="66"/>
        <v>0.55256167150624591</v>
      </c>
      <c r="F2155" s="3">
        <f t="shared" ca="1" si="66"/>
        <v>0.62475695274637377</v>
      </c>
      <c r="G2155" s="3">
        <f t="shared" ca="1" si="67"/>
        <v>6.2624850079562817</v>
      </c>
      <c r="H2155" s="2"/>
      <c r="I2155" s="2"/>
      <c r="J2155" s="2"/>
      <c r="K2155" s="2"/>
    </row>
    <row r="2156" spans="5:11" x14ac:dyDescent="0.25">
      <c r="E2156" s="3">
        <f t="shared" ca="1" si="66"/>
        <v>0.37094756557313813</v>
      </c>
      <c r="F2156" s="3">
        <f t="shared" ca="1" si="66"/>
        <v>0.52855665798240725</v>
      </c>
      <c r="G2156" s="3">
        <f t="shared" ca="1" si="67"/>
        <v>6.1984628052991138</v>
      </c>
      <c r="H2156" s="2"/>
      <c r="I2156" s="2"/>
      <c r="J2156" s="2"/>
      <c r="K2156" s="2"/>
    </row>
    <row r="2157" spans="5:11" x14ac:dyDescent="0.25">
      <c r="E2157" s="3">
        <f t="shared" ca="1" si="66"/>
        <v>0.28988083992767189</v>
      </c>
      <c r="F2157" s="3">
        <f t="shared" ca="1" si="66"/>
        <v>8.1119175324551707E-2</v>
      </c>
      <c r="G2157" s="3">
        <f t="shared" ca="1" si="67"/>
        <v>5.6062807231693208</v>
      </c>
      <c r="H2157" s="2"/>
      <c r="I2157" s="2"/>
      <c r="J2157" s="2"/>
      <c r="K2157" s="2"/>
    </row>
    <row r="2158" spans="5:11" x14ac:dyDescent="0.25">
      <c r="E2158" s="3">
        <f t="shared" ca="1" si="66"/>
        <v>0.26549743777537649</v>
      </c>
      <c r="F2158" s="3">
        <f t="shared" ca="1" si="66"/>
        <v>0.62477479785195877</v>
      </c>
      <c r="G2158" s="3">
        <f t="shared" ca="1" si="67"/>
        <v>8.0989644893271269</v>
      </c>
      <c r="H2158" s="2"/>
      <c r="I2158" s="2"/>
      <c r="J2158" s="2"/>
      <c r="K2158" s="2"/>
    </row>
    <row r="2159" spans="5:11" x14ac:dyDescent="0.25">
      <c r="E2159" s="3">
        <f t="shared" ca="1" si="66"/>
        <v>0.15883352836610831</v>
      </c>
      <c r="F2159" s="3">
        <f t="shared" ca="1" si="66"/>
        <v>0.74295863957062191</v>
      </c>
      <c r="G2159" s="3">
        <f t="shared" ca="1" si="67"/>
        <v>10.590582225553876</v>
      </c>
      <c r="H2159" s="2"/>
      <c r="I2159" s="2"/>
      <c r="J2159" s="2"/>
      <c r="K2159" s="2"/>
    </row>
    <row r="2160" spans="5:11" x14ac:dyDescent="0.25">
      <c r="E2160" s="3">
        <f t="shared" ca="1" si="66"/>
        <v>9.0655162978439563E-2</v>
      </c>
      <c r="F2160" s="3">
        <f t="shared" ca="1" si="66"/>
        <v>0.48256221895984897</v>
      </c>
      <c r="G2160" s="3">
        <f t="shared" ca="1" si="67"/>
        <v>9.8849540201882711</v>
      </c>
      <c r="H2160" s="2"/>
      <c r="I2160" s="2"/>
      <c r="J2160" s="2"/>
      <c r="K2160" s="2"/>
    </row>
  </sheetData>
  <mergeCells count="2">
    <mergeCell ref="I10:J10"/>
    <mergeCell ref="I16:J16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8" tint="-0.249977111117893"/>
  </sheetPr>
  <dimension ref="B2:W2160"/>
  <sheetViews>
    <sheetView zoomScale="90" zoomScaleNormal="90" workbookViewId="0">
      <selection activeCell="J3" sqref="J3"/>
    </sheetView>
  </sheetViews>
  <sheetFormatPr baseColWidth="10" defaultRowHeight="15" x14ac:dyDescent="0.25"/>
  <cols>
    <col min="1" max="1" width="4.28515625" style="2" customWidth="1"/>
    <col min="2" max="2" width="13.28515625" style="2" bestFit="1" customWidth="1"/>
    <col min="3" max="3" width="11.42578125" style="2"/>
    <col min="4" max="4" width="13" style="2" bestFit="1" customWidth="1"/>
    <col min="5" max="6" width="11.42578125" style="2"/>
    <col min="7" max="7" width="9.85546875" style="2" customWidth="1"/>
    <col min="8" max="8" width="22.5703125" style="2" bestFit="1" customWidth="1"/>
    <col min="9" max="9" width="13.5703125" style="2" bestFit="1" customWidth="1"/>
    <col min="10" max="10" width="19" style="2" bestFit="1" customWidth="1"/>
    <col min="11" max="11" width="11.85546875" style="2" customWidth="1"/>
    <col min="12" max="12" width="17.7109375" style="2" bestFit="1" customWidth="1"/>
    <col min="13" max="14" width="18.7109375" style="2" bestFit="1" customWidth="1"/>
    <col min="15" max="15" width="13.5703125" style="2" bestFit="1" customWidth="1"/>
    <col min="16" max="17" width="16.42578125" style="2" bestFit="1" customWidth="1"/>
    <col min="18" max="19" width="11.42578125" style="2"/>
    <col min="20" max="20" width="22.85546875" style="2" bestFit="1" customWidth="1"/>
    <col min="21" max="21" width="17.7109375" style="2" bestFit="1" customWidth="1"/>
    <col min="22" max="22" width="18.7109375" style="2" bestFit="1" customWidth="1"/>
    <col min="23" max="16384" width="11.42578125" style="2"/>
  </cols>
  <sheetData>
    <row r="2" spans="2:23" x14ac:dyDescent="0.25">
      <c r="B2" s="1" t="s">
        <v>0</v>
      </c>
      <c r="C2" s="1" t="s">
        <v>1</v>
      </c>
      <c r="D2"/>
      <c r="E2"/>
      <c r="F2"/>
      <c r="H2" s="1" t="s">
        <v>20</v>
      </c>
      <c r="I2" s="4" t="s">
        <v>21</v>
      </c>
      <c r="J2" s="4" t="s">
        <v>22</v>
      </c>
      <c r="L2" s="1" t="s">
        <v>2</v>
      </c>
      <c r="M2" s="1" t="s">
        <v>3</v>
      </c>
      <c r="N2" s="1" t="s">
        <v>4</v>
      </c>
      <c r="O2" s="2">
        <f>PI()</f>
        <v>3.1415926535897931</v>
      </c>
      <c r="P2" s="4" t="s">
        <v>23</v>
      </c>
      <c r="Q2" s="4" t="s">
        <v>24</v>
      </c>
      <c r="R2" s="4" t="s">
        <v>25</v>
      </c>
      <c r="T2" s="4" t="s">
        <v>2</v>
      </c>
      <c r="U2" s="4" t="s">
        <v>3</v>
      </c>
      <c r="V2" s="4" t="s">
        <v>4</v>
      </c>
    </row>
    <row r="3" spans="2:23" x14ac:dyDescent="0.25">
      <c r="B3" s="3" t="s">
        <v>13</v>
      </c>
      <c r="C3" s="3">
        <v>5</v>
      </c>
      <c r="D3" s="5"/>
      <c r="E3" s="5"/>
      <c r="F3" s="5"/>
      <c r="G3" s="2">
        <f ca="1">RAND()</f>
        <v>0.33781071542483854</v>
      </c>
      <c r="H3" s="3">
        <f ca="1">VLOOKUP(G3,$B$9:$C$169,2,TRUE)</f>
        <v>0</v>
      </c>
      <c r="I3" s="3">
        <f ca="1">_xlfn.CHISQ.INV(RAND(),2*H3+2)</f>
        <v>6.8095582067137768</v>
      </c>
      <c r="J3" s="3">
        <f ca="1">$C$4*SQRT(I3)</f>
        <v>13.04756510494753</v>
      </c>
      <c r="L3" s="3" t="s">
        <v>5</v>
      </c>
      <c r="M3" s="3">
        <f ca="1">AVERAGE(J3:J2160)</f>
        <v>7.6859813810335575</v>
      </c>
      <c r="N3" s="3"/>
      <c r="P3" s="3">
        <f ca="1">_xlfn.NORM.INV(RAND(),$C$3*COS($O$2),$C$4)</f>
        <v>-10.413656566123082</v>
      </c>
      <c r="Q3" s="3">
        <f ca="1">_xlfn.NORM.INV(RAND(),$C$3*SIN($O$2),$C$4)</f>
        <v>-12.735234436461349</v>
      </c>
      <c r="R3" s="3">
        <f ca="1">SQRT(P3^2+Q3^2)</f>
        <v>16.450849194761631</v>
      </c>
      <c r="T3" s="3" t="s">
        <v>5</v>
      </c>
      <c r="U3" s="3">
        <f ca="1">AVERAGE(R3:R2160)</f>
        <v>7.6807489385906011</v>
      </c>
      <c r="V3" s="3"/>
      <c r="W3"/>
    </row>
    <row r="4" spans="2:23" x14ac:dyDescent="0.25">
      <c r="B4" s="3" t="s">
        <v>14</v>
      </c>
      <c r="C4" s="3">
        <v>5</v>
      </c>
      <c r="D4" s="5"/>
      <c r="E4" s="5"/>
      <c r="F4" s="5"/>
      <c r="G4" s="2">
        <f t="shared" ref="G4:G67" ca="1" si="0">RAND()</f>
        <v>0.51072456579536485</v>
      </c>
      <c r="H4" s="3">
        <f t="shared" ref="H4:H67" ca="1" si="1">VLOOKUP(G4,$B$9:$C$169,2,TRUE)</f>
        <v>0</v>
      </c>
      <c r="I4" s="3">
        <f t="shared" ref="I4:I67" ca="1" si="2">_xlfn.CHISQ.INV(RAND(),2*H4+2)</f>
        <v>0.10342171550044604</v>
      </c>
      <c r="J4" s="3">
        <f t="shared" ref="J4:J67" ca="1" si="3">$C$4*SQRT(I4)</f>
        <v>1.6079623402030132</v>
      </c>
      <c r="L4" s="3" t="s">
        <v>6</v>
      </c>
      <c r="M4" s="3">
        <f ca="1">_xlfn.VAR.S(J3:J2160)</f>
        <v>14.584565858876982</v>
      </c>
      <c r="N4" s="3"/>
      <c r="P4" s="3">
        <f t="shared" ref="P4:P67" ca="1" si="4">_xlfn.NORM.INV(RAND(),$C$3*COS($O$2),$C$4)</f>
        <v>3.2872609390742404</v>
      </c>
      <c r="Q4" s="3">
        <f t="shared" ref="Q4:Q67" ca="1" si="5">_xlfn.NORM.INV(RAND(),$C$3*SIN($O$2),$C$4)</f>
        <v>-2.7732564777764193</v>
      </c>
      <c r="R4" s="3">
        <f ca="1">SQRT(P4^2+Q4^2)</f>
        <v>4.3008180585897993</v>
      </c>
      <c r="T4" s="3" t="s">
        <v>6</v>
      </c>
      <c r="U4" s="3">
        <f ca="1">_xlfn.VAR.S(R3:R2160)</f>
        <v>14.204922436494289</v>
      </c>
      <c r="V4" s="3"/>
      <c r="W4"/>
    </row>
    <row r="5" spans="2:23" x14ac:dyDescent="0.25">
      <c r="G5" s="2">
        <f t="shared" ca="1" si="0"/>
        <v>0.50220308084283827</v>
      </c>
      <c r="H5" s="3">
        <f t="shared" ca="1" si="1"/>
        <v>0</v>
      </c>
      <c r="I5" s="3">
        <f t="shared" ca="1" si="2"/>
        <v>0.92571443930542963</v>
      </c>
      <c r="J5" s="3">
        <f t="shared" ca="1" si="3"/>
        <v>4.8107027535107321</v>
      </c>
      <c r="L5" s="3" t="s">
        <v>7</v>
      </c>
      <c r="M5" s="3">
        <f ca="1">_xlfn.STDEV.S(J3:J2160)</f>
        <v>3.8189744511945851</v>
      </c>
      <c r="N5" s="3"/>
      <c r="P5" s="3">
        <f t="shared" ca="1" si="4"/>
        <v>-8.420098626537186</v>
      </c>
      <c r="Q5" s="3">
        <f t="shared" ca="1" si="5"/>
        <v>-1.8400364373799782</v>
      </c>
      <c r="R5" s="3">
        <f t="shared" ref="R5:R67" ca="1" si="6">SQRT(P5^2+Q5^2)</f>
        <v>8.6188047298624539</v>
      </c>
      <c r="T5" s="3" t="s">
        <v>7</v>
      </c>
      <c r="U5" s="3">
        <f ca="1">_xlfn.STDEV.S(R3:R2160)</f>
        <v>3.768941819197305</v>
      </c>
      <c r="V5" s="3"/>
      <c r="W5"/>
    </row>
    <row r="6" spans="2:23" x14ac:dyDescent="0.25">
      <c r="B6" s="6" t="s">
        <v>15</v>
      </c>
      <c r="C6" s="7">
        <f>(C3*C3)/(2*C4*C4)</f>
        <v>0.5</v>
      </c>
      <c r="D6" s="8"/>
      <c r="E6" s="8"/>
      <c r="F6" s="8"/>
      <c r="G6" s="2">
        <f t="shared" ca="1" si="0"/>
        <v>0.58753126288473645</v>
      </c>
      <c r="H6" s="3">
        <f t="shared" ca="1" si="1"/>
        <v>0</v>
      </c>
      <c r="I6" s="3">
        <f t="shared" ca="1" si="2"/>
        <v>6.985479243910433</v>
      </c>
      <c r="J6" s="3">
        <f t="shared" ca="1" si="3"/>
        <v>13.215028607527143</v>
      </c>
      <c r="L6" s="3" t="s">
        <v>8</v>
      </c>
      <c r="M6" s="3">
        <f ca="1">SKEW(J3:J2160)</f>
        <v>0.39350614812969548</v>
      </c>
      <c r="N6" s="3"/>
      <c r="P6" s="3">
        <f t="shared" ca="1" si="4"/>
        <v>-4.131090271024223</v>
      </c>
      <c r="Q6" s="3">
        <f t="shared" ca="1" si="5"/>
        <v>5.3951784656891064</v>
      </c>
      <c r="R6" s="3">
        <f t="shared" ca="1" si="6"/>
        <v>6.7951348407508778</v>
      </c>
      <c r="T6" s="3" t="s">
        <v>8</v>
      </c>
      <c r="U6" s="3">
        <f ca="1">SKEW(R3:R2160)</f>
        <v>0.48587027873554861</v>
      </c>
      <c r="V6" s="3"/>
      <c r="W6"/>
    </row>
    <row r="7" spans="2:23" x14ac:dyDescent="0.25">
      <c r="B7" s="8"/>
      <c r="C7" s="8"/>
      <c r="D7" s="8"/>
      <c r="E7" s="8"/>
      <c r="F7" s="8"/>
      <c r="G7" s="2">
        <f t="shared" ca="1" si="0"/>
        <v>0.60303874128940982</v>
      </c>
      <c r="H7" s="3">
        <f t="shared" ca="1" si="1"/>
        <v>0</v>
      </c>
      <c r="I7" s="3">
        <f t="shared" ca="1" si="2"/>
        <v>0.59360133810637716</v>
      </c>
      <c r="J7" s="3">
        <f t="shared" ca="1" si="3"/>
        <v>3.8522763987880504</v>
      </c>
      <c r="L7" s="3" t="s">
        <v>9</v>
      </c>
      <c r="M7" s="3">
        <f ca="1">M20/(M5^4)</f>
        <v>2.6744059021389868</v>
      </c>
      <c r="N7" s="3"/>
      <c r="P7" s="3">
        <f t="shared" ca="1" si="4"/>
        <v>-9.9989415112513207</v>
      </c>
      <c r="Q7" s="3">
        <f t="shared" ca="1" si="5"/>
        <v>-7.5795058231298862</v>
      </c>
      <c r="R7" s="3">
        <f t="shared" ca="1" si="6"/>
        <v>12.547021155170047</v>
      </c>
      <c r="T7" s="3" t="s">
        <v>9</v>
      </c>
      <c r="U7" s="3">
        <f ca="1">U20/(U5^4)</f>
        <v>3.0185105223345161</v>
      </c>
      <c r="V7" s="3"/>
      <c r="W7"/>
    </row>
    <row r="8" spans="2:23" x14ac:dyDescent="0.25">
      <c r="B8" s="6" t="s">
        <v>16</v>
      </c>
      <c r="C8" s="6" t="s">
        <v>17</v>
      </c>
      <c r="D8" s="6" t="s">
        <v>18</v>
      </c>
      <c r="E8" s="6" t="s">
        <v>19</v>
      </c>
      <c r="F8" s="12"/>
      <c r="G8" s="2">
        <f t="shared" ca="1" si="0"/>
        <v>0.61380453555350711</v>
      </c>
      <c r="H8" s="3">
        <f t="shared" ca="1" si="1"/>
        <v>1</v>
      </c>
      <c r="I8" s="3">
        <f t="shared" ca="1" si="2"/>
        <v>2.4456708103344456</v>
      </c>
      <c r="J8" s="3">
        <f t="shared" ca="1" si="3"/>
        <v>7.8193203194626282</v>
      </c>
      <c r="L8" s="3" t="s">
        <v>10</v>
      </c>
      <c r="M8" s="3">
        <f ca="1">MEDIAN(J3:J2160)</f>
        <v>7.3872038312723554</v>
      </c>
      <c r="N8" s="3"/>
      <c r="P8" s="3">
        <f t="shared" ca="1" si="4"/>
        <v>-6.9611602593420487</v>
      </c>
      <c r="Q8" s="3">
        <f t="shared" ca="1" si="5"/>
        <v>2.4935007767767159</v>
      </c>
      <c r="R8" s="3">
        <f t="shared" ca="1" si="6"/>
        <v>7.3942746960083348</v>
      </c>
      <c r="T8" s="3" t="s">
        <v>10</v>
      </c>
      <c r="U8" s="3">
        <f ca="1">MEDIAN(R3:R2160)</f>
        <v>7.3416650451743894</v>
      </c>
      <c r="V8" s="3"/>
      <c r="W8"/>
    </row>
    <row r="9" spans="2:23" x14ac:dyDescent="0.25">
      <c r="B9" s="7">
        <f>0</f>
        <v>0</v>
      </c>
      <c r="C9" s="7">
        <v>0</v>
      </c>
      <c r="D9" s="7">
        <f>(EXP(-$C$6)*POWER($C$6,C9))/(FACT(C9))</f>
        <v>0.60653065971263342</v>
      </c>
      <c r="E9" s="7">
        <f>D9</f>
        <v>0.60653065971263342</v>
      </c>
      <c r="F9" s="13"/>
      <c r="G9" s="2">
        <f t="shared" ca="1" si="0"/>
        <v>0.89519823284380995</v>
      </c>
      <c r="H9" s="3">
        <f t="shared" ca="1" si="1"/>
        <v>1</v>
      </c>
      <c r="I9" s="3">
        <f t="shared" ca="1" si="2"/>
        <v>2.0846735510854462</v>
      </c>
      <c r="J9" s="3">
        <f t="shared" ca="1" si="3"/>
        <v>7.2191993169004665</v>
      </c>
      <c r="P9" s="3">
        <f t="shared" ca="1" si="4"/>
        <v>-1.0975505787687339</v>
      </c>
      <c r="Q9" s="3">
        <f t="shared" ca="1" si="5"/>
        <v>3.2236223299143165</v>
      </c>
      <c r="R9" s="3">
        <f t="shared" ca="1" si="6"/>
        <v>3.4053425964031563</v>
      </c>
      <c r="W9"/>
    </row>
    <row r="10" spans="2:23" x14ac:dyDescent="0.25">
      <c r="B10" s="7">
        <f t="shared" ref="B10:B73" si="7">E9</f>
        <v>0.60653065971263342</v>
      </c>
      <c r="C10" s="7">
        <v>1</v>
      </c>
      <c r="D10" s="7">
        <f t="shared" ref="D10:D73" si="8">(EXP(-$C$6)*POWER($C$6,C10))/(FACT(C10))</f>
        <v>0.30326532985631671</v>
      </c>
      <c r="E10" s="7">
        <f t="shared" ref="E10:E73" si="9">E9+D10</f>
        <v>0.90979598956895014</v>
      </c>
      <c r="F10" s="13"/>
      <c r="G10" s="2">
        <f t="shared" ca="1" si="0"/>
        <v>3.1053866253606177E-2</v>
      </c>
      <c r="H10" s="3">
        <f t="shared" ca="1" si="1"/>
        <v>0</v>
      </c>
      <c r="I10" s="3">
        <f t="shared" ca="1" si="2"/>
        <v>2.0467751019347813</v>
      </c>
      <c r="J10" s="3">
        <f t="shared" ca="1" si="3"/>
        <v>7.1532773990926382</v>
      </c>
      <c r="L10" s="11" t="s">
        <v>11</v>
      </c>
      <c r="M10" s="11"/>
      <c r="P10" s="3">
        <f t="shared" ca="1" si="4"/>
        <v>-12.214247402886258</v>
      </c>
      <c r="Q10" s="3">
        <f t="shared" ca="1" si="5"/>
        <v>-3.5067592965096201</v>
      </c>
      <c r="R10" s="3">
        <f t="shared" ca="1" si="6"/>
        <v>12.707682730638593</v>
      </c>
      <c r="T10" s="4" t="s">
        <v>11</v>
      </c>
      <c r="U10" s="4"/>
    </row>
    <row r="11" spans="2:23" x14ac:dyDescent="0.25">
      <c r="B11" s="7">
        <f t="shared" si="7"/>
        <v>0.90979598956895014</v>
      </c>
      <c r="C11" s="7">
        <v>2</v>
      </c>
      <c r="D11" s="7">
        <f t="shared" si="8"/>
        <v>7.5816332464079178E-2</v>
      </c>
      <c r="E11" s="7">
        <f t="shared" si="9"/>
        <v>0.98561232203302929</v>
      </c>
      <c r="F11" s="13"/>
      <c r="G11" s="2">
        <f t="shared" ca="1" si="0"/>
        <v>0.75449158051821197</v>
      </c>
      <c r="H11" s="3">
        <f t="shared" ca="1" si="1"/>
        <v>1</v>
      </c>
      <c r="I11" s="3">
        <f t="shared" ca="1" si="2"/>
        <v>5.4288153242722084</v>
      </c>
      <c r="J11" s="3">
        <f t="shared" ca="1" si="3"/>
        <v>11.649909145860546</v>
      </c>
      <c r="L11" s="3"/>
      <c r="M11" s="3">
        <f ca="1">SUMPRODUCT(J3:J2160)/COUNT(J3:J2160)</f>
        <v>7.6859813810335575</v>
      </c>
      <c r="P11" s="3">
        <f t="shared" ca="1" si="4"/>
        <v>-7.7436842861939148</v>
      </c>
      <c r="Q11" s="3">
        <f t="shared" ca="1" si="5"/>
        <v>-3.3606119102443999</v>
      </c>
      <c r="R11" s="3">
        <f t="shared" ca="1" si="6"/>
        <v>8.4414666223069954</v>
      </c>
      <c r="T11" s="3"/>
      <c r="U11" s="3">
        <f ca="1">SUMPRODUCT(R3:R2160)/COUNT(R3:R2160)</f>
        <v>7.6807489385906011</v>
      </c>
    </row>
    <row r="12" spans="2:23" x14ac:dyDescent="0.25">
      <c r="B12" s="7">
        <f t="shared" si="7"/>
        <v>0.98561232203302929</v>
      </c>
      <c r="C12" s="7">
        <v>3</v>
      </c>
      <c r="D12" s="7">
        <f t="shared" si="8"/>
        <v>1.2636055410679864E-2</v>
      </c>
      <c r="E12" s="7">
        <f t="shared" si="9"/>
        <v>0.9982483774437092</v>
      </c>
      <c r="F12" s="13"/>
      <c r="G12" s="2">
        <f t="shared" ca="1" si="0"/>
        <v>0.26676635020942452</v>
      </c>
      <c r="H12" s="3">
        <f t="shared" ca="1" si="1"/>
        <v>0</v>
      </c>
      <c r="I12" s="3">
        <f t="shared" ca="1" si="2"/>
        <v>2.3026602441126736</v>
      </c>
      <c r="J12" s="3">
        <f t="shared" ca="1" si="3"/>
        <v>7.5872594593052405</v>
      </c>
      <c r="L12" s="3"/>
      <c r="M12" s="3">
        <f ca="1">SUMPRODUCT(J3:J2160,J3:J2160)/COUNT(J3:J2160)</f>
        <v>73.652117276896476</v>
      </c>
      <c r="P12" s="3">
        <f t="shared" ca="1" si="4"/>
        <v>-5.3268094471284257</v>
      </c>
      <c r="Q12" s="3">
        <f t="shared" ca="1" si="5"/>
        <v>-2.8293351009047742</v>
      </c>
      <c r="R12" s="3">
        <f t="shared" ca="1" si="6"/>
        <v>6.0315865242263147</v>
      </c>
      <c r="T12" s="3"/>
      <c r="U12" s="3">
        <f ca="1">SUMPRODUCT(R3:R2160,R3:R2160)/COUNT(R3:R2160)</f>
        <v>73.192244246315965</v>
      </c>
    </row>
    <row r="13" spans="2:23" x14ac:dyDescent="0.25">
      <c r="B13" s="7">
        <f t="shared" si="7"/>
        <v>0.9982483774437092</v>
      </c>
      <c r="C13" s="7">
        <v>4</v>
      </c>
      <c r="D13" s="7">
        <f t="shared" si="8"/>
        <v>1.5795069263349829E-3</v>
      </c>
      <c r="E13" s="7">
        <f t="shared" si="9"/>
        <v>0.99982788437004422</v>
      </c>
      <c r="F13" s="13"/>
      <c r="G13" s="2">
        <f t="shared" ca="1" si="0"/>
        <v>0.84489313296766166</v>
      </c>
      <c r="H13" s="3">
        <f t="shared" ca="1" si="1"/>
        <v>1</v>
      </c>
      <c r="I13" s="3">
        <f t="shared" ca="1" si="2"/>
        <v>5.0182802008767151</v>
      </c>
      <c r="J13" s="3">
        <f t="shared" ca="1" si="3"/>
        <v>11.200759127037681</v>
      </c>
      <c r="L13" s="3"/>
      <c r="M13" s="3">
        <f ca="1">SUMPRODUCT(J3:J2160,J3:J2160,J3:J2160)/COUNT(J3:J2160)</f>
        <v>812.06539473515772</v>
      </c>
      <c r="P13" s="3">
        <f t="shared" ca="1" si="4"/>
        <v>6.9080797354359191</v>
      </c>
      <c r="Q13" s="3">
        <f t="shared" ca="1" si="5"/>
        <v>1.961250430867022</v>
      </c>
      <c r="R13" s="3">
        <f t="shared" ca="1" si="6"/>
        <v>7.1810910649925948</v>
      </c>
      <c r="T13" s="3"/>
      <c r="U13" s="3">
        <f ca="1">SUMPRODUCT(R3:R2160,R3:R2160,R3:R2160)/COUNT(R3:R2160)</f>
        <v>806.25516418924144</v>
      </c>
    </row>
    <row r="14" spans="2:23" x14ac:dyDescent="0.25">
      <c r="B14" s="7">
        <f t="shared" si="7"/>
        <v>0.99982788437004422</v>
      </c>
      <c r="C14" s="7">
        <v>5</v>
      </c>
      <c r="D14" s="7">
        <f t="shared" si="8"/>
        <v>1.5795069263349829E-4</v>
      </c>
      <c r="E14" s="7">
        <f t="shared" si="9"/>
        <v>0.99998583506267769</v>
      </c>
      <c r="F14" s="13"/>
      <c r="G14" s="2">
        <f t="shared" ca="1" si="0"/>
        <v>0.42258931936808675</v>
      </c>
      <c r="H14" s="3">
        <f t="shared" ca="1" si="1"/>
        <v>0</v>
      </c>
      <c r="I14" s="3">
        <f t="shared" ca="1" si="2"/>
        <v>0.47386937110156302</v>
      </c>
      <c r="J14" s="3">
        <f t="shared" ca="1" si="3"/>
        <v>3.4419085225408121</v>
      </c>
      <c r="L14" s="3"/>
      <c r="M14" s="3">
        <f ca="1">SUMPRODUCT(J3:J2160,J3:J2160,J3:J2160,J3:J2160)/COUNT(J3:J2160)</f>
        <v>9898.5839979262346</v>
      </c>
      <c r="P14" s="3">
        <f t="shared" ca="1" si="4"/>
        <v>9.1726061702840749</v>
      </c>
      <c r="Q14" s="3">
        <f t="shared" ca="1" si="5"/>
        <v>-7.1322829356697186</v>
      </c>
      <c r="R14" s="3">
        <f t="shared" ca="1" si="6"/>
        <v>11.619215284586948</v>
      </c>
      <c r="T14" s="3"/>
      <c r="U14" s="3">
        <f ca="1">SUMPRODUCT(R3:R2160,R3:R2160,R3:R2160,R3:R2160)/COUNT(R3:R2160)</f>
        <v>9913.1132223536879</v>
      </c>
    </row>
    <row r="15" spans="2:23" x14ac:dyDescent="0.25">
      <c r="B15" s="7">
        <f t="shared" si="7"/>
        <v>0.99998583506267769</v>
      </c>
      <c r="C15" s="7">
        <v>6</v>
      </c>
      <c r="D15" s="7">
        <f t="shared" si="8"/>
        <v>1.316255771945819E-5</v>
      </c>
      <c r="E15" s="7">
        <f t="shared" si="9"/>
        <v>0.99999899762039712</v>
      </c>
      <c r="F15" s="13"/>
      <c r="G15" s="2">
        <f t="shared" ca="1" si="0"/>
        <v>0.78217004991634242</v>
      </c>
      <c r="H15" s="3">
        <f t="shared" ca="1" si="1"/>
        <v>1</v>
      </c>
      <c r="I15" s="3">
        <f t="shared" ca="1" si="2"/>
        <v>3.8460530620047839</v>
      </c>
      <c r="J15" s="3">
        <f t="shared" ca="1" si="3"/>
        <v>9.8056782809818728</v>
      </c>
      <c r="P15" s="3">
        <f t="shared" ca="1" si="4"/>
        <v>-6.1859175428247068</v>
      </c>
      <c r="Q15" s="3">
        <f t="shared" ca="1" si="5"/>
        <v>-1.1833064997325595</v>
      </c>
      <c r="R15" s="3">
        <f t="shared" ca="1" si="6"/>
        <v>6.2980782877744366</v>
      </c>
    </row>
    <row r="16" spans="2:23" x14ac:dyDescent="0.25">
      <c r="B16" s="7">
        <f t="shared" si="7"/>
        <v>0.99999899762039712</v>
      </c>
      <c r="C16" s="7">
        <v>7</v>
      </c>
      <c r="D16" s="7">
        <f t="shared" si="8"/>
        <v>9.4018269424701357E-7</v>
      </c>
      <c r="E16" s="7">
        <f t="shared" si="9"/>
        <v>0.99999993780309138</v>
      </c>
      <c r="F16" s="13"/>
      <c r="G16" s="2">
        <f t="shared" ca="1" si="0"/>
        <v>0.58955069609897537</v>
      </c>
      <c r="H16" s="3">
        <f t="shared" ca="1" si="1"/>
        <v>0</v>
      </c>
      <c r="I16" s="3">
        <f t="shared" ca="1" si="2"/>
        <v>1.2158254885243756</v>
      </c>
      <c r="J16" s="3">
        <f t="shared" ca="1" si="3"/>
        <v>5.5132238493561445</v>
      </c>
      <c r="L16" s="11" t="s">
        <v>12</v>
      </c>
      <c r="M16" s="11"/>
      <c r="P16" s="3">
        <f t="shared" ca="1" si="4"/>
        <v>-3.5678794473355939</v>
      </c>
      <c r="Q16" s="3">
        <f t="shared" ca="1" si="5"/>
        <v>4.3157685734338154</v>
      </c>
      <c r="R16" s="3">
        <f t="shared" ca="1" si="6"/>
        <v>5.5996091051214183</v>
      </c>
      <c r="T16" s="4" t="s">
        <v>12</v>
      </c>
      <c r="U16" s="4"/>
    </row>
    <row r="17" spans="2:21" x14ac:dyDescent="0.25">
      <c r="B17" s="7">
        <f t="shared" si="7"/>
        <v>0.99999993780309138</v>
      </c>
      <c r="C17" s="7">
        <v>8</v>
      </c>
      <c r="D17" s="7">
        <f t="shared" si="8"/>
        <v>5.8761418390438348E-8</v>
      </c>
      <c r="E17" s="7">
        <f t="shared" si="9"/>
        <v>0.99999999656450977</v>
      </c>
      <c r="F17" s="13"/>
      <c r="G17" s="2">
        <f t="shared" ca="1" si="0"/>
        <v>0.94421063259607874</v>
      </c>
      <c r="H17" s="3">
        <f t="shared" ca="1" si="1"/>
        <v>2</v>
      </c>
      <c r="I17" s="3">
        <f t="shared" ca="1" si="2"/>
        <v>7.0383334042575711</v>
      </c>
      <c r="J17" s="3">
        <f t="shared" ca="1" si="3"/>
        <v>13.264928763715215</v>
      </c>
      <c r="L17" s="3"/>
      <c r="M17" s="3">
        <v>0</v>
      </c>
      <c r="O17"/>
      <c r="P17" s="3">
        <f t="shared" ca="1" si="4"/>
        <v>-4.5391413985040323</v>
      </c>
      <c r="Q17" s="3">
        <f t="shared" ca="1" si="5"/>
        <v>0.11381727031469728</v>
      </c>
      <c r="R17" s="3">
        <f t="shared" ca="1" si="6"/>
        <v>4.5405681369884796</v>
      </c>
      <c r="T17" s="3"/>
      <c r="U17" s="3">
        <v>0</v>
      </c>
    </row>
    <row r="18" spans="2:21" x14ac:dyDescent="0.25">
      <c r="B18" s="7">
        <f t="shared" si="7"/>
        <v>0.99999999656450977</v>
      </c>
      <c r="C18" s="7">
        <v>9</v>
      </c>
      <c r="D18" s="7">
        <f t="shared" si="8"/>
        <v>3.2645232439132415E-9</v>
      </c>
      <c r="E18" s="7">
        <f t="shared" si="9"/>
        <v>0.99999999982903298</v>
      </c>
      <c r="F18" s="13"/>
      <c r="G18" s="2">
        <f t="shared" ca="1" si="0"/>
        <v>0.92928089685909399</v>
      </c>
      <c r="H18" s="3">
        <f t="shared" ca="1" si="1"/>
        <v>2</v>
      </c>
      <c r="I18" s="3">
        <f t="shared" ca="1" si="2"/>
        <v>2.6859223080992116</v>
      </c>
      <c r="J18" s="3">
        <f t="shared" ca="1" si="3"/>
        <v>8.1943918445776252</v>
      </c>
      <c r="L18" s="3"/>
      <c r="M18" s="3">
        <f ca="1">M12-M11^2</f>
        <v>14.577807487301961</v>
      </c>
      <c r="O18"/>
      <c r="P18" s="3">
        <f t="shared" ca="1" si="4"/>
        <v>-11.274388423753425</v>
      </c>
      <c r="Q18" s="3">
        <f t="shared" ca="1" si="5"/>
        <v>3.562299931201919</v>
      </c>
      <c r="R18" s="3">
        <f t="shared" ca="1" si="6"/>
        <v>11.823781760904861</v>
      </c>
      <c r="T18" s="3"/>
      <c r="U18" s="3">
        <f ca="1">U12-U11^2</f>
        <v>14.19833998865532</v>
      </c>
    </row>
    <row r="19" spans="2:21" x14ac:dyDescent="0.25">
      <c r="B19" s="7">
        <f t="shared" si="7"/>
        <v>0.99999999982903298</v>
      </c>
      <c r="C19" s="7">
        <v>10</v>
      </c>
      <c r="D19" s="7">
        <f t="shared" si="8"/>
        <v>1.6322616219566209E-10</v>
      </c>
      <c r="E19" s="7">
        <f t="shared" si="9"/>
        <v>0.99999999999225919</v>
      </c>
      <c r="F19" s="13"/>
      <c r="G19" s="2">
        <f t="shared" ca="1" si="0"/>
        <v>0.55260810997066512</v>
      </c>
      <c r="H19" s="3">
        <f t="shared" ca="1" si="1"/>
        <v>0</v>
      </c>
      <c r="I19" s="3">
        <f t="shared" ca="1" si="2"/>
        <v>0.14776579663222428</v>
      </c>
      <c r="J19" s="3">
        <f t="shared" ca="1" si="3"/>
        <v>1.9220158469184399</v>
      </c>
      <c r="L19" s="3"/>
      <c r="M19" s="3">
        <f ca="1">M13-3*M11*M12+2*M11^3</f>
        <v>21.887078823842444</v>
      </c>
      <c r="O19"/>
      <c r="P19" s="3">
        <f t="shared" ca="1" si="4"/>
        <v>-9.9493982949515178</v>
      </c>
      <c r="Q19" s="3">
        <f t="shared" ca="1" si="5"/>
        <v>15.448072690815914</v>
      </c>
      <c r="R19" s="3">
        <f t="shared" ca="1" si="6"/>
        <v>18.374805476312304</v>
      </c>
      <c r="T19" s="3"/>
      <c r="U19" s="3">
        <f ca="1">U13-3*U11*U12+2*U11^3</f>
        <v>25.976142286060394</v>
      </c>
    </row>
    <row r="20" spans="2:21" x14ac:dyDescent="0.25">
      <c r="B20" s="7">
        <f t="shared" si="7"/>
        <v>0.99999999999225919</v>
      </c>
      <c r="C20" s="7">
        <v>11</v>
      </c>
      <c r="D20" s="7">
        <f t="shared" si="8"/>
        <v>7.4193710088937319E-12</v>
      </c>
      <c r="E20" s="7">
        <f t="shared" si="9"/>
        <v>0.99999999999967859</v>
      </c>
      <c r="F20" s="13"/>
      <c r="G20" s="2">
        <f t="shared" ca="1" si="0"/>
        <v>0.62520444615070681</v>
      </c>
      <c r="H20" s="3">
        <f t="shared" ca="1" si="1"/>
        <v>1</v>
      </c>
      <c r="I20" s="3">
        <f t="shared" ca="1" si="2"/>
        <v>2.301331141408284</v>
      </c>
      <c r="J20" s="3">
        <f t="shared" ca="1" si="3"/>
        <v>7.5850694482784462</v>
      </c>
      <c r="L20" s="3"/>
      <c r="M20" s="3">
        <f ca="1">M14-4*M11*M13+6*(M11^2)*M12-3*(M11^4)</f>
        <v>568.87170616050571</v>
      </c>
      <c r="O20"/>
      <c r="P20" s="3">
        <f t="shared" ca="1" si="4"/>
        <v>-0.21420020937297579</v>
      </c>
      <c r="Q20" s="3">
        <f t="shared" ca="1" si="5"/>
        <v>4.2941321017749807</v>
      </c>
      <c r="R20" s="3">
        <f t="shared" ca="1" si="6"/>
        <v>4.299471157850677</v>
      </c>
      <c r="T20" s="3"/>
      <c r="U20" s="3">
        <f ca="1">U14-4*U11*U13+6*(U11^2)*U12-3*(U11^4)</f>
        <v>609.07451417163247</v>
      </c>
    </row>
    <row r="21" spans="2:21" x14ac:dyDescent="0.25">
      <c r="B21" s="7">
        <f t="shared" si="7"/>
        <v>0.99999999999967859</v>
      </c>
      <c r="C21" s="7">
        <v>12</v>
      </c>
      <c r="D21" s="7">
        <f t="shared" si="8"/>
        <v>3.0914045870390545E-13</v>
      </c>
      <c r="E21" s="7">
        <f t="shared" si="9"/>
        <v>0.99999999999998768</v>
      </c>
      <c r="F21" s="13"/>
      <c r="G21" s="2">
        <f t="shared" ca="1" si="0"/>
        <v>0.50795179378617317</v>
      </c>
      <c r="H21" s="3">
        <f t="shared" ca="1" si="1"/>
        <v>0</v>
      </c>
      <c r="I21" s="3">
        <f t="shared" ca="1" si="2"/>
        <v>3.7656096677982274</v>
      </c>
      <c r="J21" s="3">
        <f t="shared" ca="1" si="3"/>
        <v>9.7025894324636699</v>
      </c>
      <c r="O21"/>
      <c r="P21" s="3">
        <f t="shared" ca="1" si="4"/>
        <v>-5.4487424512794691</v>
      </c>
      <c r="Q21" s="3">
        <f t="shared" ca="1" si="5"/>
        <v>-3.9785030472393119</v>
      </c>
      <c r="R21" s="3">
        <f t="shared" ca="1" si="6"/>
        <v>6.7466495979313681</v>
      </c>
    </row>
    <row r="22" spans="2:21" x14ac:dyDescent="0.25">
      <c r="B22" s="7">
        <f t="shared" si="7"/>
        <v>0.99999999999998768</v>
      </c>
      <c r="C22" s="7">
        <v>13</v>
      </c>
      <c r="D22" s="7">
        <f t="shared" si="8"/>
        <v>1.1890017642457903E-14</v>
      </c>
      <c r="E22" s="7">
        <f t="shared" si="9"/>
        <v>0.99999999999999956</v>
      </c>
      <c r="F22" s="13"/>
      <c r="G22" s="2">
        <f t="shared" ca="1" si="0"/>
        <v>5.9001745218212664E-2</v>
      </c>
      <c r="H22" s="3">
        <f t="shared" ca="1" si="1"/>
        <v>0</v>
      </c>
      <c r="I22" s="3">
        <f t="shared" ca="1" si="2"/>
        <v>2.5146784305796723</v>
      </c>
      <c r="J22" s="3">
        <f t="shared" ca="1" si="3"/>
        <v>7.9288688199825703</v>
      </c>
      <c r="O22"/>
      <c r="P22" s="3">
        <f t="shared" ca="1" si="4"/>
        <v>-8.2237655338140065</v>
      </c>
      <c r="Q22" s="3">
        <f t="shared" ca="1" si="5"/>
        <v>6.4986423480021722</v>
      </c>
      <c r="R22" s="3">
        <f t="shared" ca="1" si="6"/>
        <v>10.481539577867096</v>
      </c>
    </row>
    <row r="23" spans="2:21" x14ac:dyDescent="0.25">
      <c r="B23" s="7">
        <f t="shared" si="7"/>
        <v>0.99999999999999956</v>
      </c>
      <c r="C23" s="7">
        <v>14</v>
      </c>
      <c r="D23" s="7">
        <f t="shared" si="8"/>
        <v>4.246434872306394E-16</v>
      </c>
      <c r="E23" s="7">
        <f t="shared" si="9"/>
        <v>1</v>
      </c>
      <c r="F23" s="13"/>
      <c r="G23" s="2">
        <f t="shared" ca="1" si="0"/>
        <v>0.57243049018341297</v>
      </c>
      <c r="H23" s="3">
        <f t="shared" ca="1" si="1"/>
        <v>0</v>
      </c>
      <c r="I23" s="3">
        <f t="shared" ca="1" si="2"/>
        <v>2.1737641869695437</v>
      </c>
      <c r="J23" s="3">
        <f t="shared" ca="1" si="3"/>
        <v>7.3718454049334614</v>
      </c>
      <c r="O23"/>
      <c r="P23" s="3">
        <f t="shared" ca="1" si="4"/>
        <v>-1.4910934458389331</v>
      </c>
      <c r="Q23" s="3">
        <f t="shared" ca="1" si="5"/>
        <v>1.4217383438191851</v>
      </c>
      <c r="R23" s="3">
        <f t="shared" ca="1" si="6"/>
        <v>2.0602668716721002</v>
      </c>
    </row>
    <row r="24" spans="2:21" x14ac:dyDescent="0.25">
      <c r="B24" s="7">
        <f t="shared" si="7"/>
        <v>1</v>
      </c>
      <c r="C24" s="7">
        <v>15</v>
      </c>
      <c r="D24" s="7">
        <f t="shared" si="8"/>
        <v>1.4154782907687979E-17</v>
      </c>
      <c r="E24" s="7">
        <f t="shared" si="9"/>
        <v>1</v>
      </c>
      <c r="F24" s="13"/>
      <c r="G24" s="2">
        <f t="shared" ca="1" si="0"/>
        <v>0.73168466303359714</v>
      </c>
      <c r="H24" s="3">
        <f t="shared" ca="1" si="1"/>
        <v>1</v>
      </c>
      <c r="I24" s="3">
        <f t="shared" ca="1" si="2"/>
        <v>0.92596364397200592</v>
      </c>
      <c r="J24" s="3">
        <f t="shared" ca="1" si="3"/>
        <v>4.8113502366071987</v>
      </c>
      <c r="O24"/>
      <c r="P24" s="3">
        <f t="shared" ca="1" si="4"/>
        <v>-2.320518478911731</v>
      </c>
      <c r="Q24" s="3">
        <f t="shared" ca="1" si="5"/>
        <v>4.7713668405766771</v>
      </c>
      <c r="R24" s="3">
        <f t="shared" ca="1" si="6"/>
        <v>5.3057278047715073</v>
      </c>
    </row>
    <row r="25" spans="2:21" x14ac:dyDescent="0.25">
      <c r="B25" s="7">
        <f t="shared" si="7"/>
        <v>1</v>
      </c>
      <c r="C25" s="7">
        <v>16</v>
      </c>
      <c r="D25" s="7">
        <f t="shared" si="8"/>
        <v>4.4233696586524935E-19</v>
      </c>
      <c r="E25" s="7">
        <f t="shared" si="9"/>
        <v>1</v>
      </c>
      <c r="F25" s="13"/>
      <c r="G25" s="2">
        <f t="shared" ca="1" si="0"/>
        <v>0.7858813663126627</v>
      </c>
      <c r="H25" s="3">
        <f t="shared" ca="1" si="1"/>
        <v>1</v>
      </c>
      <c r="I25" s="3">
        <f t="shared" ca="1" si="2"/>
        <v>2.1689653935928579</v>
      </c>
      <c r="J25" s="3">
        <f t="shared" ca="1" si="3"/>
        <v>7.3637038805088739</v>
      </c>
      <c r="O25"/>
      <c r="P25" s="3">
        <f t="shared" ca="1" si="4"/>
        <v>-8.0697890654459741</v>
      </c>
      <c r="Q25" s="3">
        <f t="shared" ca="1" si="5"/>
        <v>-0.80655876218354328</v>
      </c>
      <c r="R25" s="3">
        <f t="shared" ca="1" si="6"/>
        <v>8.1099958444900864</v>
      </c>
    </row>
    <row r="26" spans="2:21" x14ac:dyDescent="0.25">
      <c r="B26" s="7">
        <f t="shared" si="7"/>
        <v>1</v>
      </c>
      <c r="C26" s="7">
        <v>17</v>
      </c>
      <c r="D26" s="7">
        <f t="shared" si="8"/>
        <v>1.3009910760742628E-20</v>
      </c>
      <c r="E26" s="7">
        <f t="shared" si="9"/>
        <v>1</v>
      </c>
      <c r="F26" s="13"/>
      <c r="G26" s="2">
        <f t="shared" ca="1" si="0"/>
        <v>0.59503088335357734</v>
      </c>
      <c r="H26" s="3">
        <f t="shared" ca="1" si="1"/>
        <v>0</v>
      </c>
      <c r="I26" s="3">
        <f t="shared" ca="1" si="2"/>
        <v>0.92562222208162315</v>
      </c>
      <c r="J26" s="3">
        <f t="shared" ca="1" si="3"/>
        <v>4.810463132801309</v>
      </c>
      <c r="O26"/>
      <c r="P26" s="3">
        <f t="shared" ca="1" si="4"/>
        <v>-2.5634954430297054</v>
      </c>
      <c r="Q26" s="3">
        <f t="shared" ca="1" si="5"/>
        <v>9.93024125435754</v>
      </c>
      <c r="R26" s="3">
        <f t="shared" ca="1" si="6"/>
        <v>10.255788621855389</v>
      </c>
    </row>
    <row r="27" spans="2:21" x14ac:dyDescent="0.25">
      <c r="B27" s="7">
        <f t="shared" si="7"/>
        <v>1</v>
      </c>
      <c r="C27" s="7">
        <v>18</v>
      </c>
      <c r="D27" s="7">
        <f t="shared" si="8"/>
        <v>3.6138641002062856E-22</v>
      </c>
      <c r="E27" s="7">
        <f t="shared" si="9"/>
        <v>1</v>
      </c>
      <c r="F27" s="13"/>
      <c r="G27" s="2">
        <f t="shared" ca="1" si="0"/>
        <v>0.93158073612593617</v>
      </c>
      <c r="H27" s="3">
        <f t="shared" ca="1" si="1"/>
        <v>2</v>
      </c>
      <c r="I27" s="3">
        <f t="shared" ca="1" si="2"/>
        <v>4.5935106306282254</v>
      </c>
      <c r="J27" s="3">
        <f t="shared" ca="1" si="3"/>
        <v>10.716238414933928</v>
      </c>
      <c r="O27"/>
      <c r="P27" s="3">
        <f t="shared" ca="1" si="4"/>
        <v>-2.4370686424226817</v>
      </c>
      <c r="Q27" s="3">
        <f t="shared" ca="1" si="5"/>
        <v>0.24704554085993999</v>
      </c>
      <c r="R27" s="3">
        <f t="shared" ca="1" si="6"/>
        <v>2.4495581371216142</v>
      </c>
    </row>
    <row r="28" spans="2:21" x14ac:dyDescent="0.25">
      <c r="B28" s="7">
        <f t="shared" si="7"/>
        <v>1</v>
      </c>
      <c r="C28" s="7">
        <v>19</v>
      </c>
      <c r="D28" s="7">
        <f t="shared" si="8"/>
        <v>9.5101686847533832E-24</v>
      </c>
      <c r="E28" s="7">
        <f t="shared" si="9"/>
        <v>1</v>
      </c>
      <c r="F28" s="13"/>
      <c r="G28" s="2">
        <f t="shared" ca="1" si="0"/>
        <v>0.88378009826502435</v>
      </c>
      <c r="H28" s="3">
        <f t="shared" ca="1" si="1"/>
        <v>1</v>
      </c>
      <c r="I28" s="3">
        <f t="shared" ca="1" si="2"/>
        <v>1.8542775983730662</v>
      </c>
      <c r="J28" s="3">
        <f t="shared" ca="1" si="3"/>
        <v>6.8085930969126549</v>
      </c>
      <c r="O28"/>
      <c r="P28" s="3">
        <f t="shared" ca="1" si="4"/>
        <v>-4.9223675168354237</v>
      </c>
      <c r="Q28" s="3">
        <f t="shared" ca="1" si="5"/>
        <v>-0.95058039899362778</v>
      </c>
      <c r="R28" s="3">
        <f t="shared" ca="1" si="6"/>
        <v>5.013312783554146</v>
      </c>
    </row>
    <row r="29" spans="2:21" x14ac:dyDescent="0.25">
      <c r="B29" s="7">
        <f t="shared" si="7"/>
        <v>1</v>
      </c>
      <c r="C29" s="7">
        <v>20</v>
      </c>
      <c r="D29" s="7">
        <f t="shared" si="8"/>
        <v>2.3775421711883457E-25</v>
      </c>
      <c r="E29" s="7">
        <f t="shared" si="9"/>
        <v>1</v>
      </c>
      <c r="F29" s="13"/>
      <c r="G29" s="2">
        <f t="shared" ca="1" si="0"/>
        <v>0.55402239102214523</v>
      </c>
      <c r="H29" s="3">
        <f t="shared" ca="1" si="1"/>
        <v>0</v>
      </c>
      <c r="I29" s="3">
        <f t="shared" ca="1" si="2"/>
        <v>3.2102861533593301</v>
      </c>
      <c r="J29" s="3">
        <f t="shared" ca="1" si="3"/>
        <v>8.9586357127624776</v>
      </c>
      <c r="O29"/>
      <c r="P29" s="3">
        <f t="shared" ca="1" si="4"/>
        <v>0.27207966063942468</v>
      </c>
      <c r="Q29" s="3">
        <f t="shared" ca="1" si="5"/>
        <v>-3.8323770146619935</v>
      </c>
      <c r="R29" s="3">
        <f t="shared" ca="1" si="6"/>
        <v>3.8420230249496474</v>
      </c>
    </row>
    <row r="30" spans="2:21" x14ac:dyDescent="0.25">
      <c r="B30" s="7">
        <f t="shared" si="7"/>
        <v>1</v>
      </c>
      <c r="C30" s="7">
        <v>21</v>
      </c>
      <c r="D30" s="7">
        <f t="shared" si="8"/>
        <v>5.6608146933055851E-27</v>
      </c>
      <c r="E30" s="7">
        <f t="shared" si="9"/>
        <v>1</v>
      </c>
      <c r="F30" s="13"/>
      <c r="G30" s="2">
        <f t="shared" ca="1" si="0"/>
        <v>0.19003390349509708</v>
      </c>
      <c r="H30" s="3">
        <f t="shared" ca="1" si="1"/>
        <v>0</v>
      </c>
      <c r="I30" s="3">
        <f t="shared" ca="1" si="2"/>
        <v>2.10250367513295</v>
      </c>
      <c r="J30" s="3">
        <f t="shared" ca="1" si="3"/>
        <v>7.2500063364333522</v>
      </c>
      <c r="O30"/>
      <c r="P30" s="3">
        <f t="shared" ca="1" si="4"/>
        <v>-10.917221818413491</v>
      </c>
      <c r="Q30" s="3">
        <f t="shared" ca="1" si="5"/>
        <v>-2.5067039309871029</v>
      </c>
      <c r="R30" s="3">
        <f t="shared" ca="1" si="6"/>
        <v>11.201307817842958</v>
      </c>
    </row>
    <row r="31" spans="2:21" x14ac:dyDescent="0.25">
      <c r="B31" s="7">
        <f t="shared" si="7"/>
        <v>1</v>
      </c>
      <c r="C31" s="7">
        <v>22</v>
      </c>
      <c r="D31" s="7">
        <f t="shared" si="8"/>
        <v>1.2865487939330875E-28</v>
      </c>
      <c r="E31" s="7">
        <f t="shared" si="9"/>
        <v>1</v>
      </c>
      <c r="F31" s="13"/>
      <c r="G31" s="2">
        <f t="shared" ca="1" si="0"/>
        <v>0.69595762557216179</v>
      </c>
      <c r="H31" s="3">
        <f t="shared" ca="1" si="1"/>
        <v>1</v>
      </c>
      <c r="I31" s="3">
        <f t="shared" ca="1" si="2"/>
        <v>2.0627626121589677</v>
      </c>
      <c r="J31" s="3">
        <f t="shared" ca="1" si="3"/>
        <v>7.18116044271218</v>
      </c>
      <c r="O31"/>
      <c r="P31" s="3">
        <f t="shared" ca="1" si="4"/>
        <v>-8.9852571563299826</v>
      </c>
      <c r="Q31" s="3">
        <f t="shared" ca="1" si="5"/>
        <v>0.85837667971906362</v>
      </c>
      <c r="R31" s="3">
        <f t="shared" ca="1" si="6"/>
        <v>9.0261651153557292</v>
      </c>
    </row>
    <row r="32" spans="2:21" x14ac:dyDescent="0.25">
      <c r="B32" s="7">
        <f t="shared" si="7"/>
        <v>1</v>
      </c>
      <c r="C32" s="7">
        <v>23</v>
      </c>
      <c r="D32" s="7">
        <f t="shared" si="8"/>
        <v>2.7968452042023642E-30</v>
      </c>
      <c r="E32" s="7">
        <f t="shared" si="9"/>
        <v>1</v>
      </c>
      <c r="F32" s="13"/>
      <c r="G32" s="2">
        <f t="shared" ca="1" si="0"/>
        <v>0.45706994852940386</v>
      </c>
      <c r="H32" s="3">
        <f t="shared" ca="1" si="1"/>
        <v>0</v>
      </c>
      <c r="I32" s="3">
        <f t="shared" ca="1" si="2"/>
        <v>1.3143731981971878</v>
      </c>
      <c r="J32" s="3">
        <f t="shared" ca="1" si="3"/>
        <v>5.7323058148470842</v>
      </c>
      <c r="P32" s="3">
        <f t="shared" ca="1" si="4"/>
        <v>-5.0774513644227381</v>
      </c>
      <c r="Q32" s="3">
        <f t="shared" ca="1" si="5"/>
        <v>0.77320067968290807</v>
      </c>
      <c r="R32" s="3">
        <f t="shared" ca="1" si="6"/>
        <v>5.1359859471322968</v>
      </c>
    </row>
    <row r="33" spans="2:18" x14ac:dyDescent="0.25">
      <c r="B33" s="7">
        <f t="shared" si="7"/>
        <v>1</v>
      </c>
      <c r="C33" s="7">
        <v>24</v>
      </c>
      <c r="D33" s="7">
        <f t="shared" si="8"/>
        <v>5.8267608420882587E-32</v>
      </c>
      <c r="E33" s="7">
        <f t="shared" si="9"/>
        <v>1</v>
      </c>
      <c r="F33" s="13"/>
      <c r="G33" s="2">
        <f t="shared" ca="1" si="0"/>
        <v>0.80448381514272926</v>
      </c>
      <c r="H33" s="3">
        <f t="shared" ca="1" si="1"/>
        <v>1</v>
      </c>
      <c r="I33" s="3">
        <f t="shared" ca="1" si="2"/>
        <v>4.8915036367712945</v>
      </c>
      <c r="J33" s="3">
        <f t="shared" ca="1" si="3"/>
        <v>11.058371983220782</v>
      </c>
      <c r="P33" s="3">
        <f t="shared" ca="1" si="4"/>
        <v>-3.49648661109322</v>
      </c>
      <c r="Q33" s="3">
        <f t="shared" ca="1" si="5"/>
        <v>4.2008772922076298</v>
      </c>
      <c r="R33" s="3">
        <f t="shared" ca="1" si="6"/>
        <v>5.4656004835461456</v>
      </c>
    </row>
    <row r="34" spans="2:18" x14ac:dyDescent="0.25">
      <c r="B34" s="7">
        <f t="shared" si="7"/>
        <v>1</v>
      </c>
      <c r="C34" s="7">
        <v>25</v>
      </c>
      <c r="D34" s="7">
        <f t="shared" si="8"/>
        <v>1.165352168417652E-33</v>
      </c>
      <c r="E34" s="7">
        <f t="shared" si="9"/>
        <v>1</v>
      </c>
      <c r="F34" s="13"/>
      <c r="G34" s="2">
        <f t="shared" ca="1" si="0"/>
        <v>0.3245129881424299</v>
      </c>
      <c r="H34" s="3">
        <f t="shared" ca="1" si="1"/>
        <v>0</v>
      </c>
      <c r="I34" s="3">
        <f t="shared" ca="1" si="2"/>
        <v>2.4792343311007863E-2</v>
      </c>
      <c r="J34" s="3">
        <f t="shared" ca="1" si="3"/>
        <v>0.78727922795866812</v>
      </c>
      <c r="P34" s="3">
        <f t="shared" ca="1" si="4"/>
        <v>-3.2646995145881865</v>
      </c>
      <c r="Q34" s="3">
        <f t="shared" ca="1" si="5"/>
        <v>4.3271300837889619</v>
      </c>
      <c r="R34" s="3">
        <f t="shared" ca="1" si="6"/>
        <v>5.4205458841876624</v>
      </c>
    </row>
    <row r="35" spans="2:18" x14ac:dyDescent="0.25">
      <c r="B35" s="7">
        <f t="shared" si="7"/>
        <v>1</v>
      </c>
      <c r="C35" s="7">
        <v>26</v>
      </c>
      <c r="D35" s="7">
        <f t="shared" si="8"/>
        <v>2.2410618623416375E-35</v>
      </c>
      <c r="E35" s="7">
        <f t="shared" si="9"/>
        <v>1</v>
      </c>
      <c r="F35" s="13"/>
      <c r="G35" s="2">
        <f t="shared" ca="1" si="0"/>
        <v>0.75064306422338412</v>
      </c>
      <c r="H35" s="3">
        <f t="shared" ca="1" si="1"/>
        <v>1</v>
      </c>
      <c r="I35" s="3">
        <f t="shared" ca="1" si="2"/>
        <v>1.7845428900159126</v>
      </c>
      <c r="J35" s="3">
        <f t="shared" ca="1" si="3"/>
        <v>6.6793392076161107</v>
      </c>
      <c r="P35" s="3">
        <f t="shared" ca="1" si="4"/>
        <v>-5.3218802103126714</v>
      </c>
      <c r="Q35" s="3">
        <f t="shared" ca="1" si="5"/>
        <v>-2.4794591274269631</v>
      </c>
      <c r="R35" s="3">
        <f t="shared" ca="1" si="6"/>
        <v>5.871126513497944</v>
      </c>
    </row>
    <row r="36" spans="2:18" x14ac:dyDescent="0.25">
      <c r="B36" s="7">
        <f t="shared" si="7"/>
        <v>1</v>
      </c>
      <c r="C36" s="7">
        <v>27</v>
      </c>
      <c r="D36" s="7">
        <f t="shared" si="8"/>
        <v>4.1501145598919221E-37</v>
      </c>
      <c r="E36" s="7">
        <f t="shared" si="9"/>
        <v>1</v>
      </c>
      <c r="F36" s="13"/>
      <c r="G36" s="2">
        <f t="shared" ca="1" si="0"/>
        <v>0.31867183405263622</v>
      </c>
      <c r="H36" s="3">
        <f t="shared" ca="1" si="1"/>
        <v>0</v>
      </c>
      <c r="I36" s="3">
        <f t="shared" ca="1" si="2"/>
        <v>1.0049903854178579</v>
      </c>
      <c r="J36" s="3">
        <f t="shared" ca="1" si="3"/>
        <v>5.0124604372948864</v>
      </c>
      <c r="P36" s="3">
        <f t="shared" ca="1" si="4"/>
        <v>-6.7714631201335962</v>
      </c>
      <c r="Q36" s="3">
        <f t="shared" ca="1" si="5"/>
        <v>9.0670341673010171</v>
      </c>
      <c r="R36" s="3">
        <f t="shared" ca="1" si="6"/>
        <v>11.316528680577514</v>
      </c>
    </row>
    <row r="37" spans="2:18" x14ac:dyDescent="0.25">
      <c r="B37" s="7">
        <f t="shared" si="7"/>
        <v>1</v>
      </c>
      <c r="C37" s="7">
        <v>28</v>
      </c>
      <c r="D37" s="7">
        <f t="shared" si="8"/>
        <v>7.4109188569498623E-39</v>
      </c>
      <c r="E37" s="7">
        <f t="shared" si="9"/>
        <v>1</v>
      </c>
      <c r="F37" s="13"/>
      <c r="G37" s="2">
        <f t="shared" ca="1" si="0"/>
        <v>0.34180476873606369</v>
      </c>
      <c r="H37" s="3">
        <f t="shared" ca="1" si="1"/>
        <v>0</v>
      </c>
      <c r="I37" s="3">
        <f t="shared" ca="1" si="2"/>
        <v>0.94961769803993989</v>
      </c>
      <c r="J37" s="3">
        <f t="shared" ca="1" si="3"/>
        <v>4.8724164898947722</v>
      </c>
      <c r="P37" s="3">
        <f t="shared" ca="1" si="4"/>
        <v>0.7196968644362558</v>
      </c>
      <c r="Q37" s="3">
        <f t="shared" ca="1" si="5"/>
        <v>-10.370516508482087</v>
      </c>
      <c r="R37" s="3">
        <f t="shared" ca="1" si="6"/>
        <v>10.395459404440906</v>
      </c>
    </row>
    <row r="38" spans="2:18" x14ac:dyDescent="0.25">
      <c r="B38" s="7">
        <f t="shared" si="7"/>
        <v>1</v>
      </c>
      <c r="C38" s="7">
        <v>29</v>
      </c>
      <c r="D38" s="7">
        <f t="shared" si="8"/>
        <v>1.2777446305085969E-40</v>
      </c>
      <c r="E38" s="7">
        <f t="shared" si="9"/>
        <v>1</v>
      </c>
      <c r="F38" s="13"/>
      <c r="G38" s="2">
        <f t="shared" ca="1" si="0"/>
        <v>0.93732144307430898</v>
      </c>
      <c r="H38" s="3">
        <f t="shared" ca="1" si="1"/>
        <v>2</v>
      </c>
      <c r="I38" s="3">
        <f t="shared" ca="1" si="2"/>
        <v>6.7201545326473786</v>
      </c>
      <c r="J38" s="3">
        <f t="shared" ca="1" si="3"/>
        <v>12.961630426616262</v>
      </c>
      <c r="P38" s="3">
        <f t="shared" ca="1" si="4"/>
        <v>-1.9694450903936684</v>
      </c>
      <c r="Q38" s="3">
        <f t="shared" ca="1" si="5"/>
        <v>5.3806891274123005</v>
      </c>
      <c r="R38" s="3">
        <f t="shared" ca="1" si="6"/>
        <v>5.7297931419841559</v>
      </c>
    </row>
    <row r="39" spans="2:18" x14ac:dyDescent="0.25">
      <c r="B39" s="7">
        <f t="shared" si="7"/>
        <v>1</v>
      </c>
      <c r="C39" s="7">
        <v>30</v>
      </c>
      <c r="D39" s="7">
        <f t="shared" si="8"/>
        <v>2.1295743841809941E-42</v>
      </c>
      <c r="E39" s="7">
        <f t="shared" si="9"/>
        <v>1</v>
      </c>
      <c r="F39" s="13"/>
      <c r="G39" s="2">
        <f t="shared" ca="1" si="0"/>
        <v>0.99383344827880471</v>
      </c>
      <c r="H39" s="3">
        <f t="shared" ca="1" si="1"/>
        <v>3</v>
      </c>
      <c r="I39" s="3">
        <f t="shared" ca="1" si="2"/>
        <v>8.0815908436418553</v>
      </c>
      <c r="J39" s="3">
        <f t="shared" ca="1" si="3"/>
        <v>14.214069476791169</v>
      </c>
      <c r="P39" s="3">
        <f t="shared" ca="1" si="4"/>
        <v>4.4042818825564023</v>
      </c>
      <c r="Q39" s="3">
        <f t="shared" ca="1" si="5"/>
        <v>-5.5385630769455103</v>
      </c>
      <c r="R39" s="3">
        <f t="shared" ca="1" si="6"/>
        <v>7.0762546490582636</v>
      </c>
    </row>
    <row r="40" spans="2:18" x14ac:dyDescent="0.25">
      <c r="B40" s="7">
        <f t="shared" si="7"/>
        <v>1</v>
      </c>
      <c r="C40" s="7">
        <v>31</v>
      </c>
      <c r="D40" s="7">
        <f t="shared" si="8"/>
        <v>3.4347973938403137E-44</v>
      </c>
      <c r="E40" s="7">
        <f t="shared" si="9"/>
        <v>1</v>
      </c>
      <c r="F40" s="13"/>
      <c r="G40" s="2">
        <f t="shared" ca="1" si="0"/>
        <v>0.75173874512802585</v>
      </c>
      <c r="H40" s="3">
        <f t="shared" ca="1" si="1"/>
        <v>1</v>
      </c>
      <c r="I40" s="3">
        <f t="shared" ca="1" si="2"/>
        <v>8.404445885614189</v>
      </c>
      <c r="J40" s="3">
        <f t="shared" ca="1" si="3"/>
        <v>14.495211179570815</v>
      </c>
      <c r="P40" s="3">
        <f t="shared" ca="1" si="4"/>
        <v>-0.27706479403729212</v>
      </c>
      <c r="Q40" s="3">
        <f t="shared" ca="1" si="5"/>
        <v>-0.38384548499211418</v>
      </c>
      <c r="R40" s="3">
        <f t="shared" ca="1" si="6"/>
        <v>0.47339439840766862</v>
      </c>
    </row>
    <row r="41" spans="2:18" x14ac:dyDescent="0.25">
      <c r="B41" s="7">
        <f t="shared" si="7"/>
        <v>1</v>
      </c>
      <c r="C41" s="7">
        <v>32</v>
      </c>
      <c r="D41" s="7">
        <f t="shared" si="8"/>
        <v>5.3668709278754901E-46</v>
      </c>
      <c r="E41" s="7">
        <f t="shared" si="9"/>
        <v>1</v>
      </c>
      <c r="F41" s="13"/>
      <c r="G41" s="2">
        <f t="shared" ca="1" si="0"/>
        <v>0.19346923151260542</v>
      </c>
      <c r="H41" s="3">
        <f t="shared" ca="1" si="1"/>
        <v>0</v>
      </c>
      <c r="I41" s="3">
        <f t="shared" ca="1" si="2"/>
        <v>0.14444454612883981</v>
      </c>
      <c r="J41" s="3">
        <f t="shared" ca="1" si="3"/>
        <v>1.9002930440384702</v>
      </c>
      <c r="P41" s="3">
        <f t="shared" ca="1" si="4"/>
        <v>-2.7519265855287527</v>
      </c>
      <c r="Q41" s="3">
        <f t="shared" ca="1" si="5"/>
        <v>-4.3743905184215048</v>
      </c>
      <c r="R41" s="3">
        <f t="shared" ca="1" si="6"/>
        <v>5.168016286719296</v>
      </c>
    </row>
    <row r="42" spans="2:18" x14ac:dyDescent="0.25">
      <c r="B42" s="7">
        <f t="shared" si="7"/>
        <v>1</v>
      </c>
      <c r="C42" s="7">
        <v>33</v>
      </c>
      <c r="D42" s="7">
        <f t="shared" si="8"/>
        <v>8.1316226179931641E-48</v>
      </c>
      <c r="E42" s="7">
        <f t="shared" si="9"/>
        <v>1</v>
      </c>
      <c r="F42" s="13"/>
      <c r="G42" s="2">
        <f t="shared" ca="1" si="0"/>
        <v>0.97094268714058307</v>
      </c>
      <c r="H42" s="3">
        <f t="shared" ca="1" si="1"/>
        <v>2</v>
      </c>
      <c r="I42" s="3">
        <f t="shared" ca="1" si="2"/>
        <v>13.7774498113393</v>
      </c>
      <c r="J42" s="3">
        <f t="shared" ca="1" si="3"/>
        <v>18.558993649535054</v>
      </c>
      <c r="P42" s="3">
        <f t="shared" ca="1" si="4"/>
        <v>-5.6572492957060661</v>
      </c>
      <c r="Q42" s="3">
        <f t="shared" ca="1" si="5"/>
        <v>9.1680296046164074</v>
      </c>
      <c r="R42" s="3">
        <f t="shared" ca="1" si="6"/>
        <v>10.772986420899715</v>
      </c>
    </row>
    <row r="43" spans="2:18" x14ac:dyDescent="0.25">
      <c r="B43" s="7">
        <f t="shared" si="7"/>
        <v>1</v>
      </c>
      <c r="C43" s="7">
        <v>34</v>
      </c>
      <c r="D43" s="7">
        <f t="shared" si="8"/>
        <v>1.1958268555872308E-49</v>
      </c>
      <c r="E43" s="7">
        <f t="shared" si="9"/>
        <v>1</v>
      </c>
      <c r="F43" s="13"/>
      <c r="G43" s="2">
        <f t="shared" ca="1" si="0"/>
        <v>0.37976207720291111</v>
      </c>
      <c r="H43" s="3">
        <f t="shared" ca="1" si="1"/>
        <v>0</v>
      </c>
      <c r="I43" s="3">
        <f t="shared" ca="1" si="2"/>
        <v>2.5683262811781828</v>
      </c>
      <c r="J43" s="3">
        <f t="shared" ca="1" si="3"/>
        <v>8.0129992530546623</v>
      </c>
      <c r="P43" s="3">
        <f t="shared" ca="1" si="4"/>
        <v>-11.001451034981997</v>
      </c>
      <c r="Q43" s="3">
        <f t="shared" ca="1" si="5"/>
        <v>-4.0871981149641998</v>
      </c>
      <c r="R43" s="3">
        <f t="shared" ca="1" si="6"/>
        <v>11.736145589846496</v>
      </c>
    </row>
    <row r="44" spans="2:18" x14ac:dyDescent="0.25">
      <c r="B44" s="7">
        <f t="shared" si="7"/>
        <v>1</v>
      </c>
      <c r="C44" s="7">
        <v>35</v>
      </c>
      <c r="D44" s="7">
        <f t="shared" si="8"/>
        <v>1.7083240794103294E-51</v>
      </c>
      <c r="E44" s="7">
        <f t="shared" si="9"/>
        <v>1</v>
      </c>
      <c r="F44" s="13"/>
      <c r="G44" s="2">
        <f t="shared" ca="1" si="0"/>
        <v>0.33464176078658581</v>
      </c>
      <c r="H44" s="3">
        <f t="shared" ca="1" si="1"/>
        <v>0</v>
      </c>
      <c r="I44" s="3">
        <f t="shared" ca="1" si="2"/>
        <v>0.87974585384150872</v>
      </c>
      <c r="J44" s="3">
        <f t="shared" ca="1" si="3"/>
        <v>4.6897384091266456</v>
      </c>
      <c r="P44" s="3">
        <f t="shared" ca="1" si="4"/>
        <v>-1.9084294046832602</v>
      </c>
      <c r="Q44" s="3">
        <f t="shared" ca="1" si="5"/>
        <v>1.5590165616250224</v>
      </c>
      <c r="R44" s="3">
        <f t="shared" ca="1" si="6"/>
        <v>2.4642717853517722</v>
      </c>
    </row>
    <row r="45" spans="2:18" x14ac:dyDescent="0.25">
      <c r="B45" s="7">
        <f t="shared" si="7"/>
        <v>1</v>
      </c>
      <c r="C45" s="7">
        <v>36</v>
      </c>
      <c r="D45" s="7">
        <f t="shared" si="8"/>
        <v>2.3726723325143455E-53</v>
      </c>
      <c r="E45" s="7">
        <f t="shared" si="9"/>
        <v>1</v>
      </c>
      <c r="F45" s="13"/>
      <c r="G45" s="2">
        <f t="shared" ca="1" si="0"/>
        <v>0.67368671732505891</v>
      </c>
      <c r="H45" s="3">
        <f t="shared" ca="1" si="1"/>
        <v>1</v>
      </c>
      <c r="I45" s="3">
        <f t="shared" ca="1" si="2"/>
        <v>4.6522671016834947</v>
      </c>
      <c r="J45" s="3">
        <f t="shared" ca="1" si="3"/>
        <v>10.784557364217012</v>
      </c>
      <c r="P45" s="3">
        <f t="shared" ca="1" si="4"/>
        <v>-0.36796738129307816</v>
      </c>
      <c r="Q45" s="3">
        <f t="shared" ca="1" si="5"/>
        <v>-3.9540100060551726</v>
      </c>
      <c r="R45" s="3">
        <f t="shared" ca="1" si="6"/>
        <v>3.971094952488559</v>
      </c>
    </row>
    <row r="46" spans="2:18" x14ac:dyDescent="0.25">
      <c r="B46" s="7">
        <f t="shared" si="7"/>
        <v>1</v>
      </c>
      <c r="C46" s="7">
        <v>37</v>
      </c>
      <c r="D46" s="7">
        <f t="shared" si="8"/>
        <v>3.2063139628572246E-55</v>
      </c>
      <c r="E46" s="7">
        <f t="shared" si="9"/>
        <v>1</v>
      </c>
      <c r="F46" s="13"/>
      <c r="G46" s="2">
        <f t="shared" ca="1" si="0"/>
        <v>0.87859619153730628</v>
      </c>
      <c r="H46" s="3">
        <f t="shared" ca="1" si="1"/>
        <v>1</v>
      </c>
      <c r="I46" s="3">
        <f t="shared" ca="1" si="2"/>
        <v>5.649445624147571</v>
      </c>
      <c r="J46" s="3">
        <f t="shared" ca="1" si="3"/>
        <v>11.884281240516367</v>
      </c>
      <c r="P46" s="3">
        <f t="shared" ca="1" si="4"/>
        <v>-8.301530737714792</v>
      </c>
      <c r="Q46" s="3">
        <f t="shared" ca="1" si="5"/>
        <v>-13.361609004663411</v>
      </c>
      <c r="R46" s="3">
        <f t="shared" ca="1" si="6"/>
        <v>15.730480214625548</v>
      </c>
    </row>
    <row r="47" spans="2:18" x14ac:dyDescent="0.25">
      <c r="B47" s="7">
        <f t="shared" si="7"/>
        <v>1</v>
      </c>
      <c r="C47" s="7">
        <v>38</v>
      </c>
      <c r="D47" s="7">
        <f t="shared" si="8"/>
        <v>4.2188341616542435E-57</v>
      </c>
      <c r="E47" s="7">
        <f t="shared" si="9"/>
        <v>1</v>
      </c>
      <c r="F47" s="13"/>
      <c r="G47" s="2">
        <f t="shared" ca="1" si="0"/>
        <v>0.7399019500352757</v>
      </c>
      <c r="H47" s="3">
        <f t="shared" ca="1" si="1"/>
        <v>1</v>
      </c>
      <c r="I47" s="3">
        <f t="shared" ca="1" si="2"/>
        <v>5.1282228334364772</v>
      </c>
      <c r="J47" s="3">
        <f t="shared" ca="1" si="3"/>
        <v>11.322789887475258</v>
      </c>
      <c r="P47" s="3">
        <f t="shared" ca="1" si="4"/>
        <v>-13.732990821540598</v>
      </c>
      <c r="Q47" s="3">
        <f t="shared" ca="1" si="5"/>
        <v>2.6034263737548047</v>
      </c>
      <c r="R47" s="3">
        <f t="shared" ca="1" si="6"/>
        <v>13.977584404612994</v>
      </c>
    </row>
    <row r="48" spans="2:18" x14ac:dyDescent="0.25">
      <c r="B48" s="7">
        <f t="shared" si="7"/>
        <v>1</v>
      </c>
      <c r="C48" s="7">
        <v>39</v>
      </c>
      <c r="D48" s="7">
        <f t="shared" si="8"/>
        <v>5.4087617457105668E-59</v>
      </c>
      <c r="E48" s="7">
        <f t="shared" si="9"/>
        <v>1</v>
      </c>
      <c r="F48" s="13"/>
      <c r="G48" s="2">
        <f t="shared" ca="1" si="0"/>
        <v>6.3133816414775223E-2</v>
      </c>
      <c r="H48" s="3">
        <f t="shared" ca="1" si="1"/>
        <v>0</v>
      </c>
      <c r="I48" s="3">
        <f t="shared" ca="1" si="2"/>
        <v>4.9526243830398897</v>
      </c>
      <c r="J48" s="3">
        <f t="shared" ca="1" si="3"/>
        <v>11.12724627102309</v>
      </c>
      <c r="P48" s="3">
        <f t="shared" ca="1" si="4"/>
        <v>-9.9075177745808816</v>
      </c>
      <c r="Q48" s="3">
        <f t="shared" ca="1" si="5"/>
        <v>-6.7092012985853797</v>
      </c>
      <c r="R48" s="3">
        <f t="shared" ca="1" si="6"/>
        <v>11.965462403040505</v>
      </c>
    </row>
    <row r="49" spans="2:18" x14ac:dyDescent="0.25">
      <c r="B49" s="7">
        <f t="shared" si="7"/>
        <v>1</v>
      </c>
      <c r="C49" s="7">
        <v>40</v>
      </c>
      <c r="D49" s="7">
        <f t="shared" si="8"/>
        <v>6.760952182138208E-61</v>
      </c>
      <c r="E49" s="7">
        <f t="shared" si="9"/>
        <v>1</v>
      </c>
      <c r="F49" s="13"/>
      <c r="G49" s="2">
        <f t="shared" ca="1" si="0"/>
        <v>0.33590708562373794</v>
      </c>
      <c r="H49" s="3">
        <f t="shared" ca="1" si="1"/>
        <v>0</v>
      </c>
      <c r="I49" s="3">
        <f t="shared" ca="1" si="2"/>
        <v>9.2194718466598928</v>
      </c>
      <c r="J49" s="3">
        <f t="shared" ca="1" si="3"/>
        <v>15.181791599363274</v>
      </c>
      <c r="P49" s="3">
        <f t="shared" ca="1" si="4"/>
        <v>7.2383092010072083</v>
      </c>
      <c r="Q49" s="3">
        <f t="shared" ca="1" si="5"/>
        <v>0.98567770630678286</v>
      </c>
      <c r="R49" s="3">
        <f t="shared" ca="1" si="6"/>
        <v>7.3051133208250656</v>
      </c>
    </row>
    <row r="50" spans="2:18" x14ac:dyDescent="0.25">
      <c r="B50" s="7">
        <f t="shared" si="7"/>
        <v>1</v>
      </c>
      <c r="C50" s="7">
        <v>41</v>
      </c>
      <c r="D50" s="7">
        <f t="shared" si="8"/>
        <v>8.245063636753916E-63</v>
      </c>
      <c r="E50" s="7">
        <f t="shared" si="9"/>
        <v>1</v>
      </c>
      <c r="F50" s="13"/>
      <c r="G50" s="2">
        <f t="shared" ca="1" si="0"/>
        <v>0.98696397916099643</v>
      </c>
      <c r="H50" s="3">
        <f t="shared" ca="1" si="1"/>
        <v>3</v>
      </c>
      <c r="I50" s="3">
        <f t="shared" ca="1" si="2"/>
        <v>7.8570136274870386</v>
      </c>
      <c r="J50" s="3">
        <f t="shared" ca="1" si="3"/>
        <v>14.015182506381283</v>
      </c>
      <c r="P50" s="3">
        <f t="shared" ca="1" si="4"/>
        <v>0.23081034387282529</v>
      </c>
      <c r="Q50" s="3">
        <f t="shared" ca="1" si="5"/>
        <v>4.4500589492111011</v>
      </c>
      <c r="R50" s="3">
        <f t="shared" ca="1" si="6"/>
        <v>4.4560406266429506</v>
      </c>
    </row>
    <row r="51" spans="2:18" x14ac:dyDescent="0.25">
      <c r="B51" s="7">
        <f t="shared" si="7"/>
        <v>1</v>
      </c>
      <c r="C51" s="7">
        <v>42</v>
      </c>
      <c r="D51" s="7">
        <f t="shared" si="8"/>
        <v>9.8155519485165634E-65</v>
      </c>
      <c r="E51" s="7">
        <f t="shared" si="9"/>
        <v>1</v>
      </c>
      <c r="F51" s="13"/>
      <c r="G51" s="2">
        <f t="shared" ca="1" si="0"/>
        <v>0.99294275212655214</v>
      </c>
      <c r="H51" s="3">
        <f t="shared" ca="1" si="1"/>
        <v>3</v>
      </c>
      <c r="I51" s="3">
        <f t="shared" ca="1" si="2"/>
        <v>9.2495178883857907</v>
      </c>
      <c r="J51" s="3">
        <f t="shared" ca="1" si="3"/>
        <v>15.206510027275975</v>
      </c>
      <c r="P51" s="3">
        <f t="shared" ca="1" si="4"/>
        <v>-5.9119485726198073</v>
      </c>
      <c r="Q51" s="3">
        <f t="shared" ca="1" si="5"/>
        <v>-4.7165352605753341</v>
      </c>
      <c r="R51" s="3">
        <f t="shared" ca="1" si="6"/>
        <v>7.5628592998648214</v>
      </c>
    </row>
    <row r="52" spans="2:18" x14ac:dyDescent="0.25">
      <c r="B52" s="7">
        <f t="shared" si="7"/>
        <v>1</v>
      </c>
      <c r="C52" s="7">
        <v>43</v>
      </c>
      <c r="D52" s="7">
        <f t="shared" si="8"/>
        <v>1.1413432498275073E-66</v>
      </c>
      <c r="E52" s="7">
        <f t="shared" si="9"/>
        <v>1</v>
      </c>
      <c r="F52" s="13"/>
      <c r="G52" s="2">
        <f t="shared" ca="1" si="0"/>
        <v>0.96623717931024511</v>
      </c>
      <c r="H52" s="3">
        <f t="shared" ca="1" si="1"/>
        <v>2</v>
      </c>
      <c r="I52" s="3">
        <f t="shared" ca="1" si="2"/>
        <v>3.5153451293060485</v>
      </c>
      <c r="J52" s="3">
        <f t="shared" ca="1" si="3"/>
        <v>9.3746268316478183</v>
      </c>
      <c r="P52" s="3">
        <f t="shared" ca="1" si="4"/>
        <v>-6.505250103524709</v>
      </c>
      <c r="Q52" s="3">
        <f t="shared" ca="1" si="5"/>
        <v>5.2875371523267409</v>
      </c>
      <c r="R52" s="3">
        <f t="shared" ca="1" si="6"/>
        <v>8.3830977595781278</v>
      </c>
    </row>
    <row r="53" spans="2:18" x14ac:dyDescent="0.25">
      <c r="B53" s="7">
        <f t="shared" si="7"/>
        <v>1</v>
      </c>
      <c r="C53" s="7">
        <v>44</v>
      </c>
      <c r="D53" s="7">
        <f t="shared" si="8"/>
        <v>1.2969809657130764E-68</v>
      </c>
      <c r="E53" s="7">
        <f t="shared" si="9"/>
        <v>1</v>
      </c>
      <c r="F53" s="13"/>
      <c r="G53" s="2">
        <f t="shared" ca="1" si="0"/>
        <v>0.25166036362545585</v>
      </c>
      <c r="H53" s="3">
        <f t="shared" ca="1" si="1"/>
        <v>0</v>
      </c>
      <c r="I53" s="3">
        <f t="shared" ca="1" si="2"/>
        <v>0.90135656498053485</v>
      </c>
      <c r="J53" s="3">
        <f t="shared" ca="1" si="3"/>
        <v>4.746990006784654</v>
      </c>
      <c r="P53" s="3">
        <f t="shared" ca="1" si="4"/>
        <v>-5.4313076002222687</v>
      </c>
      <c r="Q53" s="3">
        <f t="shared" ca="1" si="5"/>
        <v>2.2404554262399516</v>
      </c>
      <c r="R53" s="3">
        <f t="shared" ca="1" si="6"/>
        <v>5.8752653357274189</v>
      </c>
    </row>
    <row r="54" spans="2:18" x14ac:dyDescent="0.25">
      <c r="B54" s="7">
        <f t="shared" si="7"/>
        <v>1</v>
      </c>
      <c r="C54" s="7">
        <v>45</v>
      </c>
      <c r="D54" s="7">
        <f t="shared" si="8"/>
        <v>1.4410899619034184E-70</v>
      </c>
      <c r="E54" s="7">
        <f t="shared" si="9"/>
        <v>1</v>
      </c>
      <c r="F54" s="13"/>
      <c r="G54" s="2">
        <f t="shared" ca="1" si="0"/>
        <v>0.45412163235409397</v>
      </c>
      <c r="H54" s="3">
        <f t="shared" ca="1" si="1"/>
        <v>0</v>
      </c>
      <c r="I54" s="3">
        <f t="shared" ca="1" si="2"/>
        <v>1.4001324864281728</v>
      </c>
      <c r="J54" s="3">
        <f t="shared" ca="1" si="3"/>
        <v>5.9163597051484551</v>
      </c>
      <c r="P54" s="3">
        <f t="shared" ca="1" si="4"/>
        <v>-11.542839420812449</v>
      </c>
      <c r="Q54" s="3">
        <f t="shared" ca="1" si="5"/>
        <v>0.62422400856004079</v>
      </c>
      <c r="R54" s="3">
        <f t="shared" ca="1" si="6"/>
        <v>11.5597057708025</v>
      </c>
    </row>
    <row r="55" spans="2:18" x14ac:dyDescent="0.25">
      <c r="B55" s="7">
        <f t="shared" si="7"/>
        <v>1</v>
      </c>
      <c r="C55" s="7">
        <v>46</v>
      </c>
      <c r="D55" s="7">
        <f t="shared" si="8"/>
        <v>1.5664021325037158E-72</v>
      </c>
      <c r="E55" s="7">
        <f t="shared" si="9"/>
        <v>1</v>
      </c>
      <c r="F55" s="13"/>
      <c r="G55" s="2">
        <f t="shared" ca="1" si="0"/>
        <v>0.26585739043387446</v>
      </c>
      <c r="H55" s="3">
        <f t="shared" ca="1" si="1"/>
        <v>0</v>
      </c>
      <c r="I55" s="3">
        <f t="shared" ca="1" si="2"/>
        <v>0.15419270258325302</v>
      </c>
      <c r="J55" s="3">
        <f t="shared" ca="1" si="3"/>
        <v>1.9633689323663359</v>
      </c>
      <c r="P55" s="3">
        <f t="shared" ca="1" si="4"/>
        <v>-3.5922443471665035</v>
      </c>
      <c r="Q55" s="3">
        <f t="shared" ca="1" si="5"/>
        <v>0.55553644033925553</v>
      </c>
      <c r="R55" s="3">
        <f t="shared" ca="1" si="6"/>
        <v>3.6349470678807019</v>
      </c>
    </row>
    <row r="56" spans="2:18" x14ac:dyDescent="0.25">
      <c r="B56" s="7">
        <f t="shared" si="7"/>
        <v>1</v>
      </c>
      <c r="C56" s="7">
        <v>47</v>
      </c>
      <c r="D56" s="7">
        <f t="shared" si="8"/>
        <v>1.666385247344378E-74</v>
      </c>
      <c r="E56" s="7">
        <f t="shared" si="9"/>
        <v>1</v>
      </c>
      <c r="F56" s="13"/>
      <c r="G56" s="2">
        <f t="shared" ca="1" si="0"/>
        <v>0.97638314763382883</v>
      </c>
      <c r="H56" s="3">
        <f t="shared" ca="1" si="1"/>
        <v>2</v>
      </c>
      <c r="I56" s="3">
        <f t="shared" ca="1" si="2"/>
        <v>5.8002694499489795</v>
      </c>
      <c r="J56" s="3">
        <f t="shared" ca="1" si="3"/>
        <v>12.041874283047655</v>
      </c>
      <c r="P56" s="3">
        <f t="shared" ca="1" si="4"/>
        <v>2.4838352516304099</v>
      </c>
      <c r="Q56" s="3">
        <f t="shared" ca="1" si="5"/>
        <v>-1.1415517923093637</v>
      </c>
      <c r="R56" s="3">
        <f t="shared" ca="1" si="6"/>
        <v>2.7336016629652944</v>
      </c>
    </row>
    <row r="57" spans="2:18" x14ac:dyDescent="0.25">
      <c r="B57" s="7">
        <f t="shared" si="7"/>
        <v>1</v>
      </c>
      <c r="C57" s="7">
        <v>48</v>
      </c>
      <c r="D57" s="7">
        <f t="shared" si="8"/>
        <v>1.7358179659837282E-76</v>
      </c>
      <c r="E57" s="7">
        <f t="shared" si="9"/>
        <v>1</v>
      </c>
      <c r="F57" s="13"/>
      <c r="G57" s="2">
        <f t="shared" ca="1" si="0"/>
        <v>0.26337554570149802</v>
      </c>
      <c r="H57" s="3">
        <f t="shared" ca="1" si="1"/>
        <v>0</v>
      </c>
      <c r="I57" s="3">
        <f t="shared" ca="1" si="2"/>
        <v>1.9111899843032267</v>
      </c>
      <c r="J57" s="3">
        <f t="shared" ca="1" si="3"/>
        <v>6.9122897514196167</v>
      </c>
      <c r="P57" s="3">
        <f t="shared" ca="1" si="4"/>
        <v>-5.3335986449009081</v>
      </c>
      <c r="Q57" s="3">
        <f t="shared" ca="1" si="5"/>
        <v>3.3089999520858476E-2</v>
      </c>
      <c r="R57" s="3">
        <f t="shared" ca="1" si="6"/>
        <v>5.3337012901883707</v>
      </c>
    </row>
    <row r="58" spans="2:18" x14ac:dyDescent="0.25">
      <c r="B58" s="7">
        <f t="shared" si="7"/>
        <v>1</v>
      </c>
      <c r="C58" s="7">
        <v>49</v>
      </c>
      <c r="D58" s="7">
        <f t="shared" si="8"/>
        <v>1.7712428224323741E-78</v>
      </c>
      <c r="E58" s="7">
        <f t="shared" si="9"/>
        <v>1</v>
      </c>
      <c r="F58" s="13"/>
      <c r="G58" s="2">
        <f t="shared" ca="1" si="0"/>
        <v>0.9709698673205539</v>
      </c>
      <c r="H58" s="3">
        <f t="shared" ca="1" si="1"/>
        <v>2</v>
      </c>
      <c r="I58" s="3">
        <f t="shared" ca="1" si="2"/>
        <v>6.8806320195022552</v>
      </c>
      <c r="J58" s="3">
        <f t="shared" ca="1" si="3"/>
        <v>13.115479422711028</v>
      </c>
      <c r="P58" s="3">
        <f t="shared" ca="1" si="4"/>
        <v>1.0111288084846013</v>
      </c>
      <c r="Q58" s="3">
        <f t="shared" ca="1" si="5"/>
        <v>-4.3968242254933134</v>
      </c>
      <c r="R58" s="3">
        <f t="shared" ca="1" si="6"/>
        <v>4.5115900453423698</v>
      </c>
    </row>
    <row r="59" spans="2:18" x14ac:dyDescent="0.25">
      <c r="B59" s="7">
        <f t="shared" si="7"/>
        <v>1</v>
      </c>
      <c r="C59" s="7">
        <v>50</v>
      </c>
      <c r="D59" s="7">
        <f t="shared" si="8"/>
        <v>1.7712428224323752E-80</v>
      </c>
      <c r="E59" s="7">
        <f t="shared" si="9"/>
        <v>1</v>
      </c>
      <c r="F59" s="13"/>
      <c r="G59" s="2">
        <f t="shared" ca="1" si="0"/>
        <v>0.46169216445782535</v>
      </c>
      <c r="H59" s="3">
        <f t="shared" ca="1" si="1"/>
        <v>0</v>
      </c>
      <c r="I59" s="3">
        <f t="shared" ca="1" si="2"/>
        <v>0.31633242540757334</v>
      </c>
      <c r="J59" s="3">
        <f t="shared" ca="1" si="3"/>
        <v>2.8121718715592996</v>
      </c>
      <c r="P59" s="3">
        <f t="shared" ca="1" si="4"/>
        <v>-5.0469508657186957</v>
      </c>
      <c r="Q59" s="3">
        <f t="shared" ca="1" si="5"/>
        <v>-4.4703201860847397</v>
      </c>
      <c r="R59" s="3">
        <f t="shared" ca="1" si="6"/>
        <v>6.7420676062388605</v>
      </c>
    </row>
    <row r="60" spans="2:18" x14ac:dyDescent="0.25">
      <c r="B60" s="7">
        <f t="shared" si="7"/>
        <v>1</v>
      </c>
      <c r="C60" s="7">
        <v>51</v>
      </c>
      <c r="D60" s="7">
        <f t="shared" si="8"/>
        <v>1.7365125710121334E-82</v>
      </c>
      <c r="E60" s="7">
        <f t="shared" si="9"/>
        <v>1</v>
      </c>
      <c r="F60" s="13"/>
      <c r="G60" s="2">
        <f t="shared" ca="1" si="0"/>
        <v>0.6521566417937984</v>
      </c>
      <c r="H60" s="3">
        <f t="shared" ca="1" si="1"/>
        <v>1</v>
      </c>
      <c r="I60" s="3">
        <f t="shared" ca="1" si="2"/>
        <v>5.3237652554493167</v>
      </c>
      <c r="J60" s="3">
        <f t="shared" ca="1" si="3"/>
        <v>11.536642985991763</v>
      </c>
      <c r="P60" s="3">
        <f t="shared" ca="1" si="4"/>
        <v>1.0564100526003486</v>
      </c>
      <c r="Q60" s="3">
        <f t="shared" ca="1" si="5"/>
        <v>1.6317668915371295</v>
      </c>
      <c r="R60" s="3">
        <f t="shared" ca="1" si="6"/>
        <v>1.9438789539350998</v>
      </c>
    </row>
    <row r="61" spans="2:18" x14ac:dyDescent="0.25">
      <c r="B61" s="7">
        <f t="shared" si="7"/>
        <v>1</v>
      </c>
      <c r="C61" s="7">
        <v>52</v>
      </c>
      <c r="D61" s="7">
        <f t="shared" si="8"/>
        <v>1.6697236259732039E-84</v>
      </c>
      <c r="E61" s="7">
        <f t="shared" si="9"/>
        <v>1</v>
      </c>
      <c r="F61" s="13"/>
      <c r="G61" s="2">
        <f t="shared" ca="1" si="0"/>
        <v>0.79810341899070725</v>
      </c>
      <c r="H61" s="3">
        <f t="shared" ca="1" si="1"/>
        <v>1</v>
      </c>
      <c r="I61" s="3">
        <f t="shared" ca="1" si="2"/>
        <v>5.0112347692838179</v>
      </c>
      <c r="J61" s="3">
        <f t="shared" ca="1" si="3"/>
        <v>11.192893693415275</v>
      </c>
      <c r="P61" s="3">
        <f t="shared" ca="1" si="4"/>
        <v>-6.7968783823171046</v>
      </c>
      <c r="Q61" s="3">
        <f t="shared" ca="1" si="5"/>
        <v>1.2963354437270853</v>
      </c>
      <c r="R61" s="3">
        <f t="shared" ca="1" si="6"/>
        <v>6.9193960232575709</v>
      </c>
    </row>
    <row r="62" spans="2:18" x14ac:dyDescent="0.25">
      <c r="B62" s="7">
        <f t="shared" si="7"/>
        <v>1</v>
      </c>
      <c r="C62" s="7">
        <v>53</v>
      </c>
      <c r="D62" s="7">
        <f t="shared" si="8"/>
        <v>1.57521096789925E-86</v>
      </c>
      <c r="E62" s="7">
        <f t="shared" si="9"/>
        <v>1</v>
      </c>
      <c r="F62" s="13"/>
      <c r="G62" s="2">
        <f t="shared" ca="1" si="0"/>
        <v>0.73243404671084933</v>
      </c>
      <c r="H62" s="3">
        <f t="shared" ca="1" si="1"/>
        <v>1</v>
      </c>
      <c r="I62" s="3">
        <f t="shared" ca="1" si="2"/>
        <v>5.2877034844626811</v>
      </c>
      <c r="J62" s="3">
        <f t="shared" ca="1" si="3"/>
        <v>11.497503516484223</v>
      </c>
      <c r="P62" s="3">
        <f t="shared" ca="1" si="4"/>
        <v>4.4786989015597634</v>
      </c>
      <c r="Q62" s="3">
        <f t="shared" ca="1" si="5"/>
        <v>1.1613457754263972</v>
      </c>
      <c r="R62" s="3">
        <f t="shared" ca="1" si="6"/>
        <v>4.6268204915398838</v>
      </c>
    </row>
    <row r="63" spans="2:18" x14ac:dyDescent="0.25">
      <c r="B63" s="7">
        <f t="shared" si="7"/>
        <v>1</v>
      </c>
      <c r="C63" s="7">
        <v>54</v>
      </c>
      <c r="D63" s="7">
        <f t="shared" si="8"/>
        <v>1.458528673980787E-88</v>
      </c>
      <c r="E63" s="7">
        <f t="shared" si="9"/>
        <v>1</v>
      </c>
      <c r="F63" s="13"/>
      <c r="G63" s="2">
        <f t="shared" ca="1" si="0"/>
        <v>0.95103444405100834</v>
      </c>
      <c r="H63" s="3">
        <f t="shared" ca="1" si="1"/>
        <v>2</v>
      </c>
      <c r="I63" s="3">
        <f t="shared" ca="1" si="2"/>
        <v>6.0001025403741597</v>
      </c>
      <c r="J63" s="3">
        <f t="shared" ca="1" si="3"/>
        <v>12.24755336829989</v>
      </c>
      <c r="P63" s="3">
        <f t="shared" ca="1" si="4"/>
        <v>-7.1153836398122925</v>
      </c>
      <c r="Q63" s="3">
        <f t="shared" ca="1" si="5"/>
        <v>-1.2892174969507744</v>
      </c>
      <c r="R63" s="3">
        <f t="shared" ca="1" si="6"/>
        <v>7.2312354474289142</v>
      </c>
    </row>
    <row r="64" spans="2:18" x14ac:dyDescent="0.25">
      <c r="B64" s="7">
        <f t="shared" si="7"/>
        <v>1</v>
      </c>
      <c r="C64" s="7">
        <v>55</v>
      </c>
      <c r="D64" s="7">
        <f t="shared" si="8"/>
        <v>1.3259351581643525E-90</v>
      </c>
      <c r="E64" s="7">
        <f t="shared" si="9"/>
        <v>1</v>
      </c>
      <c r="F64" s="13"/>
      <c r="G64" s="2">
        <f t="shared" ca="1" si="0"/>
        <v>0.36482491126682492</v>
      </c>
      <c r="H64" s="3">
        <f t="shared" ca="1" si="1"/>
        <v>0</v>
      </c>
      <c r="I64" s="3">
        <f t="shared" ca="1" si="2"/>
        <v>6.9158253396813904E-2</v>
      </c>
      <c r="J64" s="3">
        <f t="shared" ca="1" si="3"/>
        <v>1.3148978420091606</v>
      </c>
      <c r="P64" s="3">
        <f t="shared" ca="1" si="4"/>
        <v>-0.53540049040539639</v>
      </c>
      <c r="Q64" s="3">
        <f t="shared" ca="1" si="5"/>
        <v>4.0043771489024609</v>
      </c>
      <c r="R64" s="3">
        <f t="shared" ca="1" si="6"/>
        <v>4.0400111430265317</v>
      </c>
    </row>
    <row r="65" spans="2:18" x14ac:dyDescent="0.25">
      <c r="B65" s="7">
        <f t="shared" si="7"/>
        <v>1</v>
      </c>
      <c r="C65" s="7">
        <v>56</v>
      </c>
      <c r="D65" s="7">
        <f t="shared" si="8"/>
        <v>1.183870676932457E-92</v>
      </c>
      <c r="E65" s="7">
        <f t="shared" si="9"/>
        <v>1</v>
      </c>
      <c r="F65" s="13"/>
      <c r="G65" s="2">
        <f t="shared" ca="1" si="0"/>
        <v>0.30606309774083229</v>
      </c>
      <c r="H65" s="3">
        <f t="shared" ca="1" si="1"/>
        <v>0</v>
      </c>
      <c r="I65" s="3">
        <f t="shared" ca="1" si="2"/>
        <v>1.2844343058829655</v>
      </c>
      <c r="J65" s="3">
        <f t="shared" ca="1" si="3"/>
        <v>5.6666443021486836</v>
      </c>
      <c r="P65" s="3">
        <f t="shared" ca="1" si="4"/>
        <v>-6.5124584505585661</v>
      </c>
      <c r="Q65" s="3">
        <f t="shared" ca="1" si="5"/>
        <v>1.821728886893937</v>
      </c>
      <c r="R65" s="3">
        <f t="shared" ca="1" si="6"/>
        <v>6.7624560041153314</v>
      </c>
    </row>
    <row r="66" spans="2:18" x14ac:dyDescent="0.25">
      <c r="B66" s="7">
        <f t="shared" si="7"/>
        <v>1</v>
      </c>
      <c r="C66" s="7">
        <v>57</v>
      </c>
      <c r="D66" s="7">
        <f t="shared" si="8"/>
        <v>1.038483049940751E-94</v>
      </c>
      <c r="E66" s="7">
        <f t="shared" si="9"/>
        <v>1</v>
      </c>
      <c r="F66" s="13"/>
      <c r="G66" s="2">
        <f t="shared" ca="1" si="0"/>
        <v>0.8683894719570916</v>
      </c>
      <c r="H66" s="3">
        <f t="shared" ca="1" si="1"/>
        <v>1</v>
      </c>
      <c r="I66" s="3">
        <f t="shared" ca="1" si="2"/>
        <v>7.1702035881318942</v>
      </c>
      <c r="J66" s="3">
        <f t="shared" ca="1" si="3"/>
        <v>13.388617916099381</v>
      </c>
      <c r="P66" s="3">
        <f t="shared" ca="1" si="4"/>
        <v>-2.3786226212939718</v>
      </c>
      <c r="Q66" s="3">
        <f t="shared" ca="1" si="5"/>
        <v>4.1729232392947031</v>
      </c>
      <c r="R66" s="3">
        <f t="shared" ca="1" si="6"/>
        <v>4.8032420234230546</v>
      </c>
    </row>
    <row r="67" spans="2:18" x14ac:dyDescent="0.25">
      <c r="B67" s="7">
        <f t="shared" si="7"/>
        <v>1</v>
      </c>
      <c r="C67" s="7">
        <v>58</v>
      </c>
      <c r="D67" s="7">
        <f t="shared" si="8"/>
        <v>8.9524400856961313E-97</v>
      </c>
      <c r="E67" s="7">
        <f t="shared" si="9"/>
        <v>1</v>
      </c>
      <c r="F67" s="13"/>
      <c r="G67" s="2">
        <f t="shared" ca="1" si="0"/>
        <v>0.98318261567796861</v>
      </c>
      <c r="H67" s="3">
        <f t="shared" ca="1" si="1"/>
        <v>2</v>
      </c>
      <c r="I67" s="3">
        <f t="shared" ca="1" si="2"/>
        <v>4.3269182695748407</v>
      </c>
      <c r="J67" s="3">
        <f t="shared" ca="1" si="3"/>
        <v>10.400622901507919</v>
      </c>
      <c r="P67" s="3">
        <f t="shared" ca="1" si="4"/>
        <v>-3.2099333896007787</v>
      </c>
      <c r="Q67" s="3">
        <f t="shared" ca="1" si="5"/>
        <v>-3.1583122251998623</v>
      </c>
      <c r="R67" s="3">
        <f t="shared" ca="1" si="6"/>
        <v>4.5031775978214377</v>
      </c>
    </row>
    <row r="68" spans="2:18" x14ac:dyDescent="0.25">
      <c r="B68" s="7">
        <f t="shared" si="7"/>
        <v>1</v>
      </c>
      <c r="C68" s="7">
        <v>59</v>
      </c>
      <c r="D68" s="7">
        <f t="shared" si="8"/>
        <v>7.5868136319458758E-99</v>
      </c>
      <c r="E68" s="7">
        <f t="shared" si="9"/>
        <v>1</v>
      </c>
      <c r="F68" s="13"/>
      <c r="G68" s="2">
        <f t="shared" ref="G68:G131" ca="1" si="10">RAND()</f>
        <v>5.3772918157002803E-2</v>
      </c>
      <c r="H68" s="3">
        <f t="shared" ref="H68:H131" ca="1" si="11">VLOOKUP(G68,$B$9:$C$169,2,TRUE)</f>
        <v>0</v>
      </c>
      <c r="I68" s="3">
        <f t="shared" ref="I68:I131" ca="1" si="12">_xlfn.CHISQ.INV(RAND(),2*H68+2)</f>
        <v>0.44127543589068202</v>
      </c>
      <c r="J68" s="3">
        <f t="shared" ref="J68:J131" ca="1" si="13">$C$4*SQRT(I68)</f>
        <v>3.3214282917544753</v>
      </c>
      <c r="P68" s="3">
        <f t="shared" ref="P68:P131" ca="1" si="14">_xlfn.NORM.INV(RAND(),$C$3*COS($O$2),$C$4)</f>
        <v>-9.5825089788511804</v>
      </c>
      <c r="Q68" s="3">
        <f t="shared" ref="Q68:Q131" ca="1" si="15">_xlfn.NORM.INV(RAND(),$C$3*SIN($O$2),$C$4)</f>
        <v>-6.297372354240804</v>
      </c>
      <c r="R68" s="3">
        <f t="shared" ref="R68:R131" ca="1" si="16">SQRT(P68^2+Q68^2)</f>
        <v>11.466532906581651</v>
      </c>
    </row>
    <row r="69" spans="2:18" x14ac:dyDescent="0.25">
      <c r="B69" s="7">
        <f t="shared" si="7"/>
        <v>1</v>
      </c>
      <c r="C69" s="7">
        <v>60</v>
      </c>
      <c r="D69" s="7">
        <f t="shared" si="8"/>
        <v>6.3223446932882289E-101</v>
      </c>
      <c r="E69" s="7">
        <f t="shared" si="9"/>
        <v>1</v>
      </c>
      <c r="F69" s="13"/>
      <c r="G69" s="2">
        <f t="shared" ca="1" si="10"/>
        <v>0.24104026429567849</v>
      </c>
      <c r="H69" s="3">
        <f t="shared" ca="1" si="11"/>
        <v>0</v>
      </c>
      <c r="I69" s="3">
        <f t="shared" ca="1" si="12"/>
        <v>2.5946198846514421</v>
      </c>
      <c r="J69" s="3">
        <f t="shared" ca="1" si="13"/>
        <v>8.0539119138643454</v>
      </c>
      <c r="P69" s="3">
        <f t="shared" ca="1" si="14"/>
        <v>1.8176417130373945</v>
      </c>
      <c r="Q69" s="3">
        <f t="shared" ca="1" si="15"/>
        <v>-3.5724529344730747</v>
      </c>
      <c r="R69" s="3">
        <f t="shared" ca="1" si="16"/>
        <v>4.0082716182912046</v>
      </c>
    </row>
    <row r="70" spans="2:18" x14ac:dyDescent="0.25">
      <c r="B70" s="7">
        <f t="shared" si="7"/>
        <v>1</v>
      </c>
      <c r="C70" s="7">
        <v>61</v>
      </c>
      <c r="D70" s="7">
        <f t="shared" si="8"/>
        <v>5.182249748596911E-103</v>
      </c>
      <c r="E70" s="7">
        <f t="shared" si="9"/>
        <v>1</v>
      </c>
      <c r="F70" s="13"/>
      <c r="G70" s="2">
        <f t="shared" ca="1" si="10"/>
        <v>0.95270496479412181</v>
      </c>
      <c r="H70" s="3">
        <f t="shared" ca="1" si="11"/>
        <v>2</v>
      </c>
      <c r="I70" s="3">
        <f t="shared" ca="1" si="12"/>
        <v>10.289909827095531</v>
      </c>
      <c r="J70" s="3">
        <f t="shared" ca="1" si="13"/>
        <v>16.038944655973729</v>
      </c>
      <c r="P70" s="3">
        <f t="shared" ca="1" si="14"/>
        <v>-4.8205736892410993</v>
      </c>
      <c r="Q70" s="3">
        <f t="shared" ca="1" si="15"/>
        <v>0.68412905049946615</v>
      </c>
      <c r="R70" s="3">
        <f t="shared" ca="1" si="16"/>
        <v>4.8688770010281468</v>
      </c>
    </row>
    <row r="71" spans="2:18" x14ac:dyDescent="0.25">
      <c r="B71" s="7">
        <f t="shared" si="7"/>
        <v>1</v>
      </c>
      <c r="C71" s="7">
        <v>62</v>
      </c>
      <c r="D71" s="7">
        <f t="shared" si="8"/>
        <v>4.1792336682233131E-105</v>
      </c>
      <c r="E71" s="7">
        <f t="shared" si="9"/>
        <v>1</v>
      </c>
      <c r="F71" s="13"/>
      <c r="G71" s="2">
        <f t="shared" ca="1" si="10"/>
        <v>0.51890850658117482</v>
      </c>
      <c r="H71" s="3">
        <f t="shared" ca="1" si="11"/>
        <v>0</v>
      </c>
      <c r="I71" s="3">
        <f t="shared" ca="1" si="12"/>
        <v>0.35853991071505786</v>
      </c>
      <c r="J71" s="3">
        <f t="shared" ca="1" si="13"/>
        <v>2.9939101135265309</v>
      </c>
      <c r="P71" s="3">
        <f t="shared" ca="1" si="14"/>
        <v>-3.8793273713115211</v>
      </c>
      <c r="Q71" s="3">
        <f t="shared" ca="1" si="15"/>
        <v>-0.18656431385325487</v>
      </c>
      <c r="R71" s="3">
        <f t="shared" ca="1" si="16"/>
        <v>3.8838108987192324</v>
      </c>
    </row>
    <row r="72" spans="2:18" x14ac:dyDescent="0.25">
      <c r="B72" s="7">
        <f t="shared" si="7"/>
        <v>1</v>
      </c>
      <c r="C72" s="7">
        <v>63</v>
      </c>
      <c r="D72" s="7">
        <f t="shared" si="8"/>
        <v>3.3168521176375515E-107</v>
      </c>
      <c r="E72" s="7">
        <f t="shared" si="9"/>
        <v>1</v>
      </c>
      <c r="F72" s="13"/>
      <c r="G72" s="2">
        <f t="shared" ca="1" si="10"/>
        <v>0.48472066660018254</v>
      </c>
      <c r="H72" s="3">
        <f t="shared" ca="1" si="11"/>
        <v>0</v>
      </c>
      <c r="I72" s="3">
        <f t="shared" ca="1" si="12"/>
        <v>1.3730216184606576</v>
      </c>
      <c r="J72" s="3">
        <f t="shared" ca="1" si="13"/>
        <v>5.8588002578613683</v>
      </c>
      <c r="P72" s="3">
        <f t="shared" ca="1" si="14"/>
        <v>-5.0532183462694293</v>
      </c>
      <c r="Q72" s="3">
        <f t="shared" ca="1" si="15"/>
        <v>-3.3778039440494072</v>
      </c>
      <c r="R72" s="3">
        <f t="shared" ca="1" si="16"/>
        <v>6.0782049274032932</v>
      </c>
    </row>
    <row r="73" spans="2:18" x14ac:dyDescent="0.25">
      <c r="B73" s="7">
        <f t="shared" si="7"/>
        <v>1</v>
      </c>
      <c r="C73" s="7">
        <v>64</v>
      </c>
      <c r="D73" s="7">
        <f t="shared" si="8"/>
        <v>2.5912907169043371E-109</v>
      </c>
      <c r="E73" s="7">
        <f t="shared" si="9"/>
        <v>1</v>
      </c>
      <c r="F73" s="13"/>
      <c r="G73" s="2">
        <f t="shared" ca="1" si="10"/>
        <v>0.89637008840197552</v>
      </c>
      <c r="H73" s="3">
        <f t="shared" ca="1" si="11"/>
        <v>1</v>
      </c>
      <c r="I73" s="3">
        <f t="shared" ca="1" si="12"/>
        <v>3.8365805752031363</v>
      </c>
      <c r="J73" s="3">
        <f t="shared" ca="1" si="13"/>
        <v>9.7935955797693843</v>
      </c>
      <c r="P73" s="3">
        <f t="shared" ca="1" si="14"/>
        <v>-10.960231207536037</v>
      </c>
      <c r="Q73" s="3">
        <f t="shared" ca="1" si="15"/>
        <v>-0.60770213265603679</v>
      </c>
      <c r="R73" s="3">
        <f t="shared" ca="1" si="16"/>
        <v>10.977065637258509</v>
      </c>
    </row>
    <row r="74" spans="2:18" x14ac:dyDescent="0.25">
      <c r="B74" s="7">
        <f t="shared" ref="B74:B137" si="17">E73</f>
        <v>1</v>
      </c>
      <c r="C74" s="7">
        <v>65</v>
      </c>
      <c r="D74" s="7">
        <f t="shared" ref="D74:D137" si="18">(EXP(-$C$6)*POWER($C$6,C74))/(FACT(C74))</f>
        <v>1.9933005514648739E-111</v>
      </c>
      <c r="E74" s="7">
        <f t="shared" ref="E74:E137" si="19">E73+D74</f>
        <v>1</v>
      </c>
      <c r="F74" s="13"/>
      <c r="G74" s="2">
        <f t="shared" ca="1" si="10"/>
        <v>0.5370831573466438</v>
      </c>
      <c r="H74" s="3">
        <f t="shared" ca="1" si="11"/>
        <v>0</v>
      </c>
      <c r="I74" s="3">
        <f t="shared" ca="1" si="12"/>
        <v>2.1299536438672835</v>
      </c>
      <c r="J74" s="3">
        <f t="shared" ca="1" si="13"/>
        <v>7.2971803524842453</v>
      </c>
      <c r="P74" s="3">
        <f t="shared" ca="1" si="14"/>
        <v>-4.3947346735406381</v>
      </c>
      <c r="Q74" s="3">
        <f t="shared" ca="1" si="15"/>
        <v>-15.76599803485513</v>
      </c>
      <c r="R74" s="3">
        <f t="shared" ca="1" si="16"/>
        <v>16.367051869102028</v>
      </c>
    </row>
    <row r="75" spans="2:18" x14ac:dyDescent="0.25">
      <c r="B75" s="7">
        <f t="shared" si="17"/>
        <v>1</v>
      </c>
      <c r="C75" s="7">
        <v>66</v>
      </c>
      <c r="D75" s="7">
        <f t="shared" si="18"/>
        <v>1.5100761753521769E-113</v>
      </c>
      <c r="E75" s="7">
        <f t="shared" si="19"/>
        <v>1</v>
      </c>
      <c r="F75" s="13"/>
      <c r="G75" s="2">
        <f t="shared" ca="1" si="10"/>
        <v>0.36672868114080082</v>
      </c>
      <c r="H75" s="3">
        <f t="shared" ca="1" si="11"/>
        <v>0</v>
      </c>
      <c r="I75" s="3">
        <f t="shared" ca="1" si="12"/>
        <v>2.3178313393887549</v>
      </c>
      <c r="J75" s="3">
        <f t="shared" ca="1" si="13"/>
        <v>7.612212785039504</v>
      </c>
      <c r="P75" s="3">
        <f t="shared" ca="1" si="14"/>
        <v>-14.702027470726414</v>
      </c>
      <c r="Q75" s="3">
        <f t="shared" ca="1" si="15"/>
        <v>-2.4543806814670841</v>
      </c>
      <c r="R75" s="3">
        <f t="shared" ca="1" si="16"/>
        <v>14.905488797069117</v>
      </c>
    </row>
    <row r="76" spans="2:18" x14ac:dyDescent="0.25">
      <c r="B76" s="7">
        <f t="shared" si="17"/>
        <v>1</v>
      </c>
      <c r="C76" s="7">
        <v>67</v>
      </c>
      <c r="D76" s="7">
        <f t="shared" si="18"/>
        <v>1.1269225189195347E-115</v>
      </c>
      <c r="E76" s="7">
        <f t="shared" si="19"/>
        <v>1</v>
      </c>
      <c r="F76" s="13"/>
      <c r="G76" s="2">
        <f t="shared" ca="1" si="10"/>
        <v>0.69000241950847452</v>
      </c>
      <c r="H76" s="3">
        <f t="shared" ca="1" si="11"/>
        <v>1</v>
      </c>
      <c r="I76" s="3">
        <f t="shared" ca="1" si="12"/>
        <v>7.0481470902098886</v>
      </c>
      <c r="J76" s="3">
        <f t="shared" ca="1" si="13"/>
        <v>13.274173317206884</v>
      </c>
      <c r="P76" s="3">
        <f t="shared" ca="1" si="14"/>
        <v>-1.5667508992668933</v>
      </c>
      <c r="Q76" s="3">
        <f t="shared" ca="1" si="15"/>
        <v>-3.8899020680245062</v>
      </c>
      <c r="R76" s="3">
        <f t="shared" ca="1" si="16"/>
        <v>4.1935720429217556</v>
      </c>
    </row>
    <row r="77" spans="2:18" x14ac:dyDescent="0.25">
      <c r="B77" s="7">
        <f t="shared" si="17"/>
        <v>1</v>
      </c>
      <c r="C77" s="7">
        <v>68</v>
      </c>
      <c r="D77" s="7">
        <f t="shared" si="18"/>
        <v>8.2861949920554095E-118</v>
      </c>
      <c r="E77" s="7">
        <f t="shared" si="19"/>
        <v>1</v>
      </c>
      <c r="F77" s="13"/>
      <c r="G77" s="2">
        <f t="shared" ca="1" si="10"/>
        <v>0.38875455254908187</v>
      </c>
      <c r="H77" s="3">
        <f t="shared" ca="1" si="11"/>
        <v>0</v>
      </c>
      <c r="I77" s="3">
        <f t="shared" ca="1" si="12"/>
        <v>2.2081614497412789</v>
      </c>
      <c r="J77" s="3">
        <f t="shared" ca="1" si="13"/>
        <v>7.4299418734961833</v>
      </c>
      <c r="P77" s="3">
        <f t="shared" ca="1" si="14"/>
        <v>-8.2188277359375874</v>
      </c>
      <c r="Q77" s="3">
        <f t="shared" ca="1" si="15"/>
        <v>-0.90234840476346545</v>
      </c>
      <c r="R77" s="3">
        <f t="shared" ca="1" si="16"/>
        <v>8.268213954452083</v>
      </c>
    </row>
    <row r="78" spans="2:18" x14ac:dyDescent="0.25">
      <c r="B78" s="7">
        <f t="shared" si="17"/>
        <v>1</v>
      </c>
      <c r="C78" s="7">
        <v>69</v>
      </c>
      <c r="D78" s="7">
        <f t="shared" si="18"/>
        <v>6.0044891246778324E-120</v>
      </c>
      <c r="E78" s="7">
        <f t="shared" si="19"/>
        <v>1</v>
      </c>
      <c r="F78" s="13"/>
      <c r="G78" s="2">
        <f t="shared" ca="1" si="10"/>
        <v>2.5293484353215101E-2</v>
      </c>
      <c r="H78" s="3">
        <f t="shared" ca="1" si="11"/>
        <v>0</v>
      </c>
      <c r="I78" s="3">
        <f t="shared" ca="1" si="12"/>
        <v>0.24142054189288753</v>
      </c>
      <c r="J78" s="3">
        <f t="shared" ca="1" si="13"/>
        <v>2.456728220076895</v>
      </c>
      <c r="P78" s="3">
        <f t="shared" ca="1" si="14"/>
        <v>-9.8601096670910806</v>
      </c>
      <c r="Q78" s="3">
        <f t="shared" ca="1" si="15"/>
        <v>-1.9181134260650006</v>
      </c>
      <c r="R78" s="3">
        <f t="shared" ca="1" si="16"/>
        <v>10.044945085082038</v>
      </c>
    </row>
    <row r="79" spans="2:18" x14ac:dyDescent="0.25">
      <c r="B79" s="7">
        <f t="shared" si="17"/>
        <v>1</v>
      </c>
      <c r="C79" s="7">
        <v>70</v>
      </c>
      <c r="D79" s="7">
        <f t="shared" si="18"/>
        <v>4.2889208033413077E-122</v>
      </c>
      <c r="E79" s="7">
        <f t="shared" si="19"/>
        <v>1</v>
      </c>
      <c r="F79" s="13"/>
      <c r="G79" s="2">
        <f t="shared" ca="1" si="10"/>
        <v>0.74135372058230353</v>
      </c>
      <c r="H79" s="3">
        <f t="shared" ca="1" si="11"/>
        <v>1</v>
      </c>
      <c r="I79" s="3">
        <f t="shared" ca="1" si="12"/>
        <v>3.4701489536047792</v>
      </c>
      <c r="J79" s="3">
        <f t="shared" ca="1" si="13"/>
        <v>9.31416790916502</v>
      </c>
      <c r="P79" s="3">
        <f t="shared" ca="1" si="14"/>
        <v>-16.647082077564377</v>
      </c>
      <c r="Q79" s="3">
        <f t="shared" ca="1" si="15"/>
        <v>-4.0123648493714414</v>
      </c>
      <c r="R79" s="3">
        <f t="shared" ca="1" si="16"/>
        <v>17.123796698794244</v>
      </c>
    </row>
    <row r="80" spans="2:18" x14ac:dyDescent="0.25">
      <c r="B80" s="7">
        <f t="shared" si="17"/>
        <v>1</v>
      </c>
      <c r="C80" s="7">
        <v>71</v>
      </c>
      <c r="D80" s="7">
        <f t="shared" si="18"/>
        <v>3.0203667629164137E-124</v>
      </c>
      <c r="E80" s="7">
        <f t="shared" si="19"/>
        <v>1</v>
      </c>
      <c r="F80" s="13"/>
      <c r="G80" s="2">
        <f t="shared" ca="1" si="10"/>
        <v>0.66246866731635323</v>
      </c>
      <c r="H80" s="3">
        <f t="shared" ca="1" si="11"/>
        <v>1</v>
      </c>
      <c r="I80" s="3">
        <f t="shared" ca="1" si="12"/>
        <v>2.0334179933161995</v>
      </c>
      <c r="J80" s="3">
        <f t="shared" ca="1" si="13"/>
        <v>7.1298983045275612</v>
      </c>
      <c r="P80" s="3">
        <f t="shared" ca="1" si="14"/>
        <v>-12.551020019274606</v>
      </c>
      <c r="Q80" s="3">
        <f t="shared" ca="1" si="15"/>
        <v>0.92741447461285254</v>
      </c>
      <c r="R80" s="3">
        <f t="shared" ca="1" si="16"/>
        <v>12.585237428509378</v>
      </c>
    </row>
    <row r="81" spans="2:18" x14ac:dyDescent="0.25">
      <c r="B81" s="7">
        <f t="shared" si="17"/>
        <v>1</v>
      </c>
      <c r="C81" s="7">
        <v>72</v>
      </c>
      <c r="D81" s="7">
        <f t="shared" si="18"/>
        <v>2.0974769186919532E-126</v>
      </c>
      <c r="E81" s="7">
        <f t="shared" si="19"/>
        <v>1</v>
      </c>
      <c r="F81" s="13"/>
      <c r="G81" s="2">
        <f t="shared" ca="1" si="10"/>
        <v>0.36868605692872203</v>
      </c>
      <c r="H81" s="3">
        <f t="shared" ca="1" si="11"/>
        <v>0</v>
      </c>
      <c r="I81" s="3">
        <f t="shared" ca="1" si="12"/>
        <v>0.2940567406663428</v>
      </c>
      <c r="J81" s="3">
        <f t="shared" ca="1" si="13"/>
        <v>2.7113499435997874</v>
      </c>
      <c r="P81" s="3">
        <f t="shared" ca="1" si="14"/>
        <v>-8.8310671693485503</v>
      </c>
      <c r="Q81" s="3">
        <f t="shared" ca="1" si="15"/>
        <v>1.4450994406641258</v>
      </c>
      <c r="R81" s="3">
        <f t="shared" ca="1" si="16"/>
        <v>8.9485227687565043</v>
      </c>
    </row>
    <row r="82" spans="2:18" x14ac:dyDescent="0.25">
      <c r="B82" s="7">
        <f t="shared" si="17"/>
        <v>1</v>
      </c>
      <c r="C82" s="7">
        <v>73</v>
      </c>
      <c r="D82" s="7">
        <f t="shared" si="18"/>
        <v>1.436628026501338E-128</v>
      </c>
      <c r="E82" s="7">
        <f t="shared" si="19"/>
        <v>1</v>
      </c>
      <c r="F82" s="13"/>
      <c r="G82" s="2">
        <f t="shared" ca="1" si="10"/>
        <v>0.82325072079854122</v>
      </c>
      <c r="H82" s="3">
        <f t="shared" ca="1" si="11"/>
        <v>1</v>
      </c>
      <c r="I82" s="3">
        <f t="shared" ca="1" si="12"/>
        <v>3.4973396376364061</v>
      </c>
      <c r="J82" s="3">
        <f t="shared" ca="1" si="13"/>
        <v>9.3505877323786528</v>
      </c>
      <c r="P82" s="3">
        <f t="shared" ca="1" si="14"/>
        <v>-11.733770497378297</v>
      </c>
      <c r="Q82" s="3">
        <f t="shared" ca="1" si="15"/>
        <v>0.53909660402409543</v>
      </c>
      <c r="R82" s="3">
        <f t="shared" ca="1" si="16"/>
        <v>11.746148101978607</v>
      </c>
    </row>
    <row r="83" spans="2:18" x14ac:dyDescent="0.25">
      <c r="B83" s="7">
        <f t="shared" si="17"/>
        <v>1</v>
      </c>
      <c r="C83" s="7">
        <v>74</v>
      </c>
      <c r="D83" s="7">
        <f t="shared" si="18"/>
        <v>9.7069461250090431E-131</v>
      </c>
      <c r="E83" s="7">
        <f t="shared" si="19"/>
        <v>1</v>
      </c>
      <c r="F83" s="13"/>
      <c r="G83" s="2">
        <f t="shared" ca="1" si="10"/>
        <v>0.2667578892664545</v>
      </c>
      <c r="H83" s="3">
        <f t="shared" ca="1" si="11"/>
        <v>0</v>
      </c>
      <c r="I83" s="3">
        <f t="shared" ca="1" si="12"/>
        <v>2.0701148360201356</v>
      </c>
      <c r="J83" s="3">
        <f t="shared" ca="1" si="13"/>
        <v>7.1939468235804602</v>
      </c>
      <c r="P83" s="3">
        <f t="shared" ca="1" si="14"/>
        <v>-13.350811197101974</v>
      </c>
      <c r="Q83" s="3">
        <f t="shared" ca="1" si="15"/>
        <v>3.5055736069746266</v>
      </c>
      <c r="R83" s="3">
        <f t="shared" ca="1" si="16"/>
        <v>13.803376613516727</v>
      </c>
    </row>
    <row r="84" spans="2:18" x14ac:dyDescent="0.25">
      <c r="B84" s="7">
        <f t="shared" si="17"/>
        <v>1</v>
      </c>
      <c r="C84" s="7">
        <v>75</v>
      </c>
      <c r="D84" s="7">
        <f t="shared" si="18"/>
        <v>6.4712974166726943E-133</v>
      </c>
      <c r="E84" s="7">
        <f t="shared" si="19"/>
        <v>1</v>
      </c>
      <c r="F84" s="13"/>
      <c r="G84" s="2">
        <f t="shared" ca="1" si="10"/>
        <v>3.2908955994605749E-2</v>
      </c>
      <c r="H84" s="3">
        <f t="shared" ca="1" si="11"/>
        <v>0</v>
      </c>
      <c r="I84" s="3">
        <f t="shared" ca="1" si="12"/>
        <v>4.2281046497423729</v>
      </c>
      <c r="J84" s="3">
        <f t="shared" ca="1" si="13"/>
        <v>10.281177765390467</v>
      </c>
      <c r="P84" s="3">
        <f t="shared" ca="1" si="14"/>
        <v>-4.4808542427192943</v>
      </c>
      <c r="Q84" s="3">
        <f t="shared" ca="1" si="15"/>
        <v>6.0643180020765568</v>
      </c>
      <c r="R84" s="3">
        <f t="shared" ca="1" si="16"/>
        <v>7.5401596518114458</v>
      </c>
    </row>
    <row r="85" spans="2:18" x14ac:dyDescent="0.25">
      <c r="B85" s="7">
        <f t="shared" si="17"/>
        <v>1</v>
      </c>
      <c r="C85" s="7">
        <v>76</v>
      </c>
      <c r="D85" s="7">
        <f t="shared" si="18"/>
        <v>4.2574325109688782E-135</v>
      </c>
      <c r="E85" s="7">
        <f t="shared" si="19"/>
        <v>1</v>
      </c>
      <c r="F85" s="13"/>
      <c r="G85" s="2">
        <f t="shared" ca="1" si="10"/>
        <v>0.58477152871793225</v>
      </c>
      <c r="H85" s="3">
        <f t="shared" ca="1" si="11"/>
        <v>0</v>
      </c>
      <c r="I85" s="3">
        <f t="shared" ca="1" si="12"/>
        <v>0.58986372099999107</v>
      </c>
      <c r="J85" s="3">
        <f t="shared" ca="1" si="13"/>
        <v>3.8401292979533612</v>
      </c>
      <c r="P85" s="3">
        <f t="shared" ca="1" si="14"/>
        <v>-2.6256631849775509</v>
      </c>
      <c r="Q85" s="3">
        <f t="shared" ca="1" si="15"/>
        <v>-2.8994583828473648E-2</v>
      </c>
      <c r="R85" s="3">
        <f t="shared" ca="1" si="16"/>
        <v>2.6258232702978783</v>
      </c>
    </row>
    <row r="86" spans="2:18" x14ac:dyDescent="0.25">
      <c r="B86" s="7">
        <f t="shared" si="17"/>
        <v>1</v>
      </c>
      <c r="C86" s="7">
        <v>77</v>
      </c>
      <c r="D86" s="7">
        <f t="shared" si="18"/>
        <v>2.7645665655642065E-137</v>
      </c>
      <c r="E86" s="7">
        <f t="shared" si="19"/>
        <v>1</v>
      </c>
      <c r="F86" s="13"/>
      <c r="G86" s="2">
        <f t="shared" ca="1" si="10"/>
        <v>0.65303236215653004</v>
      </c>
      <c r="H86" s="3">
        <f t="shared" ca="1" si="11"/>
        <v>1</v>
      </c>
      <c r="I86" s="3">
        <f t="shared" ca="1" si="12"/>
        <v>3.3671664369737733</v>
      </c>
      <c r="J86" s="3">
        <f t="shared" ca="1" si="13"/>
        <v>9.1749202135138113</v>
      </c>
      <c r="P86" s="3">
        <f t="shared" ca="1" si="14"/>
        <v>-0.28244049649397329</v>
      </c>
      <c r="Q86" s="3">
        <f t="shared" ca="1" si="15"/>
        <v>0.52322512022061141</v>
      </c>
      <c r="R86" s="3">
        <f t="shared" ca="1" si="16"/>
        <v>0.59458990950876001</v>
      </c>
    </row>
    <row r="87" spans="2:18" x14ac:dyDescent="0.25">
      <c r="B87" s="7">
        <f t="shared" si="17"/>
        <v>1</v>
      </c>
      <c r="C87" s="7">
        <v>78</v>
      </c>
      <c r="D87" s="7">
        <f t="shared" si="18"/>
        <v>1.7721580548488512E-139</v>
      </c>
      <c r="E87" s="7">
        <f t="shared" si="19"/>
        <v>1</v>
      </c>
      <c r="F87" s="13"/>
      <c r="G87" s="2">
        <f t="shared" ca="1" si="10"/>
        <v>0.95836352538569614</v>
      </c>
      <c r="H87" s="3">
        <f t="shared" ca="1" si="11"/>
        <v>2</v>
      </c>
      <c r="I87" s="3">
        <f t="shared" ca="1" si="12"/>
        <v>2.5780598217071136</v>
      </c>
      <c r="J87" s="3">
        <f t="shared" ca="1" si="13"/>
        <v>8.0281688785599066</v>
      </c>
      <c r="P87" s="3">
        <f t="shared" ca="1" si="14"/>
        <v>-6.8950483096800061</v>
      </c>
      <c r="Q87" s="3">
        <f t="shared" ca="1" si="15"/>
        <v>1.5952134921478009</v>
      </c>
      <c r="R87" s="3">
        <f t="shared" ca="1" si="16"/>
        <v>7.0771743851873179</v>
      </c>
    </row>
    <row r="88" spans="2:18" x14ac:dyDescent="0.25">
      <c r="B88" s="7">
        <f t="shared" si="17"/>
        <v>1</v>
      </c>
      <c r="C88" s="7">
        <v>79</v>
      </c>
      <c r="D88" s="7">
        <f t="shared" si="18"/>
        <v>1.121619022056234E-141</v>
      </c>
      <c r="E88" s="7">
        <f t="shared" si="19"/>
        <v>1</v>
      </c>
      <c r="F88" s="13"/>
      <c r="G88" s="2">
        <f t="shared" ca="1" si="10"/>
        <v>0.69535472990968938</v>
      </c>
      <c r="H88" s="3">
        <f t="shared" ca="1" si="11"/>
        <v>1</v>
      </c>
      <c r="I88" s="3">
        <f t="shared" ca="1" si="12"/>
        <v>2.677942911992663</v>
      </c>
      <c r="J88" s="3">
        <f t="shared" ca="1" si="13"/>
        <v>8.1822107525910486</v>
      </c>
      <c r="P88" s="3">
        <f t="shared" ca="1" si="14"/>
        <v>-1.246155274504936</v>
      </c>
      <c r="Q88" s="3">
        <f t="shared" ca="1" si="15"/>
        <v>5.9703758045544975</v>
      </c>
      <c r="R88" s="3">
        <f t="shared" ca="1" si="16"/>
        <v>6.0990401060975357</v>
      </c>
    </row>
    <row r="89" spans="2:18" x14ac:dyDescent="0.25">
      <c r="B89" s="7">
        <f t="shared" si="17"/>
        <v>1</v>
      </c>
      <c r="C89" s="7">
        <v>80</v>
      </c>
      <c r="D89" s="7">
        <f t="shared" si="18"/>
        <v>7.0101188878514667E-144</v>
      </c>
      <c r="E89" s="7">
        <f t="shared" si="19"/>
        <v>1</v>
      </c>
      <c r="F89" s="13"/>
      <c r="G89" s="2">
        <f t="shared" ca="1" si="10"/>
        <v>0.83290853739383797</v>
      </c>
      <c r="H89" s="3">
        <f t="shared" ca="1" si="11"/>
        <v>1</v>
      </c>
      <c r="I89" s="3">
        <f t="shared" ca="1" si="12"/>
        <v>4.5397630365361827</v>
      </c>
      <c r="J89" s="3">
        <f t="shared" ca="1" si="13"/>
        <v>10.653359841543164</v>
      </c>
      <c r="P89" s="3">
        <f t="shared" ca="1" si="14"/>
        <v>-11.759792030501877</v>
      </c>
      <c r="Q89" s="3">
        <f t="shared" ca="1" si="15"/>
        <v>1.1714323599774392</v>
      </c>
      <c r="R89" s="3">
        <f t="shared" ca="1" si="16"/>
        <v>11.817993161897572</v>
      </c>
    </row>
    <row r="90" spans="2:18" x14ac:dyDescent="0.25">
      <c r="B90" s="7">
        <f t="shared" si="17"/>
        <v>1</v>
      </c>
      <c r="C90" s="7">
        <v>81</v>
      </c>
      <c r="D90" s="7">
        <f t="shared" si="18"/>
        <v>4.3272338813897936E-146</v>
      </c>
      <c r="E90" s="7">
        <f t="shared" si="19"/>
        <v>1</v>
      </c>
      <c r="F90" s="13"/>
      <c r="G90" s="2">
        <f t="shared" ca="1" si="10"/>
        <v>3.5645816399754726E-2</v>
      </c>
      <c r="H90" s="3">
        <f t="shared" ca="1" si="11"/>
        <v>0</v>
      </c>
      <c r="I90" s="3">
        <f t="shared" ca="1" si="12"/>
        <v>3.4676385828654532</v>
      </c>
      <c r="J90" s="3">
        <f t="shared" ca="1" si="13"/>
        <v>9.3107982778941327</v>
      </c>
      <c r="P90" s="3">
        <f t="shared" ca="1" si="14"/>
        <v>-6.4924111919561582</v>
      </c>
      <c r="Q90" s="3">
        <f t="shared" ca="1" si="15"/>
        <v>0.8277543616846077</v>
      </c>
      <c r="R90" s="3">
        <f t="shared" ca="1" si="16"/>
        <v>6.5449660326639956</v>
      </c>
    </row>
    <row r="91" spans="2:18" x14ac:dyDescent="0.25">
      <c r="B91" s="7">
        <f t="shared" si="17"/>
        <v>1</v>
      </c>
      <c r="C91" s="7">
        <v>82</v>
      </c>
      <c r="D91" s="7">
        <f t="shared" si="18"/>
        <v>2.6385572447498736E-148</v>
      </c>
      <c r="E91" s="7">
        <f t="shared" si="19"/>
        <v>1</v>
      </c>
      <c r="F91" s="13"/>
      <c r="G91" s="2">
        <f t="shared" ca="1" si="10"/>
        <v>0.97474090994949247</v>
      </c>
      <c r="H91" s="3">
        <f t="shared" ca="1" si="11"/>
        <v>2</v>
      </c>
      <c r="I91" s="3">
        <f t="shared" ca="1" si="12"/>
        <v>4.1570057729335836</v>
      </c>
      <c r="J91" s="3">
        <f t="shared" ca="1" si="13"/>
        <v>10.194368265044165</v>
      </c>
      <c r="P91" s="3">
        <f t="shared" ca="1" si="14"/>
        <v>-7.5077000619454841</v>
      </c>
      <c r="Q91" s="3">
        <f t="shared" ca="1" si="15"/>
        <v>-6.0389762784688994</v>
      </c>
      <c r="R91" s="3">
        <f t="shared" ca="1" si="16"/>
        <v>9.6350814585060096</v>
      </c>
    </row>
    <row r="92" spans="2:18" x14ac:dyDescent="0.25">
      <c r="B92" s="7">
        <f t="shared" si="17"/>
        <v>1</v>
      </c>
      <c r="C92" s="7">
        <v>83</v>
      </c>
      <c r="D92" s="7">
        <f t="shared" si="18"/>
        <v>1.5894923161143815E-150</v>
      </c>
      <c r="E92" s="7">
        <f t="shared" si="19"/>
        <v>1</v>
      </c>
      <c r="F92" s="13"/>
      <c r="G92" s="2">
        <f t="shared" ca="1" si="10"/>
        <v>0.17014330245202802</v>
      </c>
      <c r="H92" s="3">
        <f t="shared" ca="1" si="11"/>
        <v>0</v>
      </c>
      <c r="I92" s="3">
        <f t="shared" ca="1" si="12"/>
        <v>2.2582494726751507</v>
      </c>
      <c r="J92" s="3">
        <f t="shared" ca="1" si="13"/>
        <v>7.5137365416202062</v>
      </c>
      <c r="P92" s="3">
        <f t="shared" ca="1" si="14"/>
        <v>-0.81242774509218041</v>
      </c>
      <c r="Q92" s="3">
        <f t="shared" ca="1" si="15"/>
        <v>-2.7624820346985857</v>
      </c>
      <c r="R92" s="3">
        <f t="shared" ca="1" si="16"/>
        <v>2.8794697138584397</v>
      </c>
    </row>
    <row r="93" spans="2:18" x14ac:dyDescent="0.25">
      <c r="B93" s="7">
        <f t="shared" si="17"/>
        <v>1</v>
      </c>
      <c r="C93" s="7">
        <v>84</v>
      </c>
      <c r="D93" s="7">
        <f t="shared" si="18"/>
        <v>9.4612637863951304E-153</v>
      </c>
      <c r="E93" s="7">
        <f t="shared" si="19"/>
        <v>1</v>
      </c>
      <c r="F93" s="13"/>
      <c r="G93" s="2">
        <f t="shared" ca="1" si="10"/>
        <v>0.56055047775366118</v>
      </c>
      <c r="H93" s="3">
        <f t="shared" ca="1" si="11"/>
        <v>0</v>
      </c>
      <c r="I93" s="3">
        <f t="shared" ca="1" si="12"/>
        <v>3.3648092125286291</v>
      </c>
      <c r="J93" s="3">
        <f t="shared" ca="1" si="13"/>
        <v>9.171708145880773</v>
      </c>
      <c r="P93" s="3">
        <f t="shared" ca="1" si="14"/>
        <v>-7.2258227336832768</v>
      </c>
      <c r="Q93" s="3">
        <f t="shared" ca="1" si="15"/>
        <v>5.1858337388550577</v>
      </c>
      <c r="R93" s="3">
        <f t="shared" ca="1" si="16"/>
        <v>8.8941208528814979</v>
      </c>
    </row>
    <row r="94" spans="2:18" x14ac:dyDescent="0.25">
      <c r="B94" s="7">
        <f t="shared" si="17"/>
        <v>1</v>
      </c>
      <c r="C94" s="7">
        <v>85</v>
      </c>
      <c r="D94" s="7">
        <f t="shared" si="18"/>
        <v>5.5654492861147854E-155</v>
      </c>
      <c r="E94" s="7">
        <f t="shared" si="19"/>
        <v>1</v>
      </c>
      <c r="F94" s="13"/>
      <c r="G94" s="2">
        <f t="shared" ca="1" si="10"/>
        <v>5.5874218686170485E-3</v>
      </c>
      <c r="H94" s="3">
        <f t="shared" ca="1" si="11"/>
        <v>0</v>
      </c>
      <c r="I94" s="3">
        <f t="shared" ca="1" si="12"/>
        <v>3.9796050429441778</v>
      </c>
      <c r="J94" s="3">
        <f t="shared" ca="1" si="13"/>
        <v>9.9744737241422641</v>
      </c>
      <c r="P94" s="3">
        <f t="shared" ca="1" si="14"/>
        <v>-3.2557356068206325</v>
      </c>
      <c r="Q94" s="3">
        <f t="shared" ca="1" si="15"/>
        <v>-6.273268253744452</v>
      </c>
      <c r="R94" s="3">
        <f t="shared" ca="1" si="16"/>
        <v>7.0677937805907778</v>
      </c>
    </row>
    <row r="95" spans="2:18" x14ac:dyDescent="0.25">
      <c r="B95" s="7">
        <f t="shared" si="17"/>
        <v>1</v>
      </c>
      <c r="C95" s="7">
        <v>86</v>
      </c>
      <c r="D95" s="7">
        <f t="shared" si="18"/>
        <v>3.2357263291365005E-157</v>
      </c>
      <c r="E95" s="7">
        <f t="shared" si="19"/>
        <v>1</v>
      </c>
      <c r="F95" s="13"/>
      <c r="G95" s="2">
        <f t="shared" ca="1" si="10"/>
        <v>0.91885290101616512</v>
      </c>
      <c r="H95" s="3">
        <f t="shared" ca="1" si="11"/>
        <v>2</v>
      </c>
      <c r="I95" s="3">
        <f t="shared" ca="1" si="12"/>
        <v>2.9825568682708479</v>
      </c>
      <c r="J95" s="3">
        <f t="shared" ca="1" si="13"/>
        <v>8.6350403419307309</v>
      </c>
      <c r="P95" s="3">
        <f t="shared" ca="1" si="14"/>
        <v>-6.0896633477445672</v>
      </c>
      <c r="Q95" s="3">
        <f t="shared" ca="1" si="15"/>
        <v>-5.8475731695152859</v>
      </c>
      <c r="R95" s="3">
        <f t="shared" ca="1" si="16"/>
        <v>8.4426365349752341</v>
      </c>
    </row>
    <row r="96" spans="2:18" x14ac:dyDescent="0.25">
      <c r="B96" s="7">
        <f t="shared" si="17"/>
        <v>1</v>
      </c>
      <c r="C96" s="7">
        <v>87</v>
      </c>
      <c r="D96" s="7">
        <f t="shared" si="18"/>
        <v>1.859612832837071E-159</v>
      </c>
      <c r="E96" s="7">
        <f t="shared" si="19"/>
        <v>1</v>
      </c>
      <c r="F96" s="13"/>
      <c r="G96" s="2">
        <f t="shared" ca="1" si="10"/>
        <v>0.66137935976421058</v>
      </c>
      <c r="H96" s="3">
        <f t="shared" ca="1" si="11"/>
        <v>1</v>
      </c>
      <c r="I96" s="3">
        <f t="shared" ca="1" si="12"/>
        <v>6.7456385475092926</v>
      </c>
      <c r="J96" s="3">
        <f t="shared" ca="1" si="13"/>
        <v>12.986183568998719</v>
      </c>
      <c r="P96" s="3">
        <f t="shared" ca="1" si="14"/>
        <v>5.8429960339689728</v>
      </c>
      <c r="Q96" s="3">
        <f t="shared" ca="1" si="15"/>
        <v>-6.372374630828225</v>
      </c>
      <c r="R96" s="3">
        <f t="shared" ca="1" si="16"/>
        <v>8.6456787523363534</v>
      </c>
    </row>
    <row r="97" spans="2:18" x14ac:dyDescent="0.25">
      <c r="B97" s="7">
        <f t="shared" si="17"/>
        <v>1</v>
      </c>
      <c r="C97" s="7">
        <v>88</v>
      </c>
      <c r="D97" s="7">
        <f t="shared" si="18"/>
        <v>1.0565982004756083E-161</v>
      </c>
      <c r="E97" s="7">
        <f t="shared" si="19"/>
        <v>1</v>
      </c>
      <c r="F97" s="13"/>
      <c r="G97" s="2">
        <f t="shared" ca="1" si="10"/>
        <v>0.76500428540904319</v>
      </c>
      <c r="H97" s="3">
        <f t="shared" ca="1" si="11"/>
        <v>1</v>
      </c>
      <c r="I97" s="3">
        <f t="shared" ca="1" si="12"/>
        <v>2.626893511947948</v>
      </c>
      <c r="J97" s="3">
        <f t="shared" ca="1" si="13"/>
        <v>8.1038470986747217</v>
      </c>
      <c r="P97" s="3">
        <f t="shared" ca="1" si="14"/>
        <v>3.4070223392090924</v>
      </c>
      <c r="Q97" s="3">
        <f t="shared" ca="1" si="15"/>
        <v>9.7836541124518241</v>
      </c>
      <c r="R97" s="3">
        <f t="shared" ca="1" si="16"/>
        <v>10.359907770437211</v>
      </c>
    </row>
    <row r="98" spans="2:18" x14ac:dyDescent="0.25">
      <c r="B98" s="7">
        <f t="shared" si="17"/>
        <v>1</v>
      </c>
      <c r="C98" s="7">
        <v>89</v>
      </c>
      <c r="D98" s="7">
        <f t="shared" si="18"/>
        <v>5.9359449464921785E-164</v>
      </c>
      <c r="E98" s="7">
        <f t="shared" si="19"/>
        <v>1</v>
      </c>
      <c r="F98" s="13"/>
      <c r="G98" s="2">
        <f t="shared" ca="1" si="10"/>
        <v>0.75582618542055247</v>
      </c>
      <c r="H98" s="3">
        <f t="shared" ca="1" si="11"/>
        <v>1</v>
      </c>
      <c r="I98" s="3">
        <f t="shared" ca="1" si="12"/>
        <v>2.3439422278133581</v>
      </c>
      <c r="J98" s="3">
        <f t="shared" ca="1" si="13"/>
        <v>7.6549693464659905</v>
      </c>
      <c r="P98" s="3">
        <f t="shared" ca="1" si="14"/>
        <v>-0.65563747045977028</v>
      </c>
      <c r="Q98" s="3">
        <f t="shared" ca="1" si="15"/>
        <v>-3.1276889844987483</v>
      </c>
      <c r="R98" s="3">
        <f t="shared" ca="1" si="16"/>
        <v>3.1956687682589537</v>
      </c>
    </row>
    <row r="99" spans="2:18" x14ac:dyDescent="0.25">
      <c r="B99" s="7">
        <f t="shared" si="17"/>
        <v>1</v>
      </c>
      <c r="C99" s="7">
        <v>90</v>
      </c>
      <c r="D99" s="7">
        <f t="shared" si="18"/>
        <v>3.297747192495658E-166</v>
      </c>
      <c r="E99" s="7">
        <f t="shared" si="19"/>
        <v>1</v>
      </c>
      <c r="F99" s="13"/>
      <c r="G99" s="2">
        <f t="shared" ca="1" si="10"/>
        <v>0.15287705106163763</v>
      </c>
      <c r="H99" s="3">
        <f t="shared" ca="1" si="11"/>
        <v>0</v>
      </c>
      <c r="I99" s="3">
        <f t="shared" ca="1" si="12"/>
        <v>0.46615496539466816</v>
      </c>
      <c r="J99" s="3">
        <f t="shared" ca="1" si="13"/>
        <v>3.4137771067933982</v>
      </c>
      <c r="P99" s="3">
        <f t="shared" ca="1" si="14"/>
        <v>-5.1661887057793452</v>
      </c>
      <c r="Q99" s="3">
        <f t="shared" ca="1" si="15"/>
        <v>3.057781261297928</v>
      </c>
      <c r="R99" s="3">
        <f t="shared" ca="1" si="16"/>
        <v>6.0032934282497648</v>
      </c>
    </row>
    <row r="100" spans="2:18" x14ac:dyDescent="0.25">
      <c r="B100" s="7">
        <f t="shared" si="17"/>
        <v>1</v>
      </c>
      <c r="C100" s="7">
        <v>91</v>
      </c>
      <c r="D100" s="7">
        <f t="shared" si="18"/>
        <v>1.8119490068657443E-168</v>
      </c>
      <c r="E100" s="7">
        <f t="shared" si="19"/>
        <v>1</v>
      </c>
      <c r="F100" s="13"/>
      <c r="G100" s="2">
        <f t="shared" ca="1" si="10"/>
        <v>6.3182982956197176E-2</v>
      </c>
      <c r="H100" s="3">
        <f t="shared" ca="1" si="11"/>
        <v>0</v>
      </c>
      <c r="I100" s="3">
        <f t="shared" ca="1" si="12"/>
        <v>11.80047662387669</v>
      </c>
      <c r="J100" s="3">
        <f t="shared" ca="1" si="13"/>
        <v>17.175910910252103</v>
      </c>
      <c r="P100" s="3">
        <f t="shared" ca="1" si="14"/>
        <v>3.8926743101647414</v>
      </c>
      <c r="Q100" s="3">
        <f t="shared" ca="1" si="15"/>
        <v>-6.5882077291226535</v>
      </c>
      <c r="R100" s="3">
        <f t="shared" ca="1" si="16"/>
        <v>7.6522803377220843</v>
      </c>
    </row>
    <row r="101" spans="2:18" x14ac:dyDescent="0.25">
      <c r="B101" s="7">
        <f t="shared" si="17"/>
        <v>1</v>
      </c>
      <c r="C101" s="7">
        <v>92</v>
      </c>
      <c r="D101" s="7">
        <f t="shared" si="18"/>
        <v>9.8475489503573105E-171</v>
      </c>
      <c r="E101" s="7">
        <f t="shared" si="19"/>
        <v>1</v>
      </c>
      <c r="F101" s="13"/>
      <c r="G101" s="2">
        <f t="shared" ca="1" si="10"/>
        <v>0.23325891334054727</v>
      </c>
      <c r="H101" s="3">
        <f t="shared" ca="1" si="11"/>
        <v>0</v>
      </c>
      <c r="I101" s="3">
        <f t="shared" ca="1" si="12"/>
        <v>0.2170878207747739</v>
      </c>
      <c r="J101" s="3">
        <f t="shared" ca="1" si="13"/>
        <v>2.3296342029102655</v>
      </c>
      <c r="P101" s="3">
        <f t="shared" ca="1" si="14"/>
        <v>-15.081710304380184</v>
      </c>
      <c r="Q101" s="3">
        <f t="shared" ca="1" si="15"/>
        <v>4.1071142204363307</v>
      </c>
      <c r="R101" s="3">
        <f t="shared" ca="1" si="16"/>
        <v>15.630942803457435</v>
      </c>
    </row>
    <row r="102" spans="2:18" x14ac:dyDescent="0.25">
      <c r="B102" s="7">
        <f t="shared" si="17"/>
        <v>1</v>
      </c>
      <c r="C102" s="7">
        <v>93</v>
      </c>
      <c r="D102" s="7">
        <f t="shared" si="18"/>
        <v>5.2943811561060827E-173</v>
      </c>
      <c r="E102" s="7">
        <f t="shared" si="19"/>
        <v>1</v>
      </c>
      <c r="F102" s="13"/>
      <c r="G102" s="2">
        <f t="shared" ca="1" si="10"/>
        <v>0.66185205030843497</v>
      </c>
      <c r="H102" s="3">
        <f t="shared" ca="1" si="11"/>
        <v>1</v>
      </c>
      <c r="I102" s="3">
        <f t="shared" ca="1" si="12"/>
        <v>6.3292751211150922</v>
      </c>
      <c r="J102" s="3">
        <f t="shared" ca="1" si="13"/>
        <v>12.579025321060344</v>
      </c>
      <c r="P102" s="3">
        <f t="shared" ca="1" si="14"/>
        <v>-2.8007632019976327</v>
      </c>
      <c r="Q102" s="3">
        <f t="shared" ca="1" si="15"/>
        <v>-3.644740413560303</v>
      </c>
      <c r="R102" s="3">
        <f t="shared" ca="1" si="16"/>
        <v>4.5965647168188291</v>
      </c>
    </row>
    <row r="103" spans="2:18" x14ac:dyDescent="0.25">
      <c r="B103" s="7">
        <f t="shared" si="17"/>
        <v>1</v>
      </c>
      <c r="C103" s="7">
        <v>94</v>
      </c>
      <c r="D103" s="7">
        <f t="shared" si="18"/>
        <v>2.8161601894181289E-175</v>
      </c>
      <c r="E103" s="7">
        <f t="shared" si="19"/>
        <v>1</v>
      </c>
      <c r="F103" s="13"/>
      <c r="G103" s="2">
        <f t="shared" ca="1" si="10"/>
        <v>0.36488078092294463</v>
      </c>
      <c r="H103" s="3">
        <f t="shared" ca="1" si="11"/>
        <v>0</v>
      </c>
      <c r="I103" s="3">
        <f t="shared" ca="1" si="12"/>
        <v>0.40526207224628064</v>
      </c>
      <c r="J103" s="3">
        <f t="shared" ca="1" si="13"/>
        <v>3.1830098658592023</v>
      </c>
      <c r="P103" s="3">
        <f t="shared" ca="1" si="14"/>
        <v>-6.9528146017319727</v>
      </c>
      <c r="Q103" s="3">
        <f t="shared" ca="1" si="15"/>
        <v>-0.85155757039564195</v>
      </c>
      <c r="R103" s="3">
        <f t="shared" ca="1" si="16"/>
        <v>7.00476846025302</v>
      </c>
    </row>
    <row r="104" spans="2:18" x14ac:dyDescent="0.25">
      <c r="B104" s="7">
        <f t="shared" si="17"/>
        <v>1</v>
      </c>
      <c r="C104" s="7">
        <v>95</v>
      </c>
      <c r="D104" s="7">
        <f t="shared" si="18"/>
        <v>1.4821895733779618E-177</v>
      </c>
      <c r="E104" s="7">
        <f t="shared" si="19"/>
        <v>1</v>
      </c>
      <c r="F104" s="13"/>
      <c r="G104" s="2">
        <f t="shared" ca="1" si="10"/>
        <v>0.23833551595798264</v>
      </c>
      <c r="H104" s="3">
        <f t="shared" ca="1" si="11"/>
        <v>0</v>
      </c>
      <c r="I104" s="3">
        <f t="shared" ca="1" si="12"/>
        <v>1.1308882458176415</v>
      </c>
      <c r="J104" s="3">
        <f t="shared" ca="1" si="13"/>
        <v>5.3171614744561815</v>
      </c>
      <c r="P104" s="3">
        <f t="shared" ca="1" si="14"/>
        <v>-7.4688289869837039</v>
      </c>
      <c r="Q104" s="3">
        <f t="shared" ca="1" si="15"/>
        <v>-0.59826020375500755</v>
      </c>
      <c r="R104" s="3">
        <f t="shared" ca="1" si="16"/>
        <v>7.4927512776152527</v>
      </c>
    </row>
    <row r="105" spans="2:18" x14ac:dyDescent="0.25">
      <c r="B105" s="7">
        <f t="shared" si="17"/>
        <v>1</v>
      </c>
      <c r="C105" s="7">
        <v>96</v>
      </c>
      <c r="D105" s="7">
        <f t="shared" si="18"/>
        <v>7.7197373613435561E-180</v>
      </c>
      <c r="E105" s="7">
        <f t="shared" si="19"/>
        <v>1</v>
      </c>
      <c r="F105" s="13"/>
      <c r="G105" s="2">
        <f t="shared" ca="1" si="10"/>
        <v>0.26450482346722981</v>
      </c>
      <c r="H105" s="3">
        <f t="shared" ca="1" si="11"/>
        <v>0</v>
      </c>
      <c r="I105" s="3">
        <f t="shared" ca="1" si="12"/>
        <v>1.918479822828471</v>
      </c>
      <c r="J105" s="3">
        <f t="shared" ca="1" si="13"/>
        <v>6.9254599537295558</v>
      </c>
      <c r="P105" s="3">
        <f t="shared" ca="1" si="14"/>
        <v>0.62467540897034457</v>
      </c>
      <c r="Q105" s="3">
        <f t="shared" ca="1" si="15"/>
        <v>-5.6538461546512409</v>
      </c>
      <c r="R105" s="3">
        <f t="shared" ca="1" si="16"/>
        <v>5.6882506719585493</v>
      </c>
    </row>
    <row r="106" spans="2:18" x14ac:dyDescent="0.25">
      <c r="B106" s="7">
        <f t="shared" si="17"/>
        <v>1</v>
      </c>
      <c r="C106" s="7">
        <v>97</v>
      </c>
      <c r="D106" s="7">
        <f t="shared" si="18"/>
        <v>3.979246062548221E-182</v>
      </c>
      <c r="E106" s="7">
        <f t="shared" si="19"/>
        <v>1</v>
      </c>
      <c r="F106" s="13"/>
      <c r="G106" s="2">
        <f t="shared" ca="1" si="10"/>
        <v>0.62762367716914025</v>
      </c>
      <c r="H106" s="3">
        <f t="shared" ca="1" si="11"/>
        <v>1</v>
      </c>
      <c r="I106" s="3">
        <f t="shared" ca="1" si="12"/>
        <v>6.5548733860751662</v>
      </c>
      <c r="J106" s="3">
        <f t="shared" ca="1" si="13"/>
        <v>12.801243480688864</v>
      </c>
      <c r="P106" s="3">
        <f t="shared" ca="1" si="14"/>
        <v>1.1137904621664454</v>
      </c>
      <c r="Q106" s="3">
        <f t="shared" ca="1" si="15"/>
        <v>-9.6694718232352486</v>
      </c>
      <c r="R106" s="3">
        <f t="shared" ca="1" si="16"/>
        <v>9.7334071390214305</v>
      </c>
    </row>
    <row r="107" spans="2:18" x14ac:dyDescent="0.25">
      <c r="B107" s="7">
        <f t="shared" si="17"/>
        <v>1</v>
      </c>
      <c r="C107" s="7">
        <v>98</v>
      </c>
      <c r="D107" s="7">
        <f t="shared" si="18"/>
        <v>2.0302275829327666E-184</v>
      </c>
      <c r="E107" s="7">
        <f t="shared" si="19"/>
        <v>1</v>
      </c>
      <c r="F107" s="13"/>
      <c r="G107" s="2">
        <f t="shared" ca="1" si="10"/>
        <v>0.30192902341038341</v>
      </c>
      <c r="H107" s="3">
        <f t="shared" ca="1" si="11"/>
        <v>0</v>
      </c>
      <c r="I107" s="3">
        <f t="shared" ca="1" si="12"/>
        <v>0.46377620920654372</v>
      </c>
      <c r="J107" s="3">
        <f t="shared" ca="1" si="13"/>
        <v>3.4050558336338033</v>
      </c>
      <c r="P107" s="3">
        <f t="shared" ca="1" si="14"/>
        <v>-6.9106953940293216</v>
      </c>
      <c r="Q107" s="3">
        <f t="shared" ca="1" si="15"/>
        <v>4.2503525874360362</v>
      </c>
      <c r="R107" s="3">
        <f t="shared" ca="1" si="16"/>
        <v>8.1131503096258655</v>
      </c>
    </row>
    <row r="108" spans="2:18" x14ac:dyDescent="0.25">
      <c r="B108" s="7">
        <f t="shared" si="17"/>
        <v>1</v>
      </c>
      <c r="C108" s="7">
        <v>99</v>
      </c>
      <c r="D108" s="7">
        <f t="shared" si="18"/>
        <v>1.0253674661276599E-186</v>
      </c>
      <c r="E108" s="7">
        <f t="shared" si="19"/>
        <v>1</v>
      </c>
      <c r="F108" s="13"/>
      <c r="G108" s="2">
        <f t="shared" ca="1" si="10"/>
        <v>0.32419289669225448</v>
      </c>
      <c r="H108" s="3">
        <f t="shared" ca="1" si="11"/>
        <v>0</v>
      </c>
      <c r="I108" s="3">
        <f t="shared" ca="1" si="12"/>
        <v>1.162033827753749</v>
      </c>
      <c r="J108" s="3">
        <f t="shared" ca="1" si="13"/>
        <v>5.3898836438130759</v>
      </c>
      <c r="P108" s="3">
        <f t="shared" ca="1" si="14"/>
        <v>-14.564466599477445</v>
      </c>
      <c r="Q108" s="3">
        <f t="shared" ca="1" si="15"/>
        <v>3.0997286727628897</v>
      </c>
      <c r="R108" s="3">
        <f t="shared" ca="1" si="16"/>
        <v>14.89066839238731</v>
      </c>
    </row>
    <row r="109" spans="2:18" x14ac:dyDescent="0.25">
      <c r="B109" s="7">
        <f t="shared" si="17"/>
        <v>1</v>
      </c>
      <c r="C109" s="7">
        <v>100</v>
      </c>
      <c r="D109" s="7">
        <f t="shared" si="18"/>
        <v>5.1268373306382985E-189</v>
      </c>
      <c r="E109" s="7">
        <f t="shared" si="19"/>
        <v>1</v>
      </c>
      <c r="F109" s="13"/>
      <c r="G109" s="2">
        <f t="shared" ca="1" si="10"/>
        <v>0.39018192747711467</v>
      </c>
      <c r="H109" s="3">
        <f t="shared" ca="1" si="11"/>
        <v>0</v>
      </c>
      <c r="I109" s="3">
        <f t="shared" ca="1" si="12"/>
        <v>1.1704952798237187</v>
      </c>
      <c r="J109" s="3">
        <f t="shared" ca="1" si="13"/>
        <v>5.4094715079749678</v>
      </c>
      <c r="P109" s="3">
        <f t="shared" ca="1" si="14"/>
        <v>-7.6474816356960522</v>
      </c>
      <c r="Q109" s="3">
        <f t="shared" ca="1" si="15"/>
        <v>-1.0718554258982667</v>
      </c>
      <c r="R109" s="3">
        <f t="shared" ca="1" si="16"/>
        <v>7.7222308578762338</v>
      </c>
    </row>
    <row r="110" spans="2:18" x14ac:dyDescent="0.25">
      <c r="B110" s="7">
        <f t="shared" si="17"/>
        <v>1</v>
      </c>
      <c r="C110" s="7">
        <v>101</v>
      </c>
      <c r="D110" s="7">
        <f t="shared" si="18"/>
        <v>2.5380382824942075E-191</v>
      </c>
      <c r="E110" s="7">
        <f t="shared" si="19"/>
        <v>1</v>
      </c>
      <c r="F110" s="13"/>
      <c r="G110" s="2">
        <f t="shared" ca="1" si="10"/>
        <v>0.11783087481978649</v>
      </c>
      <c r="H110" s="3">
        <f t="shared" ca="1" si="11"/>
        <v>0</v>
      </c>
      <c r="I110" s="3">
        <f t="shared" ca="1" si="12"/>
        <v>8.0721657565401408</v>
      </c>
      <c r="J110" s="3">
        <f t="shared" ca="1" si="13"/>
        <v>14.205778539506504</v>
      </c>
      <c r="P110" s="3">
        <f t="shared" ca="1" si="14"/>
        <v>-7.8918574926667242</v>
      </c>
      <c r="Q110" s="3">
        <f t="shared" ca="1" si="15"/>
        <v>9.0803620113246843</v>
      </c>
      <c r="R110" s="3">
        <f t="shared" ca="1" si="16"/>
        <v>12.03056062456228</v>
      </c>
    </row>
    <row r="111" spans="2:18" x14ac:dyDescent="0.25">
      <c r="B111" s="7">
        <f t="shared" si="17"/>
        <v>1</v>
      </c>
      <c r="C111" s="7">
        <v>102</v>
      </c>
      <c r="D111" s="7">
        <f t="shared" si="18"/>
        <v>1.2441364129873569E-193</v>
      </c>
      <c r="E111" s="7">
        <f t="shared" si="19"/>
        <v>1</v>
      </c>
      <c r="F111" s="13"/>
      <c r="G111" s="2">
        <f t="shared" ca="1" si="10"/>
        <v>0.56852866801195778</v>
      </c>
      <c r="H111" s="3">
        <f t="shared" ca="1" si="11"/>
        <v>0</v>
      </c>
      <c r="I111" s="3">
        <f t="shared" ca="1" si="12"/>
        <v>0.19736464753303359</v>
      </c>
      <c r="J111" s="3">
        <f t="shared" ca="1" si="13"/>
        <v>2.2212870567141563</v>
      </c>
      <c r="P111" s="3">
        <f t="shared" ca="1" si="14"/>
        <v>-11.40158773971519</v>
      </c>
      <c r="Q111" s="3">
        <f t="shared" ca="1" si="15"/>
        <v>-7.981922827003392</v>
      </c>
      <c r="R111" s="3">
        <f t="shared" ca="1" si="16"/>
        <v>13.917876813747904</v>
      </c>
    </row>
    <row r="112" spans="2:18" x14ac:dyDescent="0.25">
      <c r="B112" s="7">
        <f t="shared" si="17"/>
        <v>1</v>
      </c>
      <c r="C112" s="7">
        <v>103</v>
      </c>
      <c r="D112" s="7">
        <f t="shared" si="18"/>
        <v>6.0394971504240627E-196</v>
      </c>
      <c r="E112" s="7">
        <f t="shared" si="19"/>
        <v>1</v>
      </c>
      <c r="F112" s="13"/>
      <c r="G112" s="2">
        <f t="shared" ca="1" si="10"/>
        <v>0.41481599569474248</v>
      </c>
      <c r="H112" s="3">
        <f t="shared" ca="1" si="11"/>
        <v>0</v>
      </c>
      <c r="I112" s="3">
        <f t="shared" ca="1" si="12"/>
        <v>2.9311833610540083</v>
      </c>
      <c r="J112" s="3">
        <f t="shared" ca="1" si="13"/>
        <v>8.5603495271133774</v>
      </c>
      <c r="P112" s="3">
        <f t="shared" ca="1" si="14"/>
        <v>-0.11751337805556084</v>
      </c>
      <c r="Q112" s="3">
        <f t="shared" ca="1" si="15"/>
        <v>-3.9871787834106565</v>
      </c>
      <c r="R112" s="3">
        <f t="shared" ca="1" si="16"/>
        <v>3.9889101324675278</v>
      </c>
    </row>
    <row r="113" spans="2:18" x14ac:dyDescent="0.25">
      <c r="B113" s="7">
        <f t="shared" si="17"/>
        <v>1</v>
      </c>
      <c r="C113" s="7">
        <v>104</v>
      </c>
      <c r="D113" s="7">
        <f t="shared" si="18"/>
        <v>2.9036043992423363E-198</v>
      </c>
      <c r="E113" s="7">
        <f t="shared" si="19"/>
        <v>1</v>
      </c>
      <c r="F113" s="13"/>
      <c r="G113" s="2">
        <f t="shared" ca="1" si="10"/>
        <v>0.71399727335962482</v>
      </c>
      <c r="H113" s="3">
        <f t="shared" ca="1" si="11"/>
        <v>1</v>
      </c>
      <c r="I113" s="3">
        <f t="shared" ca="1" si="12"/>
        <v>6.0588158985024645</v>
      </c>
      <c r="J113" s="3">
        <f t="shared" ca="1" si="13"/>
        <v>12.307331045460735</v>
      </c>
      <c r="P113" s="3">
        <f t="shared" ca="1" si="14"/>
        <v>-6.3247125281315251</v>
      </c>
      <c r="Q113" s="3">
        <f t="shared" ca="1" si="15"/>
        <v>-3.4133210666302713</v>
      </c>
      <c r="R113" s="3">
        <f t="shared" ca="1" si="16"/>
        <v>7.1869847131746347</v>
      </c>
    </row>
    <row r="114" spans="2:18" x14ac:dyDescent="0.25">
      <c r="B114" s="7">
        <f t="shared" si="17"/>
        <v>1</v>
      </c>
      <c r="C114" s="7">
        <v>105</v>
      </c>
      <c r="D114" s="7">
        <f t="shared" si="18"/>
        <v>1.3826687615439698E-200</v>
      </c>
      <c r="E114" s="7">
        <f t="shared" si="19"/>
        <v>1</v>
      </c>
      <c r="F114" s="13"/>
      <c r="G114" s="2">
        <f t="shared" ca="1" si="10"/>
        <v>0.93601078476799249</v>
      </c>
      <c r="H114" s="3">
        <f t="shared" ca="1" si="11"/>
        <v>2</v>
      </c>
      <c r="I114" s="3">
        <f t="shared" ca="1" si="12"/>
        <v>4.6774534092553575</v>
      </c>
      <c r="J114" s="3">
        <f t="shared" ca="1" si="13"/>
        <v>10.813710520972158</v>
      </c>
      <c r="P114" s="3">
        <f t="shared" ca="1" si="14"/>
        <v>-0.67846621424111397</v>
      </c>
      <c r="Q114" s="3">
        <f t="shared" ca="1" si="15"/>
        <v>-1.748180869792914</v>
      </c>
      <c r="R114" s="3">
        <f t="shared" ca="1" si="16"/>
        <v>1.8752207223088642</v>
      </c>
    </row>
    <row r="115" spans="2:18" x14ac:dyDescent="0.25">
      <c r="B115" s="7">
        <f t="shared" si="17"/>
        <v>1</v>
      </c>
      <c r="C115" s="7">
        <v>106</v>
      </c>
      <c r="D115" s="7">
        <f t="shared" si="18"/>
        <v>6.5220224601130652E-203</v>
      </c>
      <c r="E115" s="7">
        <f t="shared" si="19"/>
        <v>1</v>
      </c>
      <c r="F115" s="13"/>
      <c r="G115" s="2">
        <f t="shared" ca="1" si="10"/>
        <v>0.41896190802029476</v>
      </c>
      <c r="H115" s="3">
        <f t="shared" ca="1" si="11"/>
        <v>0</v>
      </c>
      <c r="I115" s="3">
        <f t="shared" ca="1" si="12"/>
        <v>0.16122582909300937</v>
      </c>
      <c r="J115" s="3">
        <f t="shared" ca="1" si="13"/>
        <v>2.0076468133925434</v>
      </c>
      <c r="P115" s="3">
        <f t="shared" ca="1" si="14"/>
        <v>-4.1260315164667949</v>
      </c>
      <c r="Q115" s="3">
        <f t="shared" ca="1" si="15"/>
        <v>1.4256295111475359</v>
      </c>
      <c r="R115" s="3">
        <f t="shared" ca="1" si="16"/>
        <v>4.3653814928287815</v>
      </c>
    </row>
    <row r="116" spans="2:18" x14ac:dyDescent="0.25">
      <c r="B116" s="7">
        <f t="shared" si="17"/>
        <v>1</v>
      </c>
      <c r="C116" s="7">
        <v>107</v>
      </c>
      <c r="D116" s="7">
        <f t="shared" si="18"/>
        <v>3.0476740467818082E-205</v>
      </c>
      <c r="E116" s="7">
        <f t="shared" si="19"/>
        <v>1</v>
      </c>
      <c r="F116" s="13"/>
      <c r="G116" s="2">
        <f t="shared" ca="1" si="10"/>
        <v>0.19737906741383882</v>
      </c>
      <c r="H116" s="3">
        <f t="shared" ca="1" si="11"/>
        <v>0</v>
      </c>
      <c r="I116" s="3">
        <f t="shared" ca="1" si="12"/>
        <v>4.0770551441667422</v>
      </c>
      <c r="J116" s="3">
        <f t="shared" ca="1" si="13"/>
        <v>10.0958594782301</v>
      </c>
      <c r="P116" s="3">
        <f t="shared" ca="1" si="14"/>
        <v>-9.7688356991613254</v>
      </c>
      <c r="Q116" s="3">
        <f t="shared" ca="1" si="15"/>
        <v>3.120856396650205</v>
      </c>
      <c r="R116" s="3">
        <f t="shared" ca="1" si="16"/>
        <v>10.255237469981923</v>
      </c>
    </row>
    <row r="117" spans="2:18" x14ac:dyDescent="0.25">
      <c r="B117" s="7">
        <f t="shared" si="17"/>
        <v>1</v>
      </c>
      <c r="C117" s="7">
        <v>108</v>
      </c>
      <c r="D117" s="7">
        <f t="shared" si="18"/>
        <v>1.4109602068434291E-207</v>
      </c>
      <c r="E117" s="7">
        <f t="shared" si="19"/>
        <v>1</v>
      </c>
      <c r="F117" s="13"/>
      <c r="G117" s="2">
        <f t="shared" ca="1" si="10"/>
        <v>0.3993586738006899</v>
      </c>
      <c r="H117" s="3">
        <f t="shared" ca="1" si="11"/>
        <v>0</v>
      </c>
      <c r="I117" s="3">
        <f t="shared" ca="1" si="12"/>
        <v>1.6360328516986284</v>
      </c>
      <c r="J117" s="3">
        <f t="shared" ca="1" si="13"/>
        <v>6.3953749923257597</v>
      </c>
      <c r="P117" s="3">
        <f t="shared" ca="1" si="14"/>
        <v>-6.6084263569824131</v>
      </c>
      <c r="Q117" s="3">
        <f t="shared" ca="1" si="15"/>
        <v>3.1273615607288012</v>
      </c>
      <c r="R117" s="3">
        <f t="shared" ca="1" si="16"/>
        <v>7.3110662182190591</v>
      </c>
    </row>
    <row r="118" spans="2:18" x14ac:dyDescent="0.25">
      <c r="B118" s="7">
        <f t="shared" si="17"/>
        <v>1</v>
      </c>
      <c r="C118" s="7">
        <v>109</v>
      </c>
      <c r="D118" s="7">
        <f t="shared" si="18"/>
        <v>6.4722945268047183E-210</v>
      </c>
      <c r="E118" s="7">
        <f t="shared" si="19"/>
        <v>1</v>
      </c>
      <c r="F118" s="13"/>
      <c r="G118" s="2">
        <f t="shared" ca="1" si="10"/>
        <v>0.50034127119696248</v>
      </c>
      <c r="H118" s="3">
        <f t="shared" ca="1" si="11"/>
        <v>0</v>
      </c>
      <c r="I118" s="3">
        <f t="shared" ca="1" si="12"/>
        <v>1.0807719799415272</v>
      </c>
      <c r="J118" s="3">
        <f t="shared" ca="1" si="13"/>
        <v>5.1980091860767406</v>
      </c>
      <c r="P118" s="3">
        <f t="shared" ca="1" si="14"/>
        <v>-8.5853221891043656</v>
      </c>
      <c r="Q118" s="3">
        <f t="shared" ca="1" si="15"/>
        <v>7.3332872864770673</v>
      </c>
      <c r="R118" s="3">
        <f t="shared" ca="1" si="16"/>
        <v>11.29091933886404</v>
      </c>
    </row>
    <row r="119" spans="2:18" x14ac:dyDescent="0.25">
      <c r="B119" s="7">
        <f t="shared" si="17"/>
        <v>1</v>
      </c>
      <c r="C119" s="7">
        <v>110</v>
      </c>
      <c r="D119" s="7">
        <f t="shared" si="18"/>
        <v>2.9419520576385105E-212</v>
      </c>
      <c r="E119" s="7">
        <f t="shared" si="19"/>
        <v>1</v>
      </c>
      <c r="F119" s="13"/>
      <c r="G119" s="2">
        <f t="shared" ca="1" si="10"/>
        <v>0.91945120422692339</v>
      </c>
      <c r="H119" s="3">
        <f t="shared" ca="1" si="11"/>
        <v>2</v>
      </c>
      <c r="I119" s="3">
        <f t="shared" ca="1" si="12"/>
        <v>8.0786694039458045</v>
      </c>
      <c r="J119" s="3">
        <f t="shared" ca="1" si="13"/>
        <v>14.211500100223237</v>
      </c>
      <c r="P119" s="3">
        <f t="shared" ca="1" si="14"/>
        <v>3.0143397660349009</v>
      </c>
      <c r="Q119" s="3">
        <f t="shared" ca="1" si="15"/>
        <v>6.1100021721896178</v>
      </c>
      <c r="R119" s="3">
        <f t="shared" ca="1" si="16"/>
        <v>6.8131028738205019</v>
      </c>
    </row>
    <row r="120" spans="2:18" x14ac:dyDescent="0.25">
      <c r="B120" s="7">
        <f t="shared" si="17"/>
        <v>1</v>
      </c>
      <c r="C120" s="7">
        <v>111</v>
      </c>
      <c r="D120" s="7">
        <f t="shared" si="18"/>
        <v>1.3252036295668954E-214</v>
      </c>
      <c r="E120" s="7">
        <f t="shared" si="19"/>
        <v>1</v>
      </c>
      <c r="F120" s="13"/>
      <c r="G120" s="2">
        <f t="shared" ca="1" si="10"/>
        <v>0.76136471275805817</v>
      </c>
      <c r="H120" s="3">
        <f t="shared" ca="1" si="11"/>
        <v>1</v>
      </c>
      <c r="I120" s="3">
        <f t="shared" ca="1" si="12"/>
        <v>2.5278687712295231</v>
      </c>
      <c r="J120" s="3">
        <f t="shared" ca="1" si="13"/>
        <v>7.9496364244371627</v>
      </c>
      <c r="P120" s="3">
        <f t="shared" ca="1" si="14"/>
        <v>-2.7842037541583968</v>
      </c>
      <c r="Q120" s="3">
        <f t="shared" ca="1" si="15"/>
        <v>-0.35881355014530703</v>
      </c>
      <c r="R120" s="3">
        <f t="shared" ca="1" si="16"/>
        <v>2.807229543239667</v>
      </c>
    </row>
    <row r="121" spans="2:18" x14ac:dyDescent="0.25">
      <c r="B121" s="7">
        <f t="shared" si="17"/>
        <v>1</v>
      </c>
      <c r="C121" s="7">
        <v>112</v>
      </c>
      <c r="D121" s="7">
        <f t="shared" si="18"/>
        <v>5.9160876319950694E-217</v>
      </c>
      <c r="E121" s="7">
        <f t="shared" si="19"/>
        <v>1</v>
      </c>
      <c r="F121" s="13"/>
      <c r="G121" s="2">
        <f t="shared" ca="1" si="10"/>
        <v>0.95652711341447982</v>
      </c>
      <c r="H121" s="3">
        <f t="shared" ca="1" si="11"/>
        <v>2</v>
      </c>
      <c r="I121" s="3">
        <f t="shared" ca="1" si="12"/>
        <v>2.6645757213287262</v>
      </c>
      <c r="J121" s="3">
        <f t="shared" ca="1" si="13"/>
        <v>8.1617640883094715</v>
      </c>
      <c r="P121" s="3">
        <f t="shared" ca="1" si="14"/>
        <v>3.3872713767493128</v>
      </c>
      <c r="Q121" s="3">
        <f t="shared" ca="1" si="15"/>
        <v>9.6565830876409677</v>
      </c>
      <c r="R121" s="3">
        <f t="shared" ca="1" si="16"/>
        <v>10.23343560629854</v>
      </c>
    </row>
    <row r="122" spans="2:18" x14ac:dyDescent="0.25">
      <c r="B122" s="7">
        <f t="shared" si="17"/>
        <v>1</v>
      </c>
      <c r="C122" s="7">
        <v>113</v>
      </c>
      <c r="D122" s="7">
        <f t="shared" si="18"/>
        <v>2.6177378902633061E-219</v>
      </c>
      <c r="E122" s="7">
        <f t="shared" si="19"/>
        <v>1</v>
      </c>
      <c r="F122" s="13"/>
      <c r="G122" s="2">
        <f t="shared" ca="1" si="10"/>
        <v>0.82920731180807572</v>
      </c>
      <c r="H122" s="3">
        <f t="shared" ca="1" si="11"/>
        <v>1</v>
      </c>
      <c r="I122" s="3">
        <f t="shared" ca="1" si="12"/>
        <v>2.9277617787217047</v>
      </c>
      <c r="J122" s="3">
        <f t="shared" ca="1" si="13"/>
        <v>8.5553518027047044</v>
      </c>
      <c r="P122" s="3">
        <f t="shared" ca="1" si="14"/>
        <v>-4.959241456179206</v>
      </c>
      <c r="Q122" s="3">
        <f t="shared" ca="1" si="15"/>
        <v>3.7377772545567471</v>
      </c>
      <c r="R122" s="3">
        <f t="shared" ca="1" si="16"/>
        <v>6.2100768614702533</v>
      </c>
    </row>
    <row r="123" spans="2:18" x14ac:dyDescent="0.25">
      <c r="B123" s="7">
        <f t="shared" si="17"/>
        <v>1</v>
      </c>
      <c r="C123" s="7">
        <v>114</v>
      </c>
      <c r="D123" s="7">
        <f t="shared" si="18"/>
        <v>1.1481306536242578E-221</v>
      </c>
      <c r="E123" s="7">
        <f t="shared" si="19"/>
        <v>1</v>
      </c>
      <c r="F123" s="13"/>
      <c r="G123" s="2">
        <f t="shared" ca="1" si="10"/>
        <v>0.78726850628663925</v>
      </c>
      <c r="H123" s="3">
        <f t="shared" ca="1" si="11"/>
        <v>1</v>
      </c>
      <c r="I123" s="3">
        <f t="shared" ca="1" si="12"/>
        <v>2.7980024204588871</v>
      </c>
      <c r="J123" s="3">
        <f t="shared" ca="1" si="13"/>
        <v>8.3636152775861348</v>
      </c>
      <c r="P123" s="3">
        <f t="shared" ca="1" si="14"/>
        <v>-13.195206985940505</v>
      </c>
      <c r="Q123" s="3">
        <f t="shared" ca="1" si="15"/>
        <v>-3.5193065572929427</v>
      </c>
      <c r="R123" s="3">
        <f t="shared" ca="1" si="16"/>
        <v>13.656463892458333</v>
      </c>
    </row>
    <row r="124" spans="2:18" x14ac:dyDescent="0.25">
      <c r="B124" s="7">
        <f t="shared" si="17"/>
        <v>1</v>
      </c>
      <c r="C124" s="7">
        <v>115</v>
      </c>
      <c r="D124" s="7">
        <f t="shared" si="18"/>
        <v>4.9918724070619904E-224</v>
      </c>
      <c r="E124" s="7">
        <f t="shared" si="19"/>
        <v>1</v>
      </c>
      <c r="F124" s="13"/>
      <c r="G124" s="2">
        <f t="shared" ca="1" si="10"/>
        <v>0.63791749693217537</v>
      </c>
      <c r="H124" s="3">
        <f t="shared" ca="1" si="11"/>
        <v>1</v>
      </c>
      <c r="I124" s="3">
        <f t="shared" ca="1" si="12"/>
        <v>3.5016355023432348</v>
      </c>
      <c r="J124" s="3">
        <f t="shared" ca="1" si="13"/>
        <v>9.3563287436141778</v>
      </c>
      <c r="P124" s="3">
        <f t="shared" ca="1" si="14"/>
        <v>-7.1169144511019251</v>
      </c>
      <c r="Q124" s="3">
        <f t="shared" ca="1" si="15"/>
        <v>-0.21577391605559765</v>
      </c>
      <c r="R124" s="3">
        <f t="shared" ca="1" si="16"/>
        <v>7.1201846666468827</v>
      </c>
    </row>
    <row r="125" spans="2:18" x14ac:dyDescent="0.25">
      <c r="B125" s="7">
        <f t="shared" si="17"/>
        <v>1</v>
      </c>
      <c r="C125" s="7">
        <v>116</v>
      </c>
      <c r="D125" s="7">
        <f t="shared" si="18"/>
        <v>2.1516691409749943E-226</v>
      </c>
      <c r="E125" s="7">
        <f t="shared" si="19"/>
        <v>1</v>
      </c>
      <c r="F125" s="13"/>
      <c r="G125" s="2">
        <f t="shared" ca="1" si="10"/>
        <v>0.92758416345496486</v>
      </c>
      <c r="H125" s="3">
        <f t="shared" ca="1" si="11"/>
        <v>2</v>
      </c>
      <c r="I125" s="3">
        <f t="shared" ca="1" si="12"/>
        <v>1.4045035854161918</v>
      </c>
      <c r="J125" s="3">
        <f t="shared" ca="1" si="13"/>
        <v>5.9255877037982305</v>
      </c>
      <c r="P125" s="3">
        <f t="shared" ca="1" si="14"/>
        <v>-2.9367064985425668</v>
      </c>
      <c r="Q125" s="3">
        <f t="shared" ca="1" si="15"/>
        <v>2.7629782726756518</v>
      </c>
      <c r="R125" s="3">
        <f t="shared" ca="1" si="16"/>
        <v>4.0321574862423057</v>
      </c>
    </row>
    <row r="126" spans="2:18" x14ac:dyDescent="0.25">
      <c r="B126" s="7">
        <f t="shared" si="17"/>
        <v>1</v>
      </c>
      <c r="C126" s="7">
        <v>117</v>
      </c>
      <c r="D126" s="7">
        <f t="shared" si="18"/>
        <v>9.1951672691239098E-229</v>
      </c>
      <c r="E126" s="7">
        <f t="shared" si="19"/>
        <v>1</v>
      </c>
      <c r="F126" s="13"/>
      <c r="G126" s="2">
        <f t="shared" ca="1" si="10"/>
        <v>0.18132977067434941</v>
      </c>
      <c r="H126" s="3">
        <f t="shared" ca="1" si="11"/>
        <v>0</v>
      </c>
      <c r="I126" s="3">
        <f t="shared" ca="1" si="12"/>
        <v>0.2216978693434204</v>
      </c>
      <c r="J126" s="3">
        <f t="shared" ca="1" si="13"/>
        <v>2.354240160558287</v>
      </c>
      <c r="P126" s="3">
        <f t="shared" ca="1" si="14"/>
        <v>-10.840565090689896</v>
      </c>
      <c r="Q126" s="3">
        <f t="shared" ca="1" si="15"/>
        <v>2.331765537078661</v>
      </c>
      <c r="R126" s="3">
        <f t="shared" ca="1" si="16"/>
        <v>11.088506752732407</v>
      </c>
    </row>
    <row r="127" spans="2:18" x14ac:dyDescent="0.25">
      <c r="B127" s="7">
        <f t="shared" si="17"/>
        <v>1</v>
      </c>
      <c r="C127" s="7">
        <v>118</v>
      </c>
      <c r="D127" s="7">
        <f t="shared" si="18"/>
        <v>3.8962573174253859E-231</v>
      </c>
      <c r="E127" s="7">
        <f t="shared" si="19"/>
        <v>1</v>
      </c>
      <c r="F127" s="13"/>
      <c r="G127" s="2">
        <f t="shared" ca="1" si="10"/>
        <v>2.6434021096700011E-2</v>
      </c>
      <c r="H127" s="3">
        <f t="shared" ca="1" si="11"/>
        <v>0</v>
      </c>
      <c r="I127" s="3">
        <f t="shared" ca="1" si="12"/>
        <v>0.48363050808159852</v>
      </c>
      <c r="J127" s="3">
        <f t="shared" ca="1" si="13"/>
        <v>3.4771774044532098</v>
      </c>
      <c r="P127" s="3">
        <f t="shared" ca="1" si="14"/>
        <v>-2.2983676640842665</v>
      </c>
      <c r="Q127" s="3">
        <f t="shared" ca="1" si="15"/>
        <v>0.79471854080196191</v>
      </c>
      <c r="R127" s="3">
        <f t="shared" ca="1" si="16"/>
        <v>2.4318864032685754</v>
      </c>
    </row>
    <row r="128" spans="2:18" x14ac:dyDescent="0.25">
      <c r="B128" s="7">
        <f t="shared" si="17"/>
        <v>1</v>
      </c>
      <c r="C128" s="7">
        <v>119</v>
      </c>
      <c r="D128" s="7">
        <f t="shared" si="18"/>
        <v>1.6370829064812542E-233</v>
      </c>
      <c r="E128" s="7">
        <f t="shared" si="19"/>
        <v>1</v>
      </c>
      <c r="F128" s="13"/>
      <c r="G128" s="2">
        <f t="shared" ca="1" si="10"/>
        <v>0.22307820871230954</v>
      </c>
      <c r="H128" s="3">
        <f t="shared" ca="1" si="11"/>
        <v>0</v>
      </c>
      <c r="I128" s="3">
        <f t="shared" ca="1" si="12"/>
        <v>0.47054153128057097</v>
      </c>
      <c r="J128" s="3">
        <f t="shared" ca="1" si="13"/>
        <v>3.4298014930917322</v>
      </c>
      <c r="P128" s="3">
        <f t="shared" ca="1" si="14"/>
        <v>-4.1371941979202242</v>
      </c>
      <c r="Q128" s="3">
        <f t="shared" ca="1" si="15"/>
        <v>4.7720275631983187</v>
      </c>
      <c r="R128" s="3">
        <f t="shared" ca="1" si="16"/>
        <v>6.3157440492177361</v>
      </c>
    </row>
    <row r="129" spans="2:18" x14ac:dyDescent="0.25">
      <c r="B129" s="7">
        <f t="shared" si="17"/>
        <v>1</v>
      </c>
      <c r="C129" s="7">
        <v>120</v>
      </c>
      <c r="D129" s="7">
        <f t="shared" si="18"/>
        <v>6.8211787770052178E-236</v>
      </c>
      <c r="E129" s="7">
        <f t="shared" si="19"/>
        <v>1</v>
      </c>
      <c r="F129" s="13"/>
      <c r="G129" s="2">
        <f t="shared" ca="1" si="10"/>
        <v>0.98182849763692148</v>
      </c>
      <c r="H129" s="3">
        <f t="shared" ca="1" si="11"/>
        <v>2</v>
      </c>
      <c r="I129" s="3">
        <f t="shared" ca="1" si="12"/>
        <v>2.6187704508902203</v>
      </c>
      <c r="J129" s="3">
        <f t="shared" ca="1" si="13"/>
        <v>8.0913077603225254</v>
      </c>
      <c r="P129" s="3">
        <f t="shared" ca="1" si="14"/>
        <v>-4.214682861761176</v>
      </c>
      <c r="Q129" s="3">
        <f t="shared" ca="1" si="15"/>
        <v>1.0370172586146453</v>
      </c>
      <c r="R129" s="3">
        <f t="shared" ca="1" si="16"/>
        <v>4.3403866670940747</v>
      </c>
    </row>
    <row r="130" spans="2:18" x14ac:dyDescent="0.25">
      <c r="B130" s="7">
        <f t="shared" si="17"/>
        <v>1</v>
      </c>
      <c r="C130" s="7">
        <v>121</v>
      </c>
      <c r="D130" s="7">
        <f t="shared" si="18"/>
        <v>2.8186689161178619E-238</v>
      </c>
      <c r="E130" s="7">
        <f t="shared" si="19"/>
        <v>1</v>
      </c>
      <c r="F130" s="13"/>
      <c r="G130" s="2">
        <f t="shared" ca="1" si="10"/>
        <v>0.65647737128781147</v>
      </c>
      <c r="H130" s="3">
        <f t="shared" ca="1" si="11"/>
        <v>1</v>
      </c>
      <c r="I130" s="3">
        <f t="shared" ca="1" si="12"/>
        <v>5.3872040070105802</v>
      </c>
      <c r="J130" s="3">
        <f t="shared" ca="1" si="13"/>
        <v>11.605175577097683</v>
      </c>
      <c r="P130" s="3">
        <f t="shared" ca="1" si="14"/>
        <v>-1.6151934776741896</v>
      </c>
      <c r="Q130" s="3">
        <f t="shared" ca="1" si="15"/>
        <v>-2.9576924575430099</v>
      </c>
      <c r="R130" s="3">
        <f t="shared" ca="1" si="16"/>
        <v>3.3699843684693929</v>
      </c>
    </row>
    <row r="131" spans="2:18" x14ac:dyDescent="0.25">
      <c r="B131" s="7">
        <f t="shared" si="17"/>
        <v>1</v>
      </c>
      <c r="C131" s="7">
        <v>122</v>
      </c>
      <c r="D131" s="7">
        <f t="shared" si="18"/>
        <v>1.1551921787368286E-240</v>
      </c>
      <c r="E131" s="7">
        <f t="shared" si="19"/>
        <v>1</v>
      </c>
      <c r="F131" s="13"/>
      <c r="G131" s="2">
        <f t="shared" ca="1" si="10"/>
        <v>0.30988351334180442</v>
      </c>
      <c r="H131" s="3">
        <f t="shared" ca="1" si="11"/>
        <v>0</v>
      </c>
      <c r="I131" s="3">
        <f t="shared" ca="1" si="12"/>
        <v>0.17157128679258568</v>
      </c>
      <c r="J131" s="3">
        <f t="shared" ca="1" si="13"/>
        <v>2.0710582246317082</v>
      </c>
      <c r="P131" s="3">
        <f t="shared" ca="1" si="14"/>
        <v>-2.5887104092037498</v>
      </c>
      <c r="Q131" s="3">
        <f t="shared" ca="1" si="15"/>
        <v>0.65801412237720125</v>
      </c>
      <c r="R131" s="3">
        <f t="shared" ca="1" si="16"/>
        <v>2.6710305441847129</v>
      </c>
    </row>
    <row r="132" spans="2:18" x14ac:dyDescent="0.25">
      <c r="B132" s="7">
        <f t="shared" si="17"/>
        <v>1</v>
      </c>
      <c r="C132" s="7">
        <v>123</v>
      </c>
      <c r="D132" s="7">
        <f t="shared" si="18"/>
        <v>4.6959031655968636E-243</v>
      </c>
      <c r="E132" s="7">
        <f t="shared" si="19"/>
        <v>1</v>
      </c>
      <c r="F132" s="13"/>
      <c r="G132" s="2">
        <f t="shared" ref="G132:G195" ca="1" si="20">RAND()</f>
        <v>0.9778575122965365</v>
      </c>
      <c r="H132" s="3">
        <f t="shared" ref="H132:H195" ca="1" si="21">VLOOKUP(G132,$B$9:$C$169,2,TRUE)</f>
        <v>2</v>
      </c>
      <c r="I132" s="3">
        <f t="shared" ref="I132:I195" ca="1" si="22">_xlfn.CHISQ.INV(RAND(),2*H132+2)</f>
        <v>4.3349443946390309</v>
      </c>
      <c r="J132" s="3">
        <f t="shared" ref="J132:J195" ca="1" si="23">$C$4*SQRT(I132)</f>
        <v>10.410264639574526</v>
      </c>
      <c r="P132" s="3">
        <f t="shared" ref="P132:P195" ca="1" si="24">_xlfn.NORM.INV(RAND(),$C$3*COS($O$2),$C$4)</f>
        <v>-10.800612403437984</v>
      </c>
      <c r="Q132" s="3">
        <f t="shared" ref="Q132:Q195" ca="1" si="25">_xlfn.NORM.INV(RAND(),$C$3*SIN($O$2),$C$4)</f>
        <v>10.477179571841042</v>
      </c>
      <c r="R132" s="3">
        <f t="shared" ref="R132:R195" ca="1" si="26">SQRT(P132^2+Q132^2)</f>
        <v>15.047409081629358</v>
      </c>
    </row>
    <row r="133" spans="2:18" x14ac:dyDescent="0.25">
      <c r="B133" s="7">
        <f t="shared" si="17"/>
        <v>1</v>
      </c>
      <c r="C133" s="7">
        <v>124</v>
      </c>
      <c r="D133" s="7">
        <f t="shared" si="18"/>
        <v>1.8935093409664775E-245</v>
      </c>
      <c r="E133" s="7">
        <f t="shared" si="19"/>
        <v>1</v>
      </c>
      <c r="F133" s="13"/>
      <c r="G133" s="2">
        <f t="shared" ca="1" si="20"/>
        <v>0.10367057464223228</v>
      </c>
      <c r="H133" s="3">
        <f t="shared" ca="1" si="21"/>
        <v>0</v>
      </c>
      <c r="I133" s="3">
        <f t="shared" ca="1" si="22"/>
        <v>6.8046811939910112</v>
      </c>
      <c r="J133" s="3">
        <f t="shared" ca="1" si="23"/>
        <v>13.042891928164371</v>
      </c>
      <c r="P133" s="3">
        <f t="shared" ca="1" si="24"/>
        <v>-1.1464751542053175</v>
      </c>
      <c r="Q133" s="3">
        <f t="shared" ca="1" si="25"/>
        <v>-3.2385916256261686</v>
      </c>
      <c r="R133" s="3">
        <f t="shared" ca="1" si="26"/>
        <v>3.4355321271654637</v>
      </c>
    </row>
    <row r="134" spans="2:18" x14ac:dyDescent="0.25">
      <c r="B134" s="7">
        <f t="shared" si="17"/>
        <v>1</v>
      </c>
      <c r="C134" s="7">
        <v>125</v>
      </c>
      <c r="D134" s="7">
        <f t="shared" si="18"/>
        <v>7.57403736386591E-248</v>
      </c>
      <c r="E134" s="7">
        <f t="shared" si="19"/>
        <v>1</v>
      </c>
      <c r="F134" s="13"/>
      <c r="G134" s="2">
        <f t="shared" ca="1" si="20"/>
        <v>0.4429955181350459</v>
      </c>
      <c r="H134" s="3">
        <f t="shared" ca="1" si="21"/>
        <v>0</v>
      </c>
      <c r="I134" s="3">
        <f t="shared" ca="1" si="22"/>
        <v>1.6154265110615409</v>
      </c>
      <c r="J134" s="3">
        <f t="shared" ca="1" si="23"/>
        <v>6.354971500843928</v>
      </c>
      <c r="P134" s="3">
        <f t="shared" ca="1" si="24"/>
        <v>-2.4612090753589984</v>
      </c>
      <c r="Q134" s="3">
        <f t="shared" ca="1" si="25"/>
        <v>11.760847713589451</v>
      </c>
      <c r="R134" s="3">
        <f t="shared" ca="1" si="26"/>
        <v>12.015618546494878</v>
      </c>
    </row>
    <row r="135" spans="2:18" x14ac:dyDescent="0.25">
      <c r="B135" s="7">
        <f t="shared" si="17"/>
        <v>1</v>
      </c>
      <c r="C135" s="7">
        <v>126</v>
      </c>
      <c r="D135" s="7">
        <f t="shared" si="18"/>
        <v>3.0055703824864708E-250</v>
      </c>
      <c r="E135" s="7">
        <f t="shared" si="19"/>
        <v>1</v>
      </c>
      <c r="F135" s="13"/>
      <c r="G135" s="2">
        <f t="shared" ca="1" si="20"/>
        <v>0.29536032756982289</v>
      </c>
      <c r="H135" s="3">
        <f t="shared" ca="1" si="21"/>
        <v>0</v>
      </c>
      <c r="I135" s="3">
        <f t="shared" ca="1" si="22"/>
        <v>0.78053021762176877</v>
      </c>
      <c r="J135" s="3">
        <f t="shared" ca="1" si="23"/>
        <v>4.4173810612787552</v>
      </c>
      <c r="P135" s="3">
        <f t="shared" ca="1" si="24"/>
        <v>-3.1678540153109909</v>
      </c>
      <c r="Q135" s="3">
        <f t="shared" ca="1" si="25"/>
        <v>-7.3726314674272668</v>
      </c>
      <c r="R135" s="3">
        <f t="shared" ca="1" si="26"/>
        <v>8.0243999038445661</v>
      </c>
    </row>
    <row r="136" spans="2:18" x14ac:dyDescent="0.25">
      <c r="B136" s="7">
        <f t="shared" si="17"/>
        <v>1</v>
      </c>
      <c r="C136" s="7">
        <v>127</v>
      </c>
      <c r="D136" s="7">
        <f t="shared" si="18"/>
        <v>1.1832954261757753E-252</v>
      </c>
      <c r="E136" s="7">
        <f t="shared" si="19"/>
        <v>1</v>
      </c>
      <c r="F136" s="13"/>
      <c r="G136" s="2">
        <f t="shared" ca="1" si="20"/>
        <v>0.96334778630371509</v>
      </c>
      <c r="H136" s="3">
        <f t="shared" ca="1" si="21"/>
        <v>2</v>
      </c>
      <c r="I136" s="3">
        <f t="shared" ca="1" si="22"/>
        <v>15.007662874078502</v>
      </c>
      <c r="J136" s="3">
        <f t="shared" ca="1" si="23"/>
        <v>19.369862463424013</v>
      </c>
      <c r="P136" s="3">
        <f t="shared" ca="1" si="24"/>
        <v>-4.5323172478996252</v>
      </c>
      <c r="Q136" s="3">
        <f t="shared" ca="1" si="25"/>
        <v>-3.1967309720246457</v>
      </c>
      <c r="R136" s="3">
        <f t="shared" ca="1" si="26"/>
        <v>5.5462589682695187</v>
      </c>
    </row>
    <row r="137" spans="2:18" x14ac:dyDescent="0.25">
      <c r="B137" s="7">
        <f t="shared" si="17"/>
        <v>1</v>
      </c>
      <c r="C137" s="7">
        <v>128</v>
      </c>
      <c r="D137" s="7">
        <f t="shared" si="18"/>
        <v>4.6222477584991224E-255</v>
      </c>
      <c r="E137" s="7">
        <f t="shared" si="19"/>
        <v>1</v>
      </c>
      <c r="F137" s="13"/>
      <c r="G137" s="2">
        <f t="shared" ca="1" si="20"/>
        <v>0.76163100912500681</v>
      </c>
      <c r="H137" s="3">
        <f t="shared" ca="1" si="21"/>
        <v>1</v>
      </c>
      <c r="I137" s="3">
        <f t="shared" ca="1" si="22"/>
        <v>4.9098346727546343</v>
      </c>
      <c r="J137" s="3">
        <f t="shared" ca="1" si="23"/>
        <v>11.079073373656565</v>
      </c>
      <c r="P137" s="3">
        <f t="shared" ca="1" si="24"/>
        <v>-3.2146605347624515</v>
      </c>
      <c r="Q137" s="3">
        <f t="shared" ca="1" si="25"/>
        <v>7.3120309682455789</v>
      </c>
      <c r="R137" s="3">
        <f t="shared" ca="1" si="26"/>
        <v>7.9874801554896884</v>
      </c>
    </row>
    <row r="138" spans="2:18" x14ac:dyDescent="0.25">
      <c r="B138" s="7">
        <f t="shared" ref="B138:B169" si="27">E137</f>
        <v>1</v>
      </c>
      <c r="C138" s="7">
        <v>129</v>
      </c>
      <c r="D138" s="7">
        <f t="shared" ref="D138:D169" si="28">(EXP(-$C$6)*POWER($C$6,C138))/(FACT(C138))</f>
        <v>1.7915688986430726E-257</v>
      </c>
      <c r="E138" s="7">
        <f t="shared" ref="E138:E169" si="29">E137+D138</f>
        <v>1</v>
      </c>
      <c r="F138" s="13"/>
      <c r="G138" s="2">
        <f t="shared" ca="1" si="20"/>
        <v>0.11012039774932936</v>
      </c>
      <c r="H138" s="3">
        <f t="shared" ca="1" si="21"/>
        <v>0</v>
      </c>
      <c r="I138" s="3">
        <f t="shared" ca="1" si="22"/>
        <v>3.4598158111828461</v>
      </c>
      <c r="J138" s="3">
        <f t="shared" ca="1" si="23"/>
        <v>9.300290064270639</v>
      </c>
      <c r="P138" s="3">
        <f t="shared" ca="1" si="24"/>
        <v>-1.6941338953231346</v>
      </c>
      <c r="Q138" s="3">
        <f t="shared" ca="1" si="25"/>
        <v>1.524331472903022</v>
      </c>
      <c r="R138" s="3">
        <f t="shared" ca="1" si="26"/>
        <v>2.2789638203721956</v>
      </c>
    </row>
    <row r="139" spans="2:18" x14ac:dyDescent="0.25">
      <c r="B139" s="7">
        <f t="shared" si="27"/>
        <v>1</v>
      </c>
      <c r="C139" s="7">
        <v>130</v>
      </c>
      <c r="D139" s="7">
        <f t="shared" si="28"/>
        <v>6.8906496101656644E-260</v>
      </c>
      <c r="E139" s="7">
        <f t="shared" si="29"/>
        <v>1</v>
      </c>
      <c r="F139" s="13"/>
      <c r="G139" s="2">
        <f t="shared" ca="1" si="20"/>
        <v>0.2617108005010238</v>
      </c>
      <c r="H139" s="3">
        <f t="shared" ca="1" si="21"/>
        <v>0</v>
      </c>
      <c r="I139" s="3">
        <f t="shared" ca="1" si="22"/>
        <v>1.1510523739607625</v>
      </c>
      <c r="J139" s="3">
        <f t="shared" ca="1" si="23"/>
        <v>5.3643554458125786</v>
      </c>
      <c r="P139" s="3">
        <f t="shared" ca="1" si="24"/>
        <v>-12.003631380781735</v>
      </c>
      <c r="Q139" s="3">
        <f t="shared" ca="1" si="25"/>
        <v>-5.0018960249900593</v>
      </c>
      <c r="R139" s="3">
        <f t="shared" ca="1" si="26"/>
        <v>13.004081288983832</v>
      </c>
    </row>
    <row r="140" spans="2:18" x14ac:dyDescent="0.25">
      <c r="B140" s="7">
        <f t="shared" si="27"/>
        <v>1</v>
      </c>
      <c r="C140" s="7">
        <v>131</v>
      </c>
      <c r="D140" s="7">
        <f t="shared" si="28"/>
        <v>2.6300189351777368E-262</v>
      </c>
      <c r="E140" s="7">
        <f t="shared" si="29"/>
        <v>1</v>
      </c>
      <c r="F140" s="13"/>
      <c r="G140" s="2">
        <f t="shared" ca="1" si="20"/>
        <v>0.1346728899879116</v>
      </c>
      <c r="H140" s="3">
        <f t="shared" ca="1" si="21"/>
        <v>0</v>
      </c>
      <c r="I140" s="3">
        <f t="shared" ca="1" si="22"/>
        <v>2.8641220156797575</v>
      </c>
      <c r="J140" s="3">
        <f t="shared" ca="1" si="23"/>
        <v>8.4618585660594654</v>
      </c>
      <c r="P140" s="3">
        <f t="shared" ca="1" si="24"/>
        <v>-10.84293603729078</v>
      </c>
      <c r="Q140" s="3">
        <f t="shared" ca="1" si="25"/>
        <v>-2.1151421677213453</v>
      </c>
      <c r="R140" s="3">
        <f t="shared" ca="1" si="26"/>
        <v>11.047311360618567</v>
      </c>
    </row>
    <row r="141" spans="2:18" x14ac:dyDescent="0.25">
      <c r="B141" s="7">
        <f t="shared" si="27"/>
        <v>1</v>
      </c>
      <c r="C141" s="7">
        <v>132</v>
      </c>
      <c r="D141" s="7">
        <f t="shared" si="28"/>
        <v>9.9621929362793016E-265</v>
      </c>
      <c r="E141" s="7">
        <f t="shared" si="29"/>
        <v>1</v>
      </c>
      <c r="F141" s="13"/>
      <c r="G141" s="2">
        <f t="shared" ca="1" si="20"/>
        <v>0.84913361117086139</v>
      </c>
      <c r="H141" s="3">
        <f t="shared" ca="1" si="21"/>
        <v>1</v>
      </c>
      <c r="I141" s="3">
        <f t="shared" ca="1" si="22"/>
        <v>5.5227595415719071</v>
      </c>
      <c r="J141" s="3">
        <f t="shared" ca="1" si="23"/>
        <v>11.750276104811226</v>
      </c>
      <c r="P141" s="3">
        <f t="shared" ca="1" si="24"/>
        <v>5.2322334869703635</v>
      </c>
      <c r="Q141" s="3">
        <f t="shared" ca="1" si="25"/>
        <v>0.39456650086316575</v>
      </c>
      <c r="R141" s="3">
        <f t="shared" ca="1" si="26"/>
        <v>5.247089668166292</v>
      </c>
    </row>
    <row r="142" spans="2:18" x14ac:dyDescent="0.25">
      <c r="B142" s="7">
        <f t="shared" si="27"/>
        <v>1</v>
      </c>
      <c r="C142" s="7">
        <v>133</v>
      </c>
      <c r="D142" s="7">
        <f t="shared" si="28"/>
        <v>3.7451853143907153E-267</v>
      </c>
      <c r="E142" s="7">
        <f t="shared" si="29"/>
        <v>1</v>
      </c>
      <c r="F142" s="13"/>
      <c r="G142" s="2">
        <f t="shared" ca="1" si="20"/>
        <v>6.0810887716435835E-2</v>
      </c>
      <c r="H142" s="3">
        <f t="shared" ca="1" si="21"/>
        <v>0</v>
      </c>
      <c r="I142" s="3">
        <f t="shared" ca="1" si="22"/>
        <v>0.86368442531744127</v>
      </c>
      <c r="J142" s="3">
        <f t="shared" ca="1" si="23"/>
        <v>4.6467311771756314</v>
      </c>
      <c r="P142" s="3">
        <f t="shared" ca="1" si="24"/>
        <v>0.23619071204436271</v>
      </c>
      <c r="Q142" s="3">
        <f t="shared" ca="1" si="25"/>
        <v>-4.4677594113828478</v>
      </c>
      <c r="R142" s="3">
        <f t="shared" ca="1" si="26"/>
        <v>4.4739982354104741</v>
      </c>
    </row>
    <row r="143" spans="2:18" x14ac:dyDescent="0.25">
      <c r="B143" s="7">
        <f t="shared" si="27"/>
        <v>1</v>
      </c>
      <c r="C143" s="7">
        <v>134</v>
      </c>
      <c r="D143" s="7">
        <f t="shared" si="28"/>
        <v>1.3974572068622054E-269</v>
      </c>
      <c r="E143" s="7">
        <f t="shared" si="29"/>
        <v>1</v>
      </c>
      <c r="F143" s="13"/>
      <c r="G143" s="2">
        <f t="shared" ca="1" si="20"/>
        <v>0.21844545635406598</v>
      </c>
      <c r="H143" s="3">
        <f t="shared" ca="1" si="21"/>
        <v>0</v>
      </c>
      <c r="I143" s="3">
        <f t="shared" ca="1" si="22"/>
        <v>0.55047100524293557</v>
      </c>
      <c r="J143" s="3">
        <f t="shared" ca="1" si="23"/>
        <v>3.7096866621149269</v>
      </c>
      <c r="P143" s="3">
        <f t="shared" ca="1" si="24"/>
        <v>4.4429563114383068</v>
      </c>
      <c r="Q143" s="3">
        <f t="shared" ca="1" si="25"/>
        <v>-3.2809248538783602</v>
      </c>
      <c r="R143" s="3">
        <f t="shared" ca="1" si="26"/>
        <v>5.5230723951570857</v>
      </c>
    </row>
    <row r="144" spans="2:18" x14ac:dyDescent="0.25">
      <c r="B144" s="7">
        <f t="shared" si="27"/>
        <v>1</v>
      </c>
      <c r="C144" s="7">
        <v>135</v>
      </c>
      <c r="D144" s="7">
        <f t="shared" si="28"/>
        <v>5.1757674328229889E-272</v>
      </c>
      <c r="E144" s="7">
        <f t="shared" si="29"/>
        <v>1</v>
      </c>
      <c r="F144" s="13"/>
      <c r="G144" s="2">
        <f t="shared" ca="1" si="20"/>
        <v>0.56511161543371469</v>
      </c>
      <c r="H144" s="3">
        <f t="shared" ca="1" si="21"/>
        <v>0</v>
      </c>
      <c r="I144" s="3">
        <f t="shared" ca="1" si="22"/>
        <v>1.4232073906527596</v>
      </c>
      <c r="J144" s="3">
        <f t="shared" ca="1" si="23"/>
        <v>5.9649128045864162</v>
      </c>
      <c r="P144" s="3">
        <f t="shared" ca="1" si="24"/>
        <v>-9.9627450385960437</v>
      </c>
      <c r="Q144" s="3">
        <f t="shared" ca="1" si="25"/>
        <v>3.252608610207826</v>
      </c>
      <c r="R144" s="3">
        <f t="shared" ca="1" si="26"/>
        <v>10.480255315366518</v>
      </c>
    </row>
    <row r="145" spans="2:18" x14ac:dyDescent="0.25">
      <c r="B145" s="7">
        <f t="shared" si="27"/>
        <v>1</v>
      </c>
      <c r="C145" s="7">
        <v>136</v>
      </c>
      <c r="D145" s="7">
        <f t="shared" si="28"/>
        <v>1.9028556738319804E-274</v>
      </c>
      <c r="E145" s="7">
        <f t="shared" si="29"/>
        <v>1</v>
      </c>
      <c r="F145" s="13"/>
      <c r="G145" s="2">
        <f t="shared" ca="1" si="20"/>
        <v>0.51578646606798473</v>
      </c>
      <c r="H145" s="3">
        <f t="shared" ca="1" si="21"/>
        <v>0</v>
      </c>
      <c r="I145" s="3">
        <f t="shared" ca="1" si="22"/>
        <v>6.6941832140559336</v>
      </c>
      <c r="J145" s="3">
        <f t="shared" ca="1" si="23"/>
        <v>12.936559834492257</v>
      </c>
      <c r="P145" s="3">
        <f t="shared" ca="1" si="24"/>
        <v>-6.4471772966148944</v>
      </c>
      <c r="Q145" s="3">
        <f t="shared" ca="1" si="25"/>
        <v>0.84577696363455979</v>
      </c>
      <c r="R145" s="3">
        <f t="shared" ca="1" si="26"/>
        <v>6.5024175324414104</v>
      </c>
    </row>
    <row r="146" spans="2:18" x14ac:dyDescent="0.25">
      <c r="B146" s="7">
        <f t="shared" si="27"/>
        <v>1</v>
      </c>
      <c r="C146" s="7">
        <v>137</v>
      </c>
      <c r="D146" s="7">
        <f t="shared" si="28"/>
        <v>6.9447287366130714E-277</v>
      </c>
      <c r="E146" s="7">
        <f t="shared" si="29"/>
        <v>1</v>
      </c>
      <c r="F146" s="13"/>
      <c r="G146" s="2">
        <f t="shared" ca="1" si="20"/>
        <v>0.30982725227873775</v>
      </c>
      <c r="H146" s="3">
        <f t="shared" ca="1" si="21"/>
        <v>0</v>
      </c>
      <c r="I146" s="3">
        <f t="shared" ca="1" si="22"/>
        <v>0.3846886143920783</v>
      </c>
      <c r="J146" s="3">
        <f t="shared" ca="1" si="23"/>
        <v>3.1011635493475604</v>
      </c>
      <c r="P146" s="3">
        <f t="shared" ca="1" si="24"/>
        <v>-8.2608424378005729</v>
      </c>
      <c r="Q146" s="3">
        <f t="shared" ca="1" si="25"/>
        <v>5.1041353508805498</v>
      </c>
      <c r="R146" s="3">
        <f t="shared" ca="1" si="26"/>
        <v>9.7104951193168016</v>
      </c>
    </row>
    <row r="147" spans="2:18" x14ac:dyDescent="0.25">
      <c r="B147" s="7">
        <f t="shared" si="27"/>
        <v>1</v>
      </c>
      <c r="C147" s="7">
        <v>138</v>
      </c>
      <c r="D147" s="7">
        <f t="shared" si="28"/>
        <v>2.5162060639902439E-279</v>
      </c>
      <c r="E147" s="7">
        <f t="shared" si="29"/>
        <v>1</v>
      </c>
      <c r="F147" s="13"/>
      <c r="G147" s="2">
        <f t="shared" ca="1" si="20"/>
        <v>0.72276722972134055</v>
      </c>
      <c r="H147" s="3">
        <f t="shared" ca="1" si="21"/>
        <v>1</v>
      </c>
      <c r="I147" s="3">
        <f t="shared" ca="1" si="22"/>
        <v>5.5218297421113345</v>
      </c>
      <c r="J147" s="3">
        <f t="shared" ca="1" si="23"/>
        <v>11.749286938056427</v>
      </c>
      <c r="P147" s="3">
        <f t="shared" ca="1" si="24"/>
        <v>-9.1633057614814</v>
      </c>
      <c r="Q147" s="3">
        <f t="shared" ca="1" si="25"/>
        <v>3.0873569737757642</v>
      </c>
      <c r="R147" s="3">
        <f t="shared" ca="1" si="26"/>
        <v>9.6694335698592013</v>
      </c>
    </row>
    <row r="148" spans="2:18" x14ac:dyDescent="0.25">
      <c r="B148" s="7">
        <f t="shared" si="27"/>
        <v>1</v>
      </c>
      <c r="C148" s="7">
        <v>139</v>
      </c>
      <c r="D148" s="7">
        <f t="shared" si="28"/>
        <v>9.0511009496051848E-282</v>
      </c>
      <c r="E148" s="7">
        <f t="shared" si="29"/>
        <v>1</v>
      </c>
      <c r="F148" s="13"/>
      <c r="G148" s="2">
        <f t="shared" ca="1" si="20"/>
        <v>0.97456253102496726</v>
      </c>
      <c r="H148" s="3">
        <f t="shared" ca="1" si="21"/>
        <v>2</v>
      </c>
      <c r="I148" s="3">
        <f t="shared" ca="1" si="22"/>
        <v>1.8856138496045152</v>
      </c>
      <c r="J148" s="3">
        <f t="shared" ca="1" si="23"/>
        <v>6.8658827720922302</v>
      </c>
      <c r="P148" s="3">
        <f t="shared" ca="1" si="24"/>
        <v>-5.1236057211416313</v>
      </c>
      <c r="Q148" s="3">
        <f t="shared" ca="1" si="25"/>
        <v>-4.8236818863734001</v>
      </c>
      <c r="R148" s="3">
        <f t="shared" ca="1" si="26"/>
        <v>7.0369910136820621</v>
      </c>
    </row>
    <row r="149" spans="2:18" x14ac:dyDescent="0.25">
      <c r="B149" s="7">
        <f t="shared" si="27"/>
        <v>1</v>
      </c>
      <c r="C149" s="7">
        <v>140</v>
      </c>
      <c r="D149" s="7">
        <f t="shared" si="28"/>
        <v>3.2325360534304236E-284</v>
      </c>
      <c r="E149" s="7">
        <f t="shared" si="29"/>
        <v>1</v>
      </c>
      <c r="F149" s="13"/>
      <c r="G149" s="2">
        <f t="shared" ca="1" si="20"/>
        <v>0.50590919840718362</v>
      </c>
      <c r="H149" s="3">
        <f t="shared" ca="1" si="21"/>
        <v>0</v>
      </c>
      <c r="I149" s="3">
        <f t="shared" ca="1" si="22"/>
        <v>0.42719866025726805</v>
      </c>
      <c r="J149" s="3">
        <f t="shared" ca="1" si="23"/>
        <v>3.2680218032368913</v>
      </c>
      <c r="P149" s="3">
        <f t="shared" ca="1" si="24"/>
        <v>0.12623942472880589</v>
      </c>
      <c r="Q149" s="3">
        <f t="shared" ca="1" si="25"/>
        <v>-6.5676199555366521</v>
      </c>
      <c r="R149" s="3">
        <f t="shared" ca="1" si="26"/>
        <v>6.5688330982541423</v>
      </c>
    </row>
    <row r="150" spans="2:18" x14ac:dyDescent="0.25">
      <c r="B150" s="7">
        <f t="shared" si="27"/>
        <v>1</v>
      </c>
      <c r="C150" s="7">
        <v>141</v>
      </c>
      <c r="D150" s="7">
        <f t="shared" si="28"/>
        <v>1.1462893806490861E-286</v>
      </c>
      <c r="E150" s="7">
        <f t="shared" si="29"/>
        <v>1</v>
      </c>
      <c r="F150" s="13"/>
      <c r="G150" s="2">
        <f t="shared" ca="1" si="20"/>
        <v>0.56983254352137014</v>
      </c>
      <c r="H150" s="3">
        <f t="shared" ca="1" si="21"/>
        <v>0</v>
      </c>
      <c r="I150" s="3">
        <f t="shared" ca="1" si="22"/>
        <v>2.2023518985365004E-2</v>
      </c>
      <c r="J150" s="3">
        <f t="shared" ca="1" si="23"/>
        <v>0.7420161552379605</v>
      </c>
      <c r="P150" s="3">
        <f t="shared" ca="1" si="24"/>
        <v>-4.8181619705801237</v>
      </c>
      <c r="Q150" s="3">
        <f t="shared" ca="1" si="25"/>
        <v>3.7345864633213077</v>
      </c>
      <c r="R150" s="3">
        <f t="shared" ca="1" si="26"/>
        <v>6.0960496082928408</v>
      </c>
    </row>
    <row r="151" spans="2:18" x14ac:dyDescent="0.25">
      <c r="B151" s="7">
        <f t="shared" si="27"/>
        <v>1</v>
      </c>
      <c r="C151" s="7">
        <v>142</v>
      </c>
      <c r="D151" s="7">
        <f t="shared" si="28"/>
        <v>4.0362302135531197E-289</v>
      </c>
      <c r="E151" s="7">
        <f t="shared" si="29"/>
        <v>1</v>
      </c>
      <c r="F151" s="13"/>
      <c r="G151" s="2">
        <f t="shared" ca="1" si="20"/>
        <v>0.71234027177629633</v>
      </c>
      <c r="H151" s="3">
        <f t="shared" ca="1" si="21"/>
        <v>1</v>
      </c>
      <c r="I151" s="3">
        <f t="shared" ca="1" si="22"/>
        <v>2.8832687238724168</v>
      </c>
      <c r="J151" s="3">
        <f t="shared" ca="1" si="23"/>
        <v>8.4900952937414313</v>
      </c>
      <c r="P151" s="3">
        <f t="shared" ca="1" si="24"/>
        <v>-10.74179155691029</v>
      </c>
      <c r="Q151" s="3">
        <f t="shared" ca="1" si="25"/>
        <v>9.893467070304208</v>
      </c>
      <c r="R151" s="3">
        <f t="shared" ca="1" si="26"/>
        <v>14.603656272430644</v>
      </c>
    </row>
    <row r="152" spans="2:18" x14ac:dyDescent="0.25">
      <c r="B152" s="7">
        <f t="shared" si="27"/>
        <v>1</v>
      </c>
      <c r="C152" s="7">
        <v>143</v>
      </c>
      <c r="D152" s="7">
        <f t="shared" si="28"/>
        <v>1.4112693054381553E-291</v>
      </c>
      <c r="E152" s="7">
        <f t="shared" si="29"/>
        <v>1</v>
      </c>
      <c r="F152" s="13"/>
      <c r="G152" s="2">
        <f t="shared" ca="1" si="20"/>
        <v>7.8862967031273601E-2</v>
      </c>
      <c r="H152" s="3">
        <f t="shared" ca="1" si="21"/>
        <v>0</v>
      </c>
      <c r="I152" s="3">
        <f t="shared" ca="1" si="22"/>
        <v>3.7231882091343973</v>
      </c>
      <c r="J152" s="3">
        <f t="shared" ca="1" si="23"/>
        <v>9.6477823995133676</v>
      </c>
      <c r="P152" s="3">
        <f t="shared" ca="1" si="24"/>
        <v>0.58766628817457089</v>
      </c>
      <c r="Q152" s="3">
        <f t="shared" ca="1" si="25"/>
        <v>-3.4000813353593151</v>
      </c>
      <c r="R152" s="3">
        <f t="shared" ca="1" si="26"/>
        <v>3.4504934072268072</v>
      </c>
    </row>
    <row r="153" spans="2:18" x14ac:dyDescent="0.25">
      <c r="B153" s="7">
        <f t="shared" si="27"/>
        <v>1</v>
      </c>
      <c r="C153" s="7">
        <v>144</v>
      </c>
      <c r="D153" s="7">
        <f t="shared" si="28"/>
        <v>4.9002406438824772E-294</v>
      </c>
      <c r="E153" s="7">
        <f t="shared" si="29"/>
        <v>1</v>
      </c>
      <c r="F153" s="13"/>
      <c r="G153" s="2">
        <f t="shared" ca="1" si="20"/>
        <v>7.6104009419634577E-2</v>
      </c>
      <c r="H153" s="3">
        <f t="shared" ca="1" si="21"/>
        <v>0</v>
      </c>
      <c r="I153" s="3">
        <f t="shared" ca="1" si="22"/>
        <v>1.6062335993591639</v>
      </c>
      <c r="J153" s="3">
        <f t="shared" ca="1" si="23"/>
        <v>6.3368635762480396</v>
      </c>
      <c r="P153" s="3">
        <f t="shared" ca="1" si="24"/>
        <v>-3.524278632712063</v>
      </c>
      <c r="Q153" s="3">
        <f t="shared" ca="1" si="25"/>
        <v>4.7441955881276971</v>
      </c>
      <c r="R153" s="3">
        <f t="shared" ca="1" si="26"/>
        <v>5.9099857579693973</v>
      </c>
    </row>
    <row r="154" spans="2:18" x14ac:dyDescent="0.25">
      <c r="B154" s="7">
        <f t="shared" si="27"/>
        <v>1</v>
      </c>
      <c r="C154" s="7">
        <v>145</v>
      </c>
      <c r="D154" s="7">
        <f t="shared" si="28"/>
        <v>1.6897381530629247E-296</v>
      </c>
      <c r="E154" s="7">
        <f t="shared" si="29"/>
        <v>1</v>
      </c>
      <c r="F154" s="13"/>
      <c r="G154" s="2">
        <f t="shared" ca="1" si="20"/>
        <v>9.4558438182686055E-2</v>
      </c>
      <c r="H154" s="3">
        <f t="shared" ca="1" si="21"/>
        <v>0</v>
      </c>
      <c r="I154" s="3">
        <f t="shared" ca="1" si="22"/>
        <v>3.1926417804348675</v>
      </c>
      <c r="J154" s="3">
        <f t="shared" ca="1" si="23"/>
        <v>8.9339825671909434</v>
      </c>
      <c r="P154" s="3">
        <f t="shared" ca="1" si="24"/>
        <v>-6.6174700278933472</v>
      </c>
      <c r="Q154" s="3">
        <f t="shared" ca="1" si="25"/>
        <v>-10.417181572598333</v>
      </c>
      <c r="R154" s="3">
        <f t="shared" ca="1" si="26"/>
        <v>12.34133629257987</v>
      </c>
    </row>
    <row r="155" spans="2:18" x14ac:dyDescent="0.25">
      <c r="B155" s="7">
        <f t="shared" si="27"/>
        <v>1</v>
      </c>
      <c r="C155" s="7">
        <v>146</v>
      </c>
      <c r="D155" s="7">
        <f t="shared" si="28"/>
        <v>5.7867744967908358E-299</v>
      </c>
      <c r="E155" s="7">
        <f t="shared" si="29"/>
        <v>1</v>
      </c>
      <c r="F155" s="13"/>
      <c r="G155" s="2">
        <f t="shared" ca="1" si="20"/>
        <v>0.23969391330526368</v>
      </c>
      <c r="H155" s="3">
        <f t="shared" ca="1" si="21"/>
        <v>0</v>
      </c>
      <c r="I155" s="3">
        <f t="shared" ca="1" si="22"/>
        <v>1.5500065145549766</v>
      </c>
      <c r="J155" s="3">
        <f t="shared" ca="1" si="23"/>
        <v>6.2249628805218116</v>
      </c>
      <c r="P155" s="3">
        <f t="shared" ca="1" si="24"/>
        <v>-1.0957673387719895</v>
      </c>
      <c r="Q155" s="3">
        <f t="shared" ca="1" si="25"/>
        <v>4.1453752257018994</v>
      </c>
      <c r="R155" s="3">
        <f t="shared" ca="1" si="26"/>
        <v>4.2877548696937566</v>
      </c>
    </row>
    <row r="156" spans="2:18" x14ac:dyDescent="0.25">
      <c r="B156" s="7">
        <f t="shared" si="27"/>
        <v>1</v>
      </c>
      <c r="C156" s="7">
        <v>147</v>
      </c>
      <c r="D156" s="7">
        <f t="shared" si="28"/>
        <v>1.9682906451669497E-301</v>
      </c>
      <c r="E156" s="7">
        <f t="shared" si="29"/>
        <v>1</v>
      </c>
      <c r="F156" s="13"/>
      <c r="G156" s="2">
        <f t="shared" ca="1" si="20"/>
        <v>0.52495020820512306</v>
      </c>
      <c r="H156" s="3">
        <f t="shared" ca="1" si="21"/>
        <v>0</v>
      </c>
      <c r="I156" s="3">
        <f t="shared" ca="1" si="22"/>
        <v>3.0021022925651453</v>
      </c>
      <c r="J156" s="3">
        <f t="shared" ca="1" si="23"/>
        <v>8.6632879043772189</v>
      </c>
      <c r="P156" s="3">
        <f t="shared" ca="1" si="24"/>
        <v>1.1489270097488529</v>
      </c>
      <c r="Q156" s="3">
        <f t="shared" ca="1" si="25"/>
        <v>1.1274755486770287</v>
      </c>
      <c r="R156" s="3">
        <f t="shared" ca="1" si="26"/>
        <v>1.6097311535144643</v>
      </c>
    </row>
    <row r="157" spans="2:18" x14ac:dyDescent="0.25">
      <c r="B157" s="7">
        <f t="shared" si="27"/>
        <v>1</v>
      </c>
      <c r="C157" s="7">
        <v>148</v>
      </c>
      <c r="D157" s="7">
        <f t="shared" si="28"/>
        <v>6.6496305579964601E-304</v>
      </c>
      <c r="E157" s="7">
        <f t="shared" si="29"/>
        <v>1</v>
      </c>
      <c r="F157" s="13"/>
      <c r="G157" s="2">
        <f t="shared" ca="1" si="20"/>
        <v>8.898889327016879E-2</v>
      </c>
      <c r="H157" s="3">
        <f t="shared" ca="1" si="21"/>
        <v>0</v>
      </c>
      <c r="I157" s="3">
        <f t="shared" ca="1" si="22"/>
        <v>1.9679947244152971</v>
      </c>
      <c r="J157" s="3">
        <f t="shared" ca="1" si="23"/>
        <v>7.0142617651740391</v>
      </c>
      <c r="P157" s="3">
        <f t="shared" ca="1" si="24"/>
        <v>-1.7418858011281118</v>
      </c>
      <c r="Q157" s="3">
        <f t="shared" ca="1" si="25"/>
        <v>-6.2990393816658594</v>
      </c>
      <c r="R157" s="3">
        <f t="shared" ca="1" si="26"/>
        <v>6.5354466776150151</v>
      </c>
    </row>
    <row r="158" spans="2:18" x14ac:dyDescent="0.25">
      <c r="B158" s="7">
        <f t="shared" si="27"/>
        <v>1</v>
      </c>
      <c r="C158" s="7">
        <v>149</v>
      </c>
      <c r="D158" s="7">
        <f t="shared" si="28"/>
        <v>2.2314196503343816E-306</v>
      </c>
      <c r="E158" s="7">
        <f t="shared" si="29"/>
        <v>1</v>
      </c>
      <c r="F158" s="13"/>
      <c r="G158" s="2">
        <f t="shared" ca="1" si="20"/>
        <v>0.70845273385614882</v>
      </c>
      <c r="H158" s="3">
        <f t="shared" ca="1" si="21"/>
        <v>1</v>
      </c>
      <c r="I158" s="3">
        <f t="shared" ca="1" si="22"/>
        <v>3.9188272566984836</v>
      </c>
      <c r="J158" s="3">
        <f t="shared" ca="1" si="23"/>
        <v>9.8980140138040866</v>
      </c>
      <c r="P158" s="3">
        <f t="shared" ca="1" si="24"/>
        <v>-3.4471397719552566</v>
      </c>
      <c r="Q158" s="3">
        <f t="shared" ca="1" si="25"/>
        <v>-2.7177501314764241</v>
      </c>
      <c r="R158" s="3">
        <f t="shared" ca="1" si="26"/>
        <v>4.3896398923528865</v>
      </c>
    </row>
    <row r="159" spans="2:18" x14ac:dyDescent="0.25">
      <c r="B159" s="7">
        <f t="shared" si="27"/>
        <v>1</v>
      </c>
      <c r="C159" s="7">
        <v>150</v>
      </c>
      <c r="D159" s="7">
        <f t="shared" si="28"/>
        <v>0</v>
      </c>
      <c r="E159" s="7">
        <f t="shared" si="29"/>
        <v>1</v>
      </c>
      <c r="F159" s="13"/>
      <c r="G159" s="2">
        <f t="shared" ca="1" si="20"/>
        <v>0.43435692598753706</v>
      </c>
      <c r="H159" s="3">
        <f t="shared" ca="1" si="21"/>
        <v>0</v>
      </c>
      <c r="I159" s="3">
        <f t="shared" ca="1" si="22"/>
        <v>2.5673113752675762</v>
      </c>
      <c r="J159" s="3">
        <f t="shared" ca="1" si="23"/>
        <v>8.0114158787126648</v>
      </c>
      <c r="P159" s="3">
        <f t="shared" ca="1" si="24"/>
        <v>-18.819700062779141</v>
      </c>
      <c r="Q159" s="3">
        <f t="shared" ca="1" si="25"/>
        <v>-1.957176887131779</v>
      </c>
      <c r="R159" s="3">
        <f t="shared" ca="1" si="26"/>
        <v>18.921195834843317</v>
      </c>
    </row>
    <row r="160" spans="2:18" x14ac:dyDescent="0.25">
      <c r="B160" s="7">
        <f t="shared" si="27"/>
        <v>1</v>
      </c>
      <c r="C160" s="7">
        <v>151</v>
      </c>
      <c r="D160" s="7">
        <f t="shared" si="28"/>
        <v>0</v>
      </c>
      <c r="E160" s="7">
        <f t="shared" si="29"/>
        <v>1</v>
      </c>
      <c r="F160" s="13"/>
      <c r="G160" s="2">
        <f t="shared" ca="1" si="20"/>
        <v>0.74287542093617975</v>
      </c>
      <c r="H160" s="3">
        <f t="shared" ca="1" si="21"/>
        <v>1</v>
      </c>
      <c r="I160" s="3">
        <f t="shared" ca="1" si="22"/>
        <v>0.64970820665864015</v>
      </c>
      <c r="J160" s="3">
        <f t="shared" ca="1" si="23"/>
        <v>4.0302239598397014</v>
      </c>
      <c r="P160" s="3">
        <f t="shared" ca="1" si="24"/>
        <v>-3.1086636129779395</v>
      </c>
      <c r="Q160" s="3">
        <f t="shared" ca="1" si="25"/>
        <v>3.1621969877352827</v>
      </c>
      <c r="R160" s="3">
        <f t="shared" ca="1" si="26"/>
        <v>4.4343296277898823</v>
      </c>
    </row>
    <row r="161" spans="2:18" x14ac:dyDescent="0.25">
      <c r="B161" s="7">
        <f t="shared" si="27"/>
        <v>1</v>
      </c>
      <c r="C161" s="7">
        <v>152</v>
      </c>
      <c r="D161" s="7">
        <f t="shared" si="28"/>
        <v>0</v>
      </c>
      <c r="E161" s="7">
        <f t="shared" si="29"/>
        <v>1</v>
      </c>
      <c r="F161" s="13"/>
      <c r="G161" s="2">
        <f t="shared" ca="1" si="20"/>
        <v>6.7193464608436448E-2</v>
      </c>
      <c r="H161" s="3">
        <f t="shared" ca="1" si="21"/>
        <v>0</v>
      </c>
      <c r="I161" s="3">
        <f t="shared" ca="1" si="22"/>
        <v>0.45847062565644531</v>
      </c>
      <c r="J161" s="3">
        <f t="shared" ca="1" si="23"/>
        <v>3.3855229494734091</v>
      </c>
      <c r="P161" s="3">
        <f t="shared" ca="1" si="24"/>
        <v>5.1329977840542682</v>
      </c>
      <c r="Q161" s="3">
        <f t="shared" ca="1" si="25"/>
        <v>6.2587397722146134</v>
      </c>
      <c r="R161" s="3">
        <f t="shared" ca="1" si="26"/>
        <v>8.0944110216498792</v>
      </c>
    </row>
    <row r="162" spans="2:18" x14ac:dyDescent="0.25">
      <c r="B162" s="7">
        <f t="shared" si="27"/>
        <v>1</v>
      </c>
      <c r="C162" s="7">
        <v>153</v>
      </c>
      <c r="D162" s="7">
        <f t="shared" si="28"/>
        <v>0</v>
      </c>
      <c r="E162" s="7">
        <f t="shared" si="29"/>
        <v>1</v>
      </c>
      <c r="F162" s="13"/>
      <c r="G162" s="2">
        <f t="shared" ca="1" si="20"/>
        <v>0.62931297876411285</v>
      </c>
      <c r="H162" s="3">
        <f t="shared" ca="1" si="21"/>
        <v>1</v>
      </c>
      <c r="I162" s="3">
        <f t="shared" ca="1" si="22"/>
        <v>4.1032048541825485</v>
      </c>
      <c r="J162" s="3">
        <f t="shared" ca="1" si="23"/>
        <v>10.128184504370154</v>
      </c>
      <c r="P162" s="3">
        <f t="shared" ca="1" si="24"/>
        <v>-5.3917500866839303</v>
      </c>
      <c r="Q162" s="3">
        <f t="shared" ca="1" si="25"/>
        <v>-0.63847562209355857</v>
      </c>
      <c r="R162" s="3">
        <f t="shared" ca="1" si="26"/>
        <v>5.429421711127616</v>
      </c>
    </row>
    <row r="163" spans="2:18" x14ac:dyDescent="0.25">
      <c r="B163" s="7">
        <f t="shared" si="27"/>
        <v>1</v>
      </c>
      <c r="C163" s="7">
        <v>154</v>
      </c>
      <c r="D163" s="7">
        <f t="shared" si="28"/>
        <v>0</v>
      </c>
      <c r="E163" s="7">
        <f t="shared" si="29"/>
        <v>1</v>
      </c>
      <c r="F163" s="13"/>
      <c r="G163" s="2">
        <f t="shared" ca="1" si="20"/>
        <v>0.81304166956687685</v>
      </c>
      <c r="H163" s="3">
        <f t="shared" ca="1" si="21"/>
        <v>1</v>
      </c>
      <c r="I163" s="3">
        <f t="shared" ca="1" si="22"/>
        <v>5.6602037036432389</v>
      </c>
      <c r="J163" s="3">
        <f t="shared" ca="1" si="23"/>
        <v>11.895591309013644</v>
      </c>
      <c r="P163" s="3">
        <f t="shared" ca="1" si="24"/>
        <v>0.10768498846944929</v>
      </c>
      <c r="Q163" s="3">
        <f t="shared" ca="1" si="25"/>
        <v>-3.563222294842578</v>
      </c>
      <c r="R163" s="3">
        <f t="shared" ca="1" si="26"/>
        <v>3.5648491102997433</v>
      </c>
    </row>
    <row r="164" spans="2:18" x14ac:dyDescent="0.25">
      <c r="B164" s="7">
        <f t="shared" si="27"/>
        <v>1</v>
      </c>
      <c r="C164" s="7">
        <v>155</v>
      </c>
      <c r="D164" s="7">
        <f t="shared" si="28"/>
        <v>0</v>
      </c>
      <c r="E164" s="7">
        <f t="shared" si="29"/>
        <v>1</v>
      </c>
      <c r="F164" s="13"/>
      <c r="G164" s="2">
        <f t="shared" ca="1" si="20"/>
        <v>0.54644844488584432</v>
      </c>
      <c r="H164" s="3">
        <f t="shared" ca="1" si="21"/>
        <v>0</v>
      </c>
      <c r="I164" s="3">
        <f t="shared" ca="1" si="22"/>
        <v>0.81110348262947196</v>
      </c>
      <c r="J164" s="3">
        <f t="shared" ca="1" si="23"/>
        <v>4.5030641862776948</v>
      </c>
      <c r="P164" s="3">
        <f t="shared" ca="1" si="24"/>
        <v>0.16887303973710921</v>
      </c>
      <c r="Q164" s="3">
        <f t="shared" ca="1" si="25"/>
        <v>7.3405634801870754</v>
      </c>
      <c r="R164" s="3">
        <f t="shared" ca="1" si="26"/>
        <v>7.3425057242201888</v>
      </c>
    </row>
    <row r="165" spans="2:18" x14ac:dyDescent="0.25">
      <c r="B165" s="7">
        <f t="shared" si="27"/>
        <v>1</v>
      </c>
      <c r="C165" s="7">
        <v>156</v>
      </c>
      <c r="D165" s="7">
        <f t="shared" si="28"/>
        <v>0</v>
      </c>
      <c r="E165" s="7">
        <f t="shared" si="29"/>
        <v>1</v>
      </c>
      <c r="F165" s="13"/>
      <c r="G165" s="2">
        <f t="shared" ca="1" si="20"/>
        <v>0.47023958521083675</v>
      </c>
      <c r="H165" s="3">
        <f t="shared" ca="1" si="21"/>
        <v>0</v>
      </c>
      <c r="I165" s="3">
        <f t="shared" ca="1" si="22"/>
        <v>2.9822606338229214</v>
      </c>
      <c r="J165" s="3">
        <f t="shared" ca="1" si="23"/>
        <v>8.634611505190783</v>
      </c>
      <c r="P165" s="3">
        <f t="shared" ca="1" si="24"/>
        <v>-3.6995777735253332</v>
      </c>
      <c r="Q165" s="3">
        <f t="shared" ca="1" si="25"/>
        <v>-10.130699821092639</v>
      </c>
      <c r="R165" s="3">
        <f t="shared" ca="1" si="26"/>
        <v>10.785080183635589</v>
      </c>
    </row>
    <row r="166" spans="2:18" x14ac:dyDescent="0.25">
      <c r="B166" s="7">
        <f t="shared" si="27"/>
        <v>1</v>
      </c>
      <c r="C166" s="7">
        <v>157</v>
      </c>
      <c r="D166" s="7">
        <f t="shared" si="28"/>
        <v>0</v>
      </c>
      <c r="E166" s="7">
        <f t="shared" si="29"/>
        <v>1</v>
      </c>
      <c r="F166" s="13"/>
      <c r="G166" s="2">
        <f t="shared" ca="1" si="20"/>
        <v>0.18196269629264195</v>
      </c>
      <c r="H166" s="3">
        <f t="shared" ca="1" si="21"/>
        <v>0</v>
      </c>
      <c r="I166" s="3">
        <f t="shared" ca="1" si="22"/>
        <v>6.469303977905259</v>
      </c>
      <c r="J166" s="3">
        <f t="shared" ca="1" si="23"/>
        <v>12.717413237275554</v>
      </c>
      <c r="P166" s="3">
        <f t="shared" ca="1" si="24"/>
        <v>-2.8208706936705328</v>
      </c>
      <c r="Q166" s="3">
        <f t="shared" ca="1" si="25"/>
        <v>-0.26202281450032722</v>
      </c>
      <c r="R166" s="3">
        <f t="shared" ca="1" si="26"/>
        <v>2.8330138414289379</v>
      </c>
    </row>
    <row r="167" spans="2:18" x14ac:dyDescent="0.25">
      <c r="B167" s="7">
        <f t="shared" si="27"/>
        <v>1</v>
      </c>
      <c r="C167" s="7">
        <v>158</v>
      </c>
      <c r="D167" s="7">
        <f t="shared" si="28"/>
        <v>0</v>
      </c>
      <c r="E167" s="7">
        <f t="shared" si="29"/>
        <v>1</v>
      </c>
      <c r="F167" s="13"/>
      <c r="G167" s="2">
        <f t="shared" ca="1" si="20"/>
        <v>0.1778361088035576</v>
      </c>
      <c r="H167" s="3">
        <f t="shared" ca="1" si="21"/>
        <v>0</v>
      </c>
      <c r="I167" s="3">
        <f t="shared" ca="1" si="22"/>
        <v>0.1788321934563423</v>
      </c>
      <c r="J167" s="3">
        <f t="shared" ca="1" si="23"/>
        <v>2.1144277798989868</v>
      </c>
      <c r="P167" s="3">
        <f t="shared" ca="1" si="24"/>
        <v>-0.3975905448513215</v>
      </c>
      <c r="Q167" s="3">
        <f t="shared" ca="1" si="25"/>
        <v>8.0633333075443792E-2</v>
      </c>
      <c r="R167" s="3">
        <f t="shared" ca="1" si="26"/>
        <v>0.40568457668245927</v>
      </c>
    </row>
    <row r="168" spans="2:18" x14ac:dyDescent="0.25">
      <c r="B168" s="7">
        <f t="shared" si="27"/>
        <v>1</v>
      </c>
      <c r="C168" s="7">
        <v>159</v>
      </c>
      <c r="D168" s="7">
        <f t="shared" si="28"/>
        <v>0</v>
      </c>
      <c r="E168" s="7">
        <f t="shared" si="29"/>
        <v>1</v>
      </c>
      <c r="F168" s="13"/>
      <c r="G168" s="2">
        <f t="shared" ca="1" si="20"/>
        <v>0.3056429563576798</v>
      </c>
      <c r="H168" s="3">
        <f t="shared" ca="1" si="21"/>
        <v>0</v>
      </c>
      <c r="I168" s="3">
        <f t="shared" ca="1" si="22"/>
        <v>0.26921837547436983</v>
      </c>
      <c r="J168" s="3">
        <f t="shared" ca="1" si="23"/>
        <v>2.5943128930141106</v>
      </c>
      <c r="P168" s="3">
        <f t="shared" ca="1" si="24"/>
        <v>-0.40022998521109976</v>
      </c>
      <c r="Q168" s="3">
        <f t="shared" ca="1" si="25"/>
        <v>-2.8947775702365512</v>
      </c>
      <c r="R168" s="3">
        <f t="shared" ca="1" si="26"/>
        <v>2.9223143606064541</v>
      </c>
    </row>
    <row r="169" spans="2:18" x14ac:dyDescent="0.25">
      <c r="B169" s="7">
        <f t="shared" si="27"/>
        <v>1</v>
      </c>
      <c r="C169" s="7">
        <v>160</v>
      </c>
      <c r="D169" s="7">
        <f t="shared" si="28"/>
        <v>0</v>
      </c>
      <c r="E169" s="7">
        <f t="shared" si="29"/>
        <v>1</v>
      </c>
      <c r="F169" s="13"/>
      <c r="G169" s="2">
        <f t="shared" ca="1" si="20"/>
        <v>0.99922706006443662</v>
      </c>
      <c r="H169" s="3">
        <f t="shared" ca="1" si="21"/>
        <v>4</v>
      </c>
      <c r="I169" s="3">
        <f t="shared" ca="1" si="22"/>
        <v>12.571751695045803</v>
      </c>
      <c r="J169" s="3">
        <f t="shared" ca="1" si="23"/>
        <v>17.728333039971499</v>
      </c>
      <c r="P169" s="3">
        <f t="shared" ca="1" si="24"/>
        <v>-9.580756895114023</v>
      </c>
      <c r="Q169" s="3">
        <f t="shared" ca="1" si="25"/>
        <v>2.7614526144227871</v>
      </c>
      <c r="R169" s="3">
        <f t="shared" ca="1" si="26"/>
        <v>9.9707834809997422</v>
      </c>
    </row>
    <row r="170" spans="2:18" x14ac:dyDescent="0.25">
      <c r="G170" s="2">
        <f t="shared" ca="1" si="20"/>
        <v>0.54598377852245372</v>
      </c>
      <c r="H170" s="3">
        <f t="shared" ca="1" si="21"/>
        <v>0</v>
      </c>
      <c r="I170" s="3">
        <f t="shared" ca="1" si="22"/>
        <v>0.24450665199067817</v>
      </c>
      <c r="J170" s="3">
        <f t="shared" ca="1" si="23"/>
        <v>2.47238069474888</v>
      </c>
      <c r="P170" s="3">
        <f t="shared" ca="1" si="24"/>
        <v>-5.2941622006021269</v>
      </c>
      <c r="Q170" s="3">
        <f t="shared" ca="1" si="25"/>
        <v>1.2386629924787849</v>
      </c>
      <c r="R170" s="3">
        <f t="shared" ca="1" si="26"/>
        <v>5.4371352213478064</v>
      </c>
    </row>
    <row r="171" spans="2:18" x14ac:dyDescent="0.25">
      <c r="G171" s="2">
        <f t="shared" ca="1" si="20"/>
        <v>0.66103982545054807</v>
      </c>
      <c r="H171" s="3">
        <f t="shared" ca="1" si="21"/>
        <v>1</v>
      </c>
      <c r="I171" s="3">
        <f t="shared" ca="1" si="22"/>
        <v>0.89868824692816529</v>
      </c>
      <c r="J171" s="3">
        <f t="shared" ca="1" si="23"/>
        <v>4.7399584569069937</v>
      </c>
      <c r="P171" s="3">
        <f t="shared" ca="1" si="24"/>
        <v>4.9745257108938681</v>
      </c>
      <c r="Q171" s="3">
        <f t="shared" ca="1" si="25"/>
        <v>7.8473081630203385</v>
      </c>
      <c r="R171" s="3">
        <f t="shared" ca="1" si="26"/>
        <v>9.2911867623974604</v>
      </c>
    </row>
    <row r="172" spans="2:18" x14ac:dyDescent="0.25">
      <c r="G172" s="2">
        <f t="shared" ca="1" si="20"/>
        <v>7.1031317146377893E-2</v>
      </c>
      <c r="H172" s="3">
        <f t="shared" ca="1" si="21"/>
        <v>0</v>
      </c>
      <c r="I172" s="3">
        <f t="shared" ca="1" si="22"/>
        <v>0.17916226005370856</v>
      </c>
      <c r="J172" s="3">
        <f t="shared" ca="1" si="23"/>
        <v>2.1163781565076487</v>
      </c>
      <c r="P172" s="3">
        <f t="shared" ca="1" si="24"/>
        <v>-5.0436100792708078</v>
      </c>
      <c r="Q172" s="3">
        <f t="shared" ca="1" si="25"/>
        <v>-0.56717378886622949</v>
      </c>
      <c r="R172" s="3">
        <f t="shared" ca="1" si="26"/>
        <v>5.0754003525336753</v>
      </c>
    </row>
    <row r="173" spans="2:18" x14ac:dyDescent="0.25">
      <c r="G173" s="2">
        <f t="shared" ca="1" si="20"/>
        <v>0.2959959300044348</v>
      </c>
      <c r="H173" s="3">
        <f t="shared" ca="1" si="21"/>
        <v>0</v>
      </c>
      <c r="I173" s="3">
        <f t="shared" ca="1" si="22"/>
        <v>3.8465933378021724</v>
      </c>
      <c r="J173" s="3">
        <f t="shared" ca="1" si="23"/>
        <v>9.8063669850283652</v>
      </c>
      <c r="P173" s="3">
        <f t="shared" ca="1" si="24"/>
        <v>-5.633786000313334</v>
      </c>
      <c r="Q173" s="3">
        <f t="shared" ca="1" si="25"/>
        <v>-2.2228880403463016</v>
      </c>
      <c r="R173" s="3">
        <f t="shared" ca="1" si="26"/>
        <v>6.0564656308148175</v>
      </c>
    </row>
    <row r="174" spans="2:18" x14ac:dyDescent="0.25">
      <c r="G174" s="2">
        <f t="shared" ca="1" si="20"/>
        <v>0.4260317066865742</v>
      </c>
      <c r="H174" s="3">
        <f t="shared" ca="1" si="21"/>
        <v>0</v>
      </c>
      <c r="I174" s="3">
        <f t="shared" ca="1" si="22"/>
        <v>8.2191307068003461</v>
      </c>
      <c r="J174" s="3">
        <f t="shared" ca="1" si="23"/>
        <v>14.334513164736663</v>
      </c>
      <c r="P174" s="3">
        <f t="shared" ca="1" si="24"/>
        <v>-2.4898152531999216</v>
      </c>
      <c r="Q174" s="3">
        <f t="shared" ca="1" si="25"/>
        <v>-4.5066243633477852</v>
      </c>
      <c r="R174" s="3">
        <f t="shared" ca="1" si="26"/>
        <v>5.1486739212526187</v>
      </c>
    </row>
    <row r="175" spans="2:18" x14ac:dyDescent="0.25">
      <c r="G175" s="2">
        <f t="shared" ca="1" si="20"/>
        <v>0.49596804110785397</v>
      </c>
      <c r="H175" s="3">
        <f t="shared" ca="1" si="21"/>
        <v>0</v>
      </c>
      <c r="I175" s="3">
        <f t="shared" ca="1" si="22"/>
        <v>2.3457082659317527</v>
      </c>
      <c r="J175" s="3">
        <f t="shared" ca="1" si="23"/>
        <v>7.6578526133828024</v>
      </c>
      <c r="P175" s="3">
        <f t="shared" ca="1" si="24"/>
        <v>-10.28650469453382</v>
      </c>
      <c r="Q175" s="3">
        <f t="shared" ca="1" si="25"/>
        <v>7.243837860832568</v>
      </c>
      <c r="R175" s="3">
        <f t="shared" ca="1" si="26"/>
        <v>12.581151210628448</v>
      </c>
    </row>
    <row r="176" spans="2:18" x14ac:dyDescent="0.25">
      <c r="G176" s="2">
        <f t="shared" ca="1" si="20"/>
        <v>0.86318390910363796</v>
      </c>
      <c r="H176" s="3">
        <f t="shared" ca="1" si="21"/>
        <v>1</v>
      </c>
      <c r="I176" s="3">
        <f t="shared" ca="1" si="22"/>
        <v>1.3698996867045554</v>
      </c>
      <c r="J176" s="3">
        <f t="shared" ca="1" si="23"/>
        <v>5.8521356928572565</v>
      </c>
      <c r="P176" s="3">
        <f t="shared" ca="1" si="24"/>
        <v>7.1930808309056182E-2</v>
      </c>
      <c r="Q176" s="3">
        <f t="shared" ca="1" si="25"/>
        <v>-3.4175897093446133</v>
      </c>
      <c r="R176" s="3">
        <f t="shared" ca="1" si="26"/>
        <v>3.4183465977870342</v>
      </c>
    </row>
    <row r="177" spans="7:18" x14ac:dyDescent="0.25">
      <c r="G177" s="2">
        <f t="shared" ca="1" si="20"/>
        <v>0.25672158544973922</v>
      </c>
      <c r="H177" s="3">
        <f t="shared" ca="1" si="21"/>
        <v>0</v>
      </c>
      <c r="I177" s="3">
        <f t="shared" ca="1" si="22"/>
        <v>13.785140070969211</v>
      </c>
      <c r="J177" s="3">
        <f t="shared" ca="1" si="23"/>
        <v>18.564172531363479</v>
      </c>
      <c r="P177" s="3">
        <f t="shared" ca="1" si="24"/>
        <v>-5.5537307473092072</v>
      </c>
      <c r="Q177" s="3">
        <f t="shared" ca="1" si="25"/>
        <v>-3.1396876030912537</v>
      </c>
      <c r="R177" s="3">
        <f t="shared" ca="1" si="26"/>
        <v>6.3797776966452826</v>
      </c>
    </row>
    <row r="178" spans="7:18" x14ac:dyDescent="0.25">
      <c r="G178" s="2">
        <f t="shared" ca="1" si="20"/>
        <v>0.76888828084018779</v>
      </c>
      <c r="H178" s="3">
        <f t="shared" ca="1" si="21"/>
        <v>1</v>
      </c>
      <c r="I178" s="3">
        <f t="shared" ca="1" si="22"/>
        <v>8.9472013408982036</v>
      </c>
      <c r="J178" s="3">
        <f t="shared" ca="1" si="23"/>
        <v>14.955936397379306</v>
      </c>
      <c r="P178" s="3">
        <f t="shared" ca="1" si="24"/>
        <v>-12.560374344322623</v>
      </c>
      <c r="Q178" s="3">
        <f t="shared" ca="1" si="25"/>
        <v>-0.61531142077395351</v>
      </c>
      <c r="R178" s="3">
        <f t="shared" ca="1" si="26"/>
        <v>12.575436843865617</v>
      </c>
    </row>
    <row r="179" spans="7:18" x14ac:dyDescent="0.25">
      <c r="G179" s="2">
        <f t="shared" ca="1" si="20"/>
        <v>0.31457514729422731</v>
      </c>
      <c r="H179" s="3">
        <f t="shared" ca="1" si="21"/>
        <v>0</v>
      </c>
      <c r="I179" s="3">
        <f t="shared" ca="1" si="22"/>
        <v>1.6124170068141608</v>
      </c>
      <c r="J179" s="3">
        <f t="shared" ca="1" si="23"/>
        <v>6.3490491548226355</v>
      </c>
      <c r="P179" s="3">
        <f t="shared" ca="1" si="24"/>
        <v>-3.1542666071257184</v>
      </c>
      <c r="Q179" s="3">
        <f t="shared" ca="1" si="25"/>
        <v>-3.1664957955348552</v>
      </c>
      <c r="R179" s="3">
        <f t="shared" ca="1" si="26"/>
        <v>4.4694623224688117</v>
      </c>
    </row>
    <row r="180" spans="7:18" x14ac:dyDescent="0.25">
      <c r="G180" s="2">
        <f t="shared" ca="1" si="20"/>
        <v>0.13400296440289305</v>
      </c>
      <c r="H180" s="3">
        <f t="shared" ca="1" si="21"/>
        <v>0</v>
      </c>
      <c r="I180" s="3">
        <f t="shared" ca="1" si="22"/>
        <v>0.52342557401506129</v>
      </c>
      <c r="J180" s="3">
        <f t="shared" ca="1" si="23"/>
        <v>3.6174078219598815</v>
      </c>
      <c r="P180" s="3">
        <f t="shared" ca="1" si="24"/>
        <v>-9.0628022508504511</v>
      </c>
      <c r="Q180" s="3">
        <f t="shared" ca="1" si="25"/>
        <v>-9.0709060749563264</v>
      </c>
      <c r="R180" s="3">
        <f t="shared" ca="1" si="26"/>
        <v>12.822469405644904</v>
      </c>
    </row>
    <row r="181" spans="7:18" x14ac:dyDescent="0.25">
      <c r="G181" s="2">
        <f t="shared" ca="1" si="20"/>
        <v>0.82718946959992401</v>
      </c>
      <c r="H181" s="3">
        <f t="shared" ca="1" si="21"/>
        <v>1</v>
      </c>
      <c r="I181" s="3">
        <f t="shared" ca="1" si="22"/>
        <v>4.0515515893084038</v>
      </c>
      <c r="J181" s="3">
        <f t="shared" ca="1" si="23"/>
        <v>10.064233191491049</v>
      </c>
      <c r="P181" s="3">
        <f t="shared" ca="1" si="24"/>
        <v>-2.9434874132027162</v>
      </c>
      <c r="Q181" s="3">
        <f t="shared" ca="1" si="25"/>
        <v>0.83663698312310641</v>
      </c>
      <c r="R181" s="3">
        <f t="shared" ca="1" si="26"/>
        <v>3.0600783639005309</v>
      </c>
    </row>
    <row r="182" spans="7:18" x14ac:dyDescent="0.25">
      <c r="G182" s="2">
        <f t="shared" ca="1" si="20"/>
        <v>0.97603740246003134</v>
      </c>
      <c r="H182" s="3">
        <f t="shared" ca="1" si="21"/>
        <v>2</v>
      </c>
      <c r="I182" s="3">
        <f t="shared" ca="1" si="22"/>
        <v>4.216342774286896</v>
      </c>
      <c r="J182" s="3">
        <f t="shared" ca="1" si="23"/>
        <v>10.266867553308185</v>
      </c>
      <c r="P182" s="3">
        <f t="shared" ca="1" si="24"/>
        <v>-5.5435639250068629</v>
      </c>
      <c r="Q182" s="3">
        <f t="shared" ca="1" si="25"/>
        <v>-4.8233264442885835</v>
      </c>
      <c r="R182" s="3">
        <f t="shared" ca="1" si="26"/>
        <v>7.3481684098019313</v>
      </c>
    </row>
    <row r="183" spans="7:18" x14ac:dyDescent="0.25">
      <c r="G183" s="2">
        <f t="shared" ca="1" si="20"/>
        <v>0.48227119879620772</v>
      </c>
      <c r="H183" s="3">
        <f t="shared" ca="1" si="21"/>
        <v>0</v>
      </c>
      <c r="I183" s="3">
        <f t="shared" ca="1" si="22"/>
        <v>6.188603406585365</v>
      </c>
      <c r="J183" s="3">
        <f t="shared" ca="1" si="23"/>
        <v>12.438451879741068</v>
      </c>
      <c r="P183" s="3">
        <f t="shared" ca="1" si="24"/>
        <v>-4.582704674211576</v>
      </c>
      <c r="Q183" s="3">
        <f t="shared" ca="1" si="25"/>
        <v>-5.391826944249976</v>
      </c>
      <c r="R183" s="3">
        <f t="shared" ca="1" si="26"/>
        <v>7.0762263903708353</v>
      </c>
    </row>
    <row r="184" spans="7:18" x14ac:dyDescent="0.25">
      <c r="G184" s="2">
        <f t="shared" ca="1" si="20"/>
        <v>0.29112234434498518</v>
      </c>
      <c r="H184" s="3">
        <f t="shared" ca="1" si="21"/>
        <v>0</v>
      </c>
      <c r="I184" s="3">
        <f t="shared" ca="1" si="22"/>
        <v>7.3893652674593735</v>
      </c>
      <c r="J184" s="3">
        <f t="shared" ca="1" si="23"/>
        <v>13.591693481184908</v>
      </c>
      <c r="P184" s="3">
        <f t="shared" ca="1" si="24"/>
        <v>-1.1661658408482269</v>
      </c>
      <c r="Q184" s="3">
        <f t="shared" ca="1" si="25"/>
        <v>-11.672358333323825</v>
      </c>
      <c r="R184" s="3">
        <f t="shared" ca="1" si="26"/>
        <v>11.730468525590759</v>
      </c>
    </row>
    <row r="185" spans="7:18" x14ac:dyDescent="0.25">
      <c r="G185" s="2">
        <f t="shared" ca="1" si="20"/>
        <v>0.42575697301327753</v>
      </c>
      <c r="H185" s="3">
        <f t="shared" ca="1" si="21"/>
        <v>0</v>
      </c>
      <c r="I185" s="3">
        <f t="shared" ca="1" si="22"/>
        <v>2.0972060571710389</v>
      </c>
      <c r="J185" s="3">
        <f t="shared" ca="1" si="23"/>
        <v>7.2408667595306557</v>
      </c>
      <c r="P185" s="3">
        <f t="shared" ca="1" si="24"/>
        <v>-2.3297537779454016</v>
      </c>
      <c r="Q185" s="3">
        <f t="shared" ca="1" si="25"/>
        <v>6.787232536585261</v>
      </c>
      <c r="R185" s="3">
        <f t="shared" ca="1" si="26"/>
        <v>7.1759513774504127</v>
      </c>
    </row>
    <row r="186" spans="7:18" x14ac:dyDescent="0.25">
      <c r="G186" s="2">
        <f t="shared" ca="1" si="20"/>
        <v>4.7128390318776914E-3</v>
      </c>
      <c r="H186" s="3">
        <f t="shared" ca="1" si="21"/>
        <v>0</v>
      </c>
      <c r="I186" s="3">
        <f t="shared" ca="1" si="22"/>
        <v>1.8244801273009377</v>
      </c>
      <c r="J186" s="3">
        <f t="shared" ca="1" si="23"/>
        <v>6.7536659069370195</v>
      </c>
      <c r="P186" s="3">
        <f t="shared" ca="1" si="24"/>
        <v>-6.193550014541799</v>
      </c>
      <c r="Q186" s="3">
        <f t="shared" ca="1" si="25"/>
        <v>-5.5657289148268836</v>
      </c>
      <c r="R186" s="3">
        <f t="shared" ca="1" si="26"/>
        <v>8.3269081978829789</v>
      </c>
    </row>
    <row r="187" spans="7:18" x14ac:dyDescent="0.25">
      <c r="G187" s="2">
        <f t="shared" ca="1" si="20"/>
        <v>0.77163225132876845</v>
      </c>
      <c r="H187" s="3">
        <f t="shared" ca="1" si="21"/>
        <v>1</v>
      </c>
      <c r="I187" s="3">
        <f t="shared" ca="1" si="22"/>
        <v>7.7785425244209154</v>
      </c>
      <c r="J187" s="3">
        <f t="shared" ca="1" si="23"/>
        <v>13.945019294017591</v>
      </c>
      <c r="P187" s="3">
        <f t="shared" ca="1" si="24"/>
        <v>1.0935490283477751</v>
      </c>
      <c r="Q187" s="3">
        <f t="shared" ca="1" si="25"/>
        <v>1.1197319588942123</v>
      </c>
      <c r="R187" s="3">
        <f t="shared" ca="1" si="26"/>
        <v>1.5651355012168859</v>
      </c>
    </row>
    <row r="188" spans="7:18" x14ac:dyDescent="0.25">
      <c r="G188" s="2">
        <f t="shared" ca="1" si="20"/>
        <v>0.59516348900484606</v>
      </c>
      <c r="H188" s="3">
        <f t="shared" ca="1" si="21"/>
        <v>0</v>
      </c>
      <c r="I188" s="3">
        <f t="shared" ca="1" si="22"/>
        <v>5.5396414605179913</v>
      </c>
      <c r="J188" s="3">
        <f t="shared" ca="1" si="23"/>
        <v>11.768221467704871</v>
      </c>
      <c r="P188" s="3">
        <f t="shared" ca="1" si="24"/>
        <v>-1.4233743270719632</v>
      </c>
      <c r="Q188" s="3">
        <f t="shared" ca="1" si="25"/>
        <v>4.9348383975239658</v>
      </c>
      <c r="R188" s="3">
        <f t="shared" ca="1" si="26"/>
        <v>5.1360125082250789</v>
      </c>
    </row>
    <row r="189" spans="7:18" x14ac:dyDescent="0.25">
      <c r="G189" s="2">
        <f t="shared" ca="1" si="20"/>
        <v>0.1323093034771804</v>
      </c>
      <c r="H189" s="3">
        <f t="shared" ca="1" si="21"/>
        <v>0</v>
      </c>
      <c r="I189" s="3">
        <f t="shared" ca="1" si="22"/>
        <v>0.91393631643525741</v>
      </c>
      <c r="J189" s="3">
        <f t="shared" ca="1" si="23"/>
        <v>4.7800008274979868</v>
      </c>
      <c r="P189" s="3">
        <f t="shared" ca="1" si="24"/>
        <v>-10.593541692087594</v>
      </c>
      <c r="Q189" s="3">
        <f t="shared" ca="1" si="25"/>
        <v>-2.349673502324273</v>
      </c>
      <c r="R189" s="3">
        <f t="shared" ca="1" si="26"/>
        <v>10.850994938231374</v>
      </c>
    </row>
    <row r="190" spans="7:18" x14ac:dyDescent="0.25">
      <c r="G190" s="2">
        <f t="shared" ca="1" si="20"/>
        <v>0.14074478842110227</v>
      </c>
      <c r="H190" s="3">
        <f t="shared" ca="1" si="21"/>
        <v>0</v>
      </c>
      <c r="I190" s="3">
        <f t="shared" ca="1" si="22"/>
        <v>0.52459907007086548</v>
      </c>
      <c r="J190" s="3">
        <f t="shared" ca="1" si="23"/>
        <v>3.6214605826615918</v>
      </c>
      <c r="P190" s="3">
        <f t="shared" ca="1" si="24"/>
        <v>-8.8753760763976359</v>
      </c>
      <c r="Q190" s="3">
        <f t="shared" ca="1" si="25"/>
        <v>-3.1273700253721128</v>
      </c>
      <c r="R190" s="3">
        <f t="shared" ca="1" si="26"/>
        <v>9.4102467434752999</v>
      </c>
    </row>
    <row r="191" spans="7:18" x14ac:dyDescent="0.25">
      <c r="G191" s="2">
        <f t="shared" ca="1" si="20"/>
        <v>0.92227167492202855</v>
      </c>
      <c r="H191" s="3">
        <f t="shared" ca="1" si="21"/>
        <v>2</v>
      </c>
      <c r="I191" s="3">
        <f t="shared" ca="1" si="22"/>
        <v>10.59093624151823</v>
      </c>
      <c r="J191" s="3">
        <f t="shared" ca="1" si="23"/>
        <v>16.2718593294668</v>
      </c>
      <c r="P191" s="3">
        <f t="shared" ca="1" si="24"/>
        <v>-11.244326728822939</v>
      </c>
      <c r="Q191" s="3">
        <f t="shared" ca="1" si="25"/>
        <v>2.2240778033602209</v>
      </c>
      <c r="R191" s="3">
        <f t="shared" ca="1" si="26"/>
        <v>11.462172815828664</v>
      </c>
    </row>
    <row r="192" spans="7:18" x14ac:dyDescent="0.25">
      <c r="G192" s="2">
        <f t="shared" ca="1" si="20"/>
        <v>0.11707738936921264</v>
      </c>
      <c r="H192" s="3">
        <f t="shared" ca="1" si="21"/>
        <v>0</v>
      </c>
      <c r="I192" s="3">
        <f t="shared" ca="1" si="22"/>
        <v>1.1883313298411939</v>
      </c>
      <c r="J192" s="3">
        <f t="shared" ca="1" si="23"/>
        <v>5.4505305472063768</v>
      </c>
      <c r="P192" s="3">
        <f t="shared" ca="1" si="24"/>
        <v>-5.387434052831046</v>
      </c>
      <c r="Q192" s="3">
        <f t="shared" ca="1" si="25"/>
        <v>-8.2943527110189148</v>
      </c>
      <c r="R192" s="3">
        <f t="shared" ca="1" si="26"/>
        <v>9.8904364195110404</v>
      </c>
    </row>
    <row r="193" spans="7:18" x14ac:dyDescent="0.25">
      <c r="G193" s="2">
        <f t="shared" ca="1" si="20"/>
        <v>0.49538758571245611</v>
      </c>
      <c r="H193" s="3">
        <f t="shared" ca="1" si="21"/>
        <v>0</v>
      </c>
      <c r="I193" s="3">
        <f t="shared" ca="1" si="22"/>
        <v>2.0874680434543835</v>
      </c>
      <c r="J193" s="3">
        <f t="shared" ca="1" si="23"/>
        <v>7.2240363430951522</v>
      </c>
      <c r="P193" s="3">
        <f t="shared" ca="1" si="24"/>
        <v>-14.239210214201687</v>
      </c>
      <c r="Q193" s="3">
        <f t="shared" ca="1" si="25"/>
        <v>6.5853640497735499</v>
      </c>
      <c r="R193" s="3">
        <f t="shared" ca="1" si="26"/>
        <v>15.68827993096361</v>
      </c>
    </row>
    <row r="194" spans="7:18" x14ac:dyDescent="0.25">
      <c r="G194" s="2">
        <f t="shared" ca="1" si="20"/>
        <v>0.10256730031305328</v>
      </c>
      <c r="H194" s="3">
        <f t="shared" ca="1" si="21"/>
        <v>0</v>
      </c>
      <c r="I194" s="3">
        <f t="shared" ca="1" si="22"/>
        <v>0.26516570394614319</v>
      </c>
      <c r="J194" s="3">
        <f t="shared" ca="1" si="23"/>
        <v>2.5747121389882754</v>
      </c>
      <c r="P194" s="3">
        <f t="shared" ca="1" si="24"/>
        <v>-1.8778249063917789</v>
      </c>
      <c r="Q194" s="3">
        <f t="shared" ca="1" si="25"/>
        <v>5.0969224162382627</v>
      </c>
      <c r="R194" s="3">
        <f t="shared" ca="1" si="26"/>
        <v>5.4318361993176287</v>
      </c>
    </row>
    <row r="195" spans="7:18" x14ac:dyDescent="0.25">
      <c r="G195" s="2">
        <f t="shared" ca="1" si="20"/>
        <v>0.71178425542818724</v>
      </c>
      <c r="H195" s="3">
        <f t="shared" ca="1" si="21"/>
        <v>1</v>
      </c>
      <c r="I195" s="3">
        <f t="shared" ca="1" si="22"/>
        <v>4.4101395155337153</v>
      </c>
      <c r="J195" s="3">
        <f t="shared" ca="1" si="23"/>
        <v>10.500166088607498</v>
      </c>
      <c r="P195" s="3">
        <f t="shared" ca="1" si="24"/>
        <v>-12.823061524947242</v>
      </c>
      <c r="Q195" s="3">
        <f t="shared" ca="1" si="25"/>
        <v>4.900021904221771</v>
      </c>
      <c r="R195" s="3">
        <f t="shared" ca="1" si="26"/>
        <v>13.727385823034021</v>
      </c>
    </row>
    <row r="196" spans="7:18" x14ac:dyDescent="0.25">
      <c r="G196" s="2">
        <f t="shared" ref="G196:G259" ca="1" si="30">RAND()</f>
        <v>0.53131106176059106</v>
      </c>
      <c r="H196" s="3">
        <f t="shared" ref="H196:H259" ca="1" si="31">VLOOKUP(G196,$B$9:$C$169,2,TRUE)</f>
        <v>0</v>
      </c>
      <c r="I196" s="3">
        <f t="shared" ref="I196:I259" ca="1" si="32">_xlfn.CHISQ.INV(RAND(),2*H196+2)</f>
        <v>1.7751445316184109</v>
      </c>
      <c r="J196" s="3">
        <f t="shared" ref="J196:J259" ca="1" si="33">$C$4*SQRT(I196)</f>
        <v>6.6617275004656467</v>
      </c>
      <c r="P196" s="3">
        <f t="shared" ref="P196:P259" ca="1" si="34">_xlfn.NORM.INV(RAND(),$C$3*COS($O$2),$C$4)</f>
        <v>-7.8258097859862303</v>
      </c>
      <c r="Q196" s="3">
        <f t="shared" ref="Q196:Q259" ca="1" si="35">_xlfn.NORM.INV(RAND(),$C$3*SIN($O$2),$C$4)</f>
        <v>3.0532440632234108</v>
      </c>
      <c r="R196" s="3">
        <f t="shared" ref="R196:R259" ca="1" si="36">SQRT(P196^2+Q196^2)</f>
        <v>8.4003332145842204</v>
      </c>
    </row>
    <row r="197" spans="7:18" x14ac:dyDescent="0.25">
      <c r="G197" s="2">
        <f t="shared" ca="1" si="30"/>
        <v>0.53216146360798544</v>
      </c>
      <c r="H197" s="3">
        <f t="shared" ca="1" si="31"/>
        <v>0</v>
      </c>
      <c r="I197" s="3">
        <f t="shared" ca="1" si="32"/>
        <v>1.649485541526952</v>
      </c>
      <c r="J197" s="3">
        <f t="shared" ca="1" si="33"/>
        <v>6.4216149478284512</v>
      </c>
      <c r="P197" s="3">
        <f t="shared" ca="1" si="34"/>
        <v>-0.19290552124859328</v>
      </c>
      <c r="Q197" s="3">
        <f t="shared" ca="1" si="35"/>
        <v>11.85062274609251</v>
      </c>
      <c r="R197" s="3">
        <f t="shared" ca="1" si="36"/>
        <v>11.852192708960372</v>
      </c>
    </row>
    <row r="198" spans="7:18" x14ac:dyDescent="0.25">
      <c r="G198" s="2">
        <f t="shared" ca="1" si="30"/>
        <v>6.056039915162259E-2</v>
      </c>
      <c r="H198" s="3">
        <f t="shared" ca="1" si="31"/>
        <v>0</v>
      </c>
      <c r="I198" s="3">
        <f t="shared" ca="1" si="32"/>
        <v>1.551897587369331</v>
      </c>
      <c r="J198" s="3">
        <f t="shared" ca="1" si="33"/>
        <v>6.2287590806061264</v>
      </c>
      <c r="P198" s="3">
        <f t="shared" ca="1" si="34"/>
        <v>-12.179751331224988</v>
      </c>
      <c r="Q198" s="3">
        <f t="shared" ca="1" si="35"/>
        <v>4.6878019566972107</v>
      </c>
      <c r="R198" s="3">
        <f t="shared" ca="1" si="36"/>
        <v>13.050740579587469</v>
      </c>
    </row>
    <row r="199" spans="7:18" x14ac:dyDescent="0.25">
      <c r="G199" s="2">
        <f t="shared" ca="1" si="30"/>
        <v>3.2746145358105272E-2</v>
      </c>
      <c r="H199" s="3">
        <f t="shared" ca="1" si="31"/>
        <v>0</v>
      </c>
      <c r="I199" s="3">
        <f t="shared" ca="1" si="32"/>
        <v>0.67076807309971076</v>
      </c>
      <c r="J199" s="3">
        <f t="shared" ca="1" si="33"/>
        <v>4.0950215906015401</v>
      </c>
      <c r="P199" s="3">
        <f t="shared" ca="1" si="34"/>
        <v>-7.1516715865464864</v>
      </c>
      <c r="Q199" s="3">
        <f t="shared" ca="1" si="35"/>
        <v>4.1133730310892416</v>
      </c>
      <c r="R199" s="3">
        <f t="shared" ca="1" si="36"/>
        <v>8.2502269165586366</v>
      </c>
    </row>
    <row r="200" spans="7:18" x14ac:dyDescent="0.25">
      <c r="G200" s="2">
        <f t="shared" ca="1" si="30"/>
        <v>0.54885723934671504</v>
      </c>
      <c r="H200" s="3">
        <f t="shared" ca="1" si="31"/>
        <v>0</v>
      </c>
      <c r="I200" s="3">
        <f t="shared" ca="1" si="32"/>
        <v>7.5566377883804288</v>
      </c>
      <c r="J200" s="3">
        <f t="shared" ca="1" si="33"/>
        <v>13.744669683535895</v>
      </c>
      <c r="P200" s="3">
        <f t="shared" ca="1" si="34"/>
        <v>-6.0385900502699199</v>
      </c>
      <c r="Q200" s="3">
        <f t="shared" ca="1" si="35"/>
        <v>2.308697997911636</v>
      </c>
      <c r="R200" s="3">
        <f t="shared" ca="1" si="36"/>
        <v>6.4648786717756792</v>
      </c>
    </row>
    <row r="201" spans="7:18" x14ac:dyDescent="0.25">
      <c r="G201" s="2">
        <f t="shared" ca="1" si="30"/>
        <v>0.16987281060759929</v>
      </c>
      <c r="H201" s="3">
        <f t="shared" ca="1" si="31"/>
        <v>0</v>
      </c>
      <c r="I201" s="3">
        <f t="shared" ca="1" si="32"/>
        <v>0.52915772239134296</v>
      </c>
      <c r="J201" s="3">
        <f t="shared" ca="1" si="33"/>
        <v>3.6371614013930662</v>
      </c>
      <c r="P201" s="3">
        <f t="shared" ca="1" si="34"/>
        <v>-1.5698892686669392</v>
      </c>
      <c r="Q201" s="3">
        <f t="shared" ca="1" si="35"/>
        <v>-0.33609175003432007</v>
      </c>
      <c r="R201" s="3">
        <f t="shared" ca="1" si="36"/>
        <v>1.6054625440404238</v>
      </c>
    </row>
    <row r="202" spans="7:18" x14ac:dyDescent="0.25">
      <c r="G202" s="2">
        <f t="shared" ca="1" si="30"/>
        <v>0.29523276418376887</v>
      </c>
      <c r="H202" s="3">
        <f t="shared" ca="1" si="31"/>
        <v>0</v>
      </c>
      <c r="I202" s="3">
        <f t="shared" ca="1" si="32"/>
        <v>0.13543836879364599</v>
      </c>
      <c r="J202" s="3">
        <f t="shared" ca="1" si="33"/>
        <v>1.8400976114981373</v>
      </c>
      <c r="P202" s="3">
        <f t="shared" ca="1" si="34"/>
        <v>2.7813023609810594</v>
      </c>
      <c r="Q202" s="3">
        <f t="shared" ca="1" si="35"/>
        <v>-4.0252956393357238</v>
      </c>
      <c r="R202" s="3">
        <f t="shared" ca="1" si="36"/>
        <v>4.8927137467109203</v>
      </c>
    </row>
    <row r="203" spans="7:18" x14ac:dyDescent="0.25">
      <c r="G203" s="2">
        <f t="shared" ca="1" si="30"/>
        <v>0.96822410684205251</v>
      </c>
      <c r="H203" s="3">
        <f t="shared" ca="1" si="31"/>
        <v>2</v>
      </c>
      <c r="I203" s="3">
        <f t="shared" ca="1" si="32"/>
        <v>4.9331941194642761</v>
      </c>
      <c r="J203" s="3">
        <f t="shared" ca="1" si="33"/>
        <v>11.105397470897065</v>
      </c>
      <c r="P203" s="3">
        <f t="shared" ca="1" si="34"/>
        <v>-0.40577431638840356</v>
      </c>
      <c r="Q203" s="3">
        <f t="shared" ca="1" si="35"/>
        <v>0.29605414390203327</v>
      </c>
      <c r="R203" s="3">
        <f t="shared" ca="1" si="36"/>
        <v>0.50229558226411075</v>
      </c>
    </row>
    <row r="204" spans="7:18" x14ac:dyDescent="0.25">
      <c r="G204" s="2">
        <f t="shared" ca="1" si="30"/>
        <v>0.98012127558285655</v>
      </c>
      <c r="H204" s="3">
        <f t="shared" ca="1" si="31"/>
        <v>2</v>
      </c>
      <c r="I204" s="3">
        <f t="shared" ca="1" si="32"/>
        <v>2.4686277549282232</v>
      </c>
      <c r="J204" s="3">
        <f t="shared" ca="1" si="33"/>
        <v>7.8559336729128244</v>
      </c>
      <c r="P204" s="3">
        <f t="shared" ca="1" si="34"/>
        <v>-1.9059104786905001</v>
      </c>
      <c r="Q204" s="3">
        <f t="shared" ca="1" si="35"/>
        <v>-1.7399733780382773E-2</v>
      </c>
      <c r="R204" s="3">
        <f t="shared" ca="1" si="36"/>
        <v>1.9059899012108852</v>
      </c>
    </row>
    <row r="205" spans="7:18" x14ac:dyDescent="0.25">
      <c r="G205" s="2">
        <f t="shared" ca="1" si="30"/>
        <v>0.25813955253793119</v>
      </c>
      <c r="H205" s="3">
        <f t="shared" ca="1" si="31"/>
        <v>0</v>
      </c>
      <c r="I205" s="3">
        <f t="shared" ca="1" si="32"/>
        <v>1.332904263491014</v>
      </c>
      <c r="J205" s="3">
        <f t="shared" ca="1" si="33"/>
        <v>5.7725736536899506</v>
      </c>
      <c r="P205" s="3">
        <f t="shared" ca="1" si="34"/>
        <v>1.4938421163037479</v>
      </c>
      <c r="Q205" s="3">
        <f t="shared" ca="1" si="35"/>
        <v>-0.72351358204750538</v>
      </c>
      <c r="R205" s="3">
        <f t="shared" ca="1" si="36"/>
        <v>1.6598301635559201</v>
      </c>
    </row>
    <row r="206" spans="7:18" x14ac:dyDescent="0.25">
      <c r="G206" s="2">
        <f t="shared" ca="1" si="30"/>
        <v>0.6848481356156666</v>
      </c>
      <c r="H206" s="3">
        <f t="shared" ca="1" si="31"/>
        <v>1</v>
      </c>
      <c r="I206" s="3">
        <f t="shared" ca="1" si="32"/>
        <v>3.8768538214857386</v>
      </c>
      <c r="J206" s="3">
        <f t="shared" ca="1" si="33"/>
        <v>9.8448639166391452</v>
      </c>
      <c r="P206" s="3">
        <f t="shared" ca="1" si="34"/>
        <v>-5.6444904319802003</v>
      </c>
      <c r="Q206" s="3">
        <f t="shared" ca="1" si="35"/>
        <v>0.22820099917028147</v>
      </c>
      <c r="R206" s="3">
        <f t="shared" ca="1" si="36"/>
        <v>5.6491015155277875</v>
      </c>
    </row>
    <row r="207" spans="7:18" x14ac:dyDescent="0.25">
      <c r="G207" s="2">
        <f t="shared" ca="1" si="30"/>
        <v>0.88143150395800607</v>
      </c>
      <c r="H207" s="3">
        <f t="shared" ca="1" si="31"/>
        <v>1</v>
      </c>
      <c r="I207" s="3">
        <f t="shared" ca="1" si="32"/>
        <v>2.7987330704423705</v>
      </c>
      <c r="J207" s="3">
        <f t="shared" ca="1" si="33"/>
        <v>8.3647072131102878</v>
      </c>
      <c r="P207" s="3">
        <f t="shared" ca="1" si="34"/>
        <v>-4.2724193262510255</v>
      </c>
      <c r="Q207" s="3">
        <f t="shared" ca="1" si="35"/>
        <v>0.32208587274403622</v>
      </c>
      <c r="R207" s="3">
        <f t="shared" ca="1" si="36"/>
        <v>4.2845427070744151</v>
      </c>
    </row>
    <row r="208" spans="7:18" x14ac:dyDescent="0.25">
      <c r="G208" s="2">
        <f t="shared" ca="1" si="30"/>
        <v>0.67142215420055185</v>
      </c>
      <c r="H208" s="3">
        <f t="shared" ca="1" si="31"/>
        <v>1</v>
      </c>
      <c r="I208" s="3">
        <f t="shared" ca="1" si="32"/>
        <v>0.82530310744405533</v>
      </c>
      <c r="J208" s="3">
        <f t="shared" ca="1" si="33"/>
        <v>4.5423097303135753</v>
      </c>
      <c r="P208" s="3">
        <f t="shared" ca="1" si="34"/>
        <v>-6.2204241971098568</v>
      </c>
      <c r="Q208" s="3">
        <f t="shared" ca="1" si="35"/>
        <v>1.3417532961902057</v>
      </c>
      <c r="R208" s="3">
        <f t="shared" ca="1" si="36"/>
        <v>6.3634879665028903</v>
      </c>
    </row>
    <row r="209" spans="7:18" x14ac:dyDescent="0.25">
      <c r="G209" s="2">
        <f t="shared" ca="1" si="30"/>
        <v>0.82782422135032963</v>
      </c>
      <c r="H209" s="3">
        <f t="shared" ca="1" si="31"/>
        <v>1</v>
      </c>
      <c r="I209" s="3">
        <f t="shared" ca="1" si="32"/>
        <v>8.5006683878478242</v>
      </c>
      <c r="J209" s="3">
        <f t="shared" ca="1" si="33"/>
        <v>14.577952863697824</v>
      </c>
      <c r="P209" s="3">
        <f t="shared" ca="1" si="34"/>
        <v>-5.6255467299376605</v>
      </c>
      <c r="Q209" s="3">
        <f t="shared" ca="1" si="35"/>
        <v>4.886803695059089</v>
      </c>
      <c r="R209" s="3">
        <f t="shared" ca="1" si="36"/>
        <v>7.4516861423945837</v>
      </c>
    </row>
    <row r="210" spans="7:18" x14ac:dyDescent="0.25">
      <c r="G210" s="2">
        <f t="shared" ca="1" si="30"/>
        <v>3.4279931053491586E-2</v>
      </c>
      <c r="H210" s="3">
        <f t="shared" ca="1" si="31"/>
        <v>0</v>
      </c>
      <c r="I210" s="3">
        <f t="shared" ca="1" si="32"/>
        <v>2.3988837517011561</v>
      </c>
      <c r="J210" s="3">
        <f t="shared" ca="1" si="33"/>
        <v>7.7441651449674609</v>
      </c>
      <c r="P210" s="3">
        <f t="shared" ca="1" si="34"/>
        <v>0.28622414781417405</v>
      </c>
      <c r="Q210" s="3">
        <f t="shared" ca="1" si="35"/>
        <v>-8.1432405168840454</v>
      </c>
      <c r="R210" s="3">
        <f t="shared" ca="1" si="36"/>
        <v>8.1482691645903476</v>
      </c>
    </row>
    <row r="211" spans="7:18" x14ac:dyDescent="0.25">
      <c r="G211" s="2">
        <f t="shared" ca="1" si="30"/>
        <v>0.85456061653742255</v>
      </c>
      <c r="H211" s="3">
        <f t="shared" ca="1" si="31"/>
        <v>1</v>
      </c>
      <c r="I211" s="3">
        <f t="shared" ca="1" si="32"/>
        <v>2.5108644371011</v>
      </c>
      <c r="J211" s="3">
        <f t="shared" ca="1" si="33"/>
        <v>7.9228537111023014</v>
      </c>
      <c r="P211" s="3">
        <f t="shared" ca="1" si="34"/>
        <v>-7.7663941178170877</v>
      </c>
      <c r="Q211" s="3">
        <f t="shared" ca="1" si="35"/>
        <v>-6.1994653817070979</v>
      </c>
      <c r="R211" s="3">
        <f t="shared" ca="1" si="36"/>
        <v>9.937315966207807</v>
      </c>
    </row>
    <row r="212" spans="7:18" x14ac:dyDescent="0.25">
      <c r="G212" s="2">
        <f t="shared" ca="1" si="30"/>
        <v>0.34767492739197103</v>
      </c>
      <c r="H212" s="3">
        <f t="shared" ca="1" si="31"/>
        <v>0</v>
      </c>
      <c r="I212" s="3">
        <f t="shared" ca="1" si="32"/>
        <v>2.0219489215459832</v>
      </c>
      <c r="J212" s="3">
        <f t="shared" ca="1" si="33"/>
        <v>7.1097625163327063</v>
      </c>
      <c r="P212" s="3">
        <f t="shared" ca="1" si="34"/>
        <v>2.7358163165850771</v>
      </c>
      <c r="Q212" s="3">
        <f t="shared" ca="1" si="35"/>
        <v>-3.8125641031614239</v>
      </c>
      <c r="R212" s="3">
        <f t="shared" ca="1" si="36"/>
        <v>4.6925830795850816</v>
      </c>
    </row>
    <row r="213" spans="7:18" x14ac:dyDescent="0.25">
      <c r="G213" s="2">
        <f t="shared" ca="1" si="30"/>
        <v>0.22789156381977849</v>
      </c>
      <c r="H213" s="3">
        <f t="shared" ca="1" si="31"/>
        <v>0</v>
      </c>
      <c r="I213" s="3">
        <f t="shared" ca="1" si="32"/>
        <v>0.56396708082141944</v>
      </c>
      <c r="J213" s="3">
        <f t="shared" ca="1" si="33"/>
        <v>3.7548870849248566</v>
      </c>
      <c r="P213" s="3">
        <f t="shared" ca="1" si="34"/>
        <v>-15.231530244056088</v>
      </c>
      <c r="Q213" s="3">
        <f t="shared" ca="1" si="35"/>
        <v>-1.5440376379121858</v>
      </c>
      <c r="R213" s="3">
        <f t="shared" ca="1" si="36"/>
        <v>15.309590647789534</v>
      </c>
    </row>
    <row r="214" spans="7:18" x14ac:dyDescent="0.25">
      <c r="G214" s="2">
        <f t="shared" ca="1" si="30"/>
        <v>0.92669284650422301</v>
      </c>
      <c r="H214" s="3">
        <f t="shared" ca="1" si="31"/>
        <v>2</v>
      </c>
      <c r="I214" s="3">
        <f t="shared" ca="1" si="32"/>
        <v>5.0931095986195656</v>
      </c>
      <c r="J214" s="3">
        <f t="shared" ca="1" si="33"/>
        <v>11.283959409953987</v>
      </c>
      <c r="P214" s="3">
        <f t="shared" ca="1" si="34"/>
        <v>-5.8541188416532624</v>
      </c>
      <c r="Q214" s="3">
        <f t="shared" ca="1" si="35"/>
        <v>-6.709116308346136</v>
      </c>
      <c r="R214" s="3">
        <f t="shared" ca="1" si="36"/>
        <v>8.904097318151674</v>
      </c>
    </row>
    <row r="215" spans="7:18" x14ac:dyDescent="0.25">
      <c r="G215" s="2">
        <f t="shared" ca="1" si="30"/>
        <v>0.34347120446858859</v>
      </c>
      <c r="H215" s="3">
        <f t="shared" ca="1" si="31"/>
        <v>0</v>
      </c>
      <c r="I215" s="3">
        <f t="shared" ca="1" si="32"/>
        <v>0.98641450147037391</v>
      </c>
      <c r="J215" s="3">
        <f t="shared" ca="1" si="33"/>
        <v>4.9659201097842223</v>
      </c>
      <c r="P215" s="3">
        <f t="shared" ca="1" si="34"/>
        <v>-9.5802902833738557</v>
      </c>
      <c r="Q215" s="3">
        <f t="shared" ca="1" si="35"/>
        <v>-0.90403892658873708</v>
      </c>
      <c r="R215" s="3">
        <f t="shared" ca="1" si="36"/>
        <v>9.6228503206947593</v>
      </c>
    </row>
    <row r="216" spans="7:18" x14ac:dyDescent="0.25">
      <c r="G216" s="2">
        <f t="shared" ca="1" si="30"/>
        <v>0.62390385053297459</v>
      </c>
      <c r="H216" s="3">
        <f t="shared" ca="1" si="31"/>
        <v>1</v>
      </c>
      <c r="I216" s="3">
        <f t="shared" ca="1" si="32"/>
        <v>2.4910503551265268</v>
      </c>
      <c r="J216" s="3">
        <f t="shared" ca="1" si="33"/>
        <v>7.8915308323647304</v>
      </c>
      <c r="P216" s="3">
        <f t="shared" ca="1" si="34"/>
        <v>-4.7408221545433644</v>
      </c>
      <c r="Q216" s="3">
        <f t="shared" ca="1" si="35"/>
        <v>2.6882821990162586</v>
      </c>
      <c r="R216" s="3">
        <f t="shared" ca="1" si="36"/>
        <v>5.449977603858283</v>
      </c>
    </row>
    <row r="217" spans="7:18" x14ac:dyDescent="0.25">
      <c r="G217" s="2">
        <f t="shared" ca="1" si="30"/>
        <v>0.20520758414410611</v>
      </c>
      <c r="H217" s="3">
        <f t="shared" ca="1" si="31"/>
        <v>0</v>
      </c>
      <c r="I217" s="3">
        <f t="shared" ca="1" si="32"/>
        <v>1.7270445610422873</v>
      </c>
      <c r="J217" s="3">
        <f t="shared" ca="1" si="33"/>
        <v>6.570853371218778</v>
      </c>
      <c r="P217" s="3">
        <f t="shared" ca="1" si="34"/>
        <v>-6.0982888122355563</v>
      </c>
      <c r="Q217" s="3">
        <f t="shared" ca="1" si="35"/>
        <v>-2.6330608661984827</v>
      </c>
      <c r="R217" s="3">
        <f t="shared" ca="1" si="36"/>
        <v>6.6424495453517185</v>
      </c>
    </row>
    <row r="218" spans="7:18" x14ac:dyDescent="0.25">
      <c r="G218" s="2">
        <f t="shared" ca="1" si="30"/>
        <v>0.91191256895880546</v>
      </c>
      <c r="H218" s="3">
        <f t="shared" ca="1" si="31"/>
        <v>2</v>
      </c>
      <c r="I218" s="3">
        <f t="shared" ca="1" si="32"/>
        <v>7.1932499405818158</v>
      </c>
      <c r="J218" s="3">
        <f t="shared" ca="1" si="33"/>
        <v>13.410117393764507</v>
      </c>
      <c r="P218" s="3">
        <f t="shared" ca="1" si="34"/>
        <v>-1.7742056056476589</v>
      </c>
      <c r="Q218" s="3">
        <f t="shared" ca="1" si="35"/>
        <v>0.9829282697049665</v>
      </c>
      <c r="R218" s="3">
        <f t="shared" ca="1" si="36"/>
        <v>2.0282883213430916</v>
      </c>
    </row>
    <row r="219" spans="7:18" x14ac:dyDescent="0.25">
      <c r="G219" s="2">
        <f t="shared" ca="1" si="30"/>
        <v>0.38753492570899073</v>
      </c>
      <c r="H219" s="3">
        <f t="shared" ca="1" si="31"/>
        <v>0</v>
      </c>
      <c r="I219" s="3">
        <f t="shared" ca="1" si="32"/>
        <v>4.2076706302985156E-2</v>
      </c>
      <c r="J219" s="3">
        <f t="shared" ca="1" si="33"/>
        <v>1.025630370832801</v>
      </c>
      <c r="P219" s="3">
        <f t="shared" ca="1" si="34"/>
        <v>-9.7396299421964461</v>
      </c>
      <c r="Q219" s="3">
        <f t="shared" ca="1" si="35"/>
        <v>6.8756252438443486</v>
      </c>
      <c r="R219" s="3">
        <f t="shared" ca="1" si="36"/>
        <v>11.922022223797404</v>
      </c>
    </row>
    <row r="220" spans="7:18" x14ac:dyDescent="0.25">
      <c r="G220" s="2">
        <f t="shared" ca="1" si="30"/>
        <v>0.94628646551535456</v>
      </c>
      <c r="H220" s="3">
        <f t="shared" ca="1" si="31"/>
        <v>2</v>
      </c>
      <c r="I220" s="3">
        <f t="shared" ca="1" si="32"/>
        <v>7.2111975693175507</v>
      </c>
      <c r="J220" s="3">
        <f t="shared" ca="1" si="33"/>
        <v>13.426836531102133</v>
      </c>
      <c r="P220" s="3">
        <f t="shared" ca="1" si="34"/>
        <v>-1.6226229715522109</v>
      </c>
      <c r="Q220" s="3">
        <f t="shared" ca="1" si="35"/>
        <v>-11.052985013314505</v>
      </c>
      <c r="R220" s="3">
        <f t="shared" ca="1" si="36"/>
        <v>11.171453934576464</v>
      </c>
    </row>
    <row r="221" spans="7:18" x14ac:dyDescent="0.25">
      <c r="G221" s="2">
        <f t="shared" ca="1" si="30"/>
        <v>0.47428362082470232</v>
      </c>
      <c r="H221" s="3">
        <f t="shared" ca="1" si="31"/>
        <v>0</v>
      </c>
      <c r="I221" s="3">
        <f t="shared" ca="1" si="32"/>
        <v>0.13577293704509077</v>
      </c>
      <c r="J221" s="3">
        <f t="shared" ca="1" si="33"/>
        <v>1.8423689712235358</v>
      </c>
      <c r="P221" s="3">
        <f t="shared" ca="1" si="34"/>
        <v>-5.3024285076391111</v>
      </c>
      <c r="Q221" s="3">
        <f t="shared" ca="1" si="35"/>
        <v>-5.8392717142863093</v>
      </c>
      <c r="R221" s="3">
        <f t="shared" ca="1" si="36"/>
        <v>7.8875117896512901</v>
      </c>
    </row>
    <row r="222" spans="7:18" x14ac:dyDescent="0.25">
      <c r="G222" s="2">
        <f t="shared" ca="1" si="30"/>
        <v>0.15811744556653939</v>
      </c>
      <c r="H222" s="3">
        <f t="shared" ca="1" si="31"/>
        <v>0</v>
      </c>
      <c r="I222" s="3">
        <f t="shared" ca="1" si="32"/>
        <v>1.3669031353668502</v>
      </c>
      <c r="J222" s="3">
        <f t="shared" ca="1" si="33"/>
        <v>5.8457316380562032</v>
      </c>
      <c r="P222" s="3">
        <f t="shared" ca="1" si="34"/>
        <v>-8.3701644798364896</v>
      </c>
      <c r="Q222" s="3">
        <f t="shared" ca="1" si="35"/>
        <v>-2.8647110605997446</v>
      </c>
      <c r="R222" s="3">
        <f t="shared" ca="1" si="36"/>
        <v>8.8468199303613595</v>
      </c>
    </row>
    <row r="223" spans="7:18" x14ac:dyDescent="0.25">
      <c r="G223" s="2">
        <f t="shared" ca="1" si="30"/>
        <v>0.71931753671471166</v>
      </c>
      <c r="H223" s="3">
        <f t="shared" ca="1" si="31"/>
        <v>1</v>
      </c>
      <c r="I223" s="3">
        <f t="shared" ca="1" si="32"/>
        <v>2.1770503313590237</v>
      </c>
      <c r="J223" s="3">
        <f t="shared" ca="1" si="33"/>
        <v>7.377415420320018</v>
      </c>
      <c r="P223" s="3">
        <f t="shared" ca="1" si="34"/>
        <v>3.1328096484244554</v>
      </c>
      <c r="Q223" s="3">
        <f t="shared" ca="1" si="35"/>
        <v>5.0629558871401388</v>
      </c>
      <c r="R223" s="3">
        <f t="shared" ca="1" si="36"/>
        <v>5.9538238644075081</v>
      </c>
    </row>
    <row r="224" spans="7:18" x14ac:dyDescent="0.25">
      <c r="G224" s="2">
        <f t="shared" ca="1" si="30"/>
        <v>0.60190391153611944</v>
      </c>
      <c r="H224" s="3">
        <f t="shared" ca="1" si="31"/>
        <v>0</v>
      </c>
      <c r="I224" s="3">
        <f t="shared" ca="1" si="32"/>
        <v>7.5862459447472386</v>
      </c>
      <c r="J224" s="3">
        <f t="shared" ca="1" si="33"/>
        <v>13.771570303298057</v>
      </c>
      <c r="P224" s="3">
        <f t="shared" ca="1" si="34"/>
        <v>1.8968099396656655</v>
      </c>
      <c r="Q224" s="3">
        <f t="shared" ca="1" si="35"/>
        <v>-4.5656745894190927</v>
      </c>
      <c r="R224" s="3">
        <f t="shared" ca="1" si="36"/>
        <v>4.9440137948514735</v>
      </c>
    </row>
    <row r="225" spans="7:18" x14ac:dyDescent="0.25">
      <c r="G225" s="2">
        <f t="shared" ca="1" si="30"/>
        <v>0.16592776356839489</v>
      </c>
      <c r="H225" s="3">
        <f t="shared" ca="1" si="31"/>
        <v>0</v>
      </c>
      <c r="I225" s="3">
        <f t="shared" ca="1" si="32"/>
        <v>2.7244327149589562</v>
      </c>
      <c r="J225" s="3">
        <f t="shared" ca="1" si="33"/>
        <v>8.2529278364695458</v>
      </c>
      <c r="P225" s="3">
        <f t="shared" ca="1" si="34"/>
        <v>-6.6940139595964894</v>
      </c>
      <c r="Q225" s="3">
        <f t="shared" ca="1" si="35"/>
        <v>4.9570823386528762</v>
      </c>
      <c r="R225" s="3">
        <f t="shared" ca="1" si="36"/>
        <v>8.3296151293716409</v>
      </c>
    </row>
    <row r="226" spans="7:18" x14ac:dyDescent="0.25">
      <c r="G226" s="2">
        <f t="shared" ca="1" si="30"/>
        <v>0.78923507486863398</v>
      </c>
      <c r="H226" s="3">
        <f t="shared" ca="1" si="31"/>
        <v>1</v>
      </c>
      <c r="I226" s="3">
        <f t="shared" ca="1" si="32"/>
        <v>4.5766233661491187</v>
      </c>
      <c r="J226" s="3">
        <f t="shared" ca="1" si="33"/>
        <v>10.696522058768821</v>
      </c>
      <c r="P226" s="3">
        <f t="shared" ca="1" si="34"/>
        <v>7.0669246526493019</v>
      </c>
      <c r="Q226" s="3">
        <f t="shared" ca="1" si="35"/>
        <v>1.2390943661080669</v>
      </c>
      <c r="R226" s="3">
        <f t="shared" ca="1" si="36"/>
        <v>7.1747319736937358</v>
      </c>
    </row>
    <row r="227" spans="7:18" x14ac:dyDescent="0.25">
      <c r="G227" s="2">
        <f t="shared" ca="1" si="30"/>
        <v>0.35389850736482897</v>
      </c>
      <c r="H227" s="3">
        <f t="shared" ca="1" si="31"/>
        <v>0</v>
      </c>
      <c r="I227" s="3">
        <f t="shared" ca="1" si="32"/>
        <v>3.618994772438147</v>
      </c>
      <c r="J227" s="3">
        <f t="shared" ca="1" si="33"/>
        <v>9.5118278638205851</v>
      </c>
      <c r="P227" s="3">
        <f t="shared" ca="1" si="34"/>
        <v>-10.093718356085091</v>
      </c>
      <c r="Q227" s="3">
        <f t="shared" ca="1" si="35"/>
        <v>-4.4767558189325163</v>
      </c>
      <c r="R227" s="3">
        <f t="shared" ca="1" si="36"/>
        <v>11.041942442990512</v>
      </c>
    </row>
    <row r="228" spans="7:18" x14ac:dyDescent="0.25">
      <c r="G228" s="2">
        <f t="shared" ca="1" si="30"/>
        <v>0.80303065650281147</v>
      </c>
      <c r="H228" s="3">
        <f t="shared" ca="1" si="31"/>
        <v>1</v>
      </c>
      <c r="I228" s="3">
        <f t="shared" ca="1" si="32"/>
        <v>4.1458264175925397</v>
      </c>
      <c r="J228" s="3">
        <f t="shared" ca="1" si="33"/>
        <v>10.180651277782452</v>
      </c>
      <c r="P228" s="3">
        <f t="shared" ca="1" si="34"/>
        <v>-7.8016812329855956</v>
      </c>
      <c r="Q228" s="3">
        <f t="shared" ca="1" si="35"/>
        <v>2.0324430874236485</v>
      </c>
      <c r="R228" s="3">
        <f t="shared" ca="1" si="36"/>
        <v>8.0620751028960154</v>
      </c>
    </row>
    <row r="229" spans="7:18" x14ac:dyDescent="0.25">
      <c r="G229" s="2">
        <f t="shared" ca="1" si="30"/>
        <v>0.39858556570592907</v>
      </c>
      <c r="H229" s="3">
        <f t="shared" ca="1" si="31"/>
        <v>0</v>
      </c>
      <c r="I229" s="3">
        <f t="shared" ca="1" si="32"/>
        <v>1.0988585907699244</v>
      </c>
      <c r="J229" s="3">
        <f t="shared" ca="1" si="33"/>
        <v>5.241322807197446</v>
      </c>
      <c r="P229" s="3">
        <f t="shared" ca="1" si="34"/>
        <v>-5.4757237048673737</v>
      </c>
      <c r="Q229" s="3">
        <f t="shared" ca="1" si="35"/>
        <v>3.6274750983907627</v>
      </c>
      <c r="R229" s="3">
        <f t="shared" ca="1" si="36"/>
        <v>6.5682665659587496</v>
      </c>
    </row>
    <row r="230" spans="7:18" x14ac:dyDescent="0.25">
      <c r="G230" s="2">
        <f t="shared" ca="1" si="30"/>
        <v>0.17145563885660564</v>
      </c>
      <c r="H230" s="3">
        <f t="shared" ca="1" si="31"/>
        <v>0</v>
      </c>
      <c r="I230" s="3">
        <f t="shared" ca="1" si="32"/>
        <v>2.768916405117305</v>
      </c>
      <c r="J230" s="3">
        <f t="shared" ca="1" si="33"/>
        <v>8.3200306566702391</v>
      </c>
      <c r="P230" s="3">
        <f t="shared" ca="1" si="34"/>
        <v>-0.93165921664332352</v>
      </c>
      <c r="Q230" s="3">
        <f t="shared" ca="1" si="35"/>
        <v>5.923523945478407</v>
      </c>
      <c r="R230" s="3">
        <f t="shared" ca="1" si="36"/>
        <v>5.9963426210159572</v>
      </c>
    </row>
    <row r="231" spans="7:18" x14ac:dyDescent="0.25">
      <c r="G231" s="2">
        <f t="shared" ca="1" si="30"/>
        <v>1.7499933587572403E-2</v>
      </c>
      <c r="H231" s="3">
        <f t="shared" ca="1" si="31"/>
        <v>0</v>
      </c>
      <c r="I231" s="3">
        <f t="shared" ca="1" si="32"/>
        <v>0.21554062996450182</v>
      </c>
      <c r="J231" s="3">
        <f t="shared" ca="1" si="33"/>
        <v>2.3213176751820388</v>
      </c>
      <c r="P231" s="3">
        <f t="shared" ca="1" si="34"/>
        <v>-9.2250841933082679</v>
      </c>
      <c r="Q231" s="3">
        <f t="shared" ca="1" si="35"/>
        <v>3.6796461766751847</v>
      </c>
      <c r="R231" s="3">
        <f t="shared" ca="1" si="36"/>
        <v>9.9318666100157813</v>
      </c>
    </row>
    <row r="232" spans="7:18" x14ac:dyDescent="0.25">
      <c r="G232" s="2">
        <f t="shared" ca="1" si="30"/>
        <v>0.65671742734936234</v>
      </c>
      <c r="H232" s="3">
        <f t="shared" ca="1" si="31"/>
        <v>1</v>
      </c>
      <c r="I232" s="3">
        <f t="shared" ca="1" si="32"/>
        <v>2.2315286201287439</v>
      </c>
      <c r="J232" s="3">
        <f t="shared" ca="1" si="33"/>
        <v>7.4691509225091037</v>
      </c>
      <c r="P232" s="3">
        <f t="shared" ca="1" si="34"/>
        <v>6.2234992939968787</v>
      </c>
      <c r="Q232" s="3">
        <f t="shared" ca="1" si="35"/>
        <v>-5.6088742612442077</v>
      </c>
      <c r="R232" s="3">
        <f t="shared" ca="1" si="36"/>
        <v>8.3780316268696069</v>
      </c>
    </row>
    <row r="233" spans="7:18" x14ac:dyDescent="0.25">
      <c r="G233" s="2">
        <f t="shared" ca="1" si="30"/>
        <v>0.72140106584606112</v>
      </c>
      <c r="H233" s="3">
        <f t="shared" ca="1" si="31"/>
        <v>1</v>
      </c>
      <c r="I233" s="3">
        <f t="shared" ca="1" si="32"/>
        <v>3.701221407286313</v>
      </c>
      <c r="J233" s="3">
        <f t="shared" ca="1" si="33"/>
        <v>9.6192793483793686</v>
      </c>
      <c r="P233" s="3">
        <f t="shared" ca="1" si="34"/>
        <v>5.5516717676994336</v>
      </c>
      <c r="Q233" s="3">
        <f t="shared" ca="1" si="35"/>
        <v>-3.7899475886330936</v>
      </c>
      <c r="R233" s="3">
        <f t="shared" ca="1" si="36"/>
        <v>6.7219611826353738</v>
      </c>
    </row>
    <row r="234" spans="7:18" x14ac:dyDescent="0.25">
      <c r="G234" s="2">
        <f t="shared" ca="1" si="30"/>
        <v>0.75935555806343236</v>
      </c>
      <c r="H234" s="3">
        <f t="shared" ca="1" si="31"/>
        <v>1</v>
      </c>
      <c r="I234" s="3">
        <f t="shared" ca="1" si="32"/>
        <v>6.9976910948630593</v>
      </c>
      <c r="J234" s="3">
        <f t="shared" ca="1" si="33"/>
        <v>13.226574665104208</v>
      </c>
      <c r="P234" s="3">
        <f t="shared" ca="1" si="34"/>
        <v>-0.12965090039095628</v>
      </c>
      <c r="Q234" s="3">
        <f t="shared" ca="1" si="35"/>
        <v>5.9687005401749005</v>
      </c>
      <c r="R234" s="3">
        <f t="shared" ca="1" si="36"/>
        <v>5.9701084993705376</v>
      </c>
    </row>
    <row r="235" spans="7:18" x14ac:dyDescent="0.25">
      <c r="G235" s="2">
        <f t="shared" ca="1" si="30"/>
        <v>0.62816374181007328</v>
      </c>
      <c r="H235" s="3">
        <f t="shared" ca="1" si="31"/>
        <v>1</v>
      </c>
      <c r="I235" s="3">
        <f t="shared" ca="1" si="32"/>
        <v>4.1667044449059345</v>
      </c>
      <c r="J235" s="3">
        <f t="shared" ca="1" si="33"/>
        <v>10.206253530196491</v>
      </c>
      <c r="P235" s="3">
        <f t="shared" ca="1" si="34"/>
        <v>-0.1610741457692999</v>
      </c>
      <c r="Q235" s="3">
        <f t="shared" ca="1" si="35"/>
        <v>6.3046951747706812</v>
      </c>
      <c r="R235" s="3">
        <f t="shared" ca="1" si="36"/>
        <v>6.3067524231740713</v>
      </c>
    </row>
    <row r="236" spans="7:18" x14ac:dyDescent="0.25">
      <c r="G236" s="2">
        <f t="shared" ca="1" si="30"/>
        <v>0.17367349987445724</v>
      </c>
      <c r="H236" s="3">
        <f t="shared" ca="1" si="31"/>
        <v>0</v>
      </c>
      <c r="I236" s="3">
        <f t="shared" ca="1" si="32"/>
        <v>0.58205494545193426</v>
      </c>
      <c r="J236" s="3">
        <f t="shared" ca="1" si="33"/>
        <v>3.8146262774088835</v>
      </c>
      <c r="P236" s="3">
        <f t="shared" ca="1" si="34"/>
        <v>-8.4053080881292868</v>
      </c>
      <c r="Q236" s="3">
        <f t="shared" ca="1" si="35"/>
        <v>-2.5740020977832461</v>
      </c>
      <c r="R236" s="3">
        <f t="shared" ca="1" si="36"/>
        <v>8.7906024171136394</v>
      </c>
    </row>
    <row r="237" spans="7:18" x14ac:dyDescent="0.25">
      <c r="G237" s="2">
        <f t="shared" ca="1" si="30"/>
        <v>0.13247792688491367</v>
      </c>
      <c r="H237" s="3">
        <f t="shared" ca="1" si="31"/>
        <v>0</v>
      </c>
      <c r="I237" s="3">
        <f t="shared" ca="1" si="32"/>
        <v>1.432292754217301</v>
      </c>
      <c r="J237" s="3">
        <f t="shared" ca="1" si="33"/>
        <v>5.983921695295864</v>
      </c>
      <c r="P237" s="3">
        <f t="shared" ca="1" si="34"/>
        <v>5.5108969675348956</v>
      </c>
      <c r="Q237" s="3">
        <f t="shared" ca="1" si="35"/>
        <v>7.4460490232614722</v>
      </c>
      <c r="R237" s="3">
        <f t="shared" ca="1" si="36"/>
        <v>9.2635647265833061</v>
      </c>
    </row>
    <row r="238" spans="7:18" x14ac:dyDescent="0.25">
      <c r="G238" s="2">
        <f t="shared" ca="1" si="30"/>
        <v>0.61333728028221268</v>
      </c>
      <c r="H238" s="3">
        <f t="shared" ca="1" si="31"/>
        <v>1</v>
      </c>
      <c r="I238" s="3">
        <f t="shared" ca="1" si="32"/>
        <v>0.85448039516391538</v>
      </c>
      <c r="J238" s="3">
        <f t="shared" ca="1" si="33"/>
        <v>4.621905438138894</v>
      </c>
      <c r="P238" s="3">
        <f t="shared" ca="1" si="34"/>
        <v>-5.112141288852996</v>
      </c>
      <c r="Q238" s="3">
        <f t="shared" ca="1" si="35"/>
        <v>-0.15408174497467439</v>
      </c>
      <c r="R238" s="3">
        <f t="shared" ca="1" si="36"/>
        <v>5.1144628008550432</v>
      </c>
    </row>
    <row r="239" spans="7:18" x14ac:dyDescent="0.25">
      <c r="G239" s="2">
        <f t="shared" ca="1" si="30"/>
        <v>0.14977807610643057</v>
      </c>
      <c r="H239" s="3">
        <f t="shared" ca="1" si="31"/>
        <v>0</v>
      </c>
      <c r="I239" s="3">
        <f t="shared" ca="1" si="32"/>
        <v>0.80840255016926899</v>
      </c>
      <c r="J239" s="3">
        <f t="shared" ca="1" si="33"/>
        <v>4.4955604494024684</v>
      </c>
      <c r="P239" s="3">
        <f t="shared" ca="1" si="34"/>
        <v>-2.435889091895457</v>
      </c>
      <c r="Q239" s="3">
        <f t="shared" ca="1" si="35"/>
        <v>12.256431239769128</v>
      </c>
      <c r="R239" s="3">
        <f t="shared" ca="1" si="36"/>
        <v>12.496145901965289</v>
      </c>
    </row>
    <row r="240" spans="7:18" x14ac:dyDescent="0.25">
      <c r="G240" s="2">
        <f t="shared" ca="1" si="30"/>
        <v>0.56695101950768534</v>
      </c>
      <c r="H240" s="3">
        <f t="shared" ca="1" si="31"/>
        <v>0</v>
      </c>
      <c r="I240" s="3">
        <f t="shared" ca="1" si="32"/>
        <v>0.44587215947832476</v>
      </c>
      <c r="J240" s="3">
        <f t="shared" ca="1" si="33"/>
        <v>3.3386829719154405</v>
      </c>
      <c r="P240" s="3">
        <f t="shared" ca="1" si="34"/>
        <v>-1.3248221794251891</v>
      </c>
      <c r="Q240" s="3">
        <f t="shared" ca="1" si="35"/>
        <v>0.70195276235577098</v>
      </c>
      <c r="R240" s="3">
        <f t="shared" ca="1" si="36"/>
        <v>1.4992969978212474</v>
      </c>
    </row>
    <row r="241" spans="7:18" x14ac:dyDescent="0.25">
      <c r="G241" s="2">
        <f t="shared" ca="1" si="30"/>
        <v>0.61297570459822914</v>
      </c>
      <c r="H241" s="3">
        <f t="shared" ca="1" si="31"/>
        <v>1</v>
      </c>
      <c r="I241" s="3">
        <f t="shared" ca="1" si="32"/>
        <v>6.7480290001662855</v>
      </c>
      <c r="J241" s="3">
        <f t="shared" ca="1" si="33"/>
        <v>12.988484322820623</v>
      </c>
      <c r="P241" s="3">
        <f t="shared" ca="1" si="34"/>
        <v>-3.0829574924958503</v>
      </c>
      <c r="Q241" s="3">
        <f t="shared" ca="1" si="35"/>
        <v>6.1167624710679345</v>
      </c>
      <c r="R241" s="3">
        <f t="shared" ca="1" si="36"/>
        <v>6.8497744508853291</v>
      </c>
    </row>
    <row r="242" spans="7:18" x14ac:dyDescent="0.25">
      <c r="G242" s="2">
        <f t="shared" ca="1" si="30"/>
        <v>0.33798141759926259</v>
      </c>
      <c r="H242" s="3">
        <f t="shared" ca="1" si="31"/>
        <v>0</v>
      </c>
      <c r="I242" s="3">
        <f t="shared" ca="1" si="32"/>
        <v>1.0077126059674724</v>
      </c>
      <c r="J242" s="3">
        <f t="shared" ca="1" si="33"/>
        <v>5.0192444799179494</v>
      </c>
      <c r="P242" s="3">
        <f t="shared" ca="1" si="34"/>
        <v>-12.481446420808769</v>
      </c>
      <c r="Q242" s="3">
        <f t="shared" ca="1" si="35"/>
        <v>-0.16468955337613023</v>
      </c>
      <c r="R242" s="3">
        <f t="shared" ca="1" si="36"/>
        <v>12.482532892186235</v>
      </c>
    </row>
    <row r="243" spans="7:18" x14ac:dyDescent="0.25">
      <c r="G243" s="2">
        <f t="shared" ca="1" si="30"/>
        <v>0.24128953993726709</v>
      </c>
      <c r="H243" s="3">
        <f t="shared" ca="1" si="31"/>
        <v>0</v>
      </c>
      <c r="I243" s="3">
        <f t="shared" ca="1" si="32"/>
        <v>0.26695569879468989</v>
      </c>
      <c r="J243" s="3">
        <f t="shared" ca="1" si="33"/>
        <v>2.583387789292821</v>
      </c>
      <c r="P243" s="3">
        <f t="shared" ca="1" si="34"/>
        <v>-8.964281417708861</v>
      </c>
      <c r="Q243" s="3">
        <f t="shared" ca="1" si="35"/>
        <v>2.6007853333511592</v>
      </c>
      <c r="R243" s="3">
        <f t="shared" ca="1" si="36"/>
        <v>9.3339394515957128</v>
      </c>
    </row>
    <row r="244" spans="7:18" x14ac:dyDescent="0.25">
      <c r="G244" s="2">
        <f t="shared" ca="1" si="30"/>
        <v>0.16496798638559595</v>
      </c>
      <c r="H244" s="3">
        <f t="shared" ca="1" si="31"/>
        <v>0</v>
      </c>
      <c r="I244" s="3">
        <f t="shared" ca="1" si="32"/>
        <v>5.0429059107948309</v>
      </c>
      <c r="J244" s="3">
        <f t="shared" ca="1" si="33"/>
        <v>11.228207682879345</v>
      </c>
      <c r="P244" s="3">
        <f t="shared" ca="1" si="34"/>
        <v>-1.2627917453703192</v>
      </c>
      <c r="Q244" s="3">
        <f t="shared" ca="1" si="35"/>
        <v>3.4680730365425023</v>
      </c>
      <c r="R244" s="3">
        <f t="shared" ca="1" si="36"/>
        <v>3.6908228864263521</v>
      </c>
    </row>
    <row r="245" spans="7:18" x14ac:dyDescent="0.25">
      <c r="G245" s="2">
        <f t="shared" ca="1" si="30"/>
        <v>0.88775200171918334</v>
      </c>
      <c r="H245" s="3">
        <f t="shared" ca="1" si="31"/>
        <v>1</v>
      </c>
      <c r="I245" s="3">
        <f t="shared" ca="1" si="32"/>
        <v>6.667099360624948</v>
      </c>
      <c r="J245" s="3">
        <f t="shared" ca="1" si="33"/>
        <v>12.910363434683925</v>
      </c>
      <c r="P245" s="3">
        <f t="shared" ca="1" si="34"/>
        <v>-8.9094751054645052</v>
      </c>
      <c r="Q245" s="3">
        <f t="shared" ca="1" si="35"/>
        <v>-3.405556047068568</v>
      </c>
      <c r="R245" s="3">
        <f t="shared" ca="1" si="36"/>
        <v>9.5381632741643205</v>
      </c>
    </row>
    <row r="246" spans="7:18" x14ac:dyDescent="0.25">
      <c r="G246" s="2">
        <f t="shared" ca="1" si="30"/>
        <v>0.39941624238349427</v>
      </c>
      <c r="H246" s="3">
        <f t="shared" ca="1" si="31"/>
        <v>0</v>
      </c>
      <c r="I246" s="3">
        <f t="shared" ca="1" si="32"/>
        <v>2.96753353077069</v>
      </c>
      <c r="J246" s="3">
        <f t="shared" ca="1" si="33"/>
        <v>8.6132652501398823</v>
      </c>
      <c r="P246" s="3">
        <f t="shared" ca="1" si="34"/>
        <v>5.4001156262820675</v>
      </c>
      <c r="Q246" s="3">
        <f t="shared" ca="1" si="35"/>
        <v>-7.0938681618967605</v>
      </c>
      <c r="R246" s="3">
        <f t="shared" ca="1" si="36"/>
        <v>8.9153919866480518</v>
      </c>
    </row>
    <row r="247" spans="7:18" x14ac:dyDescent="0.25">
      <c r="G247" s="2">
        <f t="shared" ca="1" si="30"/>
        <v>0.12453313407459199</v>
      </c>
      <c r="H247" s="3">
        <f t="shared" ca="1" si="31"/>
        <v>0</v>
      </c>
      <c r="I247" s="3">
        <f t="shared" ca="1" si="32"/>
        <v>2.1349085242908274</v>
      </c>
      <c r="J247" s="3">
        <f t="shared" ca="1" si="33"/>
        <v>7.3056630847083746</v>
      </c>
      <c r="P247" s="3">
        <f t="shared" ca="1" si="34"/>
        <v>7.8669593521120991</v>
      </c>
      <c r="Q247" s="3">
        <f t="shared" ca="1" si="35"/>
        <v>3.1964084155121948</v>
      </c>
      <c r="R247" s="3">
        <f t="shared" ca="1" si="36"/>
        <v>8.4915296741247506</v>
      </c>
    </row>
    <row r="248" spans="7:18" x14ac:dyDescent="0.25">
      <c r="G248" s="2">
        <f t="shared" ca="1" si="30"/>
        <v>0.91842786422823919</v>
      </c>
      <c r="H248" s="3">
        <f t="shared" ca="1" si="31"/>
        <v>2</v>
      </c>
      <c r="I248" s="3">
        <f t="shared" ca="1" si="32"/>
        <v>2.380655830180002</v>
      </c>
      <c r="J248" s="3">
        <f t="shared" ca="1" si="33"/>
        <v>7.7146870159780336</v>
      </c>
      <c r="P248" s="3">
        <f t="shared" ca="1" si="34"/>
        <v>-6.7817238123507426</v>
      </c>
      <c r="Q248" s="3">
        <f t="shared" ca="1" si="35"/>
        <v>-8.1237696048966299</v>
      </c>
      <c r="R248" s="3">
        <f t="shared" ca="1" si="36"/>
        <v>10.582410427707265</v>
      </c>
    </row>
    <row r="249" spans="7:18" x14ac:dyDescent="0.25">
      <c r="G249" s="2">
        <f t="shared" ca="1" si="30"/>
        <v>0.29668784454287311</v>
      </c>
      <c r="H249" s="3">
        <f t="shared" ca="1" si="31"/>
        <v>0</v>
      </c>
      <c r="I249" s="3">
        <f t="shared" ca="1" si="32"/>
        <v>1.4962026244474789</v>
      </c>
      <c r="J249" s="3">
        <f t="shared" ca="1" si="33"/>
        <v>6.1159680845461395</v>
      </c>
      <c r="P249" s="3">
        <f t="shared" ca="1" si="34"/>
        <v>4.2207359652658241</v>
      </c>
      <c r="Q249" s="3">
        <f t="shared" ca="1" si="35"/>
        <v>-2.3417381282940766</v>
      </c>
      <c r="R249" s="3">
        <f t="shared" ca="1" si="36"/>
        <v>4.8268363914674666</v>
      </c>
    </row>
    <row r="250" spans="7:18" x14ac:dyDescent="0.25">
      <c r="G250" s="2">
        <f t="shared" ca="1" si="30"/>
        <v>0.19702481422734763</v>
      </c>
      <c r="H250" s="3">
        <f t="shared" ca="1" si="31"/>
        <v>0</v>
      </c>
      <c r="I250" s="3">
        <f t="shared" ca="1" si="32"/>
        <v>1.3263699987420916</v>
      </c>
      <c r="J250" s="3">
        <f t="shared" ca="1" si="33"/>
        <v>5.7584068950146525</v>
      </c>
      <c r="P250" s="3">
        <f t="shared" ca="1" si="34"/>
        <v>-4.0118897028167986</v>
      </c>
      <c r="Q250" s="3">
        <f t="shared" ca="1" si="35"/>
        <v>-3.7576268264253172</v>
      </c>
      <c r="R250" s="3">
        <f t="shared" ca="1" si="36"/>
        <v>5.4968189304577484</v>
      </c>
    </row>
    <row r="251" spans="7:18" x14ac:dyDescent="0.25">
      <c r="G251" s="2">
        <f t="shared" ca="1" si="30"/>
        <v>0.28613118132045012</v>
      </c>
      <c r="H251" s="3">
        <f t="shared" ca="1" si="31"/>
        <v>0</v>
      </c>
      <c r="I251" s="3">
        <f t="shared" ca="1" si="32"/>
        <v>3.2215033613536326</v>
      </c>
      <c r="J251" s="3">
        <f t="shared" ca="1" si="33"/>
        <v>8.9742734543717138</v>
      </c>
      <c r="P251" s="3">
        <f t="shared" ca="1" si="34"/>
        <v>-16.14202870154492</v>
      </c>
      <c r="Q251" s="3">
        <f t="shared" ca="1" si="35"/>
        <v>-1.5727438526991631</v>
      </c>
      <c r="R251" s="3">
        <f t="shared" ca="1" si="36"/>
        <v>16.218465211841192</v>
      </c>
    </row>
    <row r="252" spans="7:18" x14ac:dyDescent="0.25">
      <c r="G252" s="2">
        <f t="shared" ca="1" si="30"/>
        <v>0.67149091695618701</v>
      </c>
      <c r="H252" s="3">
        <f t="shared" ca="1" si="31"/>
        <v>1</v>
      </c>
      <c r="I252" s="3">
        <f t="shared" ca="1" si="32"/>
        <v>4.3296292463044761</v>
      </c>
      <c r="J252" s="3">
        <f t="shared" ca="1" si="33"/>
        <v>10.403880581668163</v>
      </c>
      <c r="P252" s="3">
        <f t="shared" ca="1" si="34"/>
        <v>-8.5774733252918516</v>
      </c>
      <c r="Q252" s="3">
        <f t="shared" ca="1" si="35"/>
        <v>2.0647871117474779</v>
      </c>
      <c r="R252" s="3">
        <f t="shared" ca="1" si="36"/>
        <v>8.8224936646580687</v>
      </c>
    </row>
    <row r="253" spans="7:18" x14ac:dyDescent="0.25">
      <c r="G253" s="2">
        <f t="shared" ca="1" si="30"/>
        <v>0.72580715493157744</v>
      </c>
      <c r="H253" s="3">
        <f t="shared" ca="1" si="31"/>
        <v>1</v>
      </c>
      <c r="I253" s="3">
        <f t="shared" ca="1" si="32"/>
        <v>10.523941793897921</v>
      </c>
      <c r="J253" s="3">
        <f t="shared" ca="1" si="33"/>
        <v>16.220312723478795</v>
      </c>
      <c r="P253" s="3">
        <f t="shared" ca="1" si="34"/>
        <v>-4.9420716079316591</v>
      </c>
      <c r="Q253" s="3">
        <f t="shared" ca="1" si="35"/>
        <v>0.33030952568728433</v>
      </c>
      <c r="R253" s="3">
        <f t="shared" ca="1" si="36"/>
        <v>4.9530976328641021</v>
      </c>
    </row>
    <row r="254" spans="7:18" x14ac:dyDescent="0.25">
      <c r="G254" s="2">
        <f t="shared" ca="1" si="30"/>
        <v>0.66705133480391543</v>
      </c>
      <c r="H254" s="3">
        <f t="shared" ca="1" si="31"/>
        <v>1</v>
      </c>
      <c r="I254" s="3">
        <f t="shared" ca="1" si="32"/>
        <v>1.7650086417164801</v>
      </c>
      <c r="J254" s="3">
        <f t="shared" ca="1" si="33"/>
        <v>6.6426813895378123</v>
      </c>
      <c r="P254" s="3">
        <f t="shared" ca="1" si="34"/>
        <v>-12.275930021450435</v>
      </c>
      <c r="Q254" s="3">
        <f t="shared" ca="1" si="35"/>
        <v>-1.4156264366251465</v>
      </c>
      <c r="R254" s="3">
        <f t="shared" ca="1" si="36"/>
        <v>12.357283524287208</v>
      </c>
    </row>
    <row r="255" spans="7:18" x14ac:dyDescent="0.25">
      <c r="G255" s="2">
        <f t="shared" ca="1" si="30"/>
        <v>0.67805380297251772</v>
      </c>
      <c r="H255" s="3">
        <f t="shared" ca="1" si="31"/>
        <v>1</v>
      </c>
      <c r="I255" s="3">
        <f t="shared" ca="1" si="32"/>
        <v>2.7812681304497935</v>
      </c>
      <c r="J255" s="3">
        <f t="shared" ca="1" si="33"/>
        <v>8.3385672187279773</v>
      </c>
      <c r="P255" s="3">
        <f t="shared" ca="1" si="34"/>
        <v>-1.325773068475375</v>
      </c>
      <c r="Q255" s="3">
        <f t="shared" ca="1" si="35"/>
        <v>4.1966708799443575</v>
      </c>
      <c r="R255" s="3">
        <f t="shared" ca="1" si="36"/>
        <v>4.4011044867927822</v>
      </c>
    </row>
    <row r="256" spans="7:18" x14ac:dyDescent="0.25">
      <c r="G256" s="2">
        <f t="shared" ca="1" si="30"/>
        <v>0.39616505641684174</v>
      </c>
      <c r="H256" s="3">
        <f t="shared" ca="1" si="31"/>
        <v>0</v>
      </c>
      <c r="I256" s="3">
        <f t="shared" ca="1" si="32"/>
        <v>1.2153466704383867E-2</v>
      </c>
      <c r="J256" s="3">
        <f t="shared" ca="1" si="33"/>
        <v>0.55121381297060823</v>
      </c>
      <c r="P256" s="3">
        <f t="shared" ca="1" si="34"/>
        <v>-5.8851735743530789</v>
      </c>
      <c r="Q256" s="3">
        <f t="shared" ca="1" si="35"/>
        <v>3.550290077913504</v>
      </c>
      <c r="R256" s="3">
        <f t="shared" ca="1" si="36"/>
        <v>6.8731235721173292</v>
      </c>
    </row>
    <row r="257" spans="7:18" x14ac:dyDescent="0.25">
      <c r="G257" s="2">
        <f t="shared" ca="1" si="30"/>
        <v>0.80796545483271764</v>
      </c>
      <c r="H257" s="3">
        <f t="shared" ca="1" si="31"/>
        <v>1</v>
      </c>
      <c r="I257" s="3">
        <f t="shared" ca="1" si="32"/>
        <v>2.722267489914131</v>
      </c>
      <c r="J257" s="3">
        <f t="shared" ca="1" si="33"/>
        <v>8.2496477044691598</v>
      </c>
      <c r="P257" s="3">
        <f t="shared" ca="1" si="34"/>
        <v>-9.5847042450284583</v>
      </c>
      <c r="Q257" s="3">
        <f t="shared" ca="1" si="35"/>
        <v>4.0518046579475566</v>
      </c>
      <c r="R257" s="3">
        <f t="shared" ca="1" si="36"/>
        <v>10.405944284438201</v>
      </c>
    </row>
    <row r="258" spans="7:18" x14ac:dyDescent="0.25">
      <c r="G258" s="2">
        <f t="shared" ca="1" si="30"/>
        <v>0.88239444929258537</v>
      </c>
      <c r="H258" s="3">
        <f t="shared" ca="1" si="31"/>
        <v>1</v>
      </c>
      <c r="I258" s="3">
        <f t="shared" ca="1" si="32"/>
        <v>4.0492168749303907</v>
      </c>
      <c r="J258" s="3">
        <f t="shared" ca="1" si="33"/>
        <v>10.061333006776973</v>
      </c>
      <c r="P258" s="3">
        <f t="shared" ca="1" si="34"/>
        <v>2.6932742972341046</v>
      </c>
      <c r="Q258" s="3">
        <f t="shared" ca="1" si="35"/>
        <v>-4.0172633846805459</v>
      </c>
      <c r="R258" s="3">
        <f t="shared" ca="1" si="36"/>
        <v>4.836541278851743</v>
      </c>
    </row>
    <row r="259" spans="7:18" x14ac:dyDescent="0.25">
      <c r="G259" s="2">
        <f t="shared" ca="1" si="30"/>
        <v>0.71492634597929794</v>
      </c>
      <c r="H259" s="3">
        <f t="shared" ca="1" si="31"/>
        <v>1</v>
      </c>
      <c r="I259" s="3">
        <f t="shared" ca="1" si="32"/>
        <v>4.6580609504649173</v>
      </c>
      <c r="J259" s="3">
        <f t="shared" ca="1" si="33"/>
        <v>10.791270720430608</v>
      </c>
      <c r="P259" s="3">
        <f t="shared" ca="1" si="34"/>
        <v>5.2792249080082616</v>
      </c>
      <c r="Q259" s="3">
        <f t="shared" ca="1" si="35"/>
        <v>-2.0011758854888986</v>
      </c>
      <c r="R259" s="3">
        <f t="shared" ca="1" si="36"/>
        <v>5.6457878594574478</v>
      </c>
    </row>
    <row r="260" spans="7:18" x14ac:dyDescent="0.25">
      <c r="G260" s="2">
        <f t="shared" ref="G260:G323" ca="1" si="37">RAND()</f>
        <v>0.96337639698777122</v>
      </c>
      <c r="H260" s="3">
        <f t="shared" ref="H260:H323" ca="1" si="38">VLOOKUP(G260,$B$9:$C$169,2,TRUE)</f>
        <v>2</v>
      </c>
      <c r="I260" s="3">
        <f t="shared" ref="I260:I323" ca="1" si="39">_xlfn.CHISQ.INV(RAND(),2*H260+2)</f>
        <v>8.386771459166658</v>
      </c>
      <c r="J260" s="3">
        <f t="shared" ref="J260:J323" ca="1" si="40">$C$4*SQRT(I260)</f>
        <v>14.479961549643923</v>
      </c>
      <c r="P260" s="3">
        <f t="shared" ref="P260:P323" ca="1" si="41">_xlfn.NORM.INV(RAND(),$C$3*COS($O$2),$C$4)</f>
        <v>-14.721763763348662</v>
      </c>
      <c r="Q260" s="3">
        <f t="shared" ref="Q260:Q323" ca="1" si="42">_xlfn.NORM.INV(RAND(),$C$3*SIN($O$2),$C$4)</f>
        <v>0.46090469305821408</v>
      </c>
      <c r="R260" s="3">
        <f t="shared" ref="R260:R323" ca="1" si="43">SQRT(P260^2+Q260^2)</f>
        <v>14.728976931203634</v>
      </c>
    </row>
    <row r="261" spans="7:18" x14ac:dyDescent="0.25">
      <c r="G261" s="2">
        <f t="shared" ca="1" si="37"/>
        <v>0.56135449710983476</v>
      </c>
      <c r="H261" s="3">
        <f t="shared" ca="1" si="38"/>
        <v>0</v>
      </c>
      <c r="I261" s="3">
        <f t="shared" ca="1" si="39"/>
        <v>1.2133476476212659</v>
      </c>
      <c r="J261" s="3">
        <f t="shared" ca="1" si="40"/>
        <v>5.5076030349446619</v>
      </c>
      <c r="P261" s="3">
        <f t="shared" ca="1" si="41"/>
        <v>1.1151856107441507</v>
      </c>
      <c r="Q261" s="3">
        <f t="shared" ca="1" si="42"/>
        <v>0.26199672750430575</v>
      </c>
      <c r="R261" s="3">
        <f t="shared" ca="1" si="43"/>
        <v>1.1455484414173718</v>
      </c>
    </row>
    <row r="262" spans="7:18" x14ac:dyDescent="0.25">
      <c r="G262" s="2">
        <f t="shared" ca="1" si="37"/>
        <v>0.38464607745273927</v>
      </c>
      <c r="H262" s="3">
        <f t="shared" ca="1" si="38"/>
        <v>0</v>
      </c>
      <c r="I262" s="3">
        <f t="shared" ca="1" si="39"/>
        <v>0.4466808365169046</v>
      </c>
      <c r="J262" s="3">
        <f t="shared" ca="1" si="40"/>
        <v>3.3417092801323416</v>
      </c>
      <c r="P262" s="3">
        <f t="shared" ca="1" si="41"/>
        <v>-7.7574760797014939</v>
      </c>
      <c r="Q262" s="3">
        <f t="shared" ca="1" si="42"/>
        <v>-3.4340505596630972</v>
      </c>
      <c r="R262" s="3">
        <f t="shared" ca="1" si="43"/>
        <v>8.4835805161183728</v>
      </c>
    </row>
    <row r="263" spans="7:18" x14ac:dyDescent="0.25">
      <c r="G263" s="2">
        <f t="shared" ca="1" si="37"/>
        <v>0.22963244542806116</v>
      </c>
      <c r="H263" s="3">
        <f t="shared" ca="1" si="38"/>
        <v>0</v>
      </c>
      <c r="I263" s="3">
        <f t="shared" ca="1" si="39"/>
        <v>1.0181106185041526</v>
      </c>
      <c r="J263" s="3">
        <f t="shared" ca="1" si="40"/>
        <v>5.0450733852545513</v>
      </c>
      <c r="P263" s="3">
        <f t="shared" ca="1" si="41"/>
        <v>-1.5868723651778427</v>
      </c>
      <c r="Q263" s="3">
        <f t="shared" ca="1" si="42"/>
        <v>-0.93499017443895682</v>
      </c>
      <c r="R263" s="3">
        <f t="shared" ca="1" si="43"/>
        <v>1.8418388989438004</v>
      </c>
    </row>
    <row r="264" spans="7:18" x14ac:dyDescent="0.25">
      <c r="G264" s="2">
        <f t="shared" ca="1" si="37"/>
        <v>4.205286799221386E-3</v>
      </c>
      <c r="H264" s="3">
        <f t="shared" ca="1" si="38"/>
        <v>0</v>
      </c>
      <c r="I264" s="3">
        <f t="shared" ca="1" si="39"/>
        <v>0.29583112110052706</v>
      </c>
      <c r="J264" s="3">
        <f t="shared" ca="1" si="40"/>
        <v>2.7195179770527673</v>
      </c>
      <c r="P264" s="3">
        <f t="shared" ca="1" si="41"/>
        <v>-5.4048070506482198</v>
      </c>
      <c r="Q264" s="3">
        <f t="shared" ca="1" si="42"/>
        <v>3.9192339269277641</v>
      </c>
      <c r="R264" s="3">
        <f t="shared" ca="1" si="43"/>
        <v>6.676251480338224</v>
      </c>
    </row>
    <row r="265" spans="7:18" x14ac:dyDescent="0.25">
      <c r="G265" s="2">
        <f t="shared" ca="1" si="37"/>
        <v>0.73533088773893862</v>
      </c>
      <c r="H265" s="3">
        <f t="shared" ca="1" si="38"/>
        <v>1</v>
      </c>
      <c r="I265" s="3">
        <f t="shared" ca="1" si="39"/>
        <v>1.1805082469750596</v>
      </c>
      <c r="J265" s="3">
        <f t="shared" ca="1" si="40"/>
        <v>5.4325598178369372</v>
      </c>
      <c r="P265" s="3">
        <f t="shared" ca="1" si="41"/>
        <v>-13.06774235720029</v>
      </c>
      <c r="Q265" s="3">
        <f t="shared" ca="1" si="42"/>
        <v>2.1784739010112353</v>
      </c>
      <c r="R265" s="3">
        <f t="shared" ca="1" si="43"/>
        <v>13.248080572352876</v>
      </c>
    </row>
    <row r="266" spans="7:18" x14ac:dyDescent="0.25">
      <c r="G266" s="2">
        <f t="shared" ca="1" si="37"/>
        <v>0.54265479081374957</v>
      </c>
      <c r="H266" s="3">
        <f t="shared" ca="1" si="38"/>
        <v>0</v>
      </c>
      <c r="I266" s="3">
        <f t="shared" ca="1" si="39"/>
        <v>0.12101471647768863</v>
      </c>
      <c r="J266" s="3">
        <f t="shared" ca="1" si="40"/>
        <v>1.73935847712374</v>
      </c>
      <c r="P266" s="3">
        <f t="shared" ca="1" si="41"/>
        <v>-7.2119315005554743</v>
      </c>
      <c r="Q266" s="3">
        <f t="shared" ca="1" si="42"/>
        <v>-0.36741069117405456</v>
      </c>
      <c r="R266" s="3">
        <f t="shared" ca="1" si="43"/>
        <v>7.2212842752998814</v>
      </c>
    </row>
    <row r="267" spans="7:18" x14ac:dyDescent="0.25">
      <c r="G267" s="2">
        <f t="shared" ca="1" si="37"/>
        <v>2.6027327590097515E-2</v>
      </c>
      <c r="H267" s="3">
        <f t="shared" ca="1" si="38"/>
        <v>0</v>
      </c>
      <c r="I267" s="3">
        <f t="shared" ca="1" si="39"/>
        <v>0.1151031040678647</v>
      </c>
      <c r="J267" s="3">
        <f t="shared" ca="1" si="40"/>
        <v>1.6963424187635636</v>
      </c>
      <c r="P267" s="3">
        <f t="shared" ca="1" si="41"/>
        <v>2.6557189801764167</v>
      </c>
      <c r="Q267" s="3">
        <f t="shared" ca="1" si="42"/>
        <v>2.0019570519583749</v>
      </c>
      <c r="R267" s="3">
        <f t="shared" ca="1" si="43"/>
        <v>3.3257593628455946</v>
      </c>
    </row>
    <row r="268" spans="7:18" x14ac:dyDescent="0.25">
      <c r="G268" s="2">
        <f t="shared" ca="1" si="37"/>
        <v>0.38530245303133026</v>
      </c>
      <c r="H268" s="3">
        <f t="shared" ca="1" si="38"/>
        <v>0</v>
      </c>
      <c r="I268" s="3">
        <f t="shared" ca="1" si="39"/>
        <v>0.79393261028367534</v>
      </c>
      <c r="J268" s="3">
        <f t="shared" ca="1" si="40"/>
        <v>4.4551448076456373</v>
      </c>
      <c r="P268" s="3">
        <f t="shared" ca="1" si="41"/>
        <v>-4.5178177218106974</v>
      </c>
      <c r="Q268" s="3">
        <f t="shared" ca="1" si="42"/>
        <v>3.5218128706226981</v>
      </c>
      <c r="R268" s="3">
        <f t="shared" ca="1" si="43"/>
        <v>5.7283368322044828</v>
      </c>
    </row>
    <row r="269" spans="7:18" x14ac:dyDescent="0.25">
      <c r="G269" s="2">
        <f t="shared" ca="1" si="37"/>
        <v>0.70279876956925003</v>
      </c>
      <c r="H269" s="3">
        <f t="shared" ca="1" si="38"/>
        <v>1</v>
      </c>
      <c r="I269" s="3">
        <f t="shared" ca="1" si="39"/>
        <v>3.9158137757379827</v>
      </c>
      <c r="J269" s="3">
        <f t="shared" ca="1" si="40"/>
        <v>9.8942076182708831</v>
      </c>
      <c r="P269" s="3">
        <f t="shared" ca="1" si="41"/>
        <v>4.4642072956636465</v>
      </c>
      <c r="Q269" s="3">
        <f t="shared" ca="1" si="42"/>
        <v>0.35661065780757428</v>
      </c>
      <c r="R269" s="3">
        <f t="shared" ca="1" si="43"/>
        <v>4.4784280657300366</v>
      </c>
    </row>
    <row r="270" spans="7:18" x14ac:dyDescent="0.25">
      <c r="G270" s="2">
        <f t="shared" ca="1" si="37"/>
        <v>0.8094945589093222</v>
      </c>
      <c r="H270" s="3">
        <f t="shared" ca="1" si="38"/>
        <v>1</v>
      </c>
      <c r="I270" s="3">
        <f t="shared" ca="1" si="39"/>
        <v>0.59442700328269682</v>
      </c>
      <c r="J270" s="3">
        <f t="shared" ca="1" si="40"/>
        <v>3.8549546147869784</v>
      </c>
      <c r="P270" s="3">
        <f t="shared" ca="1" si="41"/>
        <v>-1.5581421542038281</v>
      </c>
      <c r="Q270" s="3">
        <f t="shared" ca="1" si="42"/>
        <v>-3.5494770646318337</v>
      </c>
      <c r="R270" s="3">
        <f t="shared" ca="1" si="43"/>
        <v>3.8764151486978746</v>
      </c>
    </row>
    <row r="271" spans="7:18" x14ac:dyDescent="0.25">
      <c r="G271" s="2">
        <f t="shared" ca="1" si="37"/>
        <v>0.37407316378866617</v>
      </c>
      <c r="H271" s="3">
        <f t="shared" ca="1" si="38"/>
        <v>0</v>
      </c>
      <c r="I271" s="3">
        <f t="shared" ca="1" si="39"/>
        <v>1.1985607282510149</v>
      </c>
      <c r="J271" s="3">
        <f t="shared" ca="1" si="40"/>
        <v>5.4739399162098383</v>
      </c>
      <c r="P271" s="3">
        <f t="shared" ca="1" si="41"/>
        <v>-2.362166545111414</v>
      </c>
      <c r="Q271" s="3">
        <f t="shared" ca="1" si="42"/>
        <v>3.4907647534493136</v>
      </c>
      <c r="R271" s="3">
        <f t="shared" ca="1" si="43"/>
        <v>4.2148866355772414</v>
      </c>
    </row>
    <row r="272" spans="7:18" x14ac:dyDescent="0.25">
      <c r="G272" s="2">
        <f t="shared" ca="1" si="37"/>
        <v>0.79945964421631421</v>
      </c>
      <c r="H272" s="3">
        <f t="shared" ca="1" si="38"/>
        <v>1</v>
      </c>
      <c r="I272" s="3">
        <f t="shared" ca="1" si="39"/>
        <v>3.6070974008374725</v>
      </c>
      <c r="J272" s="3">
        <f t="shared" ca="1" si="40"/>
        <v>9.4961800225636424</v>
      </c>
      <c r="P272" s="3">
        <f t="shared" ca="1" si="41"/>
        <v>-1.4714003091723891</v>
      </c>
      <c r="Q272" s="3">
        <f t="shared" ca="1" si="42"/>
        <v>-8.7217410049622596E-3</v>
      </c>
      <c r="R272" s="3">
        <f t="shared" ca="1" si="43"/>
        <v>1.471426158051691</v>
      </c>
    </row>
    <row r="273" spans="7:18" x14ac:dyDescent="0.25">
      <c r="G273" s="2">
        <f t="shared" ca="1" si="37"/>
        <v>0.94449651289661651</v>
      </c>
      <c r="H273" s="3">
        <f t="shared" ca="1" si="38"/>
        <v>2</v>
      </c>
      <c r="I273" s="3">
        <f t="shared" ca="1" si="39"/>
        <v>3.8929688890383694</v>
      </c>
      <c r="J273" s="3">
        <f t="shared" ca="1" si="40"/>
        <v>9.8653039601402668</v>
      </c>
      <c r="P273" s="3">
        <f t="shared" ca="1" si="41"/>
        <v>-8.1001601174035507</v>
      </c>
      <c r="Q273" s="3">
        <f t="shared" ca="1" si="42"/>
        <v>1.7375014290640716</v>
      </c>
      <c r="R273" s="3">
        <f t="shared" ca="1" si="43"/>
        <v>8.2844133856040045</v>
      </c>
    </row>
    <row r="274" spans="7:18" x14ac:dyDescent="0.25">
      <c r="G274" s="2">
        <f t="shared" ca="1" si="37"/>
        <v>6.9831338010489352E-2</v>
      </c>
      <c r="H274" s="3">
        <f t="shared" ca="1" si="38"/>
        <v>0</v>
      </c>
      <c r="I274" s="3">
        <f t="shared" ca="1" si="39"/>
        <v>2.171988319032363</v>
      </c>
      <c r="J274" s="3">
        <f t="shared" ca="1" si="40"/>
        <v>7.3688335559849003</v>
      </c>
      <c r="P274" s="3">
        <f t="shared" ca="1" si="41"/>
        <v>-6.9885155549203573</v>
      </c>
      <c r="Q274" s="3">
        <f t="shared" ca="1" si="42"/>
        <v>-0.57056605897034829</v>
      </c>
      <c r="R274" s="3">
        <f t="shared" ca="1" si="43"/>
        <v>7.0117683425090958</v>
      </c>
    </row>
    <row r="275" spans="7:18" x14ac:dyDescent="0.25">
      <c r="G275" s="2">
        <f t="shared" ca="1" si="37"/>
        <v>0.87840037837740836</v>
      </c>
      <c r="H275" s="3">
        <f t="shared" ca="1" si="38"/>
        <v>1</v>
      </c>
      <c r="I275" s="3">
        <f t="shared" ca="1" si="39"/>
        <v>3.4186758217203335</v>
      </c>
      <c r="J275" s="3">
        <f t="shared" ca="1" si="40"/>
        <v>9.2448307471261124</v>
      </c>
      <c r="P275" s="3">
        <f t="shared" ca="1" si="41"/>
        <v>-14.87522541836478</v>
      </c>
      <c r="Q275" s="3">
        <f t="shared" ca="1" si="42"/>
        <v>-2.1675343454795111</v>
      </c>
      <c r="R275" s="3">
        <f t="shared" ca="1" si="43"/>
        <v>15.032316401207064</v>
      </c>
    </row>
    <row r="276" spans="7:18" x14ac:dyDescent="0.25">
      <c r="G276" s="2">
        <f t="shared" ca="1" si="37"/>
        <v>0.85715619926582598</v>
      </c>
      <c r="H276" s="3">
        <f t="shared" ca="1" si="38"/>
        <v>1</v>
      </c>
      <c r="I276" s="3">
        <f t="shared" ca="1" si="39"/>
        <v>1.3671798799569745</v>
      </c>
      <c r="J276" s="3">
        <f t="shared" ca="1" si="40"/>
        <v>5.8463233744742826</v>
      </c>
      <c r="P276" s="3">
        <f t="shared" ca="1" si="41"/>
        <v>-9.9616913052295395</v>
      </c>
      <c r="Q276" s="3">
        <f t="shared" ca="1" si="42"/>
        <v>2.1649025533168929</v>
      </c>
      <c r="R276" s="3">
        <f t="shared" ca="1" si="43"/>
        <v>10.194218789394498</v>
      </c>
    </row>
    <row r="277" spans="7:18" x14ac:dyDescent="0.25">
      <c r="G277" s="2">
        <f t="shared" ca="1" si="37"/>
        <v>0.93341327665832785</v>
      </c>
      <c r="H277" s="3">
        <f t="shared" ca="1" si="38"/>
        <v>2</v>
      </c>
      <c r="I277" s="3">
        <f t="shared" ca="1" si="39"/>
        <v>5.319555360191762</v>
      </c>
      <c r="J277" s="3">
        <f t="shared" ca="1" si="40"/>
        <v>11.532080645087166</v>
      </c>
      <c r="P277" s="3">
        <f t="shared" ca="1" si="41"/>
        <v>-13.685766108523648</v>
      </c>
      <c r="Q277" s="3">
        <f t="shared" ca="1" si="42"/>
        <v>-1.0074256541785136</v>
      </c>
      <c r="R277" s="3">
        <f t="shared" ca="1" si="43"/>
        <v>13.722794920347368</v>
      </c>
    </row>
    <row r="278" spans="7:18" x14ac:dyDescent="0.25">
      <c r="G278" s="2">
        <f t="shared" ca="1" si="37"/>
        <v>0.7522712800904896</v>
      </c>
      <c r="H278" s="3">
        <f t="shared" ca="1" si="38"/>
        <v>1</v>
      </c>
      <c r="I278" s="3">
        <f t="shared" ca="1" si="39"/>
        <v>2.8551150937890331</v>
      </c>
      <c r="J278" s="3">
        <f t="shared" ca="1" si="40"/>
        <v>8.4485429125220062</v>
      </c>
      <c r="P278" s="3">
        <f t="shared" ca="1" si="41"/>
        <v>-2.5943138171910149</v>
      </c>
      <c r="Q278" s="3">
        <f t="shared" ca="1" si="42"/>
        <v>0.70981265255856529</v>
      </c>
      <c r="R278" s="3">
        <f t="shared" ca="1" si="43"/>
        <v>2.6896650690746684</v>
      </c>
    </row>
    <row r="279" spans="7:18" x14ac:dyDescent="0.25">
      <c r="G279" s="2">
        <f t="shared" ca="1" si="37"/>
        <v>0.65609002020911744</v>
      </c>
      <c r="H279" s="3">
        <f t="shared" ca="1" si="38"/>
        <v>1</v>
      </c>
      <c r="I279" s="3">
        <f t="shared" ca="1" si="39"/>
        <v>9.4168207083472488</v>
      </c>
      <c r="J279" s="3">
        <f t="shared" ca="1" si="40"/>
        <v>15.343419361689923</v>
      </c>
      <c r="P279" s="3">
        <f t="shared" ca="1" si="41"/>
        <v>-3.5494469698084536</v>
      </c>
      <c r="Q279" s="3">
        <f t="shared" ca="1" si="42"/>
        <v>-9.2157239647216613</v>
      </c>
      <c r="R279" s="3">
        <f t="shared" ca="1" si="43"/>
        <v>9.875633751077828</v>
      </c>
    </row>
    <row r="280" spans="7:18" x14ac:dyDescent="0.25">
      <c r="G280" s="2">
        <f t="shared" ca="1" si="37"/>
        <v>0.60688624556672199</v>
      </c>
      <c r="H280" s="3">
        <f t="shared" ca="1" si="38"/>
        <v>1</v>
      </c>
      <c r="I280" s="3">
        <f t="shared" ca="1" si="39"/>
        <v>6.5978832213355929</v>
      </c>
      <c r="J280" s="3">
        <f t="shared" ca="1" si="40"/>
        <v>12.843172526030703</v>
      </c>
      <c r="P280" s="3">
        <f t="shared" ca="1" si="41"/>
        <v>-9.4515737437229923</v>
      </c>
      <c r="Q280" s="3">
        <f t="shared" ca="1" si="42"/>
        <v>3.1634949067512967</v>
      </c>
      <c r="R280" s="3">
        <f t="shared" ca="1" si="43"/>
        <v>9.9669426735622029</v>
      </c>
    </row>
    <row r="281" spans="7:18" x14ac:dyDescent="0.25">
      <c r="G281" s="2">
        <f t="shared" ca="1" si="37"/>
        <v>0.32772278962501533</v>
      </c>
      <c r="H281" s="3">
        <f t="shared" ca="1" si="38"/>
        <v>0</v>
      </c>
      <c r="I281" s="3">
        <f t="shared" ca="1" si="39"/>
        <v>1.0866334784094334</v>
      </c>
      <c r="J281" s="3">
        <f t="shared" ca="1" si="40"/>
        <v>5.212085663171302</v>
      </c>
      <c r="P281" s="3">
        <f t="shared" ca="1" si="41"/>
        <v>0.70868933789455291</v>
      </c>
      <c r="Q281" s="3">
        <f t="shared" ca="1" si="42"/>
        <v>2.349409971953357</v>
      </c>
      <c r="R281" s="3">
        <f t="shared" ca="1" si="43"/>
        <v>2.4539698029843997</v>
      </c>
    </row>
    <row r="282" spans="7:18" x14ac:dyDescent="0.25">
      <c r="G282" s="2">
        <f t="shared" ca="1" si="37"/>
        <v>0.90636622796141819</v>
      </c>
      <c r="H282" s="3">
        <f t="shared" ca="1" si="38"/>
        <v>1</v>
      </c>
      <c r="I282" s="3">
        <f t="shared" ca="1" si="39"/>
        <v>6.2122606459218792</v>
      </c>
      <c r="J282" s="3">
        <f t="shared" ca="1" si="40"/>
        <v>12.462203502914202</v>
      </c>
      <c r="P282" s="3">
        <f t="shared" ca="1" si="41"/>
        <v>-5.0684734158106464</v>
      </c>
      <c r="Q282" s="3">
        <f t="shared" ca="1" si="42"/>
        <v>4.090914990207513</v>
      </c>
      <c r="R282" s="3">
        <f t="shared" ca="1" si="43"/>
        <v>6.513448259093165</v>
      </c>
    </row>
    <row r="283" spans="7:18" x14ac:dyDescent="0.25">
      <c r="G283" s="2">
        <f t="shared" ca="1" si="37"/>
        <v>0.35183799879211153</v>
      </c>
      <c r="H283" s="3">
        <f t="shared" ca="1" si="38"/>
        <v>0</v>
      </c>
      <c r="I283" s="3">
        <f t="shared" ca="1" si="39"/>
        <v>2.0221913008778469</v>
      </c>
      <c r="J283" s="3">
        <f t="shared" ca="1" si="40"/>
        <v>7.1101886417975004</v>
      </c>
      <c r="P283" s="3">
        <f t="shared" ca="1" si="41"/>
        <v>-2.4413951710565178</v>
      </c>
      <c r="Q283" s="3">
        <f t="shared" ca="1" si="42"/>
        <v>-3.0903381503367044</v>
      </c>
      <c r="R283" s="3">
        <f t="shared" ca="1" si="43"/>
        <v>3.9383499418772536</v>
      </c>
    </row>
    <row r="284" spans="7:18" x14ac:dyDescent="0.25">
      <c r="G284" s="2">
        <f t="shared" ca="1" si="37"/>
        <v>0.87999482538125551</v>
      </c>
      <c r="H284" s="3">
        <f t="shared" ca="1" si="38"/>
        <v>1</v>
      </c>
      <c r="I284" s="3">
        <f t="shared" ca="1" si="39"/>
        <v>3.6084798183794113</v>
      </c>
      <c r="J284" s="3">
        <f t="shared" ca="1" si="40"/>
        <v>9.4979995504045629</v>
      </c>
      <c r="P284" s="3">
        <f t="shared" ca="1" si="41"/>
        <v>2.6347894586005864</v>
      </c>
      <c r="Q284" s="3">
        <f t="shared" ca="1" si="42"/>
        <v>-4.8898972511945944</v>
      </c>
      <c r="R284" s="3">
        <f t="shared" ca="1" si="43"/>
        <v>5.5545666454182738</v>
      </c>
    </row>
    <row r="285" spans="7:18" x14ac:dyDescent="0.25">
      <c r="G285" s="2">
        <f t="shared" ca="1" si="37"/>
        <v>5.7295263115755057E-2</v>
      </c>
      <c r="H285" s="3">
        <f t="shared" ca="1" si="38"/>
        <v>0</v>
      </c>
      <c r="I285" s="3">
        <f t="shared" ca="1" si="39"/>
        <v>0.67299759219487854</v>
      </c>
      <c r="J285" s="3">
        <f t="shared" ca="1" si="40"/>
        <v>4.1018215227959347</v>
      </c>
      <c r="P285" s="3">
        <f t="shared" ca="1" si="41"/>
        <v>0.1461933321865807</v>
      </c>
      <c r="Q285" s="3">
        <f t="shared" ca="1" si="42"/>
        <v>4.0739520276650287</v>
      </c>
      <c r="R285" s="3">
        <f t="shared" ca="1" si="43"/>
        <v>4.0765742497950184</v>
      </c>
    </row>
    <row r="286" spans="7:18" x14ac:dyDescent="0.25">
      <c r="G286" s="2">
        <f t="shared" ca="1" si="37"/>
        <v>0.2742188522350032</v>
      </c>
      <c r="H286" s="3">
        <f t="shared" ca="1" si="38"/>
        <v>0</v>
      </c>
      <c r="I286" s="3">
        <f t="shared" ca="1" si="39"/>
        <v>0.55977357037851583</v>
      </c>
      <c r="J286" s="3">
        <f t="shared" ca="1" si="40"/>
        <v>3.7409008620201223</v>
      </c>
      <c r="P286" s="3">
        <f t="shared" ca="1" si="41"/>
        <v>-9.3404196660472394E-2</v>
      </c>
      <c r="Q286" s="3">
        <f t="shared" ca="1" si="42"/>
        <v>-0.63412443253872186</v>
      </c>
      <c r="R286" s="3">
        <f t="shared" ca="1" si="43"/>
        <v>0.64096656690996312</v>
      </c>
    </row>
    <row r="287" spans="7:18" x14ac:dyDescent="0.25">
      <c r="G287" s="2">
        <f t="shared" ca="1" si="37"/>
        <v>0.44983784162556961</v>
      </c>
      <c r="H287" s="3">
        <f t="shared" ca="1" si="38"/>
        <v>0</v>
      </c>
      <c r="I287" s="3">
        <f t="shared" ca="1" si="39"/>
        <v>0.21707857586063403</v>
      </c>
      <c r="J287" s="3">
        <f t="shared" ca="1" si="40"/>
        <v>2.3295845974155673</v>
      </c>
      <c r="P287" s="3">
        <f t="shared" ca="1" si="41"/>
        <v>0.80128153746807662</v>
      </c>
      <c r="Q287" s="3">
        <f t="shared" ca="1" si="42"/>
        <v>7.0746187743596431</v>
      </c>
      <c r="R287" s="3">
        <f t="shared" ca="1" si="43"/>
        <v>7.1198513260326681</v>
      </c>
    </row>
    <row r="288" spans="7:18" x14ac:dyDescent="0.25">
      <c r="G288" s="2">
        <f t="shared" ca="1" si="37"/>
        <v>0.81017424216134704</v>
      </c>
      <c r="H288" s="3">
        <f t="shared" ca="1" si="38"/>
        <v>1</v>
      </c>
      <c r="I288" s="3">
        <f t="shared" ca="1" si="39"/>
        <v>4.9479637518697137</v>
      </c>
      <c r="J288" s="3">
        <f t="shared" ca="1" si="40"/>
        <v>11.12200943160645</v>
      </c>
      <c r="P288" s="3">
        <f t="shared" ca="1" si="41"/>
        <v>-7.8802110100866685E-2</v>
      </c>
      <c r="Q288" s="3">
        <f t="shared" ca="1" si="42"/>
        <v>-6.0018306191941013</v>
      </c>
      <c r="R288" s="3">
        <f t="shared" ca="1" si="43"/>
        <v>6.0023479201102798</v>
      </c>
    </row>
    <row r="289" spans="7:18" x14ac:dyDescent="0.25">
      <c r="G289" s="2">
        <f t="shared" ca="1" si="37"/>
        <v>0.79547244897461433</v>
      </c>
      <c r="H289" s="3">
        <f t="shared" ca="1" si="38"/>
        <v>1</v>
      </c>
      <c r="I289" s="3">
        <f t="shared" ca="1" si="39"/>
        <v>6.6143173118595193</v>
      </c>
      <c r="J289" s="3">
        <f t="shared" ca="1" si="40"/>
        <v>12.859157546141503</v>
      </c>
      <c r="P289" s="3">
        <f t="shared" ca="1" si="41"/>
        <v>-0.33364974962385041</v>
      </c>
      <c r="Q289" s="3">
        <f t="shared" ca="1" si="42"/>
        <v>-5.4144730994263481</v>
      </c>
      <c r="R289" s="3">
        <f t="shared" ca="1" si="43"/>
        <v>5.424743413271786</v>
      </c>
    </row>
    <row r="290" spans="7:18" x14ac:dyDescent="0.25">
      <c r="G290" s="2">
        <f t="shared" ca="1" si="37"/>
        <v>0.35517883003175554</v>
      </c>
      <c r="H290" s="3">
        <f t="shared" ca="1" si="38"/>
        <v>0</v>
      </c>
      <c r="I290" s="3">
        <f t="shared" ca="1" si="39"/>
        <v>1.6910442832929973</v>
      </c>
      <c r="J290" s="3">
        <f t="shared" ca="1" si="40"/>
        <v>6.5020079269657103</v>
      </c>
      <c r="P290" s="3">
        <f t="shared" ca="1" si="41"/>
        <v>-10.1859508710798</v>
      </c>
      <c r="Q290" s="3">
        <f t="shared" ca="1" si="42"/>
        <v>3.374382101529787</v>
      </c>
      <c r="R290" s="3">
        <f t="shared" ca="1" si="43"/>
        <v>10.730333159561074</v>
      </c>
    </row>
    <row r="291" spans="7:18" x14ac:dyDescent="0.25">
      <c r="G291" s="2">
        <f t="shared" ca="1" si="37"/>
        <v>0.70413517918087809</v>
      </c>
      <c r="H291" s="3">
        <f t="shared" ca="1" si="38"/>
        <v>1</v>
      </c>
      <c r="I291" s="3">
        <f t="shared" ca="1" si="39"/>
        <v>1.9379231482179413</v>
      </c>
      <c r="J291" s="3">
        <f t="shared" ca="1" si="40"/>
        <v>6.9604654086812712</v>
      </c>
      <c r="P291" s="3">
        <f t="shared" ca="1" si="41"/>
        <v>-3.8381923314808271</v>
      </c>
      <c r="Q291" s="3">
        <f t="shared" ca="1" si="42"/>
        <v>-3.3808151894648493</v>
      </c>
      <c r="R291" s="3">
        <f t="shared" ca="1" si="43"/>
        <v>5.1148442516614789</v>
      </c>
    </row>
    <row r="292" spans="7:18" x14ac:dyDescent="0.25">
      <c r="G292" s="2">
        <f t="shared" ca="1" si="37"/>
        <v>0.23438748056160896</v>
      </c>
      <c r="H292" s="3">
        <f t="shared" ca="1" si="38"/>
        <v>0</v>
      </c>
      <c r="I292" s="3">
        <f t="shared" ca="1" si="39"/>
        <v>0.90249327001989188</v>
      </c>
      <c r="J292" s="3">
        <f t="shared" ca="1" si="40"/>
        <v>4.7499822894930146</v>
      </c>
      <c r="P292" s="3">
        <f t="shared" ca="1" si="41"/>
        <v>-4.8658555330356208</v>
      </c>
      <c r="Q292" s="3">
        <f t="shared" ca="1" si="42"/>
        <v>3.691808055470263</v>
      </c>
      <c r="R292" s="3">
        <f t="shared" ca="1" si="43"/>
        <v>6.1078635206435719</v>
      </c>
    </row>
    <row r="293" spans="7:18" x14ac:dyDescent="0.25">
      <c r="G293" s="2">
        <f t="shared" ca="1" si="37"/>
        <v>0.97680742444724311</v>
      </c>
      <c r="H293" s="3">
        <f t="shared" ca="1" si="38"/>
        <v>2</v>
      </c>
      <c r="I293" s="3">
        <f t="shared" ca="1" si="39"/>
        <v>8.5821864162395123</v>
      </c>
      <c r="J293" s="3">
        <f t="shared" ca="1" si="40"/>
        <v>14.647684472502396</v>
      </c>
      <c r="P293" s="3">
        <f t="shared" ca="1" si="41"/>
        <v>-6.4260455712070961</v>
      </c>
      <c r="Q293" s="3">
        <f t="shared" ca="1" si="42"/>
        <v>3.4119268224657251</v>
      </c>
      <c r="R293" s="3">
        <f t="shared" ca="1" si="43"/>
        <v>7.2756653527420703</v>
      </c>
    </row>
    <row r="294" spans="7:18" x14ac:dyDescent="0.25">
      <c r="G294" s="2">
        <f t="shared" ca="1" si="37"/>
        <v>0.59729064393875941</v>
      </c>
      <c r="H294" s="3">
        <f t="shared" ca="1" si="38"/>
        <v>0</v>
      </c>
      <c r="I294" s="3">
        <f t="shared" ca="1" si="39"/>
        <v>4.1625347661906194</v>
      </c>
      <c r="J294" s="3">
        <f t="shared" ca="1" si="40"/>
        <v>10.201145482482126</v>
      </c>
      <c r="P294" s="3">
        <f t="shared" ca="1" si="41"/>
        <v>-6.0487275128231088</v>
      </c>
      <c r="Q294" s="3">
        <f t="shared" ca="1" si="42"/>
        <v>-2.7745064905644816</v>
      </c>
      <c r="R294" s="3">
        <f t="shared" ca="1" si="43"/>
        <v>6.6546968969719176</v>
      </c>
    </row>
    <row r="295" spans="7:18" x14ac:dyDescent="0.25">
      <c r="G295" s="2">
        <f t="shared" ca="1" si="37"/>
        <v>0.866795482273511</v>
      </c>
      <c r="H295" s="3">
        <f t="shared" ca="1" si="38"/>
        <v>1</v>
      </c>
      <c r="I295" s="3">
        <f t="shared" ca="1" si="39"/>
        <v>1.4021433655649687</v>
      </c>
      <c r="J295" s="3">
        <f t="shared" ca="1" si="40"/>
        <v>5.9206067374150271</v>
      </c>
      <c r="P295" s="3">
        <f t="shared" ca="1" si="41"/>
        <v>-0.82047357985461744</v>
      </c>
      <c r="Q295" s="3">
        <f t="shared" ca="1" si="42"/>
        <v>1.0299644649384418</v>
      </c>
      <c r="R295" s="3">
        <f t="shared" ca="1" si="43"/>
        <v>1.3168157404418366</v>
      </c>
    </row>
    <row r="296" spans="7:18" x14ac:dyDescent="0.25">
      <c r="G296" s="2">
        <f t="shared" ca="1" si="37"/>
        <v>0.25768243069573915</v>
      </c>
      <c r="H296" s="3">
        <f t="shared" ca="1" si="38"/>
        <v>0</v>
      </c>
      <c r="I296" s="3">
        <f t="shared" ca="1" si="39"/>
        <v>1.0849917137379992</v>
      </c>
      <c r="J296" s="3">
        <f t="shared" ca="1" si="40"/>
        <v>5.2081467762967257</v>
      </c>
      <c r="P296" s="3">
        <f t="shared" ca="1" si="41"/>
        <v>-8.0642526354721049</v>
      </c>
      <c r="Q296" s="3">
        <f t="shared" ca="1" si="42"/>
        <v>-2.4239564407775576</v>
      </c>
      <c r="R296" s="3">
        <f t="shared" ca="1" si="43"/>
        <v>8.4206730963448386</v>
      </c>
    </row>
    <row r="297" spans="7:18" x14ac:dyDescent="0.25">
      <c r="G297" s="2">
        <f t="shared" ca="1" si="37"/>
        <v>0.47683201480756165</v>
      </c>
      <c r="H297" s="3">
        <f t="shared" ca="1" si="38"/>
        <v>0</v>
      </c>
      <c r="I297" s="3">
        <f t="shared" ca="1" si="39"/>
        <v>1.196313706935481</v>
      </c>
      <c r="J297" s="3">
        <f t="shared" ca="1" si="40"/>
        <v>5.4688063298481353</v>
      </c>
      <c r="P297" s="3">
        <f t="shared" ca="1" si="41"/>
        <v>-2.192506324474139</v>
      </c>
      <c r="Q297" s="3">
        <f t="shared" ca="1" si="42"/>
        <v>-0.18541581267522872</v>
      </c>
      <c r="R297" s="3">
        <f t="shared" ca="1" si="43"/>
        <v>2.2003324763428624</v>
      </c>
    </row>
    <row r="298" spans="7:18" x14ac:dyDescent="0.25">
      <c r="G298" s="2">
        <f t="shared" ca="1" si="37"/>
        <v>0.8472594236339559</v>
      </c>
      <c r="H298" s="3">
        <f t="shared" ca="1" si="38"/>
        <v>1</v>
      </c>
      <c r="I298" s="3">
        <f t="shared" ca="1" si="39"/>
        <v>3.4082438191541953</v>
      </c>
      <c r="J298" s="3">
        <f t="shared" ca="1" si="40"/>
        <v>9.2307147869953639</v>
      </c>
      <c r="P298" s="3">
        <f t="shared" ca="1" si="41"/>
        <v>-1.6445012232291516</v>
      </c>
      <c r="Q298" s="3">
        <f t="shared" ca="1" si="42"/>
        <v>3.2784998752569376</v>
      </c>
      <c r="R298" s="3">
        <f t="shared" ca="1" si="43"/>
        <v>3.6678257463055592</v>
      </c>
    </row>
    <row r="299" spans="7:18" x14ac:dyDescent="0.25">
      <c r="G299" s="2">
        <f t="shared" ca="1" si="37"/>
        <v>8.8945345547264298E-2</v>
      </c>
      <c r="H299" s="3">
        <f t="shared" ca="1" si="38"/>
        <v>0</v>
      </c>
      <c r="I299" s="3">
        <f t="shared" ca="1" si="39"/>
        <v>3.2115421218875477</v>
      </c>
      <c r="J299" s="3">
        <f t="shared" ca="1" si="40"/>
        <v>8.9603879964647</v>
      </c>
      <c r="P299" s="3">
        <f t="shared" ca="1" si="41"/>
        <v>-2.5130583692171062</v>
      </c>
      <c r="Q299" s="3">
        <f t="shared" ca="1" si="42"/>
        <v>-2.2281653906187757</v>
      </c>
      <c r="R299" s="3">
        <f t="shared" ca="1" si="43"/>
        <v>3.3585984242007059</v>
      </c>
    </row>
    <row r="300" spans="7:18" x14ac:dyDescent="0.25">
      <c r="G300" s="2">
        <f t="shared" ca="1" si="37"/>
        <v>0.31784685057723761</v>
      </c>
      <c r="H300" s="3">
        <f t="shared" ca="1" si="38"/>
        <v>0</v>
      </c>
      <c r="I300" s="3">
        <f t="shared" ca="1" si="39"/>
        <v>4.2868570697497885</v>
      </c>
      <c r="J300" s="3">
        <f t="shared" ca="1" si="40"/>
        <v>10.352363340983771</v>
      </c>
      <c r="P300" s="3">
        <f t="shared" ca="1" si="41"/>
        <v>-9.1921352234533256</v>
      </c>
      <c r="Q300" s="3">
        <f t="shared" ca="1" si="42"/>
        <v>0.38909410033488584</v>
      </c>
      <c r="R300" s="3">
        <f t="shared" ca="1" si="43"/>
        <v>9.2003665245014421</v>
      </c>
    </row>
    <row r="301" spans="7:18" x14ac:dyDescent="0.25">
      <c r="G301" s="2">
        <f t="shared" ca="1" si="37"/>
        <v>0.99785122499784917</v>
      </c>
      <c r="H301" s="3">
        <f t="shared" ca="1" si="38"/>
        <v>3</v>
      </c>
      <c r="I301" s="3">
        <f t="shared" ca="1" si="39"/>
        <v>8.0373355030010778</v>
      </c>
      <c r="J301" s="3">
        <f t="shared" ca="1" si="40"/>
        <v>14.175097444992291</v>
      </c>
      <c r="P301" s="3">
        <f t="shared" ca="1" si="41"/>
        <v>-0.21985110107651629</v>
      </c>
      <c r="Q301" s="3">
        <f t="shared" ca="1" si="42"/>
        <v>-4.2108037110693957</v>
      </c>
      <c r="R301" s="3">
        <f t="shared" ca="1" si="43"/>
        <v>4.2165391495633422</v>
      </c>
    </row>
    <row r="302" spans="7:18" x14ac:dyDescent="0.25">
      <c r="G302" s="2">
        <f t="shared" ca="1" si="37"/>
        <v>0.2594762861928529</v>
      </c>
      <c r="H302" s="3">
        <f t="shared" ca="1" si="38"/>
        <v>0</v>
      </c>
      <c r="I302" s="3">
        <f t="shared" ca="1" si="39"/>
        <v>1.3191943872239282</v>
      </c>
      <c r="J302" s="3">
        <f t="shared" ca="1" si="40"/>
        <v>5.7428093891925585</v>
      </c>
      <c r="P302" s="3">
        <f t="shared" ca="1" si="41"/>
        <v>1.0409008880678758</v>
      </c>
      <c r="Q302" s="3">
        <f t="shared" ca="1" si="42"/>
        <v>0.53153716157240127</v>
      </c>
      <c r="R302" s="3">
        <f t="shared" ca="1" si="43"/>
        <v>1.1687627701603682</v>
      </c>
    </row>
    <row r="303" spans="7:18" x14ac:dyDescent="0.25">
      <c r="G303" s="2">
        <f t="shared" ca="1" si="37"/>
        <v>0.56496115873279085</v>
      </c>
      <c r="H303" s="3">
        <f t="shared" ca="1" si="38"/>
        <v>0</v>
      </c>
      <c r="I303" s="3">
        <f t="shared" ca="1" si="39"/>
        <v>4.8838814333583569</v>
      </c>
      <c r="J303" s="3">
        <f t="shared" ca="1" si="40"/>
        <v>11.049752749901643</v>
      </c>
      <c r="P303" s="3">
        <f t="shared" ca="1" si="41"/>
        <v>-7.1983897615999846</v>
      </c>
      <c r="Q303" s="3">
        <f t="shared" ca="1" si="42"/>
        <v>-0.2844324188801014</v>
      </c>
      <c r="R303" s="3">
        <f t="shared" ca="1" si="43"/>
        <v>7.2040070072715414</v>
      </c>
    </row>
    <row r="304" spans="7:18" x14ac:dyDescent="0.25">
      <c r="G304" s="2">
        <f t="shared" ca="1" si="37"/>
        <v>0.240500556439874</v>
      </c>
      <c r="H304" s="3">
        <f t="shared" ca="1" si="38"/>
        <v>0</v>
      </c>
      <c r="I304" s="3">
        <f t="shared" ca="1" si="39"/>
        <v>7.6598124774117711</v>
      </c>
      <c r="J304" s="3">
        <f t="shared" ca="1" si="40"/>
        <v>13.838183115398287</v>
      </c>
      <c r="P304" s="3">
        <f t="shared" ca="1" si="41"/>
        <v>-1.8144511858651469</v>
      </c>
      <c r="Q304" s="3">
        <f t="shared" ca="1" si="42"/>
        <v>-1.1574442975144568</v>
      </c>
      <c r="R304" s="3">
        <f t="shared" ca="1" si="43"/>
        <v>2.1521873542366547</v>
      </c>
    </row>
    <row r="305" spans="7:18" x14ac:dyDescent="0.25">
      <c r="G305" s="2">
        <f t="shared" ca="1" si="37"/>
        <v>0.60192414065268263</v>
      </c>
      <c r="H305" s="3">
        <f t="shared" ca="1" si="38"/>
        <v>0</v>
      </c>
      <c r="I305" s="3">
        <f t="shared" ca="1" si="39"/>
        <v>5.556462859162703E-2</v>
      </c>
      <c r="J305" s="3">
        <f t="shared" ca="1" si="40"/>
        <v>1.1786075321287726</v>
      </c>
      <c r="P305" s="3">
        <f t="shared" ca="1" si="41"/>
        <v>-4.4105734731544697</v>
      </c>
      <c r="Q305" s="3">
        <f t="shared" ca="1" si="42"/>
        <v>-4.4079926159843108</v>
      </c>
      <c r="R305" s="3">
        <f t="shared" ca="1" si="43"/>
        <v>6.2356681490170791</v>
      </c>
    </row>
    <row r="306" spans="7:18" x14ac:dyDescent="0.25">
      <c r="G306" s="2">
        <f t="shared" ca="1" si="37"/>
        <v>0.10060017695573797</v>
      </c>
      <c r="H306" s="3">
        <f t="shared" ca="1" si="38"/>
        <v>0</v>
      </c>
      <c r="I306" s="3">
        <f t="shared" ca="1" si="39"/>
        <v>2.9141104450860371E-2</v>
      </c>
      <c r="J306" s="3">
        <f t="shared" ca="1" si="40"/>
        <v>0.85353828928262465</v>
      </c>
      <c r="P306" s="3">
        <f t="shared" ca="1" si="41"/>
        <v>-7.3227005596225281</v>
      </c>
      <c r="Q306" s="3">
        <f t="shared" ca="1" si="42"/>
        <v>9.7655963826335537</v>
      </c>
      <c r="R306" s="3">
        <f t="shared" ca="1" si="43"/>
        <v>12.206097500610161</v>
      </c>
    </row>
    <row r="307" spans="7:18" x14ac:dyDescent="0.25">
      <c r="G307" s="2">
        <f t="shared" ca="1" si="37"/>
        <v>0.36485425741197308</v>
      </c>
      <c r="H307" s="3">
        <f t="shared" ca="1" si="38"/>
        <v>0</v>
      </c>
      <c r="I307" s="3">
        <f t="shared" ca="1" si="39"/>
        <v>3.1280579036015355</v>
      </c>
      <c r="J307" s="3">
        <f t="shared" ca="1" si="40"/>
        <v>8.8431582361754888</v>
      </c>
      <c r="P307" s="3">
        <f t="shared" ca="1" si="41"/>
        <v>-10.195813349420916</v>
      </c>
      <c r="Q307" s="3">
        <f t="shared" ca="1" si="42"/>
        <v>-5.0721312061319157</v>
      </c>
      <c r="R307" s="3">
        <f t="shared" ca="1" si="43"/>
        <v>11.387762064095252</v>
      </c>
    </row>
    <row r="308" spans="7:18" x14ac:dyDescent="0.25">
      <c r="G308" s="2">
        <f t="shared" ca="1" si="37"/>
        <v>0.93157302818301657</v>
      </c>
      <c r="H308" s="3">
        <f t="shared" ca="1" si="38"/>
        <v>2</v>
      </c>
      <c r="I308" s="3">
        <f t="shared" ca="1" si="39"/>
        <v>9.3805902487316928</v>
      </c>
      <c r="J308" s="3">
        <f t="shared" ca="1" si="40"/>
        <v>15.313874631140623</v>
      </c>
      <c r="P308" s="3">
        <f t="shared" ca="1" si="41"/>
        <v>-6.9150206265243748</v>
      </c>
      <c r="Q308" s="3">
        <f t="shared" ca="1" si="42"/>
        <v>4.0371023058674593</v>
      </c>
      <c r="R308" s="3">
        <f t="shared" ca="1" si="43"/>
        <v>8.0072283152972421</v>
      </c>
    </row>
    <row r="309" spans="7:18" x14ac:dyDescent="0.25">
      <c r="G309" s="2">
        <f t="shared" ca="1" si="37"/>
        <v>0.72220169231662834</v>
      </c>
      <c r="H309" s="3">
        <f t="shared" ca="1" si="38"/>
        <v>1</v>
      </c>
      <c r="I309" s="3">
        <f t="shared" ca="1" si="39"/>
        <v>1.7403948380721921</v>
      </c>
      <c r="J309" s="3">
        <f t="shared" ca="1" si="40"/>
        <v>6.5962012516148114</v>
      </c>
      <c r="P309" s="3">
        <f t="shared" ca="1" si="41"/>
        <v>1.4795117748263955</v>
      </c>
      <c r="Q309" s="3">
        <f t="shared" ca="1" si="42"/>
        <v>-4.7451767880712152</v>
      </c>
      <c r="R309" s="3">
        <f t="shared" ca="1" si="43"/>
        <v>4.9704786330794954</v>
      </c>
    </row>
    <row r="310" spans="7:18" x14ac:dyDescent="0.25">
      <c r="G310" s="2">
        <f t="shared" ca="1" si="37"/>
        <v>0.66512271636506048</v>
      </c>
      <c r="H310" s="3">
        <f t="shared" ca="1" si="38"/>
        <v>1</v>
      </c>
      <c r="I310" s="3">
        <f t="shared" ca="1" si="39"/>
        <v>2.0388277984529637</v>
      </c>
      <c r="J310" s="3">
        <f t="shared" ca="1" si="40"/>
        <v>7.139376370616981</v>
      </c>
      <c r="P310" s="3">
        <f t="shared" ca="1" si="41"/>
        <v>-3.8808842313351049</v>
      </c>
      <c r="Q310" s="3">
        <f t="shared" ca="1" si="42"/>
        <v>-4.5263022750967004</v>
      </c>
      <c r="R310" s="3">
        <f t="shared" ca="1" si="43"/>
        <v>5.9622709350188901</v>
      </c>
    </row>
    <row r="311" spans="7:18" x14ac:dyDescent="0.25">
      <c r="G311" s="2">
        <f t="shared" ca="1" si="37"/>
        <v>0.42408602343268653</v>
      </c>
      <c r="H311" s="3">
        <f t="shared" ca="1" si="38"/>
        <v>0</v>
      </c>
      <c r="I311" s="3">
        <f t="shared" ca="1" si="39"/>
        <v>0.15217504854501129</v>
      </c>
      <c r="J311" s="3">
        <f t="shared" ca="1" si="40"/>
        <v>1.950481021088204</v>
      </c>
      <c r="P311" s="3">
        <f t="shared" ca="1" si="41"/>
        <v>-2.3263846146589002</v>
      </c>
      <c r="Q311" s="3">
        <f t="shared" ca="1" si="42"/>
        <v>0.86016234741009445</v>
      </c>
      <c r="R311" s="3">
        <f t="shared" ca="1" si="43"/>
        <v>2.4803113996479724</v>
      </c>
    </row>
    <row r="312" spans="7:18" x14ac:dyDescent="0.25">
      <c r="G312" s="2">
        <f t="shared" ca="1" si="37"/>
        <v>0.57225308112832773</v>
      </c>
      <c r="H312" s="3">
        <f t="shared" ca="1" si="38"/>
        <v>0</v>
      </c>
      <c r="I312" s="3">
        <f t="shared" ca="1" si="39"/>
        <v>7.0593330831132439</v>
      </c>
      <c r="J312" s="3">
        <f t="shared" ca="1" si="40"/>
        <v>13.284702747063298</v>
      </c>
      <c r="P312" s="3">
        <f t="shared" ca="1" si="41"/>
        <v>-1.3584716464084963</v>
      </c>
      <c r="Q312" s="3">
        <f t="shared" ca="1" si="42"/>
        <v>5.7521780183532529</v>
      </c>
      <c r="R312" s="3">
        <f t="shared" ca="1" si="43"/>
        <v>5.9104142975701937</v>
      </c>
    </row>
    <row r="313" spans="7:18" x14ac:dyDescent="0.25">
      <c r="G313" s="2">
        <f t="shared" ca="1" si="37"/>
        <v>0.11397481004834376</v>
      </c>
      <c r="H313" s="3">
        <f t="shared" ca="1" si="38"/>
        <v>0</v>
      </c>
      <c r="I313" s="3">
        <f t="shared" ca="1" si="39"/>
        <v>1.785457580746771</v>
      </c>
      <c r="J313" s="3">
        <f t="shared" ca="1" si="40"/>
        <v>6.6810507795308123</v>
      </c>
      <c r="P313" s="3">
        <f t="shared" ca="1" si="41"/>
        <v>-6.8188790396274968</v>
      </c>
      <c r="Q313" s="3">
        <f t="shared" ca="1" si="42"/>
        <v>0.14108385024865666</v>
      </c>
      <c r="R313" s="3">
        <f t="shared" ca="1" si="43"/>
        <v>6.8203384087501258</v>
      </c>
    </row>
    <row r="314" spans="7:18" x14ac:dyDescent="0.25">
      <c r="G314" s="2">
        <f t="shared" ca="1" si="37"/>
        <v>0.9615448657945812</v>
      </c>
      <c r="H314" s="3">
        <f t="shared" ca="1" si="38"/>
        <v>2</v>
      </c>
      <c r="I314" s="3">
        <f t="shared" ca="1" si="39"/>
        <v>10.230014327785547</v>
      </c>
      <c r="J314" s="3">
        <f t="shared" ca="1" si="40"/>
        <v>15.992196790767636</v>
      </c>
      <c r="P314" s="3">
        <f t="shared" ca="1" si="41"/>
        <v>0.28590073215780798</v>
      </c>
      <c r="Q314" s="3">
        <f t="shared" ca="1" si="42"/>
        <v>-3.6671365924152166</v>
      </c>
      <c r="R314" s="3">
        <f t="shared" ca="1" si="43"/>
        <v>3.6782645386213124</v>
      </c>
    </row>
    <row r="315" spans="7:18" x14ac:dyDescent="0.25">
      <c r="G315" s="2">
        <f t="shared" ca="1" si="37"/>
        <v>0.17228506849685421</v>
      </c>
      <c r="H315" s="3">
        <f t="shared" ca="1" si="38"/>
        <v>0</v>
      </c>
      <c r="I315" s="3">
        <f t="shared" ca="1" si="39"/>
        <v>1.5857402372861318</v>
      </c>
      <c r="J315" s="3">
        <f t="shared" ca="1" si="40"/>
        <v>6.2963089133359151</v>
      </c>
      <c r="P315" s="3">
        <f t="shared" ca="1" si="41"/>
        <v>-8.9927104508113658</v>
      </c>
      <c r="Q315" s="3">
        <f t="shared" ca="1" si="42"/>
        <v>1.7174486322119313</v>
      </c>
      <c r="R315" s="3">
        <f t="shared" ca="1" si="43"/>
        <v>9.1552428179933383</v>
      </c>
    </row>
    <row r="316" spans="7:18" x14ac:dyDescent="0.25">
      <c r="G316" s="2">
        <f t="shared" ca="1" si="37"/>
        <v>0.26260374928372199</v>
      </c>
      <c r="H316" s="3">
        <f t="shared" ca="1" si="38"/>
        <v>0</v>
      </c>
      <c r="I316" s="3">
        <f t="shared" ca="1" si="39"/>
        <v>1.0803382928248548</v>
      </c>
      <c r="J316" s="3">
        <f t="shared" ca="1" si="40"/>
        <v>5.1969661650448886</v>
      </c>
      <c r="P316" s="3">
        <f t="shared" ca="1" si="41"/>
        <v>-0.95467867469541368</v>
      </c>
      <c r="Q316" s="3">
        <f t="shared" ca="1" si="42"/>
        <v>-4.8991493360329956</v>
      </c>
      <c r="R316" s="3">
        <f t="shared" ca="1" si="43"/>
        <v>4.991299989849411</v>
      </c>
    </row>
    <row r="317" spans="7:18" x14ac:dyDescent="0.25">
      <c r="G317" s="2">
        <f t="shared" ca="1" si="37"/>
        <v>0.26072932377028235</v>
      </c>
      <c r="H317" s="3">
        <f t="shared" ca="1" si="38"/>
        <v>0</v>
      </c>
      <c r="I317" s="3">
        <f t="shared" ca="1" si="39"/>
        <v>1.3464287984219547</v>
      </c>
      <c r="J317" s="3">
        <f t="shared" ca="1" si="40"/>
        <v>5.8017859285351836</v>
      </c>
      <c r="P317" s="3">
        <f t="shared" ca="1" si="41"/>
        <v>-6.8819573376275889</v>
      </c>
      <c r="Q317" s="3">
        <f t="shared" ca="1" si="42"/>
        <v>-0.86374051926039741</v>
      </c>
      <c r="R317" s="3">
        <f t="shared" ca="1" si="43"/>
        <v>6.9359487081104074</v>
      </c>
    </row>
    <row r="318" spans="7:18" x14ac:dyDescent="0.25">
      <c r="G318" s="2">
        <f t="shared" ca="1" si="37"/>
        <v>0.76558633623003536</v>
      </c>
      <c r="H318" s="3">
        <f t="shared" ca="1" si="38"/>
        <v>1</v>
      </c>
      <c r="I318" s="3">
        <f t="shared" ca="1" si="39"/>
        <v>8.5529424013987043</v>
      </c>
      <c r="J318" s="3">
        <f t="shared" ca="1" si="40"/>
        <v>14.622707000927278</v>
      </c>
      <c r="P318" s="3">
        <f t="shared" ca="1" si="41"/>
        <v>-0.93796048960953904</v>
      </c>
      <c r="Q318" s="3">
        <f t="shared" ca="1" si="42"/>
        <v>-3.500423847061112</v>
      </c>
      <c r="R318" s="3">
        <f t="shared" ca="1" si="43"/>
        <v>3.6239118351779314</v>
      </c>
    </row>
    <row r="319" spans="7:18" x14ac:dyDescent="0.25">
      <c r="G319" s="2">
        <f t="shared" ca="1" si="37"/>
        <v>0.5484424128641725</v>
      </c>
      <c r="H319" s="3">
        <f t="shared" ca="1" si="38"/>
        <v>0</v>
      </c>
      <c r="I319" s="3">
        <f t="shared" ca="1" si="39"/>
        <v>2.1493253536788122</v>
      </c>
      <c r="J319" s="3">
        <f t="shared" ca="1" si="40"/>
        <v>7.3302887966280226</v>
      </c>
      <c r="P319" s="3">
        <f t="shared" ca="1" si="41"/>
        <v>-1.0019565364052703</v>
      </c>
      <c r="Q319" s="3">
        <f t="shared" ca="1" si="42"/>
        <v>5.7795899865366787</v>
      </c>
      <c r="R319" s="3">
        <f t="shared" ca="1" si="43"/>
        <v>5.8657972444775393</v>
      </c>
    </row>
    <row r="320" spans="7:18" x14ac:dyDescent="0.25">
      <c r="G320" s="2">
        <f t="shared" ca="1" si="37"/>
        <v>0.78022081346440286</v>
      </c>
      <c r="H320" s="3">
        <f t="shared" ca="1" si="38"/>
        <v>1</v>
      </c>
      <c r="I320" s="3">
        <f t="shared" ca="1" si="39"/>
        <v>4.5596360755497711</v>
      </c>
      <c r="J320" s="3">
        <f t="shared" ca="1" si="40"/>
        <v>10.676652185434548</v>
      </c>
      <c r="P320" s="3">
        <f t="shared" ca="1" si="41"/>
        <v>-8.425956873859489</v>
      </c>
      <c r="Q320" s="3">
        <f t="shared" ca="1" si="42"/>
        <v>2.8894882422413204</v>
      </c>
      <c r="R320" s="3">
        <f t="shared" ca="1" si="43"/>
        <v>8.9076310847604603</v>
      </c>
    </row>
    <row r="321" spans="7:18" x14ac:dyDescent="0.25">
      <c r="G321" s="2">
        <f t="shared" ca="1" si="37"/>
        <v>0.85342163565879881</v>
      </c>
      <c r="H321" s="3">
        <f t="shared" ca="1" si="38"/>
        <v>1</v>
      </c>
      <c r="I321" s="3">
        <f t="shared" ca="1" si="39"/>
        <v>4.5349281396224175</v>
      </c>
      <c r="J321" s="3">
        <f t="shared" ca="1" si="40"/>
        <v>10.647685358356549</v>
      </c>
      <c r="P321" s="3">
        <f t="shared" ca="1" si="41"/>
        <v>-2.1171376002997624</v>
      </c>
      <c r="Q321" s="3">
        <f t="shared" ca="1" si="42"/>
        <v>2.4691276528917467</v>
      </c>
      <c r="R321" s="3">
        <f t="shared" ca="1" si="43"/>
        <v>3.2525164080873967</v>
      </c>
    </row>
    <row r="322" spans="7:18" x14ac:dyDescent="0.25">
      <c r="G322" s="2">
        <f t="shared" ca="1" si="37"/>
        <v>0.7201016717366453</v>
      </c>
      <c r="H322" s="3">
        <f t="shared" ca="1" si="38"/>
        <v>1</v>
      </c>
      <c r="I322" s="3">
        <f t="shared" ca="1" si="39"/>
        <v>3.9395656451218577</v>
      </c>
      <c r="J322" s="3">
        <f t="shared" ca="1" si="40"/>
        <v>9.9241695434956387</v>
      </c>
      <c r="P322" s="3">
        <f t="shared" ca="1" si="41"/>
        <v>-10.538959026513746</v>
      </c>
      <c r="Q322" s="3">
        <f t="shared" ca="1" si="42"/>
        <v>2.8772814090781043</v>
      </c>
      <c r="R322" s="3">
        <f t="shared" ca="1" si="43"/>
        <v>10.924669590864616</v>
      </c>
    </row>
    <row r="323" spans="7:18" x14ac:dyDescent="0.25">
      <c r="G323" s="2">
        <f t="shared" ca="1" si="37"/>
        <v>0.53400550173410399</v>
      </c>
      <c r="H323" s="3">
        <f t="shared" ca="1" si="38"/>
        <v>0</v>
      </c>
      <c r="I323" s="3">
        <f t="shared" ca="1" si="39"/>
        <v>1.8208340755416563</v>
      </c>
      <c r="J323" s="3">
        <f t="shared" ca="1" si="40"/>
        <v>6.7469142493840408</v>
      </c>
      <c r="P323" s="3">
        <f t="shared" ca="1" si="41"/>
        <v>-8.2437820640463002</v>
      </c>
      <c r="Q323" s="3">
        <f t="shared" ca="1" si="42"/>
        <v>-0.46183509415444013</v>
      </c>
      <c r="R323" s="3">
        <f t="shared" ca="1" si="43"/>
        <v>8.2567084466925511</v>
      </c>
    </row>
    <row r="324" spans="7:18" x14ac:dyDescent="0.25">
      <c r="G324" s="2">
        <f t="shared" ref="G324:G387" ca="1" si="44">RAND()</f>
        <v>0.80373505852232774</v>
      </c>
      <c r="H324" s="3">
        <f t="shared" ref="H324:H387" ca="1" si="45">VLOOKUP(G324,$B$9:$C$169,2,TRUE)</f>
        <v>1</v>
      </c>
      <c r="I324" s="3">
        <f t="shared" ref="I324:I387" ca="1" si="46">_xlfn.CHISQ.INV(RAND(),2*H324+2)</f>
        <v>1.806727883545084</v>
      </c>
      <c r="J324" s="3">
        <f t="shared" ref="J324:J387" ca="1" si="47">$C$4*SQRT(I324)</f>
        <v>6.7207289105146248</v>
      </c>
      <c r="P324" s="3">
        <f t="shared" ref="P324:P387" ca="1" si="48">_xlfn.NORM.INV(RAND(),$C$3*COS($O$2),$C$4)</f>
        <v>3.0984762355244992</v>
      </c>
      <c r="Q324" s="3">
        <f t="shared" ref="Q324:Q387" ca="1" si="49">_xlfn.NORM.INV(RAND(),$C$3*SIN($O$2),$C$4)</f>
        <v>-2.0988953509758081</v>
      </c>
      <c r="R324" s="3">
        <f t="shared" ref="R324:R387" ca="1" si="50">SQRT(P324^2+Q324^2)</f>
        <v>3.7424479524046732</v>
      </c>
    </row>
    <row r="325" spans="7:18" x14ac:dyDescent="0.25">
      <c r="G325" s="2">
        <f t="shared" ca="1" si="44"/>
        <v>0.47481988224401328</v>
      </c>
      <c r="H325" s="3">
        <f t="shared" ca="1" si="45"/>
        <v>0</v>
      </c>
      <c r="I325" s="3">
        <f t="shared" ca="1" si="46"/>
        <v>0.43943004349809744</v>
      </c>
      <c r="J325" s="3">
        <f t="shared" ca="1" si="47"/>
        <v>3.3144759898741816</v>
      </c>
      <c r="P325" s="3">
        <f t="shared" ca="1" si="48"/>
        <v>6.3554871864845666</v>
      </c>
      <c r="Q325" s="3">
        <f t="shared" ca="1" si="49"/>
        <v>0.40281865153407315</v>
      </c>
      <c r="R325" s="3">
        <f t="shared" ca="1" si="50"/>
        <v>6.3682399643538279</v>
      </c>
    </row>
    <row r="326" spans="7:18" x14ac:dyDescent="0.25">
      <c r="G326" s="2">
        <f t="shared" ca="1" si="44"/>
        <v>0.26306079603847143</v>
      </c>
      <c r="H326" s="3">
        <f t="shared" ca="1" si="45"/>
        <v>0</v>
      </c>
      <c r="I326" s="3">
        <f t="shared" ca="1" si="46"/>
        <v>5.4571062193607789</v>
      </c>
      <c r="J326" s="3">
        <f t="shared" ca="1" si="47"/>
        <v>11.680224975745093</v>
      </c>
      <c r="P326" s="3">
        <f t="shared" ca="1" si="48"/>
        <v>1.5081037854950408</v>
      </c>
      <c r="Q326" s="3">
        <f t="shared" ca="1" si="49"/>
        <v>1.630163940070207</v>
      </c>
      <c r="R326" s="3">
        <f t="shared" ca="1" si="50"/>
        <v>2.2207682227845602</v>
      </c>
    </row>
    <row r="327" spans="7:18" x14ac:dyDescent="0.25">
      <c r="G327" s="2">
        <f t="shared" ca="1" si="44"/>
        <v>1.1054426986940036E-2</v>
      </c>
      <c r="H327" s="3">
        <f t="shared" ca="1" si="45"/>
        <v>0</v>
      </c>
      <c r="I327" s="3">
        <f t="shared" ca="1" si="46"/>
        <v>0.49423040499544035</v>
      </c>
      <c r="J327" s="3">
        <f t="shared" ca="1" si="47"/>
        <v>3.515076119358727</v>
      </c>
      <c r="P327" s="3">
        <f t="shared" ca="1" si="48"/>
        <v>-7.9859077382451531</v>
      </c>
      <c r="Q327" s="3">
        <f t="shared" ca="1" si="49"/>
        <v>-4.0325047233914786</v>
      </c>
      <c r="R327" s="3">
        <f t="shared" ca="1" si="50"/>
        <v>8.946273903024565</v>
      </c>
    </row>
    <row r="328" spans="7:18" x14ac:dyDescent="0.25">
      <c r="G328" s="2">
        <f t="shared" ca="1" si="44"/>
        <v>0.21966360100037807</v>
      </c>
      <c r="H328" s="3">
        <f t="shared" ca="1" si="45"/>
        <v>0</v>
      </c>
      <c r="I328" s="3">
        <f t="shared" ca="1" si="46"/>
        <v>0.76371046758352901</v>
      </c>
      <c r="J328" s="3">
        <f t="shared" ca="1" si="47"/>
        <v>4.3695264834519794</v>
      </c>
      <c r="P328" s="3">
        <f t="shared" ca="1" si="48"/>
        <v>-3.6443427795076779</v>
      </c>
      <c r="Q328" s="3">
        <f t="shared" ca="1" si="49"/>
        <v>1.2712048090772006</v>
      </c>
      <c r="R328" s="3">
        <f t="shared" ca="1" si="50"/>
        <v>3.8596885834443624</v>
      </c>
    </row>
    <row r="329" spans="7:18" x14ac:dyDescent="0.25">
      <c r="G329" s="2">
        <f t="shared" ca="1" si="44"/>
        <v>0.37072322996035956</v>
      </c>
      <c r="H329" s="3">
        <f t="shared" ca="1" si="45"/>
        <v>0</v>
      </c>
      <c r="I329" s="3">
        <f t="shared" ca="1" si="46"/>
        <v>7.4874569559683222</v>
      </c>
      <c r="J329" s="3">
        <f t="shared" ca="1" si="47"/>
        <v>13.68160896602472</v>
      </c>
      <c r="P329" s="3">
        <f t="shared" ca="1" si="48"/>
        <v>-8.039672329567324</v>
      </c>
      <c r="Q329" s="3">
        <f t="shared" ca="1" si="49"/>
        <v>-4.6662110626448348</v>
      </c>
      <c r="R329" s="3">
        <f t="shared" ca="1" si="50"/>
        <v>9.2956902297763513</v>
      </c>
    </row>
    <row r="330" spans="7:18" x14ac:dyDescent="0.25">
      <c r="G330" s="2">
        <f t="shared" ca="1" si="44"/>
        <v>0.77694283334201764</v>
      </c>
      <c r="H330" s="3">
        <f t="shared" ca="1" si="45"/>
        <v>1</v>
      </c>
      <c r="I330" s="3">
        <f t="shared" ca="1" si="46"/>
        <v>7.5227479936273776</v>
      </c>
      <c r="J330" s="3">
        <f t="shared" ca="1" si="47"/>
        <v>13.713814197395429</v>
      </c>
      <c r="P330" s="3">
        <f t="shared" ca="1" si="48"/>
        <v>-20.943243825487965</v>
      </c>
      <c r="Q330" s="3">
        <f t="shared" ca="1" si="49"/>
        <v>2.4078776070687535</v>
      </c>
      <c r="R330" s="3">
        <f t="shared" ca="1" si="50"/>
        <v>21.081208136737867</v>
      </c>
    </row>
    <row r="331" spans="7:18" x14ac:dyDescent="0.25">
      <c r="G331" s="2">
        <f t="shared" ca="1" si="44"/>
        <v>0.75398630656528642</v>
      </c>
      <c r="H331" s="3">
        <f t="shared" ca="1" si="45"/>
        <v>1</v>
      </c>
      <c r="I331" s="3">
        <f t="shared" ca="1" si="46"/>
        <v>2.1056495147183627</v>
      </c>
      <c r="J331" s="3">
        <f t="shared" ca="1" si="47"/>
        <v>7.2554281657224795</v>
      </c>
      <c r="P331" s="3">
        <f t="shared" ca="1" si="48"/>
        <v>1.7938365624757902</v>
      </c>
      <c r="Q331" s="3">
        <f t="shared" ca="1" si="49"/>
        <v>4.9797176453329373</v>
      </c>
      <c r="R331" s="3">
        <f t="shared" ca="1" si="50"/>
        <v>5.2929611221050141</v>
      </c>
    </row>
    <row r="332" spans="7:18" x14ac:dyDescent="0.25">
      <c r="G332" s="2">
        <f t="shared" ca="1" si="44"/>
        <v>0.79857762039357427</v>
      </c>
      <c r="H332" s="3">
        <f t="shared" ca="1" si="45"/>
        <v>1</v>
      </c>
      <c r="I332" s="3">
        <f t="shared" ca="1" si="46"/>
        <v>2.8309753858659188</v>
      </c>
      <c r="J332" s="3">
        <f t="shared" ca="1" si="47"/>
        <v>8.4127513125402658</v>
      </c>
      <c r="P332" s="3">
        <f t="shared" ca="1" si="48"/>
        <v>-6.694128551982395</v>
      </c>
      <c r="Q332" s="3">
        <f t="shared" ca="1" si="49"/>
        <v>-6.4019044951699806</v>
      </c>
      <c r="R332" s="3">
        <f t="shared" ca="1" si="50"/>
        <v>9.2625988920898177</v>
      </c>
    </row>
    <row r="333" spans="7:18" x14ac:dyDescent="0.25">
      <c r="G333" s="2">
        <f t="shared" ca="1" si="44"/>
        <v>0.46212116156471639</v>
      </c>
      <c r="H333" s="3">
        <f t="shared" ca="1" si="45"/>
        <v>0</v>
      </c>
      <c r="I333" s="3">
        <f t="shared" ca="1" si="46"/>
        <v>0.27524842612698025</v>
      </c>
      <c r="J333" s="3">
        <f t="shared" ca="1" si="47"/>
        <v>2.6232061781671883</v>
      </c>
      <c r="P333" s="3">
        <f t="shared" ca="1" si="48"/>
        <v>-0.17261004396290858</v>
      </c>
      <c r="Q333" s="3">
        <f t="shared" ca="1" si="49"/>
        <v>3.8483608313323097</v>
      </c>
      <c r="R333" s="3">
        <f t="shared" ca="1" si="50"/>
        <v>3.8522299146610632</v>
      </c>
    </row>
    <row r="334" spans="7:18" x14ac:dyDescent="0.25">
      <c r="G334" s="2">
        <f t="shared" ca="1" si="44"/>
        <v>0.372283093388866</v>
      </c>
      <c r="H334" s="3">
        <f t="shared" ca="1" si="45"/>
        <v>0</v>
      </c>
      <c r="I334" s="3">
        <f t="shared" ca="1" si="46"/>
        <v>1.2817932621925494</v>
      </c>
      <c r="J334" s="3">
        <f t="shared" ca="1" si="47"/>
        <v>5.6608154496338887</v>
      </c>
      <c r="P334" s="3">
        <f t="shared" ca="1" si="48"/>
        <v>-12.723304329969292</v>
      </c>
      <c r="Q334" s="3">
        <f t="shared" ca="1" si="49"/>
        <v>-6.4804427197552821</v>
      </c>
      <c r="R334" s="3">
        <f t="shared" ca="1" si="50"/>
        <v>14.278606756859878</v>
      </c>
    </row>
    <row r="335" spans="7:18" x14ac:dyDescent="0.25">
      <c r="G335" s="2">
        <f t="shared" ca="1" si="44"/>
        <v>0.40378232477505194</v>
      </c>
      <c r="H335" s="3">
        <f t="shared" ca="1" si="45"/>
        <v>0</v>
      </c>
      <c r="I335" s="3">
        <f t="shared" ca="1" si="46"/>
        <v>3.2755359018934795</v>
      </c>
      <c r="J335" s="3">
        <f t="shared" ca="1" si="47"/>
        <v>9.0492208254267386</v>
      </c>
      <c r="P335" s="3">
        <f t="shared" ca="1" si="48"/>
        <v>-17.27084428303499</v>
      </c>
      <c r="Q335" s="3">
        <f t="shared" ca="1" si="49"/>
        <v>-2.9078505115436544</v>
      </c>
      <c r="R335" s="3">
        <f t="shared" ca="1" si="50"/>
        <v>17.513927510593593</v>
      </c>
    </row>
    <row r="336" spans="7:18" x14ac:dyDescent="0.25">
      <c r="G336" s="2">
        <f t="shared" ca="1" si="44"/>
        <v>0.83283472684971038</v>
      </c>
      <c r="H336" s="3">
        <f t="shared" ca="1" si="45"/>
        <v>1</v>
      </c>
      <c r="I336" s="3">
        <f t="shared" ca="1" si="46"/>
        <v>0.88854163579370782</v>
      </c>
      <c r="J336" s="3">
        <f t="shared" ca="1" si="47"/>
        <v>4.7131243241445153</v>
      </c>
      <c r="P336" s="3">
        <f t="shared" ca="1" si="48"/>
        <v>0.70354160132637045</v>
      </c>
      <c r="Q336" s="3">
        <f t="shared" ca="1" si="49"/>
        <v>-4.9631912661202948</v>
      </c>
      <c r="R336" s="3">
        <f t="shared" ca="1" si="50"/>
        <v>5.0128074298629954</v>
      </c>
    </row>
    <row r="337" spans="7:18" x14ac:dyDescent="0.25">
      <c r="G337" s="2">
        <f t="shared" ca="1" si="44"/>
        <v>0.73931639302603813</v>
      </c>
      <c r="H337" s="3">
        <f t="shared" ca="1" si="45"/>
        <v>1</v>
      </c>
      <c r="I337" s="3">
        <f t="shared" ca="1" si="46"/>
        <v>0.66624787450096934</v>
      </c>
      <c r="J337" s="3">
        <f t="shared" ca="1" si="47"/>
        <v>4.0812004193036433</v>
      </c>
      <c r="P337" s="3">
        <f t="shared" ca="1" si="48"/>
        <v>-1.4275105372258103</v>
      </c>
      <c r="Q337" s="3">
        <f t="shared" ca="1" si="49"/>
        <v>-11.779055265338682</v>
      </c>
      <c r="R337" s="3">
        <f t="shared" ca="1" si="50"/>
        <v>11.865240380110032</v>
      </c>
    </row>
    <row r="338" spans="7:18" x14ac:dyDescent="0.25">
      <c r="G338" s="2">
        <f t="shared" ca="1" si="44"/>
        <v>0.65896501617739678</v>
      </c>
      <c r="H338" s="3">
        <f t="shared" ca="1" si="45"/>
        <v>1</v>
      </c>
      <c r="I338" s="3">
        <f t="shared" ca="1" si="46"/>
        <v>1.530505871924247</v>
      </c>
      <c r="J338" s="3">
        <f t="shared" ca="1" si="47"/>
        <v>6.1856807869551576</v>
      </c>
      <c r="P338" s="3">
        <f t="shared" ca="1" si="48"/>
        <v>-0.9278961601551563</v>
      </c>
      <c r="Q338" s="3">
        <f t="shared" ca="1" si="49"/>
        <v>11.838532256655609</v>
      </c>
      <c r="R338" s="3">
        <f t="shared" ca="1" si="50"/>
        <v>11.874840515809298</v>
      </c>
    </row>
    <row r="339" spans="7:18" x14ac:dyDescent="0.25">
      <c r="G339" s="2">
        <f t="shared" ca="1" si="44"/>
        <v>0.63603866597460479</v>
      </c>
      <c r="H339" s="3">
        <f t="shared" ca="1" si="45"/>
        <v>1</v>
      </c>
      <c r="I339" s="3">
        <f t="shared" ca="1" si="46"/>
        <v>4.381994589977416</v>
      </c>
      <c r="J339" s="3">
        <f t="shared" ca="1" si="47"/>
        <v>10.466607126926826</v>
      </c>
      <c r="P339" s="3">
        <f t="shared" ca="1" si="48"/>
        <v>0.76123754296874147</v>
      </c>
      <c r="Q339" s="3">
        <f t="shared" ca="1" si="49"/>
        <v>0.72252776901284221</v>
      </c>
      <c r="R339" s="3">
        <f t="shared" ca="1" si="50"/>
        <v>1.0495375047228002</v>
      </c>
    </row>
    <row r="340" spans="7:18" x14ac:dyDescent="0.25">
      <c r="G340" s="2">
        <f t="shared" ca="1" si="44"/>
        <v>0.52966635470954815</v>
      </c>
      <c r="H340" s="3">
        <f t="shared" ca="1" si="45"/>
        <v>0</v>
      </c>
      <c r="I340" s="3">
        <f t="shared" ca="1" si="46"/>
        <v>2.0171714374624155</v>
      </c>
      <c r="J340" s="3">
        <f t="shared" ca="1" si="47"/>
        <v>7.1013580346691709</v>
      </c>
      <c r="P340" s="3">
        <f t="shared" ca="1" si="48"/>
        <v>-3.1506153479067418</v>
      </c>
      <c r="Q340" s="3">
        <f t="shared" ca="1" si="49"/>
        <v>7.6286288280669874</v>
      </c>
      <c r="R340" s="3">
        <f t="shared" ca="1" si="50"/>
        <v>8.2536267705100528</v>
      </c>
    </row>
    <row r="341" spans="7:18" x14ac:dyDescent="0.25">
      <c r="G341" s="2">
        <f t="shared" ca="1" si="44"/>
        <v>0.36372933839991539</v>
      </c>
      <c r="H341" s="3">
        <f t="shared" ca="1" si="45"/>
        <v>0</v>
      </c>
      <c r="I341" s="3">
        <f t="shared" ca="1" si="46"/>
        <v>0.6511627102826214</v>
      </c>
      <c r="J341" s="3">
        <f t="shared" ca="1" si="47"/>
        <v>4.0347326747958823</v>
      </c>
      <c r="P341" s="3">
        <f t="shared" ca="1" si="48"/>
        <v>-1.9932313944135194</v>
      </c>
      <c r="Q341" s="3">
        <f t="shared" ca="1" si="49"/>
        <v>2.1426516828643529</v>
      </c>
      <c r="R341" s="3">
        <f t="shared" ca="1" si="50"/>
        <v>2.9264189081122862</v>
      </c>
    </row>
    <row r="342" spans="7:18" x14ac:dyDescent="0.25">
      <c r="G342" s="2">
        <f t="shared" ca="1" si="44"/>
        <v>0.56792574580705635</v>
      </c>
      <c r="H342" s="3">
        <f t="shared" ca="1" si="45"/>
        <v>0</v>
      </c>
      <c r="I342" s="3">
        <f t="shared" ca="1" si="46"/>
        <v>2.2988533185033431</v>
      </c>
      <c r="J342" s="3">
        <f t="shared" ca="1" si="47"/>
        <v>7.5809849599233194</v>
      </c>
      <c r="P342" s="3">
        <f t="shared" ca="1" si="48"/>
        <v>-5.9860765728327321</v>
      </c>
      <c r="Q342" s="3">
        <f t="shared" ca="1" si="49"/>
        <v>-2.974400636106691</v>
      </c>
      <c r="R342" s="3">
        <f t="shared" ca="1" si="50"/>
        <v>6.6843228437807189</v>
      </c>
    </row>
    <row r="343" spans="7:18" x14ac:dyDescent="0.25">
      <c r="G343" s="2">
        <f t="shared" ca="1" si="44"/>
        <v>0.27977784978485998</v>
      </c>
      <c r="H343" s="3">
        <f t="shared" ca="1" si="45"/>
        <v>0</v>
      </c>
      <c r="I343" s="3">
        <f t="shared" ca="1" si="46"/>
        <v>2.9729267639283306E-3</v>
      </c>
      <c r="J343" s="3">
        <f t="shared" ca="1" si="47"/>
        <v>0.27262275968489547</v>
      </c>
      <c r="P343" s="3">
        <f t="shared" ca="1" si="48"/>
        <v>-8.2623242095773328</v>
      </c>
      <c r="Q343" s="3">
        <f t="shared" ca="1" si="49"/>
        <v>-0.72057846474153364</v>
      </c>
      <c r="R343" s="3">
        <f t="shared" ca="1" si="50"/>
        <v>8.2936864341507963</v>
      </c>
    </row>
    <row r="344" spans="7:18" x14ac:dyDescent="0.25">
      <c r="G344" s="2">
        <f t="shared" ca="1" si="44"/>
        <v>0.24866832343179868</v>
      </c>
      <c r="H344" s="3">
        <f t="shared" ca="1" si="45"/>
        <v>0</v>
      </c>
      <c r="I344" s="3">
        <f t="shared" ca="1" si="46"/>
        <v>3.5792032623888947</v>
      </c>
      <c r="J344" s="3">
        <f t="shared" ca="1" si="47"/>
        <v>9.4593911833543682</v>
      </c>
      <c r="P344" s="3">
        <f t="shared" ca="1" si="48"/>
        <v>-8.6252829295079323</v>
      </c>
      <c r="Q344" s="3">
        <f t="shared" ca="1" si="49"/>
        <v>-2.5936375067349497</v>
      </c>
      <c r="R344" s="3">
        <f t="shared" ca="1" si="50"/>
        <v>9.0068008266200277</v>
      </c>
    </row>
    <row r="345" spans="7:18" x14ac:dyDescent="0.25">
      <c r="G345" s="2">
        <f t="shared" ca="1" si="44"/>
        <v>0.6351439504529971</v>
      </c>
      <c r="H345" s="3">
        <f t="shared" ca="1" si="45"/>
        <v>1</v>
      </c>
      <c r="I345" s="3">
        <f t="shared" ca="1" si="46"/>
        <v>0.37945354785929647</v>
      </c>
      <c r="J345" s="3">
        <f t="shared" ca="1" si="47"/>
        <v>3.0799900481141842</v>
      </c>
      <c r="P345" s="3">
        <f t="shared" ca="1" si="48"/>
        <v>-7.2643877109181503</v>
      </c>
      <c r="Q345" s="3">
        <f t="shared" ca="1" si="49"/>
        <v>4.3819672100631788</v>
      </c>
      <c r="R345" s="3">
        <f t="shared" ca="1" si="50"/>
        <v>8.4836881982194239</v>
      </c>
    </row>
    <row r="346" spans="7:18" x14ac:dyDescent="0.25">
      <c r="G346" s="2">
        <f t="shared" ca="1" si="44"/>
        <v>0.66433358230557216</v>
      </c>
      <c r="H346" s="3">
        <f t="shared" ca="1" si="45"/>
        <v>1</v>
      </c>
      <c r="I346" s="3">
        <f t="shared" ca="1" si="46"/>
        <v>8.4122443521115766</v>
      </c>
      <c r="J346" s="3">
        <f t="shared" ca="1" si="47"/>
        <v>14.501934657237614</v>
      </c>
      <c r="P346" s="3">
        <f t="shared" ca="1" si="48"/>
        <v>-1.8959574451996253</v>
      </c>
      <c r="Q346" s="3">
        <f t="shared" ca="1" si="49"/>
        <v>-0.51594154380322343</v>
      </c>
      <c r="R346" s="3">
        <f t="shared" ca="1" si="50"/>
        <v>1.9649046568803137</v>
      </c>
    </row>
    <row r="347" spans="7:18" x14ac:dyDescent="0.25">
      <c r="G347" s="2">
        <f t="shared" ca="1" si="44"/>
        <v>0.65481717111331161</v>
      </c>
      <c r="H347" s="3">
        <f t="shared" ca="1" si="45"/>
        <v>1</v>
      </c>
      <c r="I347" s="3">
        <f t="shared" ca="1" si="46"/>
        <v>6.6696894008754271</v>
      </c>
      <c r="J347" s="3">
        <f t="shared" ca="1" si="47"/>
        <v>12.912870905491376</v>
      </c>
      <c r="P347" s="3">
        <f t="shared" ca="1" si="48"/>
        <v>-10.171970806046104</v>
      </c>
      <c r="Q347" s="3">
        <f t="shared" ca="1" si="49"/>
        <v>-4.0449603766554549</v>
      </c>
      <c r="R347" s="3">
        <f t="shared" ca="1" si="50"/>
        <v>10.946720720278146</v>
      </c>
    </row>
    <row r="348" spans="7:18" x14ac:dyDescent="0.25">
      <c r="G348" s="2">
        <f t="shared" ca="1" si="44"/>
        <v>0.3870540301698665</v>
      </c>
      <c r="H348" s="3">
        <f t="shared" ca="1" si="45"/>
        <v>0</v>
      </c>
      <c r="I348" s="3">
        <f t="shared" ca="1" si="46"/>
        <v>2.0683140339839396</v>
      </c>
      <c r="J348" s="3">
        <f t="shared" ca="1" si="47"/>
        <v>7.1908171197436586</v>
      </c>
      <c r="P348" s="3">
        <f t="shared" ca="1" si="48"/>
        <v>-9.6216355346136524</v>
      </c>
      <c r="Q348" s="3">
        <f t="shared" ca="1" si="49"/>
        <v>7.54329343227867</v>
      </c>
      <c r="R348" s="3">
        <f t="shared" ca="1" si="50"/>
        <v>12.226084662163871</v>
      </c>
    </row>
    <row r="349" spans="7:18" x14ac:dyDescent="0.25">
      <c r="G349" s="2">
        <f t="shared" ca="1" si="44"/>
        <v>0.90643698565064801</v>
      </c>
      <c r="H349" s="3">
        <f t="shared" ca="1" si="45"/>
        <v>1</v>
      </c>
      <c r="I349" s="3">
        <f t="shared" ca="1" si="46"/>
        <v>4.5739178407977779</v>
      </c>
      <c r="J349" s="3">
        <f t="shared" ca="1" si="47"/>
        <v>10.693359903227069</v>
      </c>
      <c r="P349" s="3">
        <f t="shared" ca="1" si="48"/>
        <v>-5.4428402994122713</v>
      </c>
      <c r="Q349" s="3">
        <f t="shared" ca="1" si="49"/>
        <v>3.4217826759627683</v>
      </c>
      <c r="R349" s="3">
        <f t="shared" ca="1" si="50"/>
        <v>6.4290829211035367</v>
      </c>
    </row>
    <row r="350" spans="7:18" x14ac:dyDescent="0.25">
      <c r="G350" s="2">
        <f t="shared" ca="1" si="44"/>
        <v>0.61082537954771976</v>
      </c>
      <c r="H350" s="3">
        <f t="shared" ca="1" si="45"/>
        <v>1</v>
      </c>
      <c r="I350" s="3">
        <f t="shared" ca="1" si="46"/>
        <v>5.1541521049642647</v>
      </c>
      <c r="J350" s="3">
        <f t="shared" ca="1" si="47"/>
        <v>11.351378886466023</v>
      </c>
      <c r="P350" s="3">
        <f t="shared" ca="1" si="48"/>
        <v>-3.7113275317963859</v>
      </c>
      <c r="Q350" s="3">
        <f t="shared" ca="1" si="49"/>
        <v>3.9045229961099563</v>
      </c>
      <c r="R350" s="3">
        <f t="shared" ca="1" si="50"/>
        <v>5.3869520023313111</v>
      </c>
    </row>
    <row r="351" spans="7:18" x14ac:dyDescent="0.25">
      <c r="G351" s="2">
        <f t="shared" ca="1" si="44"/>
        <v>0.2919961756714996</v>
      </c>
      <c r="H351" s="3">
        <f t="shared" ca="1" si="45"/>
        <v>0</v>
      </c>
      <c r="I351" s="3">
        <f t="shared" ca="1" si="46"/>
        <v>1.0353782351146477</v>
      </c>
      <c r="J351" s="3">
        <f t="shared" ca="1" si="47"/>
        <v>5.0876768645292518</v>
      </c>
      <c r="P351" s="3">
        <f t="shared" ca="1" si="48"/>
        <v>-10.502160411084866</v>
      </c>
      <c r="Q351" s="3">
        <f t="shared" ca="1" si="49"/>
        <v>5.0276554610673507</v>
      </c>
      <c r="R351" s="3">
        <f t="shared" ca="1" si="50"/>
        <v>11.643568728502384</v>
      </c>
    </row>
    <row r="352" spans="7:18" x14ac:dyDescent="0.25">
      <c r="G352" s="2">
        <f t="shared" ca="1" si="44"/>
        <v>0.69589351959361345</v>
      </c>
      <c r="H352" s="3">
        <f t="shared" ca="1" si="45"/>
        <v>1</v>
      </c>
      <c r="I352" s="3">
        <f t="shared" ca="1" si="46"/>
        <v>3.5260000579047563</v>
      </c>
      <c r="J352" s="3">
        <f t="shared" ca="1" si="47"/>
        <v>9.3888232195317691</v>
      </c>
      <c r="P352" s="3">
        <f t="shared" ca="1" si="48"/>
        <v>-4.0631288156919689</v>
      </c>
      <c r="Q352" s="3">
        <f t="shared" ca="1" si="49"/>
        <v>-14.03926370717533</v>
      </c>
      <c r="R352" s="3">
        <f t="shared" ca="1" si="50"/>
        <v>14.61540082284837</v>
      </c>
    </row>
    <row r="353" spans="7:18" x14ac:dyDescent="0.25">
      <c r="G353" s="2">
        <f t="shared" ca="1" si="44"/>
        <v>0.86138573219159476</v>
      </c>
      <c r="H353" s="3">
        <f t="shared" ca="1" si="45"/>
        <v>1</v>
      </c>
      <c r="I353" s="3">
        <f t="shared" ca="1" si="46"/>
        <v>3.3321814268825585</v>
      </c>
      <c r="J353" s="3">
        <f t="shared" ca="1" si="47"/>
        <v>9.1271318425923909</v>
      </c>
      <c r="P353" s="3">
        <f t="shared" ca="1" si="48"/>
        <v>-4.3303383546665755</v>
      </c>
      <c r="Q353" s="3">
        <f t="shared" ca="1" si="49"/>
        <v>-4.3022997236487139</v>
      </c>
      <c r="R353" s="3">
        <f t="shared" ca="1" si="50"/>
        <v>6.1042291223383991</v>
      </c>
    </row>
    <row r="354" spans="7:18" x14ac:dyDescent="0.25">
      <c r="G354" s="2">
        <f t="shared" ca="1" si="44"/>
        <v>0.1910434100409818</v>
      </c>
      <c r="H354" s="3">
        <f t="shared" ca="1" si="45"/>
        <v>0</v>
      </c>
      <c r="I354" s="3">
        <f t="shared" ca="1" si="46"/>
        <v>1.55484038648116</v>
      </c>
      <c r="J354" s="3">
        <f t="shared" ca="1" si="47"/>
        <v>6.2346619525062463</v>
      </c>
      <c r="P354" s="3">
        <f t="shared" ca="1" si="48"/>
        <v>-3.5440642783447291</v>
      </c>
      <c r="Q354" s="3">
        <f t="shared" ca="1" si="49"/>
        <v>2.3642614303178369</v>
      </c>
      <c r="R354" s="3">
        <f t="shared" ca="1" si="50"/>
        <v>4.2602962009615819</v>
      </c>
    </row>
    <row r="355" spans="7:18" x14ac:dyDescent="0.25">
      <c r="G355" s="2">
        <f t="shared" ca="1" si="44"/>
        <v>0.93336035533849371</v>
      </c>
      <c r="H355" s="3">
        <f t="shared" ca="1" si="45"/>
        <v>2</v>
      </c>
      <c r="I355" s="3">
        <f t="shared" ca="1" si="46"/>
        <v>8.8262081575737863</v>
      </c>
      <c r="J355" s="3">
        <f t="shared" ca="1" si="47"/>
        <v>14.854467474108407</v>
      </c>
      <c r="P355" s="3">
        <f t="shared" ca="1" si="48"/>
        <v>-8.3471994840411075</v>
      </c>
      <c r="Q355" s="3">
        <f t="shared" ca="1" si="49"/>
        <v>9.8129633317014449</v>
      </c>
      <c r="R355" s="3">
        <f t="shared" ca="1" si="50"/>
        <v>12.882934004942092</v>
      </c>
    </row>
    <row r="356" spans="7:18" x14ac:dyDescent="0.25">
      <c r="G356" s="2">
        <f t="shared" ca="1" si="44"/>
        <v>0.81534229279097237</v>
      </c>
      <c r="H356" s="3">
        <f t="shared" ca="1" si="45"/>
        <v>1</v>
      </c>
      <c r="I356" s="3">
        <f t="shared" ca="1" si="46"/>
        <v>13.486355977684152</v>
      </c>
      <c r="J356" s="3">
        <f t="shared" ca="1" si="47"/>
        <v>18.361887142723205</v>
      </c>
      <c r="P356" s="3">
        <f t="shared" ca="1" si="48"/>
        <v>-3.4850252561872095</v>
      </c>
      <c r="Q356" s="3">
        <f t="shared" ca="1" si="49"/>
        <v>0.39132183109572199</v>
      </c>
      <c r="R356" s="3">
        <f t="shared" ca="1" si="50"/>
        <v>3.5069265478128901</v>
      </c>
    </row>
    <row r="357" spans="7:18" x14ac:dyDescent="0.25">
      <c r="G357" s="2">
        <f t="shared" ca="1" si="44"/>
        <v>0.30554782199337205</v>
      </c>
      <c r="H357" s="3">
        <f t="shared" ca="1" si="45"/>
        <v>0</v>
      </c>
      <c r="I357" s="3">
        <f t="shared" ca="1" si="46"/>
        <v>0.29006289144556952</v>
      </c>
      <c r="J357" s="3">
        <f t="shared" ca="1" si="47"/>
        <v>2.6928743539458422</v>
      </c>
      <c r="P357" s="3">
        <f t="shared" ca="1" si="48"/>
        <v>-6.0723805570426794</v>
      </c>
      <c r="Q357" s="3">
        <f t="shared" ca="1" si="49"/>
        <v>2.9516112345848797</v>
      </c>
      <c r="R357" s="3">
        <f t="shared" ca="1" si="50"/>
        <v>6.7517267798451117</v>
      </c>
    </row>
    <row r="358" spans="7:18" x14ac:dyDescent="0.25">
      <c r="G358" s="2">
        <f t="shared" ca="1" si="44"/>
        <v>0.81409432525310976</v>
      </c>
      <c r="H358" s="3">
        <f t="shared" ca="1" si="45"/>
        <v>1</v>
      </c>
      <c r="I358" s="3">
        <f t="shared" ca="1" si="46"/>
        <v>9.7738070101943926</v>
      </c>
      <c r="J358" s="3">
        <f t="shared" ca="1" si="47"/>
        <v>15.631544237690012</v>
      </c>
      <c r="P358" s="3">
        <f t="shared" ca="1" si="48"/>
        <v>-8.8151142609760633</v>
      </c>
      <c r="Q358" s="3">
        <f t="shared" ca="1" si="49"/>
        <v>-1.7241509720662114</v>
      </c>
      <c r="R358" s="3">
        <f t="shared" ca="1" si="50"/>
        <v>8.9821454012134776</v>
      </c>
    </row>
    <row r="359" spans="7:18" x14ac:dyDescent="0.25">
      <c r="G359" s="2">
        <f t="shared" ca="1" si="44"/>
        <v>0.63832138416412387</v>
      </c>
      <c r="H359" s="3">
        <f t="shared" ca="1" si="45"/>
        <v>1</v>
      </c>
      <c r="I359" s="3">
        <f t="shared" ca="1" si="46"/>
        <v>0.33718787156453284</v>
      </c>
      <c r="J359" s="3">
        <f t="shared" ca="1" si="47"/>
        <v>2.9033940120337305</v>
      </c>
      <c r="P359" s="3">
        <f t="shared" ca="1" si="48"/>
        <v>-13.046577868158364</v>
      </c>
      <c r="Q359" s="3">
        <f t="shared" ca="1" si="49"/>
        <v>-1.4190031557505305</v>
      </c>
      <c r="R359" s="3">
        <f t="shared" ca="1" si="50"/>
        <v>13.123519498440562</v>
      </c>
    </row>
    <row r="360" spans="7:18" x14ac:dyDescent="0.25">
      <c r="G360" s="2">
        <f t="shared" ca="1" si="44"/>
        <v>0.43537593665945751</v>
      </c>
      <c r="H360" s="3">
        <f t="shared" ca="1" si="45"/>
        <v>0</v>
      </c>
      <c r="I360" s="3">
        <f t="shared" ca="1" si="46"/>
        <v>3.2625809132761265</v>
      </c>
      <c r="J360" s="3">
        <f t="shared" ca="1" si="47"/>
        <v>9.0313079247638974</v>
      </c>
      <c r="P360" s="3">
        <f t="shared" ca="1" si="48"/>
        <v>-12.742174735644941</v>
      </c>
      <c r="Q360" s="3">
        <f t="shared" ca="1" si="49"/>
        <v>15.901723060199489</v>
      </c>
      <c r="R360" s="3">
        <f t="shared" ca="1" si="50"/>
        <v>20.377139477291419</v>
      </c>
    </row>
    <row r="361" spans="7:18" x14ac:dyDescent="0.25">
      <c r="G361" s="2">
        <f t="shared" ca="1" si="44"/>
        <v>0.83799774024312867</v>
      </c>
      <c r="H361" s="3">
        <f t="shared" ca="1" si="45"/>
        <v>1</v>
      </c>
      <c r="I361" s="3">
        <f t="shared" ca="1" si="46"/>
        <v>6.0863584887241817</v>
      </c>
      <c r="J361" s="3">
        <f t="shared" ca="1" si="47"/>
        <v>12.33527309053612</v>
      </c>
      <c r="P361" s="3">
        <f t="shared" ca="1" si="48"/>
        <v>-10.425827325049593</v>
      </c>
      <c r="Q361" s="3">
        <f t="shared" ca="1" si="49"/>
        <v>-3.2715736924092638</v>
      </c>
      <c r="R361" s="3">
        <f t="shared" ca="1" si="50"/>
        <v>10.927079657283327</v>
      </c>
    </row>
    <row r="362" spans="7:18" x14ac:dyDescent="0.25">
      <c r="G362" s="2">
        <f t="shared" ca="1" si="44"/>
        <v>0.47699624365071203</v>
      </c>
      <c r="H362" s="3">
        <f t="shared" ca="1" si="45"/>
        <v>0</v>
      </c>
      <c r="I362" s="3">
        <f t="shared" ca="1" si="46"/>
        <v>0.82953846147297206</v>
      </c>
      <c r="J362" s="3">
        <f t="shared" ca="1" si="47"/>
        <v>4.5539501025839426</v>
      </c>
      <c r="P362" s="3">
        <f t="shared" ca="1" si="48"/>
        <v>3.7927280216419597</v>
      </c>
      <c r="Q362" s="3">
        <f t="shared" ca="1" si="49"/>
        <v>-3.1863681074780659</v>
      </c>
      <c r="R362" s="3">
        <f t="shared" ca="1" si="50"/>
        <v>4.9535570615974018</v>
      </c>
    </row>
    <row r="363" spans="7:18" x14ac:dyDescent="0.25">
      <c r="G363" s="2">
        <f t="shared" ca="1" si="44"/>
        <v>0.5587361655039027</v>
      </c>
      <c r="H363" s="3">
        <f t="shared" ca="1" si="45"/>
        <v>0</v>
      </c>
      <c r="I363" s="3">
        <f t="shared" ca="1" si="46"/>
        <v>4.8625538031341557</v>
      </c>
      <c r="J363" s="3">
        <f t="shared" ca="1" si="47"/>
        <v>11.025599533737561</v>
      </c>
      <c r="P363" s="3">
        <f t="shared" ca="1" si="48"/>
        <v>1.0784287503260668</v>
      </c>
      <c r="Q363" s="3">
        <f t="shared" ca="1" si="49"/>
        <v>-0.96690355267780026</v>
      </c>
      <c r="R363" s="3">
        <f t="shared" ca="1" si="50"/>
        <v>1.4484167389638913</v>
      </c>
    </row>
    <row r="364" spans="7:18" x14ac:dyDescent="0.25">
      <c r="G364" s="2">
        <f t="shared" ca="1" si="44"/>
        <v>0.45039062084318549</v>
      </c>
      <c r="H364" s="3">
        <f t="shared" ca="1" si="45"/>
        <v>0</v>
      </c>
      <c r="I364" s="3">
        <f t="shared" ca="1" si="46"/>
        <v>1.0648615329130158</v>
      </c>
      <c r="J364" s="3">
        <f t="shared" ca="1" si="47"/>
        <v>5.1596064116195333</v>
      </c>
      <c r="P364" s="3">
        <f t="shared" ca="1" si="48"/>
        <v>7.2864630286094894</v>
      </c>
      <c r="Q364" s="3">
        <f t="shared" ca="1" si="49"/>
        <v>-1.0383459136912823</v>
      </c>
      <c r="R364" s="3">
        <f t="shared" ca="1" si="50"/>
        <v>7.3600751153620951</v>
      </c>
    </row>
    <row r="365" spans="7:18" x14ac:dyDescent="0.25">
      <c r="G365" s="2">
        <f t="shared" ca="1" si="44"/>
        <v>0.30106810847544418</v>
      </c>
      <c r="H365" s="3">
        <f t="shared" ca="1" si="45"/>
        <v>0</v>
      </c>
      <c r="I365" s="3">
        <f t="shared" ca="1" si="46"/>
        <v>6.5078973910016904</v>
      </c>
      <c r="J365" s="3">
        <f t="shared" ca="1" si="47"/>
        <v>12.755290462198117</v>
      </c>
      <c r="P365" s="3">
        <f t="shared" ca="1" si="48"/>
        <v>-3.2479204605301302</v>
      </c>
      <c r="Q365" s="3">
        <f t="shared" ca="1" si="49"/>
        <v>7.5385385727348089</v>
      </c>
      <c r="R365" s="3">
        <f t="shared" ca="1" si="50"/>
        <v>8.2084438921479403</v>
      </c>
    </row>
    <row r="366" spans="7:18" x14ac:dyDescent="0.25">
      <c r="G366" s="2">
        <f t="shared" ca="1" si="44"/>
        <v>0.73744300123771267</v>
      </c>
      <c r="H366" s="3">
        <f t="shared" ca="1" si="45"/>
        <v>1</v>
      </c>
      <c r="I366" s="3">
        <f t="shared" ca="1" si="46"/>
        <v>1.9508032996131215</v>
      </c>
      <c r="J366" s="3">
        <f t="shared" ca="1" si="47"/>
        <v>6.9835580108085331</v>
      </c>
      <c r="P366" s="3">
        <f t="shared" ca="1" si="48"/>
        <v>-6.1852903000279209</v>
      </c>
      <c r="Q366" s="3">
        <f t="shared" ca="1" si="49"/>
        <v>-6.929181535788203</v>
      </c>
      <c r="R366" s="3">
        <f t="shared" ca="1" si="50"/>
        <v>9.2882384148732768</v>
      </c>
    </row>
    <row r="367" spans="7:18" x14ac:dyDescent="0.25">
      <c r="G367" s="2">
        <f t="shared" ca="1" si="44"/>
        <v>5.8194338949118851E-2</v>
      </c>
      <c r="H367" s="3">
        <f t="shared" ca="1" si="45"/>
        <v>0</v>
      </c>
      <c r="I367" s="3">
        <f t="shared" ca="1" si="46"/>
        <v>1.639835441754572</v>
      </c>
      <c r="J367" s="3">
        <f t="shared" ca="1" si="47"/>
        <v>6.4028029833709788</v>
      </c>
      <c r="P367" s="3">
        <f t="shared" ca="1" si="48"/>
        <v>-5.8649484976647805</v>
      </c>
      <c r="Q367" s="3">
        <f t="shared" ca="1" si="49"/>
        <v>8.562530385740196</v>
      </c>
      <c r="R367" s="3">
        <f t="shared" ca="1" si="50"/>
        <v>10.378561918059001</v>
      </c>
    </row>
    <row r="368" spans="7:18" x14ac:dyDescent="0.25">
      <c r="G368" s="2">
        <f t="shared" ca="1" si="44"/>
        <v>0.4302128995248895</v>
      </c>
      <c r="H368" s="3">
        <f t="shared" ca="1" si="45"/>
        <v>0</v>
      </c>
      <c r="I368" s="3">
        <f t="shared" ca="1" si="46"/>
        <v>1.4575795303919332</v>
      </c>
      <c r="J368" s="3">
        <f t="shared" ca="1" si="47"/>
        <v>6.0365129221926068</v>
      </c>
      <c r="P368" s="3">
        <f t="shared" ca="1" si="48"/>
        <v>1.2912294319928002</v>
      </c>
      <c r="Q368" s="3">
        <f t="shared" ca="1" si="49"/>
        <v>3.6737663400300176</v>
      </c>
      <c r="R368" s="3">
        <f t="shared" ca="1" si="50"/>
        <v>3.8940766000660543</v>
      </c>
    </row>
    <row r="369" spans="7:18" x14ac:dyDescent="0.25">
      <c r="G369" s="2">
        <f t="shared" ca="1" si="44"/>
        <v>0.32426830821468955</v>
      </c>
      <c r="H369" s="3">
        <f t="shared" ca="1" si="45"/>
        <v>0</v>
      </c>
      <c r="I369" s="3">
        <f t="shared" ca="1" si="46"/>
        <v>0.39003037224560588</v>
      </c>
      <c r="J369" s="3">
        <f t="shared" ca="1" si="47"/>
        <v>3.1226205831224751</v>
      </c>
      <c r="P369" s="3">
        <f t="shared" ca="1" si="48"/>
        <v>-10.321739210081672</v>
      </c>
      <c r="Q369" s="3">
        <f t="shared" ca="1" si="49"/>
        <v>1.6034792343214703</v>
      </c>
      <c r="R369" s="3">
        <f t="shared" ca="1" si="50"/>
        <v>10.445546705454799</v>
      </c>
    </row>
    <row r="370" spans="7:18" x14ac:dyDescent="0.25">
      <c r="G370" s="2">
        <f t="shared" ca="1" si="44"/>
        <v>0.76912035810871249</v>
      </c>
      <c r="H370" s="3">
        <f t="shared" ca="1" si="45"/>
        <v>1</v>
      </c>
      <c r="I370" s="3">
        <f t="shared" ca="1" si="46"/>
        <v>1.5166371567136285</v>
      </c>
      <c r="J370" s="3">
        <f t="shared" ca="1" si="47"/>
        <v>6.1575911619594157</v>
      </c>
      <c r="P370" s="3">
        <f t="shared" ca="1" si="48"/>
        <v>3.1807140634967208</v>
      </c>
      <c r="Q370" s="3">
        <f t="shared" ca="1" si="49"/>
        <v>0.46984068340618246</v>
      </c>
      <c r="R370" s="3">
        <f t="shared" ca="1" si="50"/>
        <v>3.2152281756524546</v>
      </c>
    </row>
    <row r="371" spans="7:18" x14ac:dyDescent="0.25">
      <c r="G371" s="2">
        <f t="shared" ca="1" si="44"/>
        <v>0.1539173378603621</v>
      </c>
      <c r="H371" s="3">
        <f t="shared" ca="1" si="45"/>
        <v>0</v>
      </c>
      <c r="I371" s="3">
        <f t="shared" ca="1" si="46"/>
        <v>1.3684368039961343</v>
      </c>
      <c r="J371" s="3">
        <f t="shared" ca="1" si="47"/>
        <v>5.8490101812104376</v>
      </c>
      <c r="P371" s="3">
        <f t="shared" ca="1" si="48"/>
        <v>-1.41088804628607</v>
      </c>
      <c r="Q371" s="3">
        <f t="shared" ca="1" si="49"/>
        <v>-5.4816156480366844</v>
      </c>
      <c r="R371" s="3">
        <f t="shared" ca="1" si="50"/>
        <v>5.6602751869457339</v>
      </c>
    </row>
    <row r="372" spans="7:18" x14ac:dyDescent="0.25">
      <c r="G372" s="2">
        <f t="shared" ca="1" si="44"/>
        <v>0.38251243876154517</v>
      </c>
      <c r="H372" s="3">
        <f t="shared" ca="1" si="45"/>
        <v>0</v>
      </c>
      <c r="I372" s="3">
        <f t="shared" ca="1" si="46"/>
        <v>0.369068551757957</v>
      </c>
      <c r="J372" s="3">
        <f t="shared" ca="1" si="47"/>
        <v>3.0375506240964816</v>
      </c>
      <c r="P372" s="3">
        <f t="shared" ca="1" si="48"/>
        <v>-7.4655122542955823</v>
      </c>
      <c r="Q372" s="3">
        <f t="shared" ca="1" si="49"/>
        <v>-4.7501309618694325</v>
      </c>
      <c r="R372" s="3">
        <f t="shared" ca="1" si="50"/>
        <v>8.8485940902466602</v>
      </c>
    </row>
    <row r="373" spans="7:18" x14ac:dyDescent="0.25">
      <c r="G373" s="2">
        <f t="shared" ca="1" si="44"/>
        <v>0.69333245603354465</v>
      </c>
      <c r="H373" s="3">
        <f t="shared" ca="1" si="45"/>
        <v>1</v>
      </c>
      <c r="I373" s="3">
        <f t="shared" ca="1" si="46"/>
        <v>3.1915248196373533</v>
      </c>
      <c r="J373" s="3">
        <f t="shared" ca="1" si="47"/>
        <v>8.932419632492298</v>
      </c>
      <c r="P373" s="3">
        <f t="shared" ca="1" si="48"/>
        <v>-10.580264306339799</v>
      </c>
      <c r="Q373" s="3">
        <f t="shared" ca="1" si="49"/>
        <v>-3.6384476436297342</v>
      </c>
      <c r="R373" s="3">
        <f t="shared" ca="1" si="50"/>
        <v>11.188399977094257</v>
      </c>
    </row>
    <row r="374" spans="7:18" x14ac:dyDescent="0.25">
      <c r="G374" s="2">
        <f t="shared" ca="1" si="44"/>
        <v>0.87549383707409667</v>
      </c>
      <c r="H374" s="3">
        <f t="shared" ca="1" si="45"/>
        <v>1</v>
      </c>
      <c r="I374" s="3">
        <f t="shared" ca="1" si="46"/>
        <v>1.6046598304028292</v>
      </c>
      <c r="J374" s="3">
        <f t="shared" ca="1" si="47"/>
        <v>6.3337584229326849</v>
      </c>
      <c r="P374" s="3">
        <f t="shared" ca="1" si="48"/>
        <v>-11.809523197851801</v>
      </c>
      <c r="Q374" s="3">
        <f t="shared" ca="1" si="49"/>
        <v>-0.60777787857251053</v>
      </c>
      <c r="R374" s="3">
        <f t="shared" ca="1" si="50"/>
        <v>11.825152519535717</v>
      </c>
    </row>
    <row r="375" spans="7:18" x14ac:dyDescent="0.25">
      <c r="G375" s="2">
        <f t="shared" ca="1" si="44"/>
        <v>0.97758187806757912</v>
      </c>
      <c r="H375" s="3">
        <f t="shared" ca="1" si="45"/>
        <v>2</v>
      </c>
      <c r="I375" s="3">
        <f t="shared" ca="1" si="46"/>
        <v>6.9879200483631418</v>
      </c>
      <c r="J375" s="3">
        <f t="shared" ca="1" si="47"/>
        <v>13.217337145169543</v>
      </c>
      <c r="P375" s="3">
        <f t="shared" ca="1" si="48"/>
        <v>-4.0446703236875106</v>
      </c>
      <c r="Q375" s="3">
        <f t="shared" ca="1" si="49"/>
        <v>-2.2734316365911522</v>
      </c>
      <c r="R375" s="3">
        <f t="shared" ca="1" si="50"/>
        <v>4.6398113575415927</v>
      </c>
    </row>
    <row r="376" spans="7:18" x14ac:dyDescent="0.25">
      <c r="G376" s="2">
        <f t="shared" ca="1" si="44"/>
        <v>0.11195358176386139</v>
      </c>
      <c r="H376" s="3">
        <f t="shared" ca="1" si="45"/>
        <v>0</v>
      </c>
      <c r="I376" s="3">
        <f t="shared" ca="1" si="46"/>
        <v>3.1941555731004323</v>
      </c>
      <c r="J376" s="3">
        <f t="shared" ca="1" si="47"/>
        <v>8.9361003422919776</v>
      </c>
      <c r="P376" s="3">
        <f t="shared" ca="1" si="48"/>
        <v>-11.548901874540471</v>
      </c>
      <c r="Q376" s="3">
        <f t="shared" ca="1" si="49"/>
        <v>5.2898310773497288</v>
      </c>
      <c r="R376" s="3">
        <f t="shared" ca="1" si="50"/>
        <v>12.702733852783794</v>
      </c>
    </row>
    <row r="377" spans="7:18" x14ac:dyDescent="0.25">
      <c r="G377" s="2">
        <f t="shared" ca="1" si="44"/>
        <v>5.6617865408627788E-2</v>
      </c>
      <c r="H377" s="3">
        <f t="shared" ca="1" si="45"/>
        <v>0</v>
      </c>
      <c r="I377" s="3">
        <f t="shared" ca="1" si="46"/>
        <v>1.473278780799022</v>
      </c>
      <c r="J377" s="3">
        <f t="shared" ca="1" si="47"/>
        <v>6.0689347928590855</v>
      </c>
      <c r="P377" s="3">
        <f t="shared" ca="1" si="48"/>
        <v>-10.895394717581741</v>
      </c>
      <c r="Q377" s="3">
        <f t="shared" ca="1" si="49"/>
        <v>-0.68041338684257124</v>
      </c>
      <c r="R377" s="3">
        <f t="shared" ca="1" si="50"/>
        <v>10.916619826159684</v>
      </c>
    </row>
    <row r="378" spans="7:18" x14ac:dyDescent="0.25">
      <c r="G378" s="2">
        <f t="shared" ca="1" si="44"/>
        <v>0.77678533460082744</v>
      </c>
      <c r="H378" s="3">
        <f t="shared" ca="1" si="45"/>
        <v>1</v>
      </c>
      <c r="I378" s="3">
        <f t="shared" ca="1" si="46"/>
        <v>1.3654788239070994</v>
      </c>
      <c r="J378" s="3">
        <f t="shared" ca="1" si="47"/>
        <v>5.8426852215122356</v>
      </c>
      <c r="P378" s="3">
        <f t="shared" ca="1" si="48"/>
        <v>-3.6031135820706917</v>
      </c>
      <c r="Q378" s="3">
        <f t="shared" ca="1" si="49"/>
        <v>-8.0689530122888939</v>
      </c>
      <c r="R378" s="3">
        <f t="shared" ca="1" si="50"/>
        <v>8.8368789852429401</v>
      </c>
    </row>
    <row r="379" spans="7:18" x14ac:dyDescent="0.25">
      <c r="G379" s="2">
        <f t="shared" ca="1" si="44"/>
        <v>0.72687029333451447</v>
      </c>
      <c r="H379" s="3">
        <f t="shared" ca="1" si="45"/>
        <v>1</v>
      </c>
      <c r="I379" s="3">
        <f t="shared" ca="1" si="46"/>
        <v>2.1596578481004749</v>
      </c>
      <c r="J379" s="3">
        <f t="shared" ca="1" si="47"/>
        <v>7.3478871930992433</v>
      </c>
      <c r="P379" s="3">
        <f t="shared" ca="1" si="48"/>
        <v>-7.2128109847070494</v>
      </c>
      <c r="Q379" s="3">
        <f t="shared" ca="1" si="49"/>
        <v>3.5895171441390694</v>
      </c>
      <c r="R379" s="3">
        <f t="shared" ca="1" si="50"/>
        <v>8.05662929699381</v>
      </c>
    </row>
    <row r="380" spans="7:18" x14ac:dyDescent="0.25">
      <c r="G380" s="2">
        <f t="shared" ca="1" si="44"/>
        <v>0.43902834740694241</v>
      </c>
      <c r="H380" s="3">
        <f t="shared" ca="1" si="45"/>
        <v>0</v>
      </c>
      <c r="I380" s="3">
        <f t="shared" ca="1" si="46"/>
        <v>0.38398454564176671</v>
      </c>
      <c r="J380" s="3">
        <f t="shared" ca="1" si="47"/>
        <v>3.0983243279302068</v>
      </c>
      <c r="P380" s="3">
        <f t="shared" ca="1" si="48"/>
        <v>-2.4312770459244049</v>
      </c>
      <c r="Q380" s="3">
        <f t="shared" ca="1" si="49"/>
        <v>6.0601050987675098E-2</v>
      </c>
      <c r="R380" s="3">
        <f t="shared" ca="1" si="50"/>
        <v>2.43203218757888</v>
      </c>
    </row>
    <row r="381" spans="7:18" x14ac:dyDescent="0.25">
      <c r="G381" s="2">
        <f t="shared" ca="1" si="44"/>
        <v>0.52739526790086899</v>
      </c>
      <c r="H381" s="3">
        <f t="shared" ca="1" si="45"/>
        <v>0</v>
      </c>
      <c r="I381" s="3">
        <f t="shared" ca="1" si="46"/>
        <v>3.8243396740981792</v>
      </c>
      <c r="J381" s="3">
        <f t="shared" ca="1" si="47"/>
        <v>9.7779594932917604</v>
      </c>
      <c r="P381" s="3">
        <f t="shared" ca="1" si="48"/>
        <v>-12.699255753274027</v>
      </c>
      <c r="Q381" s="3">
        <f t="shared" ca="1" si="49"/>
        <v>-3.078868827309075</v>
      </c>
      <c r="R381" s="3">
        <f t="shared" ca="1" si="50"/>
        <v>13.067154623055435</v>
      </c>
    </row>
    <row r="382" spans="7:18" x14ac:dyDescent="0.25">
      <c r="G382" s="2">
        <f t="shared" ca="1" si="44"/>
        <v>9.6691326930694599E-3</v>
      </c>
      <c r="H382" s="3">
        <f t="shared" ca="1" si="45"/>
        <v>0</v>
      </c>
      <c r="I382" s="3">
        <f t="shared" ca="1" si="46"/>
        <v>0.65550075800280749</v>
      </c>
      <c r="J382" s="3">
        <f t="shared" ca="1" si="47"/>
        <v>4.0481500651618871</v>
      </c>
      <c r="P382" s="3">
        <f t="shared" ca="1" si="48"/>
        <v>-5.0748163428382309</v>
      </c>
      <c r="Q382" s="3">
        <f t="shared" ca="1" si="49"/>
        <v>-7.2421471517027447</v>
      </c>
      <c r="R382" s="3">
        <f t="shared" ca="1" si="50"/>
        <v>8.8432152682411935</v>
      </c>
    </row>
    <row r="383" spans="7:18" x14ac:dyDescent="0.25">
      <c r="G383" s="2">
        <f t="shared" ca="1" si="44"/>
        <v>0.47083533070794614</v>
      </c>
      <c r="H383" s="3">
        <f t="shared" ca="1" si="45"/>
        <v>0</v>
      </c>
      <c r="I383" s="3">
        <f t="shared" ca="1" si="46"/>
        <v>1.4839275994051624</v>
      </c>
      <c r="J383" s="3">
        <f t="shared" ca="1" si="47"/>
        <v>6.0908283496687918</v>
      </c>
      <c r="P383" s="3">
        <f t="shared" ca="1" si="48"/>
        <v>7.5523697888707453</v>
      </c>
      <c r="Q383" s="3">
        <f t="shared" ca="1" si="49"/>
        <v>3.1743831906892424</v>
      </c>
      <c r="R383" s="3">
        <f t="shared" ca="1" si="50"/>
        <v>8.1923743853157713</v>
      </c>
    </row>
    <row r="384" spans="7:18" x14ac:dyDescent="0.25">
      <c r="G384" s="2">
        <f t="shared" ca="1" si="44"/>
        <v>0.46283780939210306</v>
      </c>
      <c r="H384" s="3">
        <f t="shared" ca="1" si="45"/>
        <v>0</v>
      </c>
      <c r="I384" s="3">
        <f t="shared" ca="1" si="46"/>
        <v>0.63865592399835458</v>
      </c>
      <c r="J384" s="3">
        <f t="shared" ca="1" si="47"/>
        <v>3.9957975549267837</v>
      </c>
      <c r="P384" s="3">
        <f t="shared" ca="1" si="48"/>
        <v>-1.7036760000089894</v>
      </c>
      <c r="Q384" s="3">
        <f t="shared" ca="1" si="49"/>
        <v>-3.5691978110896896</v>
      </c>
      <c r="R384" s="3">
        <f t="shared" ca="1" si="50"/>
        <v>3.954957007060135</v>
      </c>
    </row>
    <row r="385" spans="7:18" x14ac:dyDescent="0.25">
      <c r="G385" s="2">
        <f t="shared" ca="1" si="44"/>
        <v>0.41757451532827983</v>
      </c>
      <c r="H385" s="3">
        <f t="shared" ca="1" si="45"/>
        <v>0</v>
      </c>
      <c r="I385" s="3">
        <f t="shared" ca="1" si="46"/>
        <v>2.7948047648946686</v>
      </c>
      <c r="J385" s="3">
        <f t="shared" ca="1" si="47"/>
        <v>8.3588347945372572</v>
      </c>
      <c r="P385" s="3">
        <f t="shared" ca="1" si="48"/>
        <v>-9.1675289232330286</v>
      </c>
      <c r="Q385" s="3">
        <f t="shared" ca="1" si="49"/>
        <v>-0.79003454530214889</v>
      </c>
      <c r="R385" s="3">
        <f t="shared" ca="1" si="50"/>
        <v>9.201507547194911</v>
      </c>
    </row>
    <row r="386" spans="7:18" x14ac:dyDescent="0.25">
      <c r="G386" s="2">
        <f t="shared" ca="1" si="44"/>
        <v>7.900953941430755E-2</v>
      </c>
      <c r="H386" s="3">
        <f t="shared" ca="1" si="45"/>
        <v>0</v>
      </c>
      <c r="I386" s="3">
        <f t="shared" ca="1" si="46"/>
        <v>4.9281252148350347</v>
      </c>
      <c r="J386" s="3">
        <f t="shared" ca="1" si="47"/>
        <v>11.099690552933261</v>
      </c>
      <c r="P386" s="3">
        <f t="shared" ca="1" si="48"/>
        <v>-8.5510732314463951</v>
      </c>
      <c r="Q386" s="3">
        <f t="shared" ca="1" si="49"/>
        <v>-1.8531585637158503</v>
      </c>
      <c r="R386" s="3">
        <f t="shared" ca="1" si="50"/>
        <v>8.7495742794625428</v>
      </c>
    </row>
    <row r="387" spans="7:18" x14ac:dyDescent="0.25">
      <c r="G387" s="2">
        <f t="shared" ca="1" si="44"/>
        <v>0.15163486240752655</v>
      </c>
      <c r="H387" s="3">
        <f t="shared" ca="1" si="45"/>
        <v>0</v>
      </c>
      <c r="I387" s="3">
        <f t="shared" ca="1" si="46"/>
        <v>0.13639388558852242</v>
      </c>
      <c r="J387" s="3">
        <f t="shared" ca="1" si="47"/>
        <v>1.8465771415548988</v>
      </c>
      <c r="P387" s="3">
        <f t="shared" ca="1" si="48"/>
        <v>-7.8905302757520683</v>
      </c>
      <c r="Q387" s="3">
        <f t="shared" ca="1" si="49"/>
        <v>-3.8845035473968079</v>
      </c>
      <c r="R387" s="3">
        <f t="shared" ca="1" si="50"/>
        <v>8.7948755444462314</v>
      </c>
    </row>
    <row r="388" spans="7:18" x14ac:dyDescent="0.25">
      <c r="G388" s="2">
        <f t="shared" ref="G388:G451" ca="1" si="51">RAND()</f>
        <v>5.363773665457594E-3</v>
      </c>
      <c r="H388" s="3">
        <f t="shared" ref="H388:H451" ca="1" si="52">VLOOKUP(G388,$B$9:$C$169,2,TRUE)</f>
        <v>0</v>
      </c>
      <c r="I388" s="3">
        <f t="shared" ref="I388:I451" ca="1" si="53">_xlfn.CHISQ.INV(RAND(),2*H388+2)</f>
        <v>1.0779128077098894</v>
      </c>
      <c r="J388" s="3">
        <f t="shared" ref="J388:J451" ca="1" si="54">$C$4*SQRT(I388)</f>
        <v>5.1911289901857804</v>
      </c>
      <c r="P388" s="3">
        <f t="shared" ref="P388:P451" ca="1" si="55">_xlfn.NORM.INV(RAND(),$C$3*COS($O$2),$C$4)</f>
        <v>-5.6604485732910828</v>
      </c>
      <c r="Q388" s="3">
        <f t="shared" ref="Q388:Q451" ca="1" si="56">_xlfn.NORM.INV(RAND(),$C$3*SIN($O$2),$C$4)</f>
        <v>-7.9420107625450047</v>
      </c>
      <c r="R388" s="3">
        <f t="shared" ref="R388:R451" ca="1" si="57">SQRT(P388^2+Q388^2)</f>
        <v>9.7527541240028057</v>
      </c>
    </row>
    <row r="389" spans="7:18" x14ac:dyDescent="0.25">
      <c r="G389" s="2">
        <f t="shared" ca="1" si="51"/>
        <v>0.85078577339036976</v>
      </c>
      <c r="H389" s="3">
        <f t="shared" ca="1" si="52"/>
        <v>1</v>
      </c>
      <c r="I389" s="3">
        <f t="shared" ca="1" si="53"/>
        <v>1.6841158723662224</v>
      </c>
      <c r="J389" s="3">
        <f t="shared" ca="1" si="54"/>
        <v>6.4886745032522288</v>
      </c>
      <c r="P389" s="3">
        <f t="shared" ca="1" si="55"/>
        <v>-5.570725371496505</v>
      </c>
      <c r="Q389" s="3">
        <f t="shared" ca="1" si="56"/>
        <v>-4.4736221029251455</v>
      </c>
      <c r="R389" s="3">
        <f t="shared" ca="1" si="57"/>
        <v>7.1446676538811289</v>
      </c>
    </row>
    <row r="390" spans="7:18" x14ac:dyDescent="0.25">
      <c r="G390" s="2">
        <f t="shared" ca="1" si="51"/>
        <v>0.32731912832007448</v>
      </c>
      <c r="H390" s="3">
        <f t="shared" ca="1" si="52"/>
        <v>0</v>
      </c>
      <c r="I390" s="3">
        <f t="shared" ca="1" si="53"/>
        <v>2.3985064495662956</v>
      </c>
      <c r="J390" s="3">
        <f t="shared" ca="1" si="54"/>
        <v>7.7435561106740476</v>
      </c>
      <c r="P390" s="3">
        <f t="shared" ca="1" si="55"/>
        <v>-5.486952686005127</v>
      </c>
      <c r="Q390" s="3">
        <f t="shared" ca="1" si="56"/>
        <v>-15.687327272275072</v>
      </c>
      <c r="R390" s="3">
        <f t="shared" ca="1" si="57"/>
        <v>16.619232434920818</v>
      </c>
    </row>
    <row r="391" spans="7:18" x14ac:dyDescent="0.25">
      <c r="G391" s="2">
        <f t="shared" ca="1" si="51"/>
        <v>0.60530326019836678</v>
      </c>
      <c r="H391" s="3">
        <f t="shared" ca="1" si="52"/>
        <v>0</v>
      </c>
      <c r="I391" s="3">
        <f t="shared" ca="1" si="53"/>
        <v>2.1981863850056604</v>
      </c>
      <c r="J391" s="3">
        <f t="shared" ca="1" si="54"/>
        <v>7.4131410093928141</v>
      </c>
      <c r="P391" s="3">
        <f t="shared" ca="1" si="55"/>
        <v>-11.82468658492977</v>
      </c>
      <c r="Q391" s="3">
        <f t="shared" ca="1" si="56"/>
        <v>4.9808105819814585</v>
      </c>
      <c r="R391" s="3">
        <f t="shared" ca="1" si="57"/>
        <v>12.830888000656717</v>
      </c>
    </row>
    <row r="392" spans="7:18" x14ac:dyDescent="0.25">
      <c r="G392" s="2">
        <f t="shared" ca="1" si="51"/>
        <v>0.19441494511520918</v>
      </c>
      <c r="H392" s="3">
        <f t="shared" ca="1" si="52"/>
        <v>0</v>
      </c>
      <c r="I392" s="3">
        <f t="shared" ca="1" si="53"/>
        <v>0.14995636303584989</v>
      </c>
      <c r="J392" s="3">
        <f t="shared" ca="1" si="54"/>
        <v>1.9362099772225758</v>
      </c>
      <c r="P392" s="3">
        <f t="shared" ca="1" si="55"/>
        <v>-9.2489049110435193</v>
      </c>
      <c r="Q392" s="3">
        <f t="shared" ca="1" si="56"/>
        <v>5.516133748830744</v>
      </c>
      <c r="R392" s="3">
        <f t="shared" ca="1" si="57"/>
        <v>10.768935582893718</v>
      </c>
    </row>
    <row r="393" spans="7:18" x14ac:dyDescent="0.25">
      <c r="G393" s="2">
        <f t="shared" ca="1" si="51"/>
        <v>0.35169199623969793</v>
      </c>
      <c r="H393" s="3">
        <f t="shared" ca="1" si="52"/>
        <v>0</v>
      </c>
      <c r="I393" s="3">
        <f t="shared" ca="1" si="53"/>
        <v>0.70153145406715733</v>
      </c>
      <c r="J393" s="3">
        <f t="shared" ca="1" si="54"/>
        <v>4.1878737268068305</v>
      </c>
      <c r="P393" s="3">
        <f t="shared" ca="1" si="55"/>
        <v>-9.7595298139389968</v>
      </c>
      <c r="Q393" s="3">
        <f t="shared" ca="1" si="56"/>
        <v>-3.1005588373654458</v>
      </c>
      <c r="R393" s="3">
        <f t="shared" ca="1" si="57"/>
        <v>10.240209338345048</v>
      </c>
    </row>
    <row r="394" spans="7:18" x14ac:dyDescent="0.25">
      <c r="G394" s="2">
        <f t="shared" ca="1" si="51"/>
        <v>0.5876392845957531</v>
      </c>
      <c r="H394" s="3">
        <f t="shared" ca="1" si="52"/>
        <v>0</v>
      </c>
      <c r="I394" s="3">
        <f t="shared" ca="1" si="53"/>
        <v>2.589900111276791</v>
      </c>
      <c r="J394" s="3">
        <f t="shared" ca="1" si="54"/>
        <v>8.0465832986379855</v>
      </c>
      <c r="P394" s="3">
        <f t="shared" ca="1" si="55"/>
        <v>-4.3897945066981956</v>
      </c>
      <c r="Q394" s="3">
        <f t="shared" ca="1" si="56"/>
        <v>9.6897659686523349E-2</v>
      </c>
      <c r="R394" s="3">
        <f t="shared" ca="1" si="57"/>
        <v>4.3908638065294605</v>
      </c>
    </row>
    <row r="395" spans="7:18" x14ac:dyDescent="0.25">
      <c r="G395" s="2">
        <f t="shared" ca="1" si="51"/>
        <v>0.75554712018724257</v>
      </c>
      <c r="H395" s="3">
        <f t="shared" ca="1" si="52"/>
        <v>1</v>
      </c>
      <c r="I395" s="3">
        <f t="shared" ca="1" si="53"/>
        <v>4.0718545888432871</v>
      </c>
      <c r="J395" s="3">
        <f t="shared" ca="1" si="54"/>
        <v>10.089418453066667</v>
      </c>
      <c r="P395" s="3">
        <f t="shared" ca="1" si="55"/>
        <v>-0.35701871846347721</v>
      </c>
      <c r="Q395" s="3">
        <f t="shared" ca="1" si="56"/>
        <v>-6.9035577015982268</v>
      </c>
      <c r="R395" s="3">
        <f t="shared" ca="1" si="57"/>
        <v>6.9127831807911848</v>
      </c>
    </row>
    <row r="396" spans="7:18" x14ac:dyDescent="0.25">
      <c r="G396" s="2">
        <f t="shared" ca="1" si="51"/>
        <v>0.41017989250332954</v>
      </c>
      <c r="H396" s="3">
        <f t="shared" ca="1" si="52"/>
        <v>0</v>
      </c>
      <c r="I396" s="3">
        <f t="shared" ca="1" si="53"/>
        <v>1.3711368335253602</v>
      </c>
      <c r="J396" s="3">
        <f t="shared" ca="1" si="54"/>
        <v>5.8547776079142411</v>
      </c>
      <c r="P396" s="3">
        <f t="shared" ca="1" si="55"/>
        <v>-7.8281778596177292</v>
      </c>
      <c r="Q396" s="3">
        <f t="shared" ca="1" si="56"/>
        <v>9.2591924336713909</v>
      </c>
      <c r="R396" s="3">
        <f t="shared" ca="1" si="57"/>
        <v>12.124892293359423</v>
      </c>
    </row>
    <row r="397" spans="7:18" x14ac:dyDescent="0.25">
      <c r="G397" s="2">
        <f t="shared" ca="1" si="51"/>
        <v>0.92923765267419989</v>
      </c>
      <c r="H397" s="3">
        <f t="shared" ca="1" si="52"/>
        <v>2</v>
      </c>
      <c r="I397" s="3">
        <f t="shared" ca="1" si="53"/>
        <v>9.8033641669932212</v>
      </c>
      <c r="J397" s="3">
        <f t="shared" ca="1" si="54"/>
        <v>15.655162221287602</v>
      </c>
      <c r="P397" s="3">
        <f t="shared" ca="1" si="55"/>
        <v>-4.8513390826993144</v>
      </c>
      <c r="Q397" s="3">
        <f t="shared" ca="1" si="56"/>
        <v>-3.3843770479830577</v>
      </c>
      <c r="R397" s="3">
        <f t="shared" ca="1" si="57"/>
        <v>5.9151922114366107</v>
      </c>
    </row>
    <row r="398" spans="7:18" x14ac:dyDescent="0.25">
      <c r="G398" s="2">
        <f t="shared" ca="1" si="51"/>
        <v>0.45089678273687617</v>
      </c>
      <c r="H398" s="3">
        <f t="shared" ca="1" si="52"/>
        <v>0</v>
      </c>
      <c r="I398" s="3">
        <f t="shared" ca="1" si="53"/>
        <v>2.8075763063083801</v>
      </c>
      <c r="J398" s="3">
        <f t="shared" ca="1" si="54"/>
        <v>8.3779118912596289</v>
      </c>
      <c r="P398" s="3">
        <f t="shared" ca="1" si="55"/>
        <v>0.37700767877337338</v>
      </c>
      <c r="Q398" s="3">
        <f t="shared" ca="1" si="56"/>
        <v>-4.8669126983367468</v>
      </c>
      <c r="R398" s="3">
        <f t="shared" ca="1" si="57"/>
        <v>4.8814930096319467</v>
      </c>
    </row>
    <row r="399" spans="7:18" x14ac:dyDescent="0.25">
      <c r="G399" s="2">
        <f t="shared" ca="1" si="51"/>
        <v>0.47417509569673366</v>
      </c>
      <c r="H399" s="3">
        <f t="shared" ca="1" si="52"/>
        <v>0</v>
      </c>
      <c r="I399" s="3">
        <f t="shared" ca="1" si="53"/>
        <v>4.7242743928566808</v>
      </c>
      <c r="J399" s="3">
        <f t="shared" ca="1" si="54"/>
        <v>10.867698000101818</v>
      </c>
      <c r="P399" s="3">
        <f t="shared" ca="1" si="55"/>
        <v>-8.2876603373682691</v>
      </c>
      <c r="Q399" s="3">
        <f t="shared" ca="1" si="56"/>
        <v>-1.4709836976316399</v>
      </c>
      <c r="R399" s="3">
        <f t="shared" ca="1" si="57"/>
        <v>8.4171911530085364</v>
      </c>
    </row>
    <row r="400" spans="7:18" x14ac:dyDescent="0.25">
      <c r="G400" s="2">
        <f t="shared" ca="1" si="51"/>
        <v>4.2134063300072078E-2</v>
      </c>
      <c r="H400" s="3">
        <f t="shared" ca="1" si="52"/>
        <v>0</v>
      </c>
      <c r="I400" s="3">
        <f t="shared" ca="1" si="53"/>
        <v>4.8444419458017709</v>
      </c>
      <c r="J400" s="3">
        <f t="shared" ca="1" si="54"/>
        <v>11.00504650808184</v>
      </c>
      <c r="P400" s="3">
        <f t="shared" ca="1" si="55"/>
        <v>-8.9937268130184691</v>
      </c>
      <c r="Q400" s="3">
        <f t="shared" ca="1" si="56"/>
        <v>3.8693298524748987</v>
      </c>
      <c r="R400" s="3">
        <f t="shared" ca="1" si="57"/>
        <v>9.790752549955533</v>
      </c>
    </row>
    <row r="401" spans="7:18" x14ac:dyDescent="0.25">
      <c r="G401" s="2">
        <f t="shared" ca="1" si="51"/>
        <v>0.36490950707556979</v>
      </c>
      <c r="H401" s="3">
        <f t="shared" ca="1" si="52"/>
        <v>0</v>
      </c>
      <c r="I401" s="3">
        <f t="shared" ca="1" si="53"/>
        <v>6.0315479192879584</v>
      </c>
      <c r="J401" s="3">
        <f t="shared" ca="1" si="54"/>
        <v>12.279604960347827</v>
      </c>
      <c r="P401" s="3">
        <f t="shared" ca="1" si="55"/>
        <v>-11.65777041273315</v>
      </c>
      <c r="Q401" s="3">
        <f t="shared" ca="1" si="56"/>
        <v>-5.0586358490284505E-2</v>
      </c>
      <c r="R401" s="3">
        <f t="shared" ca="1" si="57"/>
        <v>11.65788016646516</v>
      </c>
    </row>
    <row r="402" spans="7:18" x14ac:dyDescent="0.25">
      <c r="G402" s="2">
        <f t="shared" ca="1" si="51"/>
        <v>0.7362266247338517</v>
      </c>
      <c r="H402" s="3">
        <f t="shared" ca="1" si="52"/>
        <v>1</v>
      </c>
      <c r="I402" s="3">
        <f t="shared" ca="1" si="53"/>
        <v>8.0610382687421698</v>
      </c>
      <c r="J402" s="3">
        <f t="shared" ca="1" si="54"/>
        <v>14.195983823552147</v>
      </c>
      <c r="P402" s="3">
        <f t="shared" ca="1" si="55"/>
        <v>-5.5495425342217537</v>
      </c>
      <c r="Q402" s="3">
        <f t="shared" ca="1" si="56"/>
        <v>-5.9368989088621467</v>
      </c>
      <c r="R402" s="3">
        <f t="shared" ca="1" si="57"/>
        <v>8.1267577171455621</v>
      </c>
    </row>
    <row r="403" spans="7:18" x14ac:dyDescent="0.25">
      <c r="G403" s="2">
        <f t="shared" ca="1" si="51"/>
        <v>0.75734778017890769</v>
      </c>
      <c r="H403" s="3">
        <f t="shared" ca="1" si="52"/>
        <v>1</v>
      </c>
      <c r="I403" s="3">
        <f t="shared" ca="1" si="53"/>
        <v>2.0799347287882166</v>
      </c>
      <c r="J403" s="3">
        <f t="shared" ca="1" si="54"/>
        <v>7.210989406434142</v>
      </c>
      <c r="P403" s="3">
        <f t="shared" ca="1" si="55"/>
        <v>-10.781503931598238</v>
      </c>
      <c r="Q403" s="3">
        <f t="shared" ca="1" si="56"/>
        <v>0.4201303261940898</v>
      </c>
      <c r="R403" s="3">
        <f t="shared" ca="1" si="57"/>
        <v>10.789686581085485</v>
      </c>
    </row>
    <row r="404" spans="7:18" x14ac:dyDescent="0.25">
      <c r="G404" s="2">
        <f t="shared" ca="1" si="51"/>
        <v>0.42803654823482162</v>
      </c>
      <c r="H404" s="3">
        <f t="shared" ca="1" si="52"/>
        <v>0</v>
      </c>
      <c r="I404" s="3">
        <f t="shared" ca="1" si="53"/>
        <v>3.4074598119802144</v>
      </c>
      <c r="J404" s="3">
        <f t="shared" ca="1" si="54"/>
        <v>9.2296530432896198</v>
      </c>
      <c r="P404" s="3">
        <f t="shared" ca="1" si="55"/>
        <v>-10.350667847815272</v>
      </c>
      <c r="Q404" s="3">
        <f t="shared" ca="1" si="56"/>
        <v>-1.6236697586606195</v>
      </c>
      <c r="R404" s="3">
        <f t="shared" ca="1" si="57"/>
        <v>10.477243357915567</v>
      </c>
    </row>
    <row r="405" spans="7:18" x14ac:dyDescent="0.25">
      <c r="G405" s="2">
        <f t="shared" ca="1" si="51"/>
        <v>0.84424583463725134</v>
      </c>
      <c r="H405" s="3">
        <f t="shared" ca="1" si="52"/>
        <v>1</v>
      </c>
      <c r="I405" s="3">
        <f t="shared" ca="1" si="53"/>
        <v>6.6238685039626795</v>
      </c>
      <c r="J405" s="3">
        <f t="shared" ca="1" si="54"/>
        <v>12.868438623200058</v>
      </c>
      <c r="P405" s="3">
        <f t="shared" ca="1" si="55"/>
        <v>2.2341506101074771E-2</v>
      </c>
      <c r="Q405" s="3">
        <f t="shared" ca="1" si="56"/>
        <v>1.3956245509867844</v>
      </c>
      <c r="R405" s="3">
        <f t="shared" ca="1" si="57"/>
        <v>1.395803363734279</v>
      </c>
    </row>
    <row r="406" spans="7:18" x14ac:dyDescent="0.25">
      <c r="G406" s="2">
        <f t="shared" ca="1" si="51"/>
        <v>0.91173101730040984</v>
      </c>
      <c r="H406" s="3">
        <f t="shared" ca="1" si="52"/>
        <v>2</v>
      </c>
      <c r="I406" s="3">
        <f t="shared" ca="1" si="53"/>
        <v>6.6918596732133615</v>
      </c>
      <c r="J406" s="3">
        <f t="shared" ca="1" si="54"/>
        <v>12.934314509487312</v>
      </c>
      <c r="P406" s="3">
        <f t="shared" ca="1" si="55"/>
        <v>1.5109006253896471</v>
      </c>
      <c r="Q406" s="3">
        <f t="shared" ca="1" si="56"/>
        <v>-1.5104584151647134</v>
      </c>
      <c r="R406" s="3">
        <f t="shared" ca="1" si="57"/>
        <v>2.1364234888581253</v>
      </c>
    </row>
    <row r="407" spans="7:18" x14ac:dyDescent="0.25">
      <c r="G407" s="2">
        <f t="shared" ca="1" si="51"/>
        <v>0.39536388714547244</v>
      </c>
      <c r="H407" s="3">
        <f t="shared" ca="1" si="52"/>
        <v>0</v>
      </c>
      <c r="I407" s="3">
        <f t="shared" ca="1" si="53"/>
        <v>2.444175063925031</v>
      </c>
      <c r="J407" s="3">
        <f t="shared" ca="1" si="54"/>
        <v>7.8169288469401952</v>
      </c>
      <c r="P407" s="3">
        <f t="shared" ca="1" si="55"/>
        <v>-16.846885105925296</v>
      </c>
      <c r="Q407" s="3">
        <f t="shared" ca="1" si="56"/>
        <v>-3.253786457709793</v>
      </c>
      <c r="R407" s="3">
        <f t="shared" ca="1" si="57"/>
        <v>17.158224386125248</v>
      </c>
    </row>
    <row r="408" spans="7:18" x14ac:dyDescent="0.25">
      <c r="G408" s="2">
        <f t="shared" ca="1" si="51"/>
        <v>0.92392054569124593</v>
      </c>
      <c r="H408" s="3">
        <f t="shared" ca="1" si="52"/>
        <v>2</v>
      </c>
      <c r="I408" s="3">
        <f t="shared" ca="1" si="53"/>
        <v>4.8293442995903231</v>
      </c>
      <c r="J408" s="3">
        <f t="shared" ca="1" si="54"/>
        <v>10.987884577558962</v>
      </c>
      <c r="P408" s="3">
        <f t="shared" ca="1" si="55"/>
        <v>-11.710114340932773</v>
      </c>
      <c r="Q408" s="3">
        <f t="shared" ca="1" si="56"/>
        <v>-5.0505650784349987</v>
      </c>
      <c r="R408" s="3">
        <f t="shared" ca="1" si="57"/>
        <v>12.752842251405234</v>
      </c>
    </row>
    <row r="409" spans="7:18" x14ac:dyDescent="0.25">
      <c r="G409" s="2">
        <f t="shared" ca="1" si="51"/>
        <v>0.13859105553865758</v>
      </c>
      <c r="H409" s="3">
        <f t="shared" ca="1" si="52"/>
        <v>0</v>
      </c>
      <c r="I409" s="3">
        <f t="shared" ca="1" si="53"/>
        <v>0.87189698322789755</v>
      </c>
      <c r="J409" s="3">
        <f t="shared" ca="1" si="54"/>
        <v>4.6687712067199696</v>
      </c>
      <c r="P409" s="3">
        <f t="shared" ca="1" si="55"/>
        <v>-6.1107768598293308</v>
      </c>
      <c r="Q409" s="3">
        <f t="shared" ca="1" si="56"/>
        <v>5.5151459961201317</v>
      </c>
      <c r="R409" s="3">
        <f t="shared" ca="1" si="57"/>
        <v>8.2315508374270241</v>
      </c>
    </row>
    <row r="410" spans="7:18" x14ac:dyDescent="0.25">
      <c r="G410" s="2">
        <f t="shared" ca="1" si="51"/>
        <v>1.0693805962054048E-2</v>
      </c>
      <c r="H410" s="3">
        <f t="shared" ca="1" si="52"/>
        <v>0</v>
      </c>
      <c r="I410" s="3">
        <f t="shared" ca="1" si="53"/>
        <v>0.34138237858395237</v>
      </c>
      <c r="J410" s="3">
        <f t="shared" ca="1" si="54"/>
        <v>2.9213968344952401</v>
      </c>
      <c r="P410" s="3">
        <f t="shared" ca="1" si="55"/>
        <v>-5.6424677323192647</v>
      </c>
      <c r="Q410" s="3">
        <f t="shared" ca="1" si="56"/>
        <v>2.4305447934681612</v>
      </c>
      <c r="R410" s="3">
        <f t="shared" ca="1" si="57"/>
        <v>6.1436951505848088</v>
      </c>
    </row>
    <row r="411" spans="7:18" x14ac:dyDescent="0.25">
      <c r="G411" s="2">
        <f t="shared" ca="1" si="51"/>
        <v>0.41605335285053469</v>
      </c>
      <c r="H411" s="3">
        <f t="shared" ca="1" si="52"/>
        <v>0</v>
      </c>
      <c r="I411" s="3">
        <f t="shared" ca="1" si="53"/>
        <v>4.7595072545074864</v>
      </c>
      <c r="J411" s="3">
        <f t="shared" ca="1" si="54"/>
        <v>10.908147476207276</v>
      </c>
      <c r="P411" s="3">
        <f t="shared" ca="1" si="55"/>
        <v>-9.1046744227838285</v>
      </c>
      <c r="Q411" s="3">
        <f t="shared" ca="1" si="56"/>
        <v>2.3197594289251877</v>
      </c>
      <c r="R411" s="3">
        <f t="shared" ca="1" si="57"/>
        <v>9.3955510829850404</v>
      </c>
    </row>
    <row r="412" spans="7:18" x14ac:dyDescent="0.25">
      <c r="G412" s="2">
        <f t="shared" ca="1" si="51"/>
        <v>0.93564715187387959</v>
      </c>
      <c r="H412" s="3">
        <f t="shared" ca="1" si="52"/>
        <v>2</v>
      </c>
      <c r="I412" s="3">
        <f t="shared" ca="1" si="53"/>
        <v>3.3724641283177381</v>
      </c>
      <c r="J412" s="3">
        <f t="shared" ca="1" si="54"/>
        <v>9.1821350027073461</v>
      </c>
      <c r="P412" s="3">
        <f t="shared" ca="1" si="55"/>
        <v>-5.0691070661224096</v>
      </c>
      <c r="Q412" s="3">
        <f t="shared" ca="1" si="56"/>
        <v>-8.4961397692118421</v>
      </c>
      <c r="R412" s="3">
        <f t="shared" ca="1" si="57"/>
        <v>9.8934441639802664</v>
      </c>
    </row>
    <row r="413" spans="7:18" x14ac:dyDescent="0.25">
      <c r="G413" s="2">
        <f t="shared" ca="1" si="51"/>
        <v>0.34830781944945988</v>
      </c>
      <c r="H413" s="3">
        <f t="shared" ca="1" si="52"/>
        <v>0</v>
      </c>
      <c r="I413" s="3">
        <f t="shared" ca="1" si="53"/>
        <v>0.26466918190439637</v>
      </c>
      <c r="J413" s="3">
        <f t="shared" ca="1" si="54"/>
        <v>2.5723004388309523</v>
      </c>
      <c r="P413" s="3">
        <f t="shared" ca="1" si="55"/>
        <v>0.93494258411919873</v>
      </c>
      <c r="Q413" s="3">
        <f t="shared" ca="1" si="56"/>
        <v>12.377248691780656</v>
      </c>
      <c r="R413" s="3">
        <f t="shared" ca="1" si="57"/>
        <v>12.412509932071975</v>
      </c>
    </row>
    <row r="414" spans="7:18" x14ac:dyDescent="0.25">
      <c r="G414" s="2">
        <f t="shared" ca="1" si="51"/>
        <v>0.30146043590132021</v>
      </c>
      <c r="H414" s="3">
        <f t="shared" ca="1" si="52"/>
        <v>0</v>
      </c>
      <c r="I414" s="3">
        <f t="shared" ca="1" si="53"/>
        <v>1.8973535949195575</v>
      </c>
      <c r="J414" s="3">
        <f t="shared" ca="1" si="54"/>
        <v>6.887222943464872</v>
      </c>
      <c r="P414" s="3">
        <f t="shared" ca="1" si="55"/>
        <v>5.2676386761906571</v>
      </c>
      <c r="Q414" s="3">
        <f t="shared" ca="1" si="56"/>
        <v>4.3708101935149459</v>
      </c>
      <c r="R414" s="3">
        <f t="shared" ca="1" si="57"/>
        <v>6.8448520050205479</v>
      </c>
    </row>
    <row r="415" spans="7:18" x14ac:dyDescent="0.25">
      <c r="G415" s="2">
        <f t="shared" ca="1" si="51"/>
        <v>0.8419298941755502</v>
      </c>
      <c r="H415" s="3">
        <f t="shared" ca="1" si="52"/>
        <v>1</v>
      </c>
      <c r="I415" s="3">
        <f t="shared" ca="1" si="53"/>
        <v>3.9770667762212972</v>
      </c>
      <c r="J415" s="3">
        <f t="shared" ca="1" si="54"/>
        <v>9.9712922635700743</v>
      </c>
      <c r="P415" s="3">
        <f t="shared" ca="1" si="55"/>
        <v>-4.390166499705761</v>
      </c>
      <c r="Q415" s="3">
        <f t="shared" ca="1" si="56"/>
        <v>6.3378027899184772</v>
      </c>
      <c r="R415" s="3">
        <f t="shared" ca="1" si="57"/>
        <v>7.7098188110381152</v>
      </c>
    </row>
    <row r="416" spans="7:18" x14ac:dyDescent="0.25">
      <c r="G416" s="2">
        <f t="shared" ca="1" si="51"/>
        <v>0.52869397529138251</v>
      </c>
      <c r="H416" s="3">
        <f t="shared" ca="1" si="52"/>
        <v>0</v>
      </c>
      <c r="I416" s="3">
        <f t="shared" ca="1" si="53"/>
        <v>1.4477677630301133</v>
      </c>
      <c r="J416" s="3">
        <f t="shared" ca="1" si="54"/>
        <v>6.0161610746183349</v>
      </c>
      <c r="P416" s="3">
        <f t="shared" ca="1" si="55"/>
        <v>-10.281231106756628</v>
      </c>
      <c r="Q416" s="3">
        <f t="shared" ca="1" si="56"/>
        <v>4.462002917668455</v>
      </c>
      <c r="R416" s="3">
        <f t="shared" ca="1" si="57"/>
        <v>11.20772872208379</v>
      </c>
    </row>
    <row r="417" spans="7:18" x14ac:dyDescent="0.25">
      <c r="G417" s="2">
        <f t="shared" ca="1" si="51"/>
        <v>0.10694393994486762</v>
      </c>
      <c r="H417" s="3">
        <f t="shared" ca="1" si="52"/>
        <v>0</v>
      </c>
      <c r="I417" s="3">
        <f t="shared" ca="1" si="53"/>
        <v>6.3644226516432605</v>
      </c>
      <c r="J417" s="3">
        <f t="shared" ca="1" si="54"/>
        <v>12.613903689622871</v>
      </c>
      <c r="P417" s="3">
        <f t="shared" ca="1" si="55"/>
        <v>-9.1641643407248967</v>
      </c>
      <c r="Q417" s="3">
        <f t="shared" ca="1" si="56"/>
        <v>-7.8738865785692749</v>
      </c>
      <c r="R417" s="3">
        <f t="shared" ca="1" si="57"/>
        <v>12.082218253118388</v>
      </c>
    </row>
    <row r="418" spans="7:18" x14ac:dyDescent="0.25">
      <c r="G418" s="2">
        <f t="shared" ca="1" si="51"/>
        <v>0.48027125170171836</v>
      </c>
      <c r="H418" s="3">
        <f t="shared" ca="1" si="52"/>
        <v>0</v>
      </c>
      <c r="I418" s="3">
        <f t="shared" ca="1" si="53"/>
        <v>1.7642140790727192</v>
      </c>
      <c r="J418" s="3">
        <f t="shared" ca="1" si="54"/>
        <v>6.6411860369077136</v>
      </c>
      <c r="P418" s="3">
        <f t="shared" ca="1" si="55"/>
        <v>-4.5818476395000296</v>
      </c>
      <c r="Q418" s="3">
        <f t="shared" ca="1" si="56"/>
        <v>1.5009262549391831</v>
      </c>
      <c r="R418" s="3">
        <f t="shared" ca="1" si="57"/>
        <v>4.8214217212724462</v>
      </c>
    </row>
    <row r="419" spans="7:18" x14ac:dyDescent="0.25">
      <c r="G419" s="2">
        <f t="shared" ca="1" si="51"/>
        <v>0.3461196970735545</v>
      </c>
      <c r="H419" s="3">
        <f t="shared" ca="1" si="52"/>
        <v>0</v>
      </c>
      <c r="I419" s="3">
        <f t="shared" ca="1" si="53"/>
        <v>6.8507779122110612</v>
      </c>
      <c r="J419" s="3">
        <f t="shared" ca="1" si="54"/>
        <v>13.086995369651376</v>
      </c>
      <c r="P419" s="3">
        <f t="shared" ca="1" si="55"/>
        <v>-3.1831101097976062</v>
      </c>
      <c r="Q419" s="3">
        <f t="shared" ca="1" si="56"/>
        <v>-0.93480953675931411</v>
      </c>
      <c r="R419" s="3">
        <f t="shared" ca="1" si="57"/>
        <v>3.317538069278466</v>
      </c>
    </row>
    <row r="420" spans="7:18" x14ac:dyDescent="0.25">
      <c r="G420" s="2">
        <f t="shared" ca="1" si="51"/>
        <v>0.46997579113378762</v>
      </c>
      <c r="H420" s="3">
        <f t="shared" ca="1" si="52"/>
        <v>0</v>
      </c>
      <c r="I420" s="3">
        <f t="shared" ca="1" si="53"/>
        <v>0.85274256558032091</v>
      </c>
      <c r="J420" s="3">
        <f t="shared" ca="1" si="54"/>
        <v>4.6172030645736193</v>
      </c>
      <c r="P420" s="3">
        <f t="shared" ca="1" si="55"/>
        <v>-9.2103607814086352</v>
      </c>
      <c r="Q420" s="3">
        <f t="shared" ca="1" si="56"/>
        <v>-6.7237827892521507</v>
      </c>
      <c r="R420" s="3">
        <f t="shared" ca="1" si="57"/>
        <v>11.403508263721026</v>
      </c>
    </row>
    <row r="421" spans="7:18" x14ac:dyDescent="0.25">
      <c r="G421" s="2">
        <f t="shared" ca="1" si="51"/>
        <v>0.63715508724006487</v>
      </c>
      <c r="H421" s="3">
        <f t="shared" ca="1" si="52"/>
        <v>1</v>
      </c>
      <c r="I421" s="3">
        <f t="shared" ca="1" si="53"/>
        <v>1.6280436394351623</v>
      </c>
      <c r="J421" s="3">
        <f t="shared" ca="1" si="54"/>
        <v>6.3797406676039001</v>
      </c>
      <c r="P421" s="3">
        <f t="shared" ca="1" si="55"/>
        <v>-3.1308298678071074</v>
      </c>
      <c r="Q421" s="3">
        <f t="shared" ca="1" si="56"/>
        <v>-7.5192553348743818</v>
      </c>
      <c r="R421" s="3">
        <f t="shared" ca="1" si="57"/>
        <v>8.1450166637146868</v>
      </c>
    </row>
    <row r="422" spans="7:18" x14ac:dyDescent="0.25">
      <c r="G422" s="2">
        <f t="shared" ca="1" si="51"/>
        <v>0.22504491388984982</v>
      </c>
      <c r="H422" s="3">
        <f t="shared" ca="1" si="52"/>
        <v>0</v>
      </c>
      <c r="I422" s="3">
        <f t="shared" ca="1" si="53"/>
        <v>0.37996712259825749</v>
      </c>
      <c r="J422" s="3">
        <f t="shared" ca="1" si="54"/>
        <v>3.0820736631294912</v>
      </c>
      <c r="P422" s="3">
        <f t="shared" ca="1" si="55"/>
        <v>-9.2462422891366298</v>
      </c>
      <c r="Q422" s="3">
        <f t="shared" ca="1" si="56"/>
        <v>0.12422643012725842</v>
      </c>
      <c r="R422" s="3">
        <f t="shared" ca="1" si="57"/>
        <v>9.247076763786529</v>
      </c>
    </row>
    <row r="423" spans="7:18" x14ac:dyDescent="0.25">
      <c r="G423" s="2">
        <f t="shared" ca="1" si="51"/>
        <v>0.29383984500896276</v>
      </c>
      <c r="H423" s="3">
        <f t="shared" ca="1" si="52"/>
        <v>0</v>
      </c>
      <c r="I423" s="3">
        <f t="shared" ca="1" si="53"/>
        <v>0.3574017989248322</v>
      </c>
      <c r="J423" s="3">
        <f t="shared" ca="1" si="54"/>
        <v>2.9891545582523502</v>
      </c>
      <c r="P423" s="3">
        <f t="shared" ca="1" si="55"/>
        <v>-8.660831002547372</v>
      </c>
      <c r="Q423" s="3">
        <f t="shared" ca="1" si="56"/>
        <v>-4.2726441351870124</v>
      </c>
      <c r="R423" s="3">
        <f t="shared" ca="1" si="57"/>
        <v>9.6574055294697914</v>
      </c>
    </row>
    <row r="424" spans="7:18" x14ac:dyDescent="0.25">
      <c r="G424" s="2">
        <f t="shared" ca="1" si="51"/>
        <v>0.53472162022058012</v>
      </c>
      <c r="H424" s="3">
        <f t="shared" ca="1" si="52"/>
        <v>0</v>
      </c>
      <c r="I424" s="3">
        <f t="shared" ca="1" si="53"/>
        <v>1.0215808481482991</v>
      </c>
      <c r="J424" s="3">
        <f t="shared" ca="1" si="54"/>
        <v>5.0536641364170096</v>
      </c>
      <c r="P424" s="3">
        <f t="shared" ca="1" si="55"/>
        <v>-2.4145847426382536</v>
      </c>
      <c r="Q424" s="3">
        <f t="shared" ca="1" si="56"/>
        <v>1.3097278434842632</v>
      </c>
      <c r="R424" s="3">
        <f t="shared" ca="1" si="57"/>
        <v>2.7469267378980788</v>
      </c>
    </row>
    <row r="425" spans="7:18" x14ac:dyDescent="0.25">
      <c r="G425" s="2">
        <f t="shared" ca="1" si="51"/>
        <v>0.58554981165435549</v>
      </c>
      <c r="H425" s="3">
        <f t="shared" ca="1" si="52"/>
        <v>0</v>
      </c>
      <c r="I425" s="3">
        <f t="shared" ca="1" si="53"/>
        <v>3.9727080982018781</v>
      </c>
      <c r="J425" s="3">
        <f t="shared" ca="1" si="54"/>
        <v>9.9658267321405383</v>
      </c>
      <c r="P425" s="3">
        <f t="shared" ca="1" si="55"/>
        <v>-2.4195884962691601</v>
      </c>
      <c r="Q425" s="3">
        <f t="shared" ca="1" si="56"/>
        <v>-2.0610455630866453</v>
      </c>
      <c r="R425" s="3">
        <f t="shared" ca="1" si="57"/>
        <v>3.1784142751373996</v>
      </c>
    </row>
    <row r="426" spans="7:18" x14ac:dyDescent="0.25">
      <c r="G426" s="2">
        <f t="shared" ca="1" si="51"/>
        <v>0.80810290690247011</v>
      </c>
      <c r="H426" s="3">
        <f t="shared" ca="1" si="52"/>
        <v>1</v>
      </c>
      <c r="I426" s="3">
        <f t="shared" ca="1" si="53"/>
        <v>2.7631186604086322</v>
      </c>
      <c r="J426" s="3">
        <f t="shared" ca="1" si="54"/>
        <v>8.3113155703664514</v>
      </c>
      <c r="P426" s="3">
        <f t="shared" ca="1" si="55"/>
        <v>-2.1601247059248303</v>
      </c>
      <c r="Q426" s="3">
        <f t="shared" ca="1" si="56"/>
        <v>2.8556707052037322</v>
      </c>
      <c r="R426" s="3">
        <f t="shared" ca="1" si="57"/>
        <v>3.5806415516923242</v>
      </c>
    </row>
    <row r="427" spans="7:18" x14ac:dyDescent="0.25">
      <c r="G427" s="2">
        <f t="shared" ca="1" si="51"/>
        <v>0.19323292045333484</v>
      </c>
      <c r="H427" s="3">
        <f t="shared" ca="1" si="52"/>
        <v>0</v>
      </c>
      <c r="I427" s="3">
        <f t="shared" ca="1" si="53"/>
        <v>0.25779671152746136</v>
      </c>
      <c r="J427" s="3">
        <f t="shared" ca="1" si="54"/>
        <v>2.5386842631935416</v>
      </c>
      <c r="P427" s="3">
        <f t="shared" ca="1" si="55"/>
        <v>-6.441475899372759</v>
      </c>
      <c r="Q427" s="3">
        <f t="shared" ca="1" si="56"/>
        <v>-3.9876080640817109</v>
      </c>
      <c r="R427" s="3">
        <f t="shared" ca="1" si="57"/>
        <v>7.5758583563137964</v>
      </c>
    </row>
    <row r="428" spans="7:18" x14ac:dyDescent="0.25">
      <c r="G428" s="2">
        <f t="shared" ca="1" si="51"/>
        <v>0.98922698772855933</v>
      </c>
      <c r="H428" s="3">
        <f t="shared" ca="1" si="52"/>
        <v>3</v>
      </c>
      <c r="I428" s="3">
        <f t="shared" ca="1" si="53"/>
        <v>4.6348472117004427</v>
      </c>
      <c r="J428" s="3">
        <f t="shared" ca="1" si="54"/>
        <v>10.764347648255841</v>
      </c>
      <c r="P428" s="3">
        <f t="shared" ca="1" si="55"/>
        <v>-9.2345238134708083</v>
      </c>
      <c r="Q428" s="3">
        <f t="shared" ca="1" si="56"/>
        <v>0.49652817414458716</v>
      </c>
      <c r="R428" s="3">
        <f t="shared" ca="1" si="57"/>
        <v>9.2478630120303347</v>
      </c>
    </row>
    <row r="429" spans="7:18" x14ac:dyDescent="0.25">
      <c r="G429" s="2">
        <f t="shared" ca="1" si="51"/>
        <v>0.46666248557854006</v>
      </c>
      <c r="H429" s="3">
        <f t="shared" ca="1" si="52"/>
        <v>0</v>
      </c>
      <c r="I429" s="3">
        <f t="shared" ca="1" si="53"/>
        <v>1.6000341856837117</v>
      </c>
      <c r="J429" s="3">
        <f t="shared" ca="1" si="54"/>
        <v>6.3246228853657982</v>
      </c>
      <c r="P429" s="3">
        <f t="shared" ca="1" si="55"/>
        <v>-4.040950300859274</v>
      </c>
      <c r="Q429" s="3">
        <f t="shared" ca="1" si="56"/>
        <v>-8.3058125466044466</v>
      </c>
      <c r="R429" s="3">
        <f t="shared" ca="1" si="57"/>
        <v>9.2366553142004015</v>
      </c>
    </row>
    <row r="430" spans="7:18" x14ac:dyDescent="0.25">
      <c r="G430" s="2">
        <f t="shared" ca="1" si="51"/>
        <v>0.25227777315515043</v>
      </c>
      <c r="H430" s="3">
        <f t="shared" ca="1" si="52"/>
        <v>0</v>
      </c>
      <c r="I430" s="3">
        <f t="shared" ca="1" si="53"/>
        <v>1.6209981323619249</v>
      </c>
      <c r="J430" s="3">
        <f t="shared" ca="1" si="54"/>
        <v>6.3659212459037011</v>
      </c>
      <c r="P430" s="3">
        <f t="shared" ca="1" si="55"/>
        <v>-9.6791188179746381</v>
      </c>
      <c r="Q430" s="3">
        <f t="shared" ca="1" si="56"/>
        <v>-3.8579502339686544</v>
      </c>
      <c r="R430" s="3">
        <f t="shared" ca="1" si="57"/>
        <v>10.41965071872611</v>
      </c>
    </row>
    <row r="431" spans="7:18" x14ac:dyDescent="0.25">
      <c r="G431" s="2">
        <f t="shared" ca="1" si="51"/>
        <v>0.47338290851946319</v>
      </c>
      <c r="H431" s="3">
        <f t="shared" ca="1" si="52"/>
        <v>0</v>
      </c>
      <c r="I431" s="3">
        <f t="shared" ca="1" si="53"/>
        <v>1.3958047036515975</v>
      </c>
      <c r="J431" s="3">
        <f t="shared" ca="1" si="54"/>
        <v>5.9072089510436268</v>
      </c>
      <c r="P431" s="3">
        <f t="shared" ca="1" si="55"/>
        <v>-5.1415203226289323</v>
      </c>
      <c r="Q431" s="3">
        <f t="shared" ca="1" si="56"/>
        <v>5.3502232932873612</v>
      </c>
      <c r="R431" s="3">
        <f t="shared" ca="1" si="57"/>
        <v>7.4202507043927417</v>
      </c>
    </row>
    <row r="432" spans="7:18" x14ac:dyDescent="0.25">
      <c r="G432" s="2">
        <f t="shared" ca="1" si="51"/>
        <v>0.6039136141265502</v>
      </c>
      <c r="H432" s="3">
        <f t="shared" ca="1" si="52"/>
        <v>0</v>
      </c>
      <c r="I432" s="3">
        <f t="shared" ca="1" si="53"/>
        <v>3.8436261199508905</v>
      </c>
      <c r="J432" s="3">
        <f t="shared" ca="1" si="54"/>
        <v>9.8025839960069856</v>
      </c>
      <c r="P432" s="3">
        <f t="shared" ca="1" si="55"/>
        <v>-5.8466090376061848</v>
      </c>
      <c r="Q432" s="3">
        <f t="shared" ca="1" si="56"/>
        <v>8.8204211089242808</v>
      </c>
      <c r="R432" s="3">
        <f t="shared" ca="1" si="57"/>
        <v>10.582186247528218</v>
      </c>
    </row>
    <row r="433" spans="7:18" x14ac:dyDescent="0.25">
      <c r="G433" s="2">
        <f t="shared" ca="1" si="51"/>
        <v>0.36887568749725486</v>
      </c>
      <c r="H433" s="3">
        <f t="shared" ca="1" si="52"/>
        <v>0</v>
      </c>
      <c r="I433" s="3">
        <f t="shared" ca="1" si="53"/>
        <v>1.9344256974423499</v>
      </c>
      <c r="J433" s="3">
        <f t="shared" ca="1" si="54"/>
        <v>6.9541816510685672</v>
      </c>
      <c r="P433" s="3">
        <f t="shared" ca="1" si="55"/>
        <v>-17.330173356976104</v>
      </c>
      <c r="Q433" s="3">
        <f t="shared" ca="1" si="56"/>
        <v>-1.3404243438417214</v>
      </c>
      <c r="R433" s="3">
        <f t="shared" ca="1" si="57"/>
        <v>17.381934472446041</v>
      </c>
    </row>
    <row r="434" spans="7:18" x14ac:dyDescent="0.25">
      <c r="G434" s="2">
        <f t="shared" ca="1" si="51"/>
        <v>0.22475756580820105</v>
      </c>
      <c r="H434" s="3">
        <f t="shared" ca="1" si="52"/>
        <v>0</v>
      </c>
      <c r="I434" s="3">
        <f t="shared" ca="1" si="53"/>
        <v>10.138207864540981</v>
      </c>
      <c r="J434" s="3">
        <f t="shared" ca="1" si="54"/>
        <v>15.920276273153194</v>
      </c>
      <c r="P434" s="3">
        <f t="shared" ca="1" si="55"/>
        <v>-2.0433030450147376</v>
      </c>
      <c r="Q434" s="3">
        <f t="shared" ca="1" si="56"/>
        <v>-2.9750397811469953</v>
      </c>
      <c r="R434" s="3">
        <f t="shared" ca="1" si="57"/>
        <v>3.6091479649875344</v>
      </c>
    </row>
    <row r="435" spans="7:18" x14ac:dyDescent="0.25">
      <c r="G435" s="2">
        <f t="shared" ca="1" si="51"/>
        <v>0.66330847153141259</v>
      </c>
      <c r="H435" s="3">
        <f t="shared" ca="1" si="52"/>
        <v>1</v>
      </c>
      <c r="I435" s="3">
        <f t="shared" ca="1" si="53"/>
        <v>2.3899122283396723</v>
      </c>
      <c r="J435" s="3">
        <f t="shared" ca="1" si="54"/>
        <v>7.7296704786486083</v>
      </c>
      <c r="P435" s="3">
        <f t="shared" ca="1" si="55"/>
        <v>1.8791576858697168</v>
      </c>
      <c r="Q435" s="3">
        <f t="shared" ca="1" si="56"/>
        <v>-1.5386069657572683</v>
      </c>
      <c r="R435" s="3">
        <f t="shared" ca="1" si="57"/>
        <v>2.4286920355285924</v>
      </c>
    </row>
    <row r="436" spans="7:18" x14ac:dyDescent="0.25">
      <c r="G436" s="2">
        <f t="shared" ca="1" si="51"/>
        <v>0.44356785126340059</v>
      </c>
      <c r="H436" s="3">
        <f t="shared" ca="1" si="52"/>
        <v>0</v>
      </c>
      <c r="I436" s="3">
        <f t="shared" ca="1" si="53"/>
        <v>7.2787464190153734</v>
      </c>
      <c r="J436" s="3">
        <f t="shared" ca="1" si="54"/>
        <v>13.489575993165401</v>
      </c>
      <c r="P436" s="3">
        <f t="shared" ca="1" si="55"/>
        <v>0.51112702394680909</v>
      </c>
      <c r="Q436" s="3">
        <f t="shared" ca="1" si="56"/>
        <v>-0.76601315646230239</v>
      </c>
      <c r="R436" s="3">
        <f t="shared" ca="1" si="57"/>
        <v>0.92088380943638137</v>
      </c>
    </row>
    <row r="437" spans="7:18" x14ac:dyDescent="0.25">
      <c r="G437" s="2">
        <f t="shared" ca="1" si="51"/>
        <v>0.78000709237863997</v>
      </c>
      <c r="H437" s="3">
        <f t="shared" ca="1" si="52"/>
        <v>1</v>
      </c>
      <c r="I437" s="3">
        <f t="shared" ca="1" si="53"/>
        <v>5.718588713572152</v>
      </c>
      <c r="J437" s="3">
        <f t="shared" ca="1" si="54"/>
        <v>11.956785430846528</v>
      </c>
      <c r="P437" s="3">
        <f t="shared" ca="1" si="55"/>
        <v>-5.7340334359082261</v>
      </c>
      <c r="Q437" s="3">
        <f t="shared" ca="1" si="56"/>
        <v>8.0782102905796389</v>
      </c>
      <c r="R437" s="3">
        <f t="shared" ca="1" si="57"/>
        <v>9.9063929329973721</v>
      </c>
    </row>
    <row r="438" spans="7:18" x14ac:dyDescent="0.25">
      <c r="G438" s="2">
        <f t="shared" ca="1" si="51"/>
        <v>0.45642995215943594</v>
      </c>
      <c r="H438" s="3">
        <f t="shared" ca="1" si="52"/>
        <v>0</v>
      </c>
      <c r="I438" s="3">
        <f t="shared" ca="1" si="53"/>
        <v>4.5873397986335398</v>
      </c>
      <c r="J438" s="3">
        <f t="shared" ca="1" si="54"/>
        <v>10.709038003753582</v>
      </c>
      <c r="P438" s="3">
        <f t="shared" ca="1" si="55"/>
        <v>0.32295084537207952</v>
      </c>
      <c r="Q438" s="3">
        <f t="shared" ca="1" si="56"/>
        <v>-8.130936119937239</v>
      </c>
      <c r="R438" s="3">
        <f t="shared" ca="1" si="57"/>
        <v>8.1373471988742487</v>
      </c>
    </row>
    <row r="439" spans="7:18" x14ac:dyDescent="0.25">
      <c r="G439" s="2">
        <f t="shared" ca="1" si="51"/>
        <v>0.21246906832815038</v>
      </c>
      <c r="H439" s="3">
        <f t="shared" ca="1" si="52"/>
        <v>0</v>
      </c>
      <c r="I439" s="3">
        <f t="shared" ca="1" si="53"/>
        <v>3.5378017397548041</v>
      </c>
      <c r="J439" s="3">
        <f t="shared" ca="1" si="54"/>
        <v>9.4045225021725649</v>
      </c>
      <c r="P439" s="3">
        <f t="shared" ca="1" si="55"/>
        <v>-10.476342310505178</v>
      </c>
      <c r="Q439" s="3">
        <f t="shared" ca="1" si="56"/>
        <v>-5.9498536239564928</v>
      </c>
      <c r="R439" s="3">
        <f t="shared" ca="1" si="57"/>
        <v>12.048008397797089</v>
      </c>
    </row>
    <row r="440" spans="7:18" x14ac:dyDescent="0.25">
      <c r="G440" s="2">
        <f t="shared" ca="1" si="51"/>
        <v>0.269598104786131</v>
      </c>
      <c r="H440" s="3">
        <f t="shared" ca="1" si="52"/>
        <v>0</v>
      </c>
      <c r="I440" s="3">
        <f t="shared" ca="1" si="53"/>
        <v>0.24947374409010292</v>
      </c>
      <c r="J440" s="3">
        <f t="shared" ca="1" si="54"/>
        <v>2.49736733426474</v>
      </c>
      <c r="P440" s="3">
        <f t="shared" ca="1" si="55"/>
        <v>-7.3258214214177642</v>
      </c>
      <c r="Q440" s="3">
        <f t="shared" ca="1" si="56"/>
        <v>5.4480786842525761</v>
      </c>
      <c r="R440" s="3">
        <f t="shared" ca="1" si="57"/>
        <v>9.1295794453145902</v>
      </c>
    </row>
    <row r="441" spans="7:18" x14ac:dyDescent="0.25">
      <c r="G441" s="2">
        <f t="shared" ca="1" si="51"/>
        <v>3.86942428635354E-2</v>
      </c>
      <c r="H441" s="3">
        <f t="shared" ca="1" si="52"/>
        <v>0</v>
      </c>
      <c r="I441" s="3">
        <f t="shared" ca="1" si="53"/>
        <v>1.5659527069801498</v>
      </c>
      <c r="J441" s="3">
        <f t="shared" ca="1" si="54"/>
        <v>6.2569016033899514</v>
      </c>
      <c r="P441" s="3">
        <f t="shared" ca="1" si="55"/>
        <v>-5.2805255263250785</v>
      </c>
      <c r="Q441" s="3">
        <f t="shared" ca="1" si="56"/>
        <v>-5.9366792497476766</v>
      </c>
      <c r="R441" s="3">
        <f t="shared" ca="1" si="57"/>
        <v>7.9453200280766145</v>
      </c>
    </row>
    <row r="442" spans="7:18" x14ac:dyDescent="0.25">
      <c r="G442" s="2">
        <f t="shared" ca="1" si="51"/>
        <v>0.99961388476196877</v>
      </c>
      <c r="H442" s="3">
        <f t="shared" ca="1" si="52"/>
        <v>4</v>
      </c>
      <c r="I442" s="3">
        <f t="shared" ca="1" si="53"/>
        <v>8.5414418037208666</v>
      </c>
      <c r="J442" s="3">
        <f t="shared" ca="1" si="54"/>
        <v>14.612872581837619</v>
      </c>
      <c r="P442" s="3">
        <f t="shared" ca="1" si="55"/>
        <v>-6.5484029739647847</v>
      </c>
      <c r="Q442" s="3">
        <f t="shared" ca="1" si="56"/>
        <v>-1.2781419663127658</v>
      </c>
      <c r="R442" s="3">
        <f t="shared" ca="1" si="57"/>
        <v>6.6719733509270478</v>
      </c>
    </row>
    <row r="443" spans="7:18" x14ac:dyDescent="0.25">
      <c r="G443" s="2">
        <f t="shared" ca="1" si="51"/>
        <v>0.70092462933898214</v>
      </c>
      <c r="H443" s="3">
        <f t="shared" ca="1" si="52"/>
        <v>1</v>
      </c>
      <c r="I443" s="3">
        <f t="shared" ca="1" si="53"/>
        <v>0.61811517046004472</v>
      </c>
      <c r="J443" s="3">
        <f t="shared" ca="1" si="54"/>
        <v>3.931015042136206</v>
      </c>
      <c r="P443" s="3">
        <f t="shared" ca="1" si="55"/>
        <v>-2.6988343470253002</v>
      </c>
      <c r="Q443" s="3">
        <f t="shared" ca="1" si="56"/>
        <v>4.8923948134621993</v>
      </c>
      <c r="R443" s="3">
        <f t="shared" ca="1" si="57"/>
        <v>5.5874174574194209</v>
      </c>
    </row>
    <row r="444" spans="7:18" x14ac:dyDescent="0.25">
      <c r="G444" s="2">
        <f t="shared" ca="1" si="51"/>
        <v>1.7983994908205347E-2</v>
      </c>
      <c r="H444" s="3">
        <f t="shared" ca="1" si="52"/>
        <v>0</v>
      </c>
      <c r="I444" s="3">
        <f t="shared" ca="1" si="53"/>
        <v>0.80450102628129472</v>
      </c>
      <c r="J444" s="3">
        <f t="shared" ca="1" si="54"/>
        <v>4.4846990598068412</v>
      </c>
      <c r="P444" s="3">
        <f t="shared" ca="1" si="55"/>
        <v>-9.3316340971244376</v>
      </c>
      <c r="Q444" s="3">
        <f t="shared" ca="1" si="56"/>
        <v>3.7022359769345252</v>
      </c>
      <c r="R444" s="3">
        <f t="shared" ca="1" si="57"/>
        <v>10.03922039560462</v>
      </c>
    </row>
    <row r="445" spans="7:18" x14ac:dyDescent="0.25">
      <c r="G445" s="2">
        <f t="shared" ca="1" si="51"/>
        <v>0.42777468748170244</v>
      </c>
      <c r="H445" s="3">
        <f t="shared" ca="1" si="52"/>
        <v>0</v>
      </c>
      <c r="I445" s="3">
        <f t="shared" ca="1" si="53"/>
        <v>1.7597127128489731</v>
      </c>
      <c r="J445" s="3">
        <f t="shared" ca="1" si="54"/>
        <v>6.6327081815216573</v>
      </c>
      <c r="P445" s="3">
        <f t="shared" ca="1" si="55"/>
        <v>3.7187870262697533</v>
      </c>
      <c r="Q445" s="3">
        <f t="shared" ca="1" si="56"/>
        <v>-3.6164038725591197</v>
      </c>
      <c r="R445" s="3">
        <f t="shared" ca="1" si="57"/>
        <v>5.1872684445874624</v>
      </c>
    </row>
    <row r="446" spans="7:18" x14ac:dyDescent="0.25">
      <c r="G446" s="2">
        <f t="shared" ca="1" si="51"/>
        <v>0.39431342584007234</v>
      </c>
      <c r="H446" s="3">
        <f t="shared" ca="1" si="52"/>
        <v>0</v>
      </c>
      <c r="I446" s="3">
        <f t="shared" ca="1" si="53"/>
        <v>0.21374452556985191</v>
      </c>
      <c r="J446" s="3">
        <f t="shared" ca="1" si="54"/>
        <v>2.3116256485958746</v>
      </c>
      <c r="P446" s="3">
        <f t="shared" ca="1" si="55"/>
        <v>-4.1092813623610756</v>
      </c>
      <c r="Q446" s="3">
        <f t="shared" ca="1" si="56"/>
        <v>2.1495834239794989</v>
      </c>
      <c r="R446" s="3">
        <f t="shared" ca="1" si="57"/>
        <v>4.6375534726508025</v>
      </c>
    </row>
    <row r="447" spans="7:18" x14ac:dyDescent="0.25">
      <c r="G447" s="2">
        <f t="shared" ca="1" si="51"/>
        <v>2.6179883369308765E-2</v>
      </c>
      <c r="H447" s="3">
        <f t="shared" ca="1" si="52"/>
        <v>0</v>
      </c>
      <c r="I447" s="3">
        <f t="shared" ca="1" si="53"/>
        <v>4.8971975608564966</v>
      </c>
      <c r="J447" s="3">
        <f t="shared" ca="1" si="54"/>
        <v>11.064806325526552</v>
      </c>
      <c r="P447" s="3">
        <f t="shared" ca="1" si="55"/>
        <v>-4.3998389951649264</v>
      </c>
      <c r="Q447" s="3">
        <f t="shared" ca="1" si="56"/>
        <v>8.9111182270664884</v>
      </c>
      <c r="R447" s="3">
        <f t="shared" ca="1" si="57"/>
        <v>9.9381392242275659</v>
      </c>
    </row>
    <row r="448" spans="7:18" x14ac:dyDescent="0.25">
      <c r="G448" s="2">
        <f t="shared" ca="1" si="51"/>
        <v>0.41703104481522146</v>
      </c>
      <c r="H448" s="3">
        <f t="shared" ca="1" si="52"/>
        <v>0</v>
      </c>
      <c r="I448" s="3">
        <f t="shared" ca="1" si="53"/>
        <v>0.82497588090821183</v>
      </c>
      <c r="J448" s="3">
        <f t="shared" ca="1" si="54"/>
        <v>4.5414091450457637</v>
      </c>
      <c r="P448" s="3">
        <f t="shared" ca="1" si="55"/>
        <v>-2.1814032518350972</v>
      </c>
      <c r="Q448" s="3">
        <f t="shared" ca="1" si="56"/>
        <v>-0.86834243898464392</v>
      </c>
      <c r="R448" s="3">
        <f t="shared" ca="1" si="57"/>
        <v>2.3478796260580603</v>
      </c>
    </row>
    <row r="449" spans="7:18" x14ac:dyDescent="0.25">
      <c r="G449" s="2">
        <f t="shared" ca="1" si="51"/>
        <v>0.5697188039072606</v>
      </c>
      <c r="H449" s="3">
        <f t="shared" ca="1" si="52"/>
        <v>0</v>
      </c>
      <c r="I449" s="3">
        <f t="shared" ca="1" si="53"/>
        <v>0.8206232995855256</v>
      </c>
      <c r="J449" s="3">
        <f t="shared" ca="1" si="54"/>
        <v>4.5294130402998292</v>
      </c>
      <c r="P449" s="3">
        <f t="shared" ca="1" si="55"/>
        <v>-7.8321632162425203</v>
      </c>
      <c r="Q449" s="3">
        <f t="shared" ca="1" si="56"/>
        <v>-0.28849568423127858</v>
      </c>
      <c r="R449" s="3">
        <f t="shared" ca="1" si="57"/>
        <v>7.8374747467333163</v>
      </c>
    </row>
    <row r="450" spans="7:18" x14ac:dyDescent="0.25">
      <c r="G450" s="2">
        <f t="shared" ca="1" si="51"/>
        <v>0.38080612835864602</v>
      </c>
      <c r="H450" s="3">
        <f t="shared" ca="1" si="52"/>
        <v>0</v>
      </c>
      <c r="I450" s="3">
        <f t="shared" ca="1" si="53"/>
        <v>8.4554253608337326</v>
      </c>
      <c r="J450" s="3">
        <f t="shared" ca="1" si="54"/>
        <v>14.539107057204143</v>
      </c>
      <c r="P450" s="3">
        <f t="shared" ca="1" si="55"/>
        <v>1.2185028350452054</v>
      </c>
      <c r="Q450" s="3">
        <f t="shared" ca="1" si="56"/>
        <v>-1.1952588719265054</v>
      </c>
      <c r="R450" s="3">
        <f t="shared" ca="1" si="57"/>
        <v>1.7068664065861234</v>
      </c>
    </row>
    <row r="451" spans="7:18" x14ac:dyDescent="0.25">
      <c r="G451" s="2">
        <f t="shared" ca="1" si="51"/>
        <v>0.80164375737839011</v>
      </c>
      <c r="H451" s="3">
        <f t="shared" ca="1" si="52"/>
        <v>1</v>
      </c>
      <c r="I451" s="3">
        <f t="shared" ca="1" si="53"/>
        <v>2.8028188686598106</v>
      </c>
      <c r="J451" s="3">
        <f t="shared" ca="1" si="54"/>
        <v>8.3708106964914251</v>
      </c>
      <c r="P451" s="3">
        <f t="shared" ca="1" si="55"/>
        <v>-5.3530522308181077</v>
      </c>
      <c r="Q451" s="3">
        <f t="shared" ca="1" si="56"/>
        <v>0.46566659196620369</v>
      </c>
      <c r="R451" s="3">
        <f t="shared" ca="1" si="57"/>
        <v>5.3732684244080096</v>
      </c>
    </row>
    <row r="452" spans="7:18" x14ac:dyDescent="0.25">
      <c r="G452" s="2">
        <f t="shared" ref="G452:G515" ca="1" si="58">RAND()</f>
        <v>0.16525807085832178</v>
      </c>
      <c r="H452" s="3">
        <f t="shared" ref="H452:H515" ca="1" si="59">VLOOKUP(G452,$B$9:$C$169,2,TRUE)</f>
        <v>0</v>
      </c>
      <c r="I452" s="3">
        <f t="shared" ref="I452:I515" ca="1" si="60">_xlfn.CHISQ.INV(RAND(),2*H452+2)</f>
        <v>1.1551571985720852</v>
      </c>
      <c r="J452" s="3">
        <f t="shared" ref="J452:J515" ca="1" si="61">$C$4*SQRT(I452)</f>
        <v>5.3739119795826698</v>
      </c>
      <c r="P452" s="3">
        <f t="shared" ref="P452:P515" ca="1" si="62">_xlfn.NORM.INV(RAND(),$C$3*COS($O$2),$C$4)</f>
        <v>-5.786699255617882</v>
      </c>
      <c r="Q452" s="3">
        <f t="shared" ref="Q452:Q515" ca="1" si="63">_xlfn.NORM.INV(RAND(),$C$3*SIN($O$2),$C$4)</f>
        <v>4.7301402595095823</v>
      </c>
      <c r="R452" s="3">
        <f t="shared" ref="R452:R515" ca="1" si="64">SQRT(P452^2+Q452^2)</f>
        <v>7.473962479809618</v>
      </c>
    </row>
    <row r="453" spans="7:18" x14ac:dyDescent="0.25">
      <c r="G453" s="2">
        <f t="shared" ca="1" si="58"/>
        <v>0.93631355255045146</v>
      </c>
      <c r="H453" s="3">
        <f t="shared" ca="1" si="59"/>
        <v>2</v>
      </c>
      <c r="I453" s="3">
        <f t="shared" ca="1" si="60"/>
        <v>14.637880809642306</v>
      </c>
      <c r="J453" s="3">
        <f t="shared" ca="1" si="61"/>
        <v>19.129741771415986</v>
      </c>
      <c r="P453" s="3">
        <f t="shared" ca="1" si="62"/>
        <v>-9.973496551135673</v>
      </c>
      <c r="Q453" s="3">
        <f t="shared" ca="1" si="63"/>
        <v>-0.54455147744213339</v>
      </c>
      <c r="R453" s="3">
        <f t="shared" ca="1" si="64"/>
        <v>9.9883517042152441</v>
      </c>
    </row>
    <row r="454" spans="7:18" x14ac:dyDescent="0.25">
      <c r="G454" s="2">
        <f t="shared" ca="1" si="58"/>
        <v>0.47752796931591024</v>
      </c>
      <c r="H454" s="3">
        <f t="shared" ca="1" si="59"/>
        <v>0</v>
      </c>
      <c r="I454" s="3">
        <f t="shared" ca="1" si="60"/>
        <v>3.7746982996869862</v>
      </c>
      <c r="J454" s="3">
        <f t="shared" ca="1" si="61"/>
        <v>9.714291404532533</v>
      </c>
      <c r="P454" s="3">
        <f t="shared" ca="1" si="62"/>
        <v>-13.363502850397998</v>
      </c>
      <c r="Q454" s="3">
        <f t="shared" ca="1" si="63"/>
        <v>1.9238550131192538</v>
      </c>
      <c r="R454" s="3">
        <f t="shared" ca="1" si="64"/>
        <v>13.501274996980822</v>
      </c>
    </row>
    <row r="455" spans="7:18" x14ac:dyDescent="0.25">
      <c r="G455" s="2">
        <f t="shared" ca="1" si="58"/>
        <v>2.75479748829347E-2</v>
      </c>
      <c r="H455" s="3">
        <f t="shared" ca="1" si="59"/>
        <v>0</v>
      </c>
      <c r="I455" s="3">
        <f t="shared" ca="1" si="60"/>
        <v>1.4929485311375665</v>
      </c>
      <c r="J455" s="3">
        <f t="shared" ca="1" si="61"/>
        <v>6.1093136503570644</v>
      </c>
      <c r="P455" s="3">
        <f t="shared" ca="1" si="62"/>
        <v>-4.9869673799544767</v>
      </c>
      <c r="Q455" s="3">
        <f t="shared" ca="1" si="63"/>
        <v>-4.0158125526398694</v>
      </c>
      <c r="R455" s="3">
        <f t="shared" ca="1" si="64"/>
        <v>6.4028582763223767</v>
      </c>
    </row>
    <row r="456" spans="7:18" x14ac:dyDescent="0.25">
      <c r="G456" s="2">
        <f t="shared" ca="1" si="58"/>
        <v>0.8149754628635687</v>
      </c>
      <c r="H456" s="3">
        <f t="shared" ca="1" si="59"/>
        <v>1</v>
      </c>
      <c r="I456" s="3">
        <f t="shared" ca="1" si="60"/>
        <v>1.8654443762917734</v>
      </c>
      <c r="J456" s="3">
        <f t="shared" ca="1" si="61"/>
        <v>6.8290635820216474</v>
      </c>
      <c r="P456" s="3">
        <f t="shared" ca="1" si="62"/>
        <v>-8.1648236593183086</v>
      </c>
      <c r="Q456" s="3">
        <f t="shared" ca="1" si="63"/>
        <v>-6.1232073787787522</v>
      </c>
      <c r="R456" s="3">
        <f t="shared" ca="1" si="64"/>
        <v>10.205783360002043</v>
      </c>
    </row>
    <row r="457" spans="7:18" x14ac:dyDescent="0.25">
      <c r="G457" s="2">
        <f t="shared" ca="1" si="58"/>
        <v>7.1306907961482202E-2</v>
      </c>
      <c r="H457" s="3">
        <f t="shared" ca="1" si="59"/>
        <v>0</v>
      </c>
      <c r="I457" s="3">
        <f t="shared" ca="1" si="60"/>
        <v>0.7731268657153828</v>
      </c>
      <c r="J457" s="3">
        <f t="shared" ca="1" si="61"/>
        <v>4.3963816534605558</v>
      </c>
      <c r="P457" s="3">
        <f t="shared" ca="1" si="62"/>
        <v>-11.718815463747863</v>
      </c>
      <c r="Q457" s="3">
        <f t="shared" ca="1" si="63"/>
        <v>-5.5817416845207743</v>
      </c>
      <c r="R457" s="3">
        <f t="shared" ca="1" si="64"/>
        <v>12.980234054364844</v>
      </c>
    </row>
    <row r="458" spans="7:18" x14ac:dyDescent="0.25">
      <c r="G458" s="2">
        <f t="shared" ca="1" si="58"/>
        <v>3.5906162870048886E-2</v>
      </c>
      <c r="H458" s="3">
        <f t="shared" ca="1" si="59"/>
        <v>0</v>
      </c>
      <c r="I458" s="3">
        <f t="shared" ca="1" si="60"/>
        <v>4.3860816286840469</v>
      </c>
      <c r="J458" s="3">
        <f t="shared" ca="1" si="61"/>
        <v>10.471487034662326</v>
      </c>
      <c r="P458" s="3">
        <f t="shared" ca="1" si="62"/>
        <v>-7.9528178331827757</v>
      </c>
      <c r="Q458" s="3">
        <f t="shared" ca="1" si="63"/>
        <v>6.1660493179859586</v>
      </c>
      <c r="R458" s="3">
        <f t="shared" ca="1" si="64"/>
        <v>10.063174234784226</v>
      </c>
    </row>
    <row r="459" spans="7:18" x14ac:dyDescent="0.25">
      <c r="G459" s="2">
        <f t="shared" ca="1" si="58"/>
        <v>0.94761783109873565</v>
      </c>
      <c r="H459" s="3">
        <f t="shared" ca="1" si="59"/>
        <v>2</v>
      </c>
      <c r="I459" s="3">
        <f t="shared" ca="1" si="60"/>
        <v>7.5453709367826685</v>
      </c>
      <c r="J459" s="3">
        <f t="shared" ca="1" si="61"/>
        <v>13.73441929677286</v>
      </c>
      <c r="P459" s="3">
        <f t="shared" ca="1" si="62"/>
        <v>-12.263601773346533</v>
      </c>
      <c r="Q459" s="3">
        <f t="shared" ca="1" si="63"/>
        <v>2.7596714180041544</v>
      </c>
      <c r="R459" s="3">
        <f t="shared" ca="1" si="64"/>
        <v>12.570271070688065</v>
      </c>
    </row>
    <row r="460" spans="7:18" x14ac:dyDescent="0.25">
      <c r="G460" s="2">
        <f t="shared" ca="1" si="58"/>
        <v>0.15590857049538998</v>
      </c>
      <c r="H460" s="3">
        <f t="shared" ca="1" si="59"/>
        <v>0</v>
      </c>
      <c r="I460" s="3">
        <f t="shared" ca="1" si="60"/>
        <v>0.53230151624569677</v>
      </c>
      <c r="J460" s="3">
        <f t="shared" ca="1" si="61"/>
        <v>3.6479498223169711</v>
      </c>
      <c r="P460" s="3">
        <f t="shared" ca="1" si="62"/>
        <v>-7.6672338245916301</v>
      </c>
      <c r="Q460" s="3">
        <f t="shared" ca="1" si="63"/>
        <v>-4.940101059855186</v>
      </c>
      <c r="R460" s="3">
        <f t="shared" ca="1" si="64"/>
        <v>9.1209140442471188</v>
      </c>
    </row>
    <row r="461" spans="7:18" x14ac:dyDescent="0.25">
      <c r="G461" s="2">
        <f t="shared" ca="1" si="58"/>
        <v>0.10381051286594467</v>
      </c>
      <c r="H461" s="3">
        <f t="shared" ca="1" si="59"/>
        <v>0</v>
      </c>
      <c r="I461" s="3">
        <f t="shared" ca="1" si="60"/>
        <v>0.16041253576736866</v>
      </c>
      <c r="J461" s="3">
        <f t="shared" ca="1" si="61"/>
        <v>2.0025766887148708</v>
      </c>
      <c r="P461" s="3">
        <f t="shared" ca="1" si="62"/>
        <v>-2.4756262646897316</v>
      </c>
      <c r="Q461" s="3">
        <f t="shared" ca="1" si="63"/>
        <v>1.9765026979181182</v>
      </c>
      <c r="R461" s="3">
        <f t="shared" ca="1" si="64"/>
        <v>3.1678523193638988</v>
      </c>
    </row>
    <row r="462" spans="7:18" x14ac:dyDescent="0.25">
      <c r="G462" s="2">
        <f t="shared" ca="1" si="58"/>
        <v>0.15223529447852013</v>
      </c>
      <c r="H462" s="3">
        <f t="shared" ca="1" si="59"/>
        <v>0</v>
      </c>
      <c r="I462" s="3">
        <f t="shared" ca="1" si="60"/>
        <v>1.0327880113140913</v>
      </c>
      <c r="J462" s="3">
        <f t="shared" ca="1" si="61"/>
        <v>5.0813089143302719</v>
      </c>
      <c r="P462" s="3">
        <f t="shared" ca="1" si="62"/>
        <v>-4.7732176078762638</v>
      </c>
      <c r="Q462" s="3">
        <f t="shared" ca="1" si="63"/>
        <v>-3.5879452567787262</v>
      </c>
      <c r="R462" s="3">
        <f t="shared" ca="1" si="64"/>
        <v>5.9713446976188678</v>
      </c>
    </row>
    <row r="463" spans="7:18" x14ac:dyDescent="0.25">
      <c r="G463" s="2">
        <f t="shared" ca="1" si="58"/>
        <v>0.22079021867817783</v>
      </c>
      <c r="H463" s="3">
        <f t="shared" ca="1" si="59"/>
        <v>0</v>
      </c>
      <c r="I463" s="3">
        <f t="shared" ca="1" si="60"/>
        <v>2.7313978957327962</v>
      </c>
      <c r="J463" s="3">
        <f t="shared" ca="1" si="61"/>
        <v>8.2634706627009873</v>
      </c>
      <c r="P463" s="3">
        <f t="shared" ca="1" si="62"/>
        <v>-7.0962311684418538</v>
      </c>
      <c r="Q463" s="3">
        <f t="shared" ca="1" si="63"/>
        <v>3.6971906673037269</v>
      </c>
      <c r="R463" s="3">
        <f t="shared" ca="1" si="64"/>
        <v>8.0016070652315481</v>
      </c>
    </row>
    <row r="464" spans="7:18" x14ac:dyDescent="0.25">
      <c r="G464" s="2">
        <f t="shared" ca="1" si="58"/>
        <v>0.75445276011939433</v>
      </c>
      <c r="H464" s="3">
        <f t="shared" ca="1" si="59"/>
        <v>1</v>
      </c>
      <c r="I464" s="3">
        <f t="shared" ca="1" si="60"/>
        <v>1.25501990014721</v>
      </c>
      <c r="J464" s="3">
        <f t="shared" ca="1" si="61"/>
        <v>5.6013835347778365</v>
      </c>
      <c r="P464" s="3">
        <f t="shared" ca="1" si="62"/>
        <v>-3.5247413820806015</v>
      </c>
      <c r="Q464" s="3">
        <f t="shared" ca="1" si="63"/>
        <v>3.7131294257961582</v>
      </c>
      <c r="R464" s="3">
        <f t="shared" ca="1" si="64"/>
        <v>5.1196808438871244</v>
      </c>
    </row>
    <row r="465" spans="7:18" x14ac:dyDescent="0.25">
      <c r="G465" s="2">
        <f t="shared" ca="1" si="58"/>
        <v>4.7819305851816263E-2</v>
      </c>
      <c r="H465" s="3">
        <f t="shared" ca="1" si="59"/>
        <v>0</v>
      </c>
      <c r="I465" s="3">
        <f t="shared" ca="1" si="60"/>
        <v>2.6227805597635023</v>
      </c>
      <c r="J465" s="3">
        <f t="shared" ca="1" si="61"/>
        <v>8.0975004781776683</v>
      </c>
      <c r="P465" s="3">
        <f t="shared" ca="1" si="62"/>
        <v>-5.2617332111048354</v>
      </c>
      <c r="Q465" s="3">
        <f t="shared" ca="1" si="63"/>
        <v>-0.23070533279178207</v>
      </c>
      <c r="R465" s="3">
        <f t="shared" ca="1" si="64"/>
        <v>5.2667885219953696</v>
      </c>
    </row>
    <row r="466" spans="7:18" x14ac:dyDescent="0.25">
      <c r="G466" s="2">
        <f t="shared" ca="1" si="58"/>
        <v>0.30574606224768663</v>
      </c>
      <c r="H466" s="3">
        <f t="shared" ca="1" si="59"/>
        <v>0</v>
      </c>
      <c r="I466" s="3">
        <f t="shared" ca="1" si="60"/>
        <v>9.462496149210784</v>
      </c>
      <c r="J466" s="3">
        <f t="shared" ca="1" si="61"/>
        <v>15.380585285686291</v>
      </c>
      <c r="P466" s="3">
        <f t="shared" ca="1" si="62"/>
        <v>-9.025649580442952</v>
      </c>
      <c r="Q466" s="3">
        <f t="shared" ca="1" si="63"/>
        <v>2.4263462715202464</v>
      </c>
      <c r="R466" s="3">
        <f t="shared" ca="1" si="64"/>
        <v>9.3460957933390691</v>
      </c>
    </row>
    <row r="467" spans="7:18" x14ac:dyDescent="0.25">
      <c r="G467" s="2">
        <f t="shared" ca="1" si="58"/>
        <v>0.70515819810884051</v>
      </c>
      <c r="H467" s="3">
        <f t="shared" ca="1" si="59"/>
        <v>1</v>
      </c>
      <c r="I467" s="3">
        <f t="shared" ca="1" si="60"/>
        <v>9.2471412729735096</v>
      </c>
      <c r="J467" s="3">
        <f t="shared" ca="1" si="61"/>
        <v>15.204556285019887</v>
      </c>
      <c r="P467" s="3">
        <f t="shared" ca="1" si="62"/>
        <v>-3.9314420476214469</v>
      </c>
      <c r="Q467" s="3">
        <f t="shared" ca="1" si="63"/>
        <v>2.4235653409366256</v>
      </c>
      <c r="R467" s="3">
        <f t="shared" ca="1" si="64"/>
        <v>4.618431068620076</v>
      </c>
    </row>
    <row r="468" spans="7:18" x14ac:dyDescent="0.25">
      <c r="G468" s="2">
        <f t="shared" ca="1" si="58"/>
        <v>0.3476315377922421</v>
      </c>
      <c r="H468" s="3">
        <f t="shared" ca="1" si="59"/>
        <v>0</v>
      </c>
      <c r="I468" s="3">
        <f t="shared" ca="1" si="60"/>
        <v>1.1611309503687104</v>
      </c>
      <c r="J468" s="3">
        <f t="shared" ca="1" si="61"/>
        <v>5.3877893202330913</v>
      </c>
      <c r="P468" s="3">
        <f t="shared" ca="1" si="62"/>
        <v>-4.0441536520221106</v>
      </c>
      <c r="Q468" s="3">
        <f t="shared" ca="1" si="63"/>
        <v>-5.0214278102591763</v>
      </c>
      <c r="R468" s="3">
        <f t="shared" ca="1" si="64"/>
        <v>6.4474736148981675</v>
      </c>
    </row>
    <row r="469" spans="7:18" x14ac:dyDescent="0.25">
      <c r="G469" s="2">
        <f t="shared" ca="1" si="58"/>
        <v>0.53445326605822552</v>
      </c>
      <c r="H469" s="3">
        <f t="shared" ca="1" si="59"/>
        <v>0</v>
      </c>
      <c r="I469" s="3">
        <f t="shared" ca="1" si="60"/>
        <v>0.48654562698460424</v>
      </c>
      <c r="J469" s="3">
        <f t="shared" ca="1" si="61"/>
        <v>3.4876411332898209</v>
      </c>
      <c r="P469" s="3">
        <f t="shared" ca="1" si="62"/>
        <v>-2.003354706588985</v>
      </c>
      <c r="Q469" s="3">
        <f t="shared" ca="1" si="63"/>
        <v>-1.7036625269542567</v>
      </c>
      <c r="R469" s="3">
        <f t="shared" ca="1" si="64"/>
        <v>2.6298091349298338</v>
      </c>
    </row>
    <row r="470" spans="7:18" x14ac:dyDescent="0.25">
      <c r="G470" s="2">
        <f t="shared" ca="1" si="58"/>
        <v>0.22898261201063763</v>
      </c>
      <c r="H470" s="3">
        <f t="shared" ca="1" si="59"/>
        <v>0</v>
      </c>
      <c r="I470" s="3">
        <f t="shared" ca="1" si="60"/>
        <v>3.1728258252328938E-2</v>
      </c>
      <c r="J470" s="3">
        <f t="shared" ca="1" si="61"/>
        <v>0.8906213877446596</v>
      </c>
      <c r="P470" s="3">
        <f t="shared" ca="1" si="62"/>
        <v>-5.1158289079086732</v>
      </c>
      <c r="Q470" s="3">
        <f t="shared" ca="1" si="63"/>
        <v>6.9829760669959287</v>
      </c>
      <c r="R470" s="3">
        <f t="shared" ca="1" si="64"/>
        <v>8.656423058471205</v>
      </c>
    </row>
    <row r="471" spans="7:18" x14ac:dyDescent="0.25">
      <c r="G471" s="2">
        <f t="shared" ca="1" si="58"/>
        <v>0.14655325447543144</v>
      </c>
      <c r="H471" s="3">
        <f t="shared" ca="1" si="59"/>
        <v>0</v>
      </c>
      <c r="I471" s="3">
        <f t="shared" ca="1" si="60"/>
        <v>1.1547643463996073</v>
      </c>
      <c r="J471" s="3">
        <f t="shared" ca="1" si="61"/>
        <v>5.3729981072014334</v>
      </c>
      <c r="P471" s="3">
        <f t="shared" ca="1" si="62"/>
        <v>1.5372317874527273</v>
      </c>
      <c r="Q471" s="3">
        <f t="shared" ca="1" si="63"/>
        <v>-2.4809286148332821</v>
      </c>
      <c r="R471" s="3">
        <f t="shared" ca="1" si="64"/>
        <v>2.9185764270023311</v>
      </c>
    </row>
    <row r="472" spans="7:18" x14ac:dyDescent="0.25">
      <c r="G472" s="2">
        <f t="shared" ca="1" si="58"/>
        <v>0.29638958135724169</v>
      </c>
      <c r="H472" s="3">
        <f t="shared" ca="1" si="59"/>
        <v>0</v>
      </c>
      <c r="I472" s="3">
        <f t="shared" ca="1" si="60"/>
        <v>0.6597653863859787</v>
      </c>
      <c r="J472" s="3">
        <f t="shared" ca="1" si="61"/>
        <v>4.0612971646568132</v>
      </c>
      <c r="P472" s="3">
        <f t="shared" ca="1" si="62"/>
        <v>-7.5290272468533344</v>
      </c>
      <c r="Q472" s="3">
        <f t="shared" ca="1" si="63"/>
        <v>8.4003656629805121</v>
      </c>
      <c r="R472" s="3">
        <f t="shared" ca="1" si="64"/>
        <v>11.280620308991963</v>
      </c>
    </row>
    <row r="473" spans="7:18" x14ac:dyDescent="0.25">
      <c r="G473" s="2">
        <f t="shared" ca="1" si="58"/>
        <v>0.82522102259126873</v>
      </c>
      <c r="H473" s="3">
        <f t="shared" ca="1" si="59"/>
        <v>1</v>
      </c>
      <c r="I473" s="3">
        <f t="shared" ca="1" si="60"/>
        <v>4.7828259829442148</v>
      </c>
      <c r="J473" s="3">
        <f t="shared" ca="1" si="61"/>
        <v>10.934836513346021</v>
      </c>
      <c r="P473" s="3">
        <f t="shared" ca="1" si="62"/>
        <v>6.5630229631493808</v>
      </c>
      <c r="Q473" s="3">
        <f t="shared" ca="1" si="63"/>
        <v>0.40919238560762633</v>
      </c>
      <c r="R473" s="3">
        <f t="shared" ca="1" si="64"/>
        <v>6.5757667859547251</v>
      </c>
    </row>
    <row r="474" spans="7:18" x14ac:dyDescent="0.25">
      <c r="G474" s="2">
        <f t="shared" ca="1" si="58"/>
        <v>0.98762310691947397</v>
      </c>
      <c r="H474" s="3">
        <f t="shared" ca="1" si="59"/>
        <v>3</v>
      </c>
      <c r="I474" s="3">
        <f t="shared" ca="1" si="60"/>
        <v>4.4888964036650894</v>
      </c>
      <c r="J474" s="3">
        <f t="shared" ca="1" si="61"/>
        <v>10.593507921912703</v>
      </c>
      <c r="P474" s="3">
        <f t="shared" ca="1" si="62"/>
        <v>-5.6839811152139017</v>
      </c>
      <c r="Q474" s="3">
        <f t="shared" ca="1" si="63"/>
        <v>-5.3393646067683846</v>
      </c>
      <c r="R474" s="3">
        <f t="shared" ca="1" si="64"/>
        <v>7.79849060537481</v>
      </c>
    </row>
    <row r="475" spans="7:18" x14ac:dyDescent="0.25">
      <c r="G475" s="2">
        <f t="shared" ca="1" si="58"/>
        <v>0.60965628779207326</v>
      </c>
      <c r="H475" s="3">
        <f t="shared" ca="1" si="59"/>
        <v>1</v>
      </c>
      <c r="I475" s="3">
        <f t="shared" ca="1" si="60"/>
        <v>3.2792920134298811</v>
      </c>
      <c r="J475" s="3">
        <f t="shared" ca="1" si="61"/>
        <v>9.0544077849270206</v>
      </c>
      <c r="P475" s="3">
        <f t="shared" ca="1" si="62"/>
        <v>-2.8021265570104847</v>
      </c>
      <c r="Q475" s="3">
        <f t="shared" ca="1" si="63"/>
        <v>0.59571156782181922</v>
      </c>
      <c r="R475" s="3">
        <f t="shared" ca="1" si="64"/>
        <v>2.8647487697074179</v>
      </c>
    </row>
    <row r="476" spans="7:18" x14ac:dyDescent="0.25">
      <c r="G476" s="2">
        <f t="shared" ca="1" si="58"/>
        <v>0.70084350143014773</v>
      </c>
      <c r="H476" s="3">
        <f t="shared" ca="1" si="59"/>
        <v>1</v>
      </c>
      <c r="I476" s="3">
        <f t="shared" ca="1" si="60"/>
        <v>3.404719213657994</v>
      </c>
      <c r="J476" s="3">
        <f t="shared" ca="1" si="61"/>
        <v>9.2259406209583776</v>
      </c>
      <c r="P476" s="3">
        <f t="shared" ca="1" si="62"/>
        <v>-2.267251233951856</v>
      </c>
      <c r="Q476" s="3">
        <f t="shared" ca="1" si="63"/>
        <v>3.6674141770748001</v>
      </c>
      <c r="R476" s="3">
        <f t="shared" ca="1" si="64"/>
        <v>4.3116533840355773</v>
      </c>
    </row>
    <row r="477" spans="7:18" x14ac:dyDescent="0.25">
      <c r="G477" s="2">
        <f t="shared" ca="1" si="58"/>
        <v>0.52015050182701061</v>
      </c>
      <c r="H477" s="3">
        <f t="shared" ca="1" si="59"/>
        <v>0</v>
      </c>
      <c r="I477" s="3">
        <f t="shared" ca="1" si="60"/>
        <v>2.2780206852878182</v>
      </c>
      <c r="J477" s="3">
        <f t="shared" ca="1" si="61"/>
        <v>7.5465566407597748</v>
      </c>
      <c r="P477" s="3">
        <f t="shared" ca="1" si="62"/>
        <v>-6.6542044714906901</v>
      </c>
      <c r="Q477" s="3">
        <f t="shared" ca="1" si="63"/>
        <v>-1.7538051435424269</v>
      </c>
      <c r="R477" s="3">
        <f t="shared" ca="1" si="64"/>
        <v>6.8814438622953666</v>
      </c>
    </row>
    <row r="478" spans="7:18" x14ac:dyDescent="0.25">
      <c r="G478" s="2">
        <f t="shared" ca="1" si="58"/>
        <v>0.43213460722177555</v>
      </c>
      <c r="H478" s="3">
        <f t="shared" ca="1" si="59"/>
        <v>0</v>
      </c>
      <c r="I478" s="3">
        <f t="shared" ca="1" si="60"/>
        <v>1.1269387945025986</v>
      </c>
      <c r="J478" s="3">
        <f t="shared" ca="1" si="61"/>
        <v>5.3078686742010639</v>
      </c>
      <c r="P478" s="3">
        <f t="shared" ca="1" si="62"/>
        <v>-5.6234514421566519</v>
      </c>
      <c r="Q478" s="3">
        <f t="shared" ca="1" si="63"/>
        <v>-0.34465555090308414</v>
      </c>
      <c r="R478" s="3">
        <f t="shared" ca="1" si="64"/>
        <v>5.6340033343140679</v>
      </c>
    </row>
    <row r="479" spans="7:18" x14ac:dyDescent="0.25">
      <c r="G479" s="2">
        <f t="shared" ca="1" si="58"/>
        <v>9.88624982973908E-2</v>
      </c>
      <c r="H479" s="3">
        <f t="shared" ca="1" si="59"/>
        <v>0</v>
      </c>
      <c r="I479" s="3">
        <f t="shared" ca="1" si="60"/>
        <v>0.59513290169043431</v>
      </c>
      <c r="J479" s="3">
        <f t="shared" ca="1" si="61"/>
        <v>3.8572428679382971</v>
      </c>
      <c r="P479" s="3">
        <f t="shared" ca="1" si="62"/>
        <v>-1.1609844369629463</v>
      </c>
      <c r="Q479" s="3">
        <f t="shared" ca="1" si="63"/>
        <v>4.9166451779276361</v>
      </c>
      <c r="R479" s="3">
        <f t="shared" ca="1" si="64"/>
        <v>5.0518595258092089</v>
      </c>
    </row>
    <row r="480" spans="7:18" x14ac:dyDescent="0.25">
      <c r="G480" s="2">
        <f t="shared" ca="1" si="58"/>
        <v>0.29665993510142863</v>
      </c>
      <c r="H480" s="3">
        <f t="shared" ca="1" si="59"/>
        <v>0</v>
      </c>
      <c r="I480" s="3">
        <f t="shared" ca="1" si="60"/>
        <v>2.2541688919003557</v>
      </c>
      <c r="J480" s="3">
        <f t="shared" ca="1" si="61"/>
        <v>7.5069449376899584</v>
      </c>
      <c r="P480" s="3">
        <f t="shared" ca="1" si="62"/>
        <v>2.4067329868870928</v>
      </c>
      <c r="Q480" s="3">
        <f t="shared" ca="1" si="63"/>
        <v>7.2834635070009579</v>
      </c>
      <c r="R480" s="3">
        <f t="shared" ca="1" si="64"/>
        <v>7.6708020654938789</v>
      </c>
    </row>
    <row r="481" spans="7:18" x14ac:dyDescent="0.25">
      <c r="G481" s="2">
        <f t="shared" ca="1" si="58"/>
        <v>0.18924727599369495</v>
      </c>
      <c r="H481" s="3">
        <f t="shared" ca="1" si="59"/>
        <v>0</v>
      </c>
      <c r="I481" s="3">
        <f t="shared" ca="1" si="60"/>
        <v>0.60780432810834062</v>
      </c>
      <c r="J481" s="3">
        <f t="shared" ca="1" si="61"/>
        <v>3.898090327674375</v>
      </c>
      <c r="P481" s="3">
        <f t="shared" ca="1" si="62"/>
        <v>-6.4087792151682761</v>
      </c>
      <c r="Q481" s="3">
        <f t="shared" ca="1" si="63"/>
        <v>5.965544698093157</v>
      </c>
      <c r="R481" s="3">
        <f t="shared" ca="1" si="64"/>
        <v>8.7555796252287195</v>
      </c>
    </row>
    <row r="482" spans="7:18" x14ac:dyDescent="0.25">
      <c r="G482" s="2">
        <f t="shared" ca="1" si="58"/>
        <v>0.68030282036683165</v>
      </c>
      <c r="H482" s="3">
        <f t="shared" ca="1" si="59"/>
        <v>1</v>
      </c>
      <c r="I482" s="3">
        <f t="shared" ca="1" si="60"/>
        <v>0.54292184158715329</v>
      </c>
      <c r="J482" s="3">
        <f t="shared" ca="1" si="61"/>
        <v>3.6841615110739689</v>
      </c>
      <c r="P482" s="3">
        <f t="shared" ca="1" si="62"/>
        <v>-0.45356344660643266</v>
      </c>
      <c r="Q482" s="3">
        <f t="shared" ca="1" si="63"/>
        <v>-2.6877927302423923</v>
      </c>
      <c r="R482" s="3">
        <f t="shared" ca="1" si="64"/>
        <v>2.725793381905782</v>
      </c>
    </row>
    <row r="483" spans="7:18" x14ac:dyDescent="0.25">
      <c r="G483" s="2">
        <f t="shared" ca="1" si="58"/>
        <v>0.60109544345088983</v>
      </c>
      <c r="H483" s="3">
        <f t="shared" ca="1" si="59"/>
        <v>0</v>
      </c>
      <c r="I483" s="3">
        <f t="shared" ca="1" si="60"/>
        <v>0.49772590623482021</v>
      </c>
      <c r="J483" s="3">
        <f t="shared" ca="1" si="61"/>
        <v>3.5274846074604644</v>
      </c>
      <c r="P483" s="3">
        <f t="shared" ca="1" si="62"/>
        <v>-3.6185911790849263</v>
      </c>
      <c r="Q483" s="3">
        <f t="shared" ca="1" si="63"/>
        <v>-3.4441161953250354</v>
      </c>
      <c r="R483" s="3">
        <f t="shared" ca="1" si="64"/>
        <v>4.995611923303434</v>
      </c>
    </row>
    <row r="484" spans="7:18" x14ac:dyDescent="0.25">
      <c r="G484" s="2">
        <f t="shared" ca="1" si="58"/>
        <v>0.80167638416017795</v>
      </c>
      <c r="H484" s="3">
        <f t="shared" ca="1" si="59"/>
        <v>1</v>
      </c>
      <c r="I484" s="3">
        <f t="shared" ca="1" si="60"/>
        <v>7.6452728257524285</v>
      </c>
      <c r="J484" s="3">
        <f t="shared" ca="1" si="61"/>
        <v>13.825043242023176</v>
      </c>
      <c r="P484" s="3">
        <f t="shared" ca="1" si="62"/>
        <v>0.20058043823630545</v>
      </c>
      <c r="Q484" s="3">
        <f t="shared" ca="1" si="63"/>
        <v>-6.7756529840635249</v>
      </c>
      <c r="R484" s="3">
        <f t="shared" ca="1" si="64"/>
        <v>6.7786212368483918</v>
      </c>
    </row>
    <row r="485" spans="7:18" x14ac:dyDescent="0.25">
      <c r="G485" s="2">
        <f t="shared" ca="1" si="58"/>
        <v>5.1224825842550836E-2</v>
      </c>
      <c r="H485" s="3">
        <f t="shared" ca="1" si="59"/>
        <v>0</v>
      </c>
      <c r="I485" s="3">
        <f t="shared" ca="1" si="60"/>
        <v>2.7099727867345038</v>
      </c>
      <c r="J485" s="3">
        <f t="shared" ca="1" si="61"/>
        <v>8.2309974892696083</v>
      </c>
      <c r="P485" s="3">
        <f t="shared" ca="1" si="62"/>
        <v>-2.888121787553823</v>
      </c>
      <c r="Q485" s="3">
        <f t="shared" ca="1" si="63"/>
        <v>-4.5586870762962937</v>
      </c>
      <c r="R485" s="3">
        <f t="shared" ca="1" si="64"/>
        <v>5.3965614347780697</v>
      </c>
    </row>
    <row r="486" spans="7:18" x14ac:dyDescent="0.25">
      <c r="G486" s="2">
        <f t="shared" ca="1" si="58"/>
        <v>0.1358914128567047</v>
      </c>
      <c r="H486" s="3">
        <f t="shared" ca="1" si="59"/>
        <v>0</v>
      </c>
      <c r="I486" s="3">
        <f t="shared" ca="1" si="60"/>
        <v>1.4683215388227324</v>
      </c>
      <c r="J486" s="3">
        <f t="shared" ca="1" si="61"/>
        <v>6.0587159093795044</v>
      </c>
      <c r="P486" s="3">
        <f t="shared" ca="1" si="62"/>
        <v>-12.91070731013847</v>
      </c>
      <c r="Q486" s="3">
        <f t="shared" ca="1" si="63"/>
        <v>8.3069051224326849</v>
      </c>
      <c r="R486" s="3">
        <f t="shared" ca="1" si="64"/>
        <v>15.352232279416608</v>
      </c>
    </row>
    <row r="487" spans="7:18" x14ac:dyDescent="0.25">
      <c r="G487" s="2">
        <f t="shared" ca="1" si="58"/>
        <v>0.85329258890091608</v>
      </c>
      <c r="H487" s="3">
        <f t="shared" ca="1" si="59"/>
        <v>1</v>
      </c>
      <c r="I487" s="3">
        <f t="shared" ca="1" si="60"/>
        <v>6.7166342869126474</v>
      </c>
      <c r="J487" s="3">
        <f t="shared" ca="1" si="61"/>
        <v>12.958235110261588</v>
      </c>
      <c r="P487" s="3">
        <f t="shared" ca="1" si="62"/>
        <v>-9.8487145232739799</v>
      </c>
      <c r="Q487" s="3">
        <f t="shared" ca="1" si="63"/>
        <v>-1.9979597907780673</v>
      </c>
      <c r="R487" s="3">
        <f t="shared" ca="1" si="64"/>
        <v>10.049329384914884</v>
      </c>
    </row>
    <row r="488" spans="7:18" x14ac:dyDescent="0.25">
      <c r="G488" s="2">
        <f t="shared" ca="1" si="58"/>
        <v>0.62150227720767581</v>
      </c>
      <c r="H488" s="3">
        <f t="shared" ca="1" si="59"/>
        <v>1</v>
      </c>
      <c r="I488" s="3">
        <f t="shared" ca="1" si="60"/>
        <v>0.22133746111835875</v>
      </c>
      <c r="J488" s="3">
        <f t="shared" ca="1" si="61"/>
        <v>2.3523257699474724</v>
      </c>
      <c r="P488" s="3">
        <f t="shared" ca="1" si="62"/>
        <v>-6.3805037003108618</v>
      </c>
      <c r="Q488" s="3">
        <f t="shared" ca="1" si="63"/>
        <v>0.46428410138570059</v>
      </c>
      <c r="R488" s="3">
        <f t="shared" ca="1" si="64"/>
        <v>6.3973734607634194</v>
      </c>
    </row>
    <row r="489" spans="7:18" x14ac:dyDescent="0.25">
      <c r="G489" s="2">
        <f t="shared" ca="1" si="58"/>
        <v>0.5654712772772863</v>
      </c>
      <c r="H489" s="3">
        <f t="shared" ca="1" si="59"/>
        <v>0</v>
      </c>
      <c r="I489" s="3">
        <f t="shared" ca="1" si="60"/>
        <v>0.47401303821092095</v>
      </c>
      <c r="J489" s="3">
        <f t="shared" ca="1" si="61"/>
        <v>3.4424302397104611</v>
      </c>
      <c r="P489" s="3">
        <f t="shared" ca="1" si="62"/>
        <v>-2.9476185898959342</v>
      </c>
      <c r="Q489" s="3">
        <f t="shared" ca="1" si="63"/>
        <v>11.643224903469147</v>
      </c>
      <c r="R489" s="3">
        <f t="shared" ca="1" si="64"/>
        <v>12.010542931286006</v>
      </c>
    </row>
    <row r="490" spans="7:18" x14ac:dyDescent="0.25">
      <c r="G490" s="2">
        <f t="shared" ca="1" si="58"/>
        <v>0.68755352842135298</v>
      </c>
      <c r="H490" s="3">
        <f t="shared" ca="1" si="59"/>
        <v>1</v>
      </c>
      <c r="I490" s="3">
        <f t="shared" ca="1" si="60"/>
        <v>2.6779318250772617</v>
      </c>
      <c r="J490" s="3">
        <f t="shared" ca="1" si="61"/>
        <v>8.1821938150432221</v>
      </c>
      <c r="P490" s="3">
        <f t="shared" ca="1" si="62"/>
        <v>-4.5885767637810702</v>
      </c>
      <c r="Q490" s="3">
        <f t="shared" ca="1" si="63"/>
        <v>-5.1654823059017474</v>
      </c>
      <c r="R490" s="3">
        <f t="shared" ca="1" si="64"/>
        <v>6.909214439405944</v>
      </c>
    </row>
    <row r="491" spans="7:18" x14ac:dyDescent="0.25">
      <c r="G491" s="2">
        <f t="shared" ca="1" si="58"/>
        <v>0.84771257748841922</v>
      </c>
      <c r="H491" s="3">
        <f t="shared" ca="1" si="59"/>
        <v>1</v>
      </c>
      <c r="I491" s="3">
        <f t="shared" ca="1" si="60"/>
        <v>2.7254462595018318</v>
      </c>
      <c r="J491" s="3">
        <f t="shared" ca="1" si="61"/>
        <v>8.2544628224703871</v>
      </c>
      <c r="P491" s="3">
        <f t="shared" ca="1" si="62"/>
        <v>-4.9493147098603716</v>
      </c>
      <c r="Q491" s="3">
        <f t="shared" ca="1" si="63"/>
        <v>-0.52503887535853822</v>
      </c>
      <c r="R491" s="3">
        <f t="shared" ca="1" si="64"/>
        <v>4.9770856852055516</v>
      </c>
    </row>
    <row r="492" spans="7:18" x14ac:dyDescent="0.25">
      <c r="G492" s="2">
        <f t="shared" ca="1" si="58"/>
        <v>0.41303624474150324</v>
      </c>
      <c r="H492" s="3">
        <f t="shared" ca="1" si="59"/>
        <v>0</v>
      </c>
      <c r="I492" s="3">
        <f t="shared" ca="1" si="60"/>
        <v>0.23042326925961656</v>
      </c>
      <c r="J492" s="3">
        <f t="shared" ca="1" si="61"/>
        <v>2.4001211910006575</v>
      </c>
      <c r="P492" s="3">
        <f t="shared" ca="1" si="62"/>
        <v>-7.4972687919711021</v>
      </c>
      <c r="Q492" s="3">
        <f t="shared" ca="1" si="63"/>
        <v>-2.5685327946175254</v>
      </c>
      <c r="R492" s="3">
        <f t="shared" ca="1" si="64"/>
        <v>7.9250488992869652</v>
      </c>
    </row>
    <row r="493" spans="7:18" x14ac:dyDescent="0.25">
      <c r="G493" s="2">
        <f t="shared" ca="1" si="58"/>
        <v>0.94317749125654793</v>
      </c>
      <c r="H493" s="3">
        <f t="shared" ca="1" si="59"/>
        <v>2</v>
      </c>
      <c r="I493" s="3">
        <f t="shared" ca="1" si="60"/>
        <v>4.3155098694155258</v>
      </c>
      <c r="J493" s="3">
        <f t="shared" ca="1" si="61"/>
        <v>10.386902653601224</v>
      </c>
      <c r="P493" s="3">
        <f t="shared" ca="1" si="62"/>
        <v>-2.9952216476153031</v>
      </c>
      <c r="Q493" s="3">
        <f t="shared" ca="1" si="63"/>
        <v>4.3899641325187835</v>
      </c>
      <c r="R493" s="3">
        <f t="shared" ca="1" si="64"/>
        <v>5.3144273259820505</v>
      </c>
    </row>
    <row r="494" spans="7:18" x14ac:dyDescent="0.25">
      <c r="G494" s="2">
        <f t="shared" ca="1" si="58"/>
        <v>0.76165142980777301</v>
      </c>
      <c r="H494" s="3">
        <f t="shared" ca="1" si="59"/>
        <v>1</v>
      </c>
      <c r="I494" s="3">
        <f t="shared" ca="1" si="60"/>
        <v>5.2844328217335299</v>
      </c>
      <c r="J494" s="3">
        <f t="shared" ca="1" si="61"/>
        <v>11.493947126350383</v>
      </c>
      <c r="P494" s="3">
        <f t="shared" ca="1" si="62"/>
        <v>-13.406246979677331</v>
      </c>
      <c r="Q494" s="3">
        <f t="shared" ca="1" si="63"/>
        <v>1.0115721183245061</v>
      </c>
      <c r="R494" s="3">
        <f t="shared" ca="1" si="64"/>
        <v>13.44435704043444</v>
      </c>
    </row>
    <row r="495" spans="7:18" x14ac:dyDescent="0.25">
      <c r="G495" s="2">
        <f t="shared" ca="1" si="58"/>
        <v>0.21777153367831881</v>
      </c>
      <c r="H495" s="3">
        <f t="shared" ca="1" si="59"/>
        <v>0</v>
      </c>
      <c r="I495" s="3">
        <f t="shared" ca="1" si="60"/>
        <v>3.3324130778478089</v>
      </c>
      <c r="J495" s="3">
        <f t="shared" ca="1" si="61"/>
        <v>9.127449093048682</v>
      </c>
      <c r="P495" s="3">
        <f t="shared" ca="1" si="62"/>
        <v>-3.7404792346445008</v>
      </c>
      <c r="Q495" s="3">
        <f t="shared" ca="1" si="63"/>
        <v>-1.1450038935430904</v>
      </c>
      <c r="R495" s="3">
        <f t="shared" ca="1" si="64"/>
        <v>3.911805059181189</v>
      </c>
    </row>
    <row r="496" spans="7:18" x14ac:dyDescent="0.25">
      <c r="G496" s="2">
        <f t="shared" ca="1" si="58"/>
        <v>0.18247247898272834</v>
      </c>
      <c r="H496" s="3">
        <f t="shared" ca="1" si="59"/>
        <v>0</v>
      </c>
      <c r="I496" s="3">
        <f t="shared" ca="1" si="60"/>
        <v>7.0411277744711391</v>
      </c>
      <c r="J496" s="3">
        <f t="shared" ca="1" si="61"/>
        <v>13.26756173385971</v>
      </c>
      <c r="P496" s="3">
        <f t="shared" ca="1" si="62"/>
        <v>-7.0980499513505606</v>
      </c>
      <c r="Q496" s="3">
        <f t="shared" ca="1" si="63"/>
        <v>3.86678657265744</v>
      </c>
      <c r="R496" s="3">
        <f t="shared" ca="1" si="64"/>
        <v>8.0829667517781836</v>
      </c>
    </row>
    <row r="497" spans="7:18" x14ac:dyDescent="0.25">
      <c r="G497" s="2">
        <f t="shared" ca="1" si="58"/>
        <v>0.3232137821717489</v>
      </c>
      <c r="H497" s="3">
        <f t="shared" ca="1" si="59"/>
        <v>0</v>
      </c>
      <c r="I497" s="3">
        <f t="shared" ca="1" si="60"/>
        <v>1.1363311163501419</v>
      </c>
      <c r="J497" s="3">
        <f t="shared" ca="1" si="61"/>
        <v>5.3299416421527122</v>
      </c>
      <c r="P497" s="3">
        <f t="shared" ca="1" si="62"/>
        <v>-5.519701794664492</v>
      </c>
      <c r="Q497" s="3">
        <f t="shared" ca="1" si="63"/>
        <v>-2.6022313767898297</v>
      </c>
      <c r="R497" s="3">
        <f t="shared" ca="1" si="64"/>
        <v>6.1023533198571762</v>
      </c>
    </row>
    <row r="498" spans="7:18" x14ac:dyDescent="0.25">
      <c r="G498" s="2">
        <f t="shared" ca="1" si="58"/>
        <v>0.81282923168014531</v>
      </c>
      <c r="H498" s="3">
        <f t="shared" ca="1" si="59"/>
        <v>1</v>
      </c>
      <c r="I498" s="3">
        <f t="shared" ca="1" si="60"/>
        <v>0.5719132114874409</v>
      </c>
      <c r="J498" s="3">
        <f t="shared" ca="1" si="61"/>
        <v>3.7812471867342952</v>
      </c>
      <c r="P498" s="3">
        <f t="shared" ca="1" si="62"/>
        <v>-4.6994028952586602</v>
      </c>
      <c r="Q498" s="3">
        <f t="shared" ca="1" si="63"/>
        <v>2.0937161605365247</v>
      </c>
      <c r="R498" s="3">
        <f t="shared" ca="1" si="64"/>
        <v>5.1447094118965833</v>
      </c>
    </row>
    <row r="499" spans="7:18" x14ac:dyDescent="0.25">
      <c r="G499" s="2">
        <f t="shared" ca="1" si="58"/>
        <v>0.2510314064361796</v>
      </c>
      <c r="H499" s="3">
        <f t="shared" ca="1" si="59"/>
        <v>0</v>
      </c>
      <c r="I499" s="3">
        <f t="shared" ca="1" si="60"/>
        <v>2.7930057613798809</v>
      </c>
      <c r="J499" s="3">
        <f t="shared" ca="1" si="61"/>
        <v>8.3561440889023118</v>
      </c>
      <c r="P499" s="3">
        <f t="shared" ca="1" si="62"/>
        <v>-3.850870163567635</v>
      </c>
      <c r="Q499" s="3">
        <f t="shared" ca="1" si="63"/>
        <v>3.4809457588174415</v>
      </c>
      <c r="R499" s="3">
        <f t="shared" ca="1" si="64"/>
        <v>5.1909714305209347</v>
      </c>
    </row>
    <row r="500" spans="7:18" x14ac:dyDescent="0.25">
      <c r="G500" s="2">
        <f t="shared" ca="1" si="58"/>
        <v>0.43800129395254894</v>
      </c>
      <c r="H500" s="3">
        <f t="shared" ca="1" si="59"/>
        <v>0</v>
      </c>
      <c r="I500" s="3">
        <f t="shared" ca="1" si="60"/>
        <v>8.2785538014058009</v>
      </c>
      <c r="J500" s="3">
        <f t="shared" ca="1" si="61"/>
        <v>14.386238043183667</v>
      </c>
      <c r="P500" s="3">
        <f t="shared" ca="1" si="62"/>
        <v>-6.6783001271865716</v>
      </c>
      <c r="Q500" s="3">
        <f t="shared" ca="1" si="63"/>
        <v>3.8115773530486563</v>
      </c>
      <c r="R500" s="3">
        <f t="shared" ca="1" si="64"/>
        <v>7.6894612624717462</v>
      </c>
    </row>
    <row r="501" spans="7:18" x14ac:dyDescent="0.25">
      <c r="G501" s="2">
        <f t="shared" ca="1" si="58"/>
        <v>0.28330836789239877</v>
      </c>
      <c r="H501" s="3">
        <f t="shared" ca="1" si="59"/>
        <v>0</v>
      </c>
      <c r="I501" s="3">
        <f t="shared" ca="1" si="60"/>
        <v>3.4283359106895497</v>
      </c>
      <c r="J501" s="3">
        <f t="shared" ca="1" si="61"/>
        <v>9.2578830067806948</v>
      </c>
      <c r="P501" s="3">
        <f t="shared" ca="1" si="62"/>
        <v>-11.337994742654779</v>
      </c>
      <c r="Q501" s="3">
        <f t="shared" ca="1" si="63"/>
        <v>2.2631324935949499</v>
      </c>
      <c r="R501" s="3">
        <f t="shared" ca="1" si="64"/>
        <v>11.561656173231961</v>
      </c>
    </row>
    <row r="502" spans="7:18" x14ac:dyDescent="0.25">
      <c r="G502" s="2">
        <f t="shared" ca="1" si="58"/>
        <v>0.82316355066359304</v>
      </c>
      <c r="H502" s="3">
        <f t="shared" ca="1" si="59"/>
        <v>1</v>
      </c>
      <c r="I502" s="3">
        <f t="shared" ca="1" si="60"/>
        <v>3.3291017428702383</v>
      </c>
      <c r="J502" s="3">
        <f t="shared" ca="1" si="61"/>
        <v>9.1229131077609171</v>
      </c>
      <c r="P502" s="3">
        <f t="shared" ca="1" si="62"/>
        <v>-5.5709701728241869</v>
      </c>
      <c r="Q502" s="3">
        <f t="shared" ca="1" si="63"/>
        <v>-1.3652376552227656</v>
      </c>
      <c r="R502" s="3">
        <f t="shared" ca="1" si="64"/>
        <v>5.735815767764417</v>
      </c>
    </row>
    <row r="503" spans="7:18" x14ac:dyDescent="0.25">
      <c r="G503" s="2">
        <f t="shared" ca="1" si="58"/>
        <v>0.75620766476091439</v>
      </c>
      <c r="H503" s="3">
        <f t="shared" ca="1" si="59"/>
        <v>1</v>
      </c>
      <c r="I503" s="3">
        <f t="shared" ca="1" si="60"/>
        <v>3.9521643710671372</v>
      </c>
      <c r="J503" s="3">
        <f t="shared" ca="1" si="61"/>
        <v>9.9400256175061443</v>
      </c>
      <c r="P503" s="3">
        <f t="shared" ca="1" si="62"/>
        <v>-7.6527150670309236</v>
      </c>
      <c r="Q503" s="3">
        <f t="shared" ca="1" si="63"/>
        <v>4.7298833254747619</v>
      </c>
      <c r="R503" s="3">
        <f t="shared" ca="1" si="64"/>
        <v>8.9964350811733365</v>
      </c>
    </row>
    <row r="504" spans="7:18" x14ac:dyDescent="0.25">
      <c r="G504" s="2">
        <f t="shared" ca="1" si="58"/>
        <v>0.78725849430863271</v>
      </c>
      <c r="H504" s="3">
        <f t="shared" ca="1" si="59"/>
        <v>1</v>
      </c>
      <c r="I504" s="3">
        <f t="shared" ca="1" si="60"/>
        <v>6.3024583014125186</v>
      </c>
      <c r="J504" s="3">
        <f t="shared" ca="1" si="61"/>
        <v>12.552348686015417</v>
      </c>
      <c r="P504" s="3">
        <f t="shared" ca="1" si="62"/>
        <v>-6.8228597575777279</v>
      </c>
      <c r="Q504" s="3">
        <f t="shared" ca="1" si="63"/>
        <v>-9.8049023189989128</v>
      </c>
      <c r="R504" s="3">
        <f t="shared" ca="1" si="64"/>
        <v>11.945188351662098</v>
      </c>
    </row>
    <row r="505" spans="7:18" x14ac:dyDescent="0.25">
      <c r="G505" s="2">
        <f t="shared" ca="1" si="58"/>
        <v>0.6502707846058926</v>
      </c>
      <c r="H505" s="3">
        <f t="shared" ca="1" si="59"/>
        <v>1</v>
      </c>
      <c r="I505" s="3">
        <f t="shared" ca="1" si="60"/>
        <v>1.6988916833939891</v>
      </c>
      <c r="J505" s="3">
        <f t="shared" ca="1" si="61"/>
        <v>6.5170769586410229</v>
      </c>
      <c r="P505" s="3">
        <f t="shared" ca="1" si="62"/>
        <v>-0.20113216964247371</v>
      </c>
      <c r="Q505" s="3">
        <f t="shared" ca="1" si="63"/>
        <v>0.93791725346172594</v>
      </c>
      <c r="R505" s="3">
        <f t="shared" ca="1" si="64"/>
        <v>0.95924080605772621</v>
      </c>
    </row>
    <row r="506" spans="7:18" x14ac:dyDescent="0.25">
      <c r="G506" s="2">
        <f t="shared" ca="1" si="58"/>
        <v>0.93432979963597151</v>
      </c>
      <c r="H506" s="3">
        <f t="shared" ca="1" si="59"/>
        <v>2</v>
      </c>
      <c r="I506" s="3">
        <f t="shared" ca="1" si="60"/>
        <v>3.9087383201519872</v>
      </c>
      <c r="J506" s="3">
        <f t="shared" ca="1" si="61"/>
        <v>9.8852646906291639</v>
      </c>
      <c r="P506" s="3">
        <f t="shared" ca="1" si="62"/>
        <v>-9.7433898913043269</v>
      </c>
      <c r="Q506" s="3">
        <f t="shared" ca="1" si="63"/>
        <v>3.8349054994441265</v>
      </c>
      <c r="R506" s="3">
        <f t="shared" ca="1" si="64"/>
        <v>10.470919098323611</v>
      </c>
    </row>
    <row r="507" spans="7:18" x14ac:dyDescent="0.25">
      <c r="G507" s="2">
        <f t="shared" ca="1" si="58"/>
        <v>0.71264640985271277</v>
      </c>
      <c r="H507" s="3">
        <f t="shared" ca="1" si="59"/>
        <v>1</v>
      </c>
      <c r="I507" s="3">
        <f t="shared" ca="1" si="60"/>
        <v>9.5407449437233804</v>
      </c>
      <c r="J507" s="3">
        <f t="shared" ca="1" si="61"/>
        <v>15.444048160799181</v>
      </c>
      <c r="P507" s="3">
        <f t="shared" ca="1" si="62"/>
        <v>-7.5913991968470764</v>
      </c>
      <c r="Q507" s="3">
        <f t="shared" ca="1" si="63"/>
        <v>-4.3786121741393833</v>
      </c>
      <c r="R507" s="3">
        <f t="shared" ca="1" si="64"/>
        <v>8.7636514271970025</v>
      </c>
    </row>
    <row r="508" spans="7:18" x14ac:dyDescent="0.25">
      <c r="G508" s="2">
        <f t="shared" ca="1" si="58"/>
        <v>6.8279473870232366E-2</v>
      </c>
      <c r="H508" s="3">
        <f t="shared" ca="1" si="59"/>
        <v>0</v>
      </c>
      <c r="I508" s="3">
        <f t="shared" ca="1" si="60"/>
        <v>1.6825984588024245</v>
      </c>
      <c r="J508" s="3">
        <f t="shared" ca="1" si="61"/>
        <v>6.4857506481563574</v>
      </c>
      <c r="P508" s="3">
        <f t="shared" ca="1" si="62"/>
        <v>-4.4678832373195565</v>
      </c>
      <c r="Q508" s="3">
        <f t="shared" ca="1" si="63"/>
        <v>-8.8530361374269368</v>
      </c>
      <c r="R508" s="3">
        <f t="shared" ca="1" si="64"/>
        <v>9.9165633902531134</v>
      </c>
    </row>
    <row r="509" spans="7:18" x14ac:dyDescent="0.25">
      <c r="G509" s="2">
        <f t="shared" ca="1" si="58"/>
        <v>0.94335327811786995</v>
      </c>
      <c r="H509" s="3">
        <f t="shared" ca="1" si="59"/>
        <v>2</v>
      </c>
      <c r="I509" s="3">
        <f t="shared" ca="1" si="60"/>
        <v>3.8468418852679842</v>
      </c>
      <c r="J509" s="3">
        <f t="shared" ca="1" si="61"/>
        <v>9.8066837989046842</v>
      </c>
      <c r="P509" s="3">
        <f t="shared" ca="1" si="62"/>
        <v>-1.9018325823453135</v>
      </c>
      <c r="Q509" s="3">
        <f t="shared" ca="1" si="63"/>
        <v>-2.2382000864940141</v>
      </c>
      <c r="R509" s="3">
        <f t="shared" ca="1" si="64"/>
        <v>2.9370915543190095</v>
      </c>
    </row>
    <row r="510" spans="7:18" x14ac:dyDescent="0.25">
      <c r="G510" s="2">
        <f t="shared" ca="1" si="58"/>
        <v>0.36116608493593183</v>
      </c>
      <c r="H510" s="3">
        <f t="shared" ca="1" si="59"/>
        <v>0</v>
      </c>
      <c r="I510" s="3">
        <f t="shared" ca="1" si="60"/>
        <v>1.7233059655997665</v>
      </c>
      <c r="J510" s="3">
        <f t="shared" ca="1" si="61"/>
        <v>6.5637374368566999</v>
      </c>
      <c r="P510" s="3">
        <f t="shared" ca="1" si="62"/>
        <v>-6.344203919764789</v>
      </c>
      <c r="Q510" s="3">
        <f t="shared" ca="1" si="63"/>
        <v>1.2324440442327078</v>
      </c>
      <c r="R510" s="3">
        <f t="shared" ca="1" si="64"/>
        <v>6.4628044762102768</v>
      </c>
    </row>
    <row r="511" spans="7:18" x14ac:dyDescent="0.25">
      <c r="G511" s="2">
        <f t="shared" ca="1" si="58"/>
        <v>0.51685129228206239</v>
      </c>
      <c r="H511" s="3">
        <f t="shared" ca="1" si="59"/>
        <v>0</v>
      </c>
      <c r="I511" s="3">
        <f t="shared" ca="1" si="60"/>
        <v>0.52450145839084661</v>
      </c>
      <c r="J511" s="3">
        <f t="shared" ca="1" si="61"/>
        <v>3.6211236460208269</v>
      </c>
      <c r="P511" s="3">
        <f t="shared" ca="1" si="62"/>
        <v>-4.5116608106534368</v>
      </c>
      <c r="Q511" s="3">
        <f t="shared" ca="1" si="63"/>
        <v>3.4883368502778138</v>
      </c>
      <c r="R511" s="3">
        <f t="shared" ca="1" si="64"/>
        <v>5.702944612337749</v>
      </c>
    </row>
    <row r="512" spans="7:18" x14ac:dyDescent="0.25">
      <c r="G512" s="2">
        <f t="shared" ca="1" si="58"/>
        <v>0.38793092583570499</v>
      </c>
      <c r="H512" s="3">
        <f t="shared" ca="1" si="59"/>
        <v>0</v>
      </c>
      <c r="I512" s="3">
        <f t="shared" ca="1" si="60"/>
        <v>0.42121838974945591</v>
      </c>
      <c r="J512" s="3">
        <f t="shared" ca="1" si="61"/>
        <v>3.2450669860168366</v>
      </c>
      <c r="P512" s="3">
        <f t="shared" ca="1" si="62"/>
        <v>-3.8791397718522802</v>
      </c>
      <c r="Q512" s="3">
        <f t="shared" ca="1" si="63"/>
        <v>4.8532368425117314</v>
      </c>
      <c r="R512" s="3">
        <f t="shared" ca="1" si="64"/>
        <v>6.2130212633693285</v>
      </c>
    </row>
    <row r="513" spans="7:18" x14ac:dyDescent="0.25">
      <c r="G513" s="2">
        <f t="shared" ca="1" si="58"/>
        <v>0.93510944866115475</v>
      </c>
      <c r="H513" s="3">
        <f t="shared" ca="1" si="59"/>
        <v>2</v>
      </c>
      <c r="I513" s="3">
        <f t="shared" ca="1" si="60"/>
        <v>6.0427198429079958</v>
      </c>
      <c r="J513" s="3">
        <f t="shared" ca="1" si="61"/>
        <v>12.290972137007712</v>
      </c>
      <c r="P513" s="3">
        <f t="shared" ca="1" si="62"/>
        <v>-8.6304428354038372</v>
      </c>
      <c r="Q513" s="3">
        <f t="shared" ca="1" si="63"/>
        <v>1.4208470355938645</v>
      </c>
      <c r="R513" s="3">
        <f t="shared" ca="1" si="64"/>
        <v>8.7466193374199896</v>
      </c>
    </row>
    <row r="514" spans="7:18" x14ac:dyDescent="0.25">
      <c r="G514" s="2">
        <f t="shared" ca="1" si="58"/>
        <v>0.48557078299190515</v>
      </c>
      <c r="H514" s="3">
        <f t="shared" ca="1" si="59"/>
        <v>0</v>
      </c>
      <c r="I514" s="3">
        <f t="shared" ca="1" si="60"/>
        <v>0.66094719815593628</v>
      </c>
      <c r="J514" s="3">
        <f t="shared" ca="1" si="61"/>
        <v>4.0649329581062474</v>
      </c>
      <c r="P514" s="3">
        <f t="shared" ca="1" si="62"/>
        <v>-11.018259514823972</v>
      </c>
      <c r="Q514" s="3">
        <f t="shared" ca="1" si="63"/>
        <v>7.180106728714752</v>
      </c>
      <c r="R514" s="3">
        <f t="shared" ca="1" si="64"/>
        <v>13.151272766228516</v>
      </c>
    </row>
    <row r="515" spans="7:18" x14ac:dyDescent="0.25">
      <c r="G515" s="2">
        <f t="shared" ca="1" si="58"/>
        <v>5.3230332652724033E-2</v>
      </c>
      <c r="H515" s="3">
        <f t="shared" ca="1" si="59"/>
        <v>0</v>
      </c>
      <c r="I515" s="3">
        <f t="shared" ca="1" si="60"/>
        <v>1.8145421251392342</v>
      </c>
      <c r="J515" s="3">
        <f t="shared" ca="1" si="61"/>
        <v>6.7352470725639204</v>
      </c>
      <c r="P515" s="3">
        <f t="shared" ca="1" si="62"/>
        <v>-7.3263276139934455</v>
      </c>
      <c r="Q515" s="3">
        <f t="shared" ca="1" si="63"/>
        <v>3.0798452696041729</v>
      </c>
      <c r="R515" s="3">
        <f t="shared" ca="1" si="64"/>
        <v>7.9473595106970016</v>
      </c>
    </row>
    <row r="516" spans="7:18" x14ac:dyDescent="0.25">
      <c r="G516" s="2">
        <f t="shared" ref="G516:G579" ca="1" si="65">RAND()</f>
        <v>6.0198450722766417E-2</v>
      </c>
      <c r="H516" s="3">
        <f t="shared" ref="H516:H579" ca="1" si="66">VLOOKUP(G516,$B$9:$C$169,2,TRUE)</f>
        <v>0</v>
      </c>
      <c r="I516" s="3">
        <f t="shared" ref="I516:I579" ca="1" si="67">_xlfn.CHISQ.INV(RAND(),2*H516+2)</f>
        <v>1.9732830996936892</v>
      </c>
      <c r="J516" s="3">
        <f t="shared" ref="J516:J579" ca="1" si="68">$C$4*SQRT(I516)</f>
        <v>7.0236797686356853</v>
      </c>
      <c r="P516" s="3">
        <f t="shared" ref="P516:P579" ca="1" si="69">_xlfn.NORM.INV(RAND(),$C$3*COS($O$2),$C$4)</f>
        <v>-1.3381687454099032</v>
      </c>
      <c r="Q516" s="3">
        <f t="shared" ref="Q516:Q579" ca="1" si="70">_xlfn.NORM.INV(RAND(),$C$3*SIN($O$2),$C$4)</f>
        <v>-2.5395130744415719</v>
      </c>
      <c r="R516" s="3">
        <f t="shared" ref="R516:R579" ca="1" si="71">SQRT(P516^2+Q516^2)</f>
        <v>2.8705090570230918</v>
      </c>
    </row>
    <row r="517" spans="7:18" x14ac:dyDescent="0.25">
      <c r="G517" s="2">
        <f t="shared" ca="1" si="65"/>
        <v>0.38887540737976045</v>
      </c>
      <c r="H517" s="3">
        <f t="shared" ca="1" si="66"/>
        <v>0</v>
      </c>
      <c r="I517" s="3">
        <f t="shared" ca="1" si="67"/>
        <v>1.3209744287182804E-2</v>
      </c>
      <c r="J517" s="3">
        <f t="shared" ca="1" si="68"/>
        <v>0.57466825837135815</v>
      </c>
      <c r="P517" s="3">
        <f t="shared" ca="1" si="69"/>
        <v>0.67350268472235619</v>
      </c>
      <c r="Q517" s="3">
        <f t="shared" ca="1" si="70"/>
        <v>-3.6388025467386655</v>
      </c>
      <c r="R517" s="3">
        <f t="shared" ca="1" si="71"/>
        <v>3.7006066854611852</v>
      </c>
    </row>
    <row r="518" spans="7:18" x14ac:dyDescent="0.25">
      <c r="G518" s="2">
        <f t="shared" ca="1" si="65"/>
        <v>0.29161183839442306</v>
      </c>
      <c r="H518" s="3">
        <f t="shared" ca="1" si="66"/>
        <v>0</v>
      </c>
      <c r="I518" s="3">
        <f t="shared" ca="1" si="67"/>
        <v>0.44215753827579118</v>
      </c>
      <c r="J518" s="3">
        <f t="shared" ca="1" si="68"/>
        <v>3.3247463748224133</v>
      </c>
      <c r="P518" s="3">
        <f t="shared" ca="1" si="69"/>
        <v>-10.652334734761364</v>
      </c>
      <c r="Q518" s="3">
        <f t="shared" ca="1" si="70"/>
        <v>-0.98099273966369294</v>
      </c>
      <c r="R518" s="3">
        <f t="shared" ca="1" si="71"/>
        <v>10.697410063032844</v>
      </c>
    </row>
    <row r="519" spans="7:18" x14ac:dyDescent="0.25">
      <c r="G519" s="2">
        <f t="shared" ca="1" si="65"/>
        <v>0.22609055057155014</v>
      </c>
      <c r="H519" s="3">
        <f t="shared" ca="1" si="66"/>
        <v>0</v>
      </c>
      <c r="I519" s="3">
        <f t="shared" ca="1" si="67"/>
        <v>1.3813391367186914</v>
      </c>
      <c r="J519" s="3">
        <f t="shared" ca="1" si="68"/>
        <v>5.8765192433929192</v>
      </c>
      <c r="P519" s="3">
        <f t="shared" ca="1" si="69"/>
        <v>-0.96560506162111182</v>
      </c>
      <c r="Q519" s="3">
        <f t="shared" ca="1" si="70"/>
        <v>-9.9926053924477394</v>
      </c>
      <c r="R519" s="3">
        <f t="shared" ca="1" si="71"/>
        <v>10.039151142611807</v>
      </c>
    </row>
    <row r="520" spans="7:18" x14ac:dyDescent="0.25">
      <c r="G520" s="2">
        <f t="shared" ca="1" si="65"/>
        <v>0.30313943754372896</v>
      </c>
      <c r="H520" s="3">
        <f t="shared" ca="1" si="66"/>
        <v>0</v>
      </c>
      <c r="I520" s="3">
        <f t="shared" ca="1" si="67"/>
        <v>2.5556062898861409</v>
      </c>
      <c r="J520" s="3">
        <f t="shared" ca="1" si="68"/>
        <v>7.9931318797548636</v>
      </c>
      <c r="P520" s="3">
        <f t="shared" ca="1" si="69"/>
        <v>0.20429747250064434</v>
      </c>
      <c r="Q520" s="3">
        <f t="shared" ca="1" si="70"/>
        <v>0.92711904100727649</v>
      </c>
      <c r="R520" s="3">
        <f t="shared" ca="1" si="71"/>
        <v>0.94936145564711205</v>
      </c>
    </row>
    <row r="521" spans="7:18" x14ac:dyDescent="0.25">
      <c r="G521" s="2">
        <f t="shared" ca="1" si="65"/>
        <v>0.58075965659476625</v>
      </c>
      <c r="H521" s="3">
        <f t="shared" ca="1" si="66"/>
        <v>0</v>
      </c>
      <c r="I521" s="3">
        <f t="shared" ca="1" si="67"/>
        <v>2.561070208352374</v>
      </c>
      <c r="J521" s="3">
        <f t="shared" ca="1" si="68"/>
        <v>8.001672025821188</v>
      </c>
      <c r="P521" s="3">
        <f t="shared" ca="1" si="69"/>
        <v>-6.3760595906384712</v>
      </c>
      <c r="Q521" s="3">
        <f t="shared" ca="1" si="70"/>
        <v>5.5343415369455924</v>
      </c>
      <c r="R521" s="3">
        <f t="shared" ca="1" si="71"/>
        <v>8.4429303059384626</v>
      </c>
    </row>
    <row r="522" spans="7:18" x14ac:dyDescent="0.25">
      <c r="G522" s="2">
        <f t="shared" ca="1" si="65"/>
        <v>0.40747037379165241</v>
      </c>
      <c r="H522" s="3">
        <f t="shared" ca="1" si="66"/>
        <v>0</v>
      </c>
      <c r="I522" s="3">
        <f t="shared" ca="1" si="67"/>
        <v>0.69543962381198388</v>
      </c>
      <c r="J522" s="3">
        <f t="shared" ca="1" si="68"/>
        <v>4.1696511359224768</v>
      </c>
      <c r="P522" s="3">
        <f t="shared" ca="1" si="69"/>
        <v>-3.9043944153004908</v>
      </c>
      <c r="Q522" s="3">
        <f t="shared" ca="1" si="70"/>
        <v>4.1713827286206424</v>
      </c>
      <c r="R522" s="3">
        <f t="shared" ca="1" si="71"/>
        <v>5.7135566522844821</v>
      </c>
    </row>
    <row r="523" spans="7:18" x14ac:dyDescent="0.25">
      <c r="G523" s="2">
        <f t="shared" ca="1" si="65"/>
        <v>0.57530243786656077</v>
      </c>
      <c r="H523" s="3">
        <f t="shared" ca="1" si="66"/>
        <v>0</v>
      </c>
      <c r="I523" s="3">
        <f t="shared" ca="1" si="67"/>
        <v>1.7186661171366535</v>
      </c>
      <c r="J523" s="3">
        <f t="shared" ca="1" si="68"/>
        <v>6.5548953407675654</v>
      </c>
      <c r="P523" s="3">
        <f t="shared" ca="1" si="69"/>
        <v>3.9997960282446616</v>
      </c>
      <c r="Q523" s="3">
        <f t="shared" ca="1" si="70"/>
        <v>5.0964354278070054</v>
      </c>
      <c r="R523" s="3">
        <f t="shared" ca="1" si="71"/>
        <v>6.4785818152870576</v>
      </c>
    </row>
    <row r="524" spans="7:18" x14ac:dyDescent="0.25">
      <c r="G524" s="2">
        <f t="shared" ca="1" si="65"/>
        <v>0.77828555710871627</v>
      </c>
      <c r="H524" s="3">
        <f t="shared" ca="1" si="66"/>
        <v>1</v>
      </c>
      <c r="I524" s="3">
        <f t="shared" ca="1" si="67"/>
        <v>4.9828490115473398</v>
      </c>
      <c r="J524" s="3">
        <f t="shared" ca="1" si="68"/>
        <v>11.161148027361858</v>
      </c>
      <c r="P524" s="3">
        <f t="shared" ca="1" si="69"/>
        <v>-2.777942853929166</v>
      </c>
      <c r="Q524" s="3">
        <f t="shared" ca="1" si="70"/>
        <v>-0.86324853502745502</v>
      </c>
      <c r="R524" s="3">
        <f t="shared" ca="1" si="71"/>
        <v>2.908979981526715</v>
      </c>
    </row>
    <row r="525" spans="7:18" x14ac:dyDescent="0.25">
      <c r="G525" s="2">
        <f t="shared" ca="1" si="65"/>
        <v>0.62841091994100395</v>
      </c>
      <c r="H525" s="3">
        <f t="shared" ca="1" si="66"/>
        <v>1</v>
      </c>
      <c r="I525" s="3">
        <f t="shared" ca="1" si="67"/>
        <v>0.6889492374461258</v>
      </c>
      <c r="J525" s="3">
        <f t="shared" ca="1" si="68"/>
        <v>4.15014830291077</v>
      </c>
      <c r="P525" s="3">
        <f t="shared" ca="1" si="69"/>
        <v>-4.2848858664704288</v>
      </c>
      <c r="Q525" s="3">
        <f t="shared" ca="1" si="70"/>
        <v>3.8678051307347072</v>
      </c>
      <c r="R525" s="3">
        <f t="shared" ca="1" si="71"/>
        <v>5.7723620310940102</v>
      </c>
    </row>
    <row r="526" spans="7:18" x14ac:dyDescent="0.25">
      <c r="G526" s="2">
        <f t="shared" ca="1" si="65"/>
        <v>7.0006664562142551E-2</v>
      </c>
      <c r="H526" s="3">
        <f t="shared" ca="1" si="66"/>
        <v>0</v>
      </c>
      <c r="I526" s="3">
        <f t="shared" ca="1" si="67"/>
        <v>0.51379863962791905</v>
      </c>
      <c r="J526" s="3">
        <f t="shared" ca="1" si="68"/>
        <v>3.5839874428767153</v>
      </c>
      <c r="P526" s="3">
        <f t="shared" ca="1" si="69"/>
        <v>-12.930392849393609</v>
      </c>
      <c r="Q526" s="3">
        <f t="shared" ca="1" si="70"/>
        <v>4.9998921325214551</v>
      </c>
      <c r="R526" s="3">
        <f t="shared" ca="1" si="71"/>
        <v>13.863404364603209</v>
      </c>
    </row>
    <row r="527" spans="7:18" x14ac:dyDescent="0.25">
      <c r="G527" s="2">
        <f t="shared" ca="1" si="65"/>
        <v>0.97177544811815741</v>
      </c>
      <c r="H527" s="3">
        <f t="shared" ca="1" si="66"/>
        <v>2</v>
      </c>
      <c r="I527" s="3">
        <f t="shared" ca="1" si="67"/>
        <v>4.5274413577845003</v>
      </c>
      <c r="J527" s="3">
        <f t="shared" ca="1" si="68"/>
        <v>10.638892514947809</v>
      </c>
      <c r="P527" s="3">
        <f t="shared" ca="1" si="69"/>
        <v>-2.4999432220908533</v>
      </c>
      <c r="Q527" s="3">
        <f t="shared" ca="1" si="70"/>
        <v>-12.010087516608458</v>
      </c>
      <c r="R527" s="3">
        <f t="shared" ca="1" si="71"/>
        <v>12.267514755249831</v>
      </c>
    </row>
    <row r="528" spans="7:18" x14ac:dyDescent="0.25">
      <c r="G528" s="2">
        <f t="shared" ca="1" si="65"/>
        <v>0.20242595896962579</v>
      </c>
      <c r="H528" s="3">
        <f t="shared" ca="1" si="66"/>
        <v>0</v>
      </c>
      <c r="I528" s="3">
        <f t="shared" ca="1" si="67"/>
        <v>1.4968874063226243</v>
      </c>
      <c r="J528" s="3">
        <f t="shared" ca="1" si="68"/>
        <v>6.1173675022893317</v>
      </c>
      <c r="P528" s="3">
        <f t="shared" ca="1" si="69"/>
        <v>-13.073699236483282</v>
      </c>
      <c r="Q528" s="3">
        <f t="shared" ca="1" si="70"/>
        <v>0.10055358741523435</v>
      </c>
      <c r="R528" s="3">
        <f t="shared" ca="1" si="71"/>
        <v>13.074085924070014</v>
      </c>
    </row>
    <row r="529" spans="7:18" x14ac:dyDescent="0.25">
      <c r="G529" s="2">
        <f t="shared" ca="1" si="65"/>
        <v>0.49716999217906299</v>
      </c>
      <c r="H529" s="3">
        <f t="shared" ca="1" si="66"/>
        <v>0</v>
      </c>
      <c r="I529" s="3">
        <f t="shared" ca="1" si="67"/>
        <v>0.15466605202856423</v>
      </c>
      <c r="J529" s="3">
        <f t="shared" ca="1" si="68"/>
        <v>1.9663802533371073</v>
      </c>
      <c r="P529" s="3">
        <f t="shared" ca="1" si="69"/>
        <v>4.115609273637336</v>
      </c>
      <c r="Q529" s="3">
        <f t="shared" ca="1" si="70"/>
        <v>-6.0588432171576452</v>
      </c>
      <c r="R529" s="3">
        <f t="shared" ca="1" si="71"/>
        <v>7.3244672723241004</v>
      </c>
    </row>
    <row r="530" spans="7:18" x14ac:dyDescent="0.25">
      <c r="G530" s="2">
        <f t="shared" ca="1" si="65"/>
        <v>0.58576207938108316</v>
      </c>
      <c r="H530" s="3">
        <f t="shared" ca="1" si="66"/>
        <v>0</v>
      </c>
      <c r="I530" s="3">
        <f t="shared" ca="1" si="67"/>
        <v>1.1581645035072661</v>
      </c>
      <c r="J530" s="3">
        <f t="shared" ca="1" si="68"/>
        <v>5.3809025811365183</v>
      </c>
      <c r="P530" s="3">
        <f t="shared" ca="1" si="69"/>
        <v>-5.5250457055729916</v>
      </c>
      <c r="Q530" s="3">
        <f t="shared" ca="1" si="70"/>
        <v>6.7863982499135558</v>
      </c>
      <c r="R530" s="3">
        <f t="shared" ca="1" si="71"/>
        <v>8.7510760055607069</v>
      </c>
    </row>
    <row r="531" spans="7:18" x14ac:dyDescent="0.25">
      <c r="G531" s="2">
        <f t="shared" ca="1" si="65"/>
        <v>0.2339775744599415</v>
      </c>
      <c r="H531" s="3">
        <f t="shared" ca="1" si="66"/>
        <v>0</v>
      </c>
      <c r="I531" s="3">
        <f t="shared" ca="1" si="67"/>
        <v>0.3484863958808585</v>
      </c>
      <c r="J531" s="3">
        <f t="shared" ca="1" si="68"/>
        <v>2.9516368165852418</v>
      </c>
      <c r="P531" s="3">
        <f t="shared" ca="1" si="69"/>
        <v>-7.0039406117689467</v>
      </c>
      <c r="Q531" s="3">
        <f t="shared" ca="1" si="70"/>
        <v>0.37243720813990794</v>
      </c>
      <c r="R531" s="3">
        <f t="shared" ca="1" si="71"/>
        <v>7.0138358668558407</v>
      </c>
    </row>
    <row r="532" spans="7:18" x14ac:dyDescent="0.25">
      <c r="G532" s="2">
        <f t="shared" ca="1" si="65"/>
        <v>0.96448300889241023</v>
      </c>
      <c r="H532" s="3">
        <f t="shared" ca="1" si="66"/>
        <v>2</v>
      </c>
      <c r="I532" s="3">
        <f t="shared" ca="1" si="67"/>
        <v>6.2394818267804641</v>
      </c>
      <c r="J532" s="3">
        <f t="shared" ca="1" si="68"/>
        <v>12.489477397774159</v>
      </c>
      <c r="P532" s="3">
        <f t="shared" ca="1" si="69"/>
        <v>-8.9089085586376306</v>
      </c>
      <c r="Q532" s="3">
        <f t="shared" ca="1" si="70"/>
        <v>-4.0393576425341342</v>
      </c>
      <c r="R532" s="3">
        <f t="shared" ca="1" si="71"/>
        <v>9.781874149183567</v>
      </c>
    </row>
    <row r="533" spans="7:18" x14ac:dyDescent="0.25">
      <c r="G533" s="2">
        <f t="shared" ca="1" si="65"/>
        <v>0.29522297673758835</v>
      </c>
      <c r="H533" s="3">
        <f t="shared" ca="1" si="66"/>
        <v>0</v>
      </c>
      <c r="I533" s="3">
        <f t="shared" ca="1" si="67"/>
        <v>4.3389279210228331</v>
      </c>
      <c r="J533" s="3">
        <f t="shared" ca="1" si="68"/>
        <v>10.415046712596677</v>
      </c>
      <c r="P533" s="3">
        <f t="shared" ca="1" si="69"/>
        <v>-4.9795119379741148</v>
      </c>
      <c r="Q533" s="3">
        <f t="shared" ca="1" si="70"/>
        <v>-6.5573612079472632</v>
      </c>
      <c r="R533" s="3">
        <f t="shared" ca="1" si="71"/>
        <v>8.2337430827004994</v>
      </c>
    </row>
    <row r="534" spans="7:18" x14ac:dyDescent="0.25">
      <c r="G534" s="2">
        <f t="shared" ca="1" si="65"/>
        <v>0.52082102776819839</v>
      </c>
      <c r="H534" s="3">
        <f t="shared" ca="1" si="66"/>
        <v>0</v>
      </c>
      <c r="I534" s="3">
        <f t="shared" ca="1" si="67"/>
        <v>1.9412286413423174</v>
      </c>
      <c r="J534" s="3">
        <f t="shared" ca="1" si="68"/>
        <v>6.9663990722293487</v>
      </c>
      <c r="P534" s="3">
        <f t="shared" ca="1" si="69"/>
        <v>-3.8762525464806901</v>
      </c>
      <c r="Q534" s="3">
        <f t="shared" ca="1" si="70"/>
        <v>-0.65565448828129114</v>
      </c>
      <c r="R534" s="3">
        <f t="shared" ca="1" si="71"/>
        <v>3.9313123269592096</v>
      </c>
    </row>
    <row r="535" spans="7:18" x14ac:dyDescent="0.25">
      <c r="G535" s="2">
        <f t="shared" ca="1" si="65"/>
        <v>0.94419326021162375</v>
      </c>
      <c r="H535" s="3">
        <f t="shared" ca="1" si="66"/>
        <v>2</v>
      </c>
      <c r="I535" s="3">
        <f t="shared" ca="1" si="67"/>
        <v>11.156321457248515</v>
      </c>
      <c r="J535" s="3">
        <f t="shared" ca="1" si="68"/>
        <v>16.700540004179892</v>
      </c>
      <c r="P535" s="3">
        <f t="shared" ca="1" si="69"/>
        <v>0.71873710116808187</v>
      </c>
      <c r="Q535" s="3">
        <f t="shared" ca="1" si="70"/>
        <v>-0.20303749474504185</v>
      </c>
      <c r="R535" s="3">
        <f t="shared" ca="1" si="71"/>
        <v>0.74686494419529448</v>
      </c>
    </row>
    <row r="536" spans="7:18" x14ac:dyDescent="0.25">
      <c r="G536" s="2">
        <f t="shared" ca="1" si="65"/>
        <v>0.21893949188757966</v>
      </c>
      <c r="H536" s="3">
        <f t="shared" ca="1" si="66"/>
        <v>0</v>
      </c>
      <c r="I536" s="3">
        <f t="shared" ca="1" si="67"/>
        <v>1.7019137159908553</v>
      </c>
      <c r="J536" s="3">
        <f t="shared" ca="1" si="68"/>
        <v>6.5228707560223338</v>
      </c>
      <c r="P536" s="3">
        <f t="shared" ca="1" si="69"/>
        <v>3.2360829256972519</v>
      </c>
      <c r="Q536" s="3">
        <f t="shared" ca="1" si="70"/>
        <v>-0.78239737168335299</v>
      </c>
      <c r="R536" s="3">
        <f t="shared" ca="1" si="71"/>
        <v>3.3293210042298873</v>
      </c>
    </row>
    <row r="537" spans="7:18" x14ac:dyDescent="0.25">
      <c r="G537" s="2">
        <f t="shared" ca="1" si="65"/>
        <v>0.46226958746154667</v>
      </c>
      <c r="H537" s="3">
        <f t="shared" ca="1" si="66"/>
        <v>0</v>
      </c>
      <c r="I537" s="3">
        <f t="shared" ca="1" si="67"/>
        <v>1.0729299919648481</v>
      </c>
      <c r="J537" s="3">
        <f t="shared" ca="1" si="68"/>
        <v>5.1791167006663592</v>
      </c>
      <c r="P537" s="3">
        <f t="shared" ca="1" si="69"/>
        <v>-9.4485539301788144</v>
      </c>
      <c r="Q537" s="3">
        <f t="shared" ca="1" si="70"/>
        <v>5.4380807440481522</v>
      </c>
      <c r="R537" s="3">
        <f t="shared" ca="1" si="71"/>
        <v>10.901738097674372</v>
      </c>
    </row>
    <row r="538" spans="7:18" x14ac:dyDescent="0.25">
      <c r="G538" s="2">
        <f t="shared" ca="1" si="65"/>
        <v>6.1321896394586961E-2</v>
      </c>
      <c r="H538" s="3">
        <f t="shared" ca="1" si="66"/>
        <v>0</v>
      </c>
      <c r="I538" s="3">
        <f t="shared" ca="1" si="67"/>
        <v>3.0556160146334186</v>
      </c>
      <c r="J538" s="3">
        <f t="shared" ca="1" si="68"/>
        <v>8.7401602025269227</v>
      </c>
      <c r="P538" s="3">
        <f t="shared" ca="1" si="69"/>
        <v>-1.5148162289482721</v>
      </c>
      <c r="Q538" s="3">
        <f t="shared" ca="1" si="70"/>
        <v>-3.2969253712314108</v>
      </c>
      <c r="R538" s="3">
        <f t="shared" ca="1" si="71"/>
        <v>3.6282757765851317</v>
      </c>
    </row>
    <row r="539" spans="7:18" x14ac:dyDescent="0.25">
      <c r="G539" s="2">
        <f t="shared" ca="1" si="65"/>
        <v>0.84085127789369751</v>
      </c>
      <c r="H539" s="3">
        <f t="shared" ca="1" si="66"/>
        <v>1</v>
      </c>
      <c r="I539" s="3">
        <f t="shared" ca="1" si="67"/>
        <v>2.9435635661864796</v>
      </c>
      <c r="J539" s="3">
        <f t="shared" ca="1" si="68"/>
        <v>8.5784083112580962</v>
      </c>
      <c r="P539" s="3">
        <f t="shared" ca="1" si="69"/>
        <v>0.1590150804659185</v>
      </c>
      <c r="Q539" s="3">
        <f t="shared" ca="1" si="70"/>
        <v>10.991407922259256</v>
      </c>
      <c r="R539" s="3">
        <f t="shared" ca="1" si="71"/>
        <v>10.992558114893873</v>
      </c>
    </row>
    <row r="540" spans="7:18" x14ac:dyDescent="0.25">
      <c r="G540" s="2">
        <f t="shared" ca="1" si="65"/>
        <v>0.96206502121164084</v>
      </c>
      <c r="H540" s="3">
        <f t="shared" ca="1" si="66"/>
        <v>2</v>
      </c>
      <c r="I540" s="3">
        <f t="shared" ca="1" si="67"/>
        <v>4.9689533324721307</v>
      </c>
      <c r="J540" s="3">
        <f t="shared" ca="1" si="68"/>
        <v>11.145574606623171</v>
      </c>
      <c r="P540" s="3">
        <f t="shared" ca="1" si="69"/>
        <v>-9.0995142626297572</v>
      </c>
      <c r="Q540" s="3">
        <f t="shared" ca="1" si="70"/>
        <v>1.0194896882567392</v>
      </c>
      <c r="R540" s="3">
        <f t="shared" ca="1" si="71"/>
        <v>9.1564468567378352</v>
      </c>
    </row>
    <row r="541" spans="7:18" x14ac:dyDescent="0.25">
      <c r="G541" s="2">
        <f t="shared" ca="1" si="65"/>
        <v>1.8716084770609154E-4</v>
      </c>
      <c r="H541" s="3">
        <f t="shared" ca="1" si="66"/>
        <v>0</v>
      </c>
      <c r="I541" s="3">
        <f t="shared" ca="1" si="67"/>
        <v>1.5969485908841887</v>
      </c>
      <c r="J541" s="3">
        <f t="shared" ca="1" si="68"/>
        <v>6.3185215653746667</v>
      </c>
      <c r="P541" s="3">
        <f t="shared" ca="1" si="69"/>
        <v>-9.0081165255601547</v>
      </c>
      <c r="Q541" s="3">
        <f t="shared" ca="1" si="70"/>
        <v>-7.8531688793699344</v>
      </c>
      <c r="R541" s="3">
        <f t="shared" ca="1" si="71"/>
        <v>11.950666290461566</v>
      </c>
    </row>
    <row r="542" spans="7:18" x14ac:dyDescent="0.25">
      <c r="G542" s="2">
        <f t="shared" ca="1" si="65"/>
        <v>0.63597096858573776</v>
      </c>
      <c r="H542" s="3">
        <f t="shared" ca="1" si="66"/>
        <v>1</v>
      </c>
      <c r="I542" s="3">
        <f t="shared" ca="1" si="67"/>
        <v>1.4028519735997873</v>
      </c>
      <c r="J542" s="3">
        <f t="shared" ca="1" si="68"/>
        <v>5.9221026114037132</v>
      </c>
      <c r="P542" s="3">
        <f t="shared" ca="1" si="69"/>
        <v>-6.8358086366741677</v>
      </c>
      <c r="Q542" s="3">
        <f t="shared" ca="1" si="70"/>
        <v>6.0203709197732689</v>
      </c>
      <c r="R542" s="3">
        <f t="shared" ca="1" si="71"/>
        <v>9.1089596403146267</v>
      </c>
    </row>
    <row r="543" spans="7:18" x14ac:dyDescent="0.25">
      <c r="G543" s="2">
        <f t="shared" ca="1" si="65"/>
        <v>0.89492816940641284</v>
      </c>
      <c r="H543" s="3">
        <f t="shared" ca="1" si="66"/>
        <v>1</v>
      </c>
      <c r="I543" s="3">
        <f t="shared" ca="1" si="67"/>
        <v>2.8053565203485697</v>
      </c>
      <c r="J543" s="3">
        <f t="shared" ca="1" si="68"/>
        <v>8.3745992745154236</v>
      </c>
      <c r="P543" s="3">
        <f t="shared" ca="1" si="69"/>
        <v>-1.757005270769509</v>
      </c>
      <c r="Q543" s="3">
        <f t="shared" ca="1" si="70"/>
        <v>3.2417850247649773</v>
      </c>
      <c r="R543" s="3">
        <f t="shared" ca="1" si="71"/>
        <v>3.6873076449222815</v>
      </c>
    </row>
    <row r="544" spans="7:18" x14ac:dyDescent="0.25">
      <c r="G544" s="2">
        <f t="shared" ca="1" si="65"/>
        <v>0.61901529758938245</v>
      </c>
      <c r="H544" s="3">
        <f t="shared" ca="1" si="66"/>
        <v>1</v>
      </c>
      <c r="I544" s="3">
        <f t="shared" ca="1" si="67"/>
        <v>2.5442034191761942</v>
      </c>
      <c r="J544" s="3">
        <f t="shared" ca="1" si="68"/>
        <v>7.9752796489781383</v>
      </c>
      <c r="P544" s="3">
        <f t="shared" ca="1" si="69"/>
        <v>-8.1007197952505603</v>
      </c>
      <c r="Q544" s="3">
        <f t="shared" ca="1" si="70"/>
        <v>-0.20435702790631791</v>
      </c>
      <c r="R544" s="3">
        <f t="shared" ca="1" si="71"/>
        <v>8.1032970447848562</v>
      </c>
    </row>
    <row r="545" spans="7:18" x14ac:dyDescent="0.25">
      <c r="G545" s="2">
        <f t="shared" ca="1" si="65"/>
        <v>0.52953137425311425</v>
      </c>
      <c r="H545" s="3">
        <f t="shared" ca="1" si="66"/>
        <v>0</v>
      </c>
      <c r="I545" s="3">
        <f t="shared" ca="1" si="67"/>
        <v>0.84908500856655378</v>
      </c>
      <c r="J545" s="3">
        <f t="shared" ca="1" si="68"/>
        <v>4.6072904416982272</v>
      </c>
      <c r="P545" s="3">
        <f t="shared" ca="1" si="69"/>
        <v>-7.4796331833544638</v>
      </c>
      <c r="Q545" s="3">
        <f t="shared" ca="1" si="70"/>
        <v>-3.3806471368485482</v>
      </c>
      <c r="R545" s="3">
        <f t="shared" ca="1" si="71"/>
        <v>8.2081476364292758</v>
      </c>
    </row>
    <row r="546" spans="7:18" x14ac:dyDescent="0.25">
      <c r="G546" s="2">
        <f t="shared" ca="1" si="65"/>
        <v>0.74848174588616845</v>
      </c>
      <c r="H546" s="3">
        <f t="shared" ca="1" si="66"/>
        <v>1</v>
      </c>
      <c r="I546" s="3">
        <f t="shared" ca="1" si="67"/>
        <v>3.5959280241719029</v>
      </c>
      <c r="J546" s="3">
        <f t="shared" ca="1" si="68"/>
        <v>9.4814661632206203</v>
      </c>
      <c r="P546" s="3">
        <f t="shared" ca="1" si="69"/>
        <v>-7.2245781687828714</v>
      </c>
      <c r="Q546" s="3">
        <f t="shared" ca="1" si="70"/>
        <v>-11.867748389405008</v>
      </c>
      <c r="R546" s="3">
        <f t="shared" ca="1" si="71"/>
        <v>13.893810908137452</v>
      </c>
    </row>
    <row r="547" spans="7:18" x14ac:dyDescent="0.25">
      <c r="G547" s="2">
        <f t="shared" ca="1" si="65"/>
        <v>0.14436031671756266</v>
      </c>
      <c r="H547" s="3">
        <f t="shared" ca="1" si="66"/>
        <v>0</v>
      </c>
      <c r="I547" s="3">
        <f t="shared" ca="1" si="67"/>
        <v>3.8603446669762147</v>
      </c>
      <c r="J547" s="3">
        <f t="shared" ca="1" si="68"/>
        <v>9.8238799195839803</v>
      </c>
      <c r="P547" s="3">
        <f t="shared" ca="1" si="69"/>
        <v>0.73801429951510933</v>
      </c>
      <c r="Q547" s="3">
        <f t="shared" ca="1" si="70"/>
        <v>-3.966420637648111</v>
      </c>
      <c r="R547" s="3">
        <f t="shared" ca="1" si="71"/>
        <v>4.0344959760854424</v>
      </c>
    </row>
    <row r="548" spans="7:18" x14ac:dyDescent="0.25">
      <c r="G548" s="2">
        <f t="shared" ca="1" si="65"/>
        <v>0.35670754478977984</v>
      </c>
      <c r="H548" s="3">
        <f t="shared" ca="1" si="66"/>
        <v>0</v>
      </c>
      <c r="I548" s="3">
        <f t="shared" ca="1" si="67"/>
        <v>0.27723144555368917</v>
      </c>
      <c r="J548" s="3">
        <f t="shared" ca="1" si="68"/>
        <v>2.632638626709376</v>
      </c>
      <c r="P548" s="3">
        <f t="shared" ca="1" si="69"/>
        <v>-0.51959662094948822</v>
      </c>
      <c r="Q548" s="3">
        <f t="shared" ca="1" si="70"/>
        <v>1.8782108032477138</v>
      </c>
      <c r="R548" s="3">
        <f t="shared" ca="1" si="71"/>
        <v>1.9487576734777847</v>
      </c>
    </row>
    <row r="549" spans="7:18" x14ac:dyDescent="0.25">
      <c r="G549" s="2">
        <f t="shared" ca="1" si="65"/>
        <v>0.37401798142121934</v>
      </c>
      <c r="H549" s="3">
        <f t="shared" ca="1" si="66"/>
        <v>0</v>
      </c>
      <c r="I549" s="3">
        <f t="shared" ca="1" si="67"/>
        <v>0.71380785750983833</v>
      </c>
      <c r="J549" s="3">
        <f t="shared" ca="1" si="68"/>
        <v>4.2243575177470429</v>
      </c>
      <c r="P549" s="3">
        <f t="shared" ca="1" si="69"/>
        <v>-4.6299000260617396</v>
      </c>
      <c r="Q549" s="3">
        <f t="shared" ca="1" si="70"/>
        <v>-2.8083016425643303</v>
      </c>
      <c r="R549" s="3">
        <f t="shared" ca="1" si="71"/>
        <v>5.4150283809926618</v>
      </c>
    </row>
    <row r="550" spans="7:18" x14ac:dyDescent="0.25">
      <c r="G550" s="2">
        <f t="shared" ca="1" si="65"/>
        <v>0.25493983029341871</v>
      </c>
      <c r="H550" s="3">
        <f t="shared" ca="1" si="66"/>
        <v>0</v>
      </c>
      <c r="I550" s="3">
        <f t="shared" ca="1" si="67"/>
        <v>2.9936487299934056</v>
      </c>
      <c r="J550" s="3">
        <f t="shared" ca="1" si="68"/>
        <v>8.6510819120983449</v>
      </c>
      <c r="P550" s="3">
        <f t="shared" ca="1" si="69"/>
        <v>0.71969904288762976</v>
      </c>
      <c r="Q550" s="3">
        <f t="shared" ca="1" si="70"/>
        <v>-1.1555556032391203</v>
      </c>
      <c r="R550" s="3">
        <f t="shared" ca="1" si="71"/>
        <v>1.3613506030816225</v>
      </c>
    </row>
    <row r="551" spans="7:18" x14ac:dyDescent="0.25">
      <c r="G551" s="2">
        <f t="shared" ca="1" si="65"/>
        <v>0.4014851483208981</v>
      </c>
      <c r="H551" s="3">
        <f t="shared" ca="1" si="66"/>
        <v>0</v>
      </c>
      <c r="I551" s="3">
        <f t="shared" ca="1" si="67"/>
        <v>3.293990319815733</v>
      </c>
      <c r="J551" s="3">
        <f t="shared" ca="1" si="68"/>
        <v>9.0746767433001878</v>
      </c>
      <c r="P551" s="3">
        <f t="shared" ca="1" si="69"/>
        <v>-7.7750950069282023</v>
      </c>
      <c r="Q551" s="3">
        <f t="shared" ca="1" si="70"/>
        <v>-4.1597494058662319</v>
      </c>
      <c r="R551" s="3">
        <f t="shared" ca="1" si="71"/>
        <v>8.8179145769486968</v>
      </c>
    </row>
    <row r="552" spans="7:18" x14ac:dyDescent="0.25">
      <c r="G552" s="2">
        <f t="shared" ca="1" si="65"/>
        <v>4.2933342993120571E-2</v>
      </c>
      <c r="H552" s="3">
        <f t="shared" ca="1" si="66"/>
        <v>0</v>
      </c>
      <c r="I552" s="3">
        <f t="shared" ca="1" si="67"/>
        <v>3.4141284566363006</v>
      </c>
      <c r="J552" s="3">
        <f t="shared" ca="1" si="68"/>
        <v>9.2386801771631593</v>
      </c>
      <c r="P552" s="3">
        <f t="shared" ca="1" si="69"/>
        <v>-4.0714057692856738</v>
      </c>
      <c r="Q552" s="3">
        <f t="shared" ca="1" si="70"/>
        <v>-4.2221952706335451</v>
      </c>
      <c r="R552" s="3">
        <f t="shared" ca="1" si="71"/>
        <v>5.8654307464612465</v>
      </c>
    </row>
    <row r="553" spans="7:18" x14ac:dyDescent="0.25">
      <c r="G553" s="2">
        <f t="shared" ca="1" si="65"/>
        <v>0.25799705705272391</v>
      </c>
      <c r="H553" s="3">
        <f t="shared" ca="1" si="66"/>
        <v>0</v>
      </c>
      <c r="I553" s="3">
        <f t="shared" ca="1" si="67"/>
        <v>1.7290584959303867</v>
      </c>
      <c r="J553" s="3">
        <f t="shared" ca="1" si="68"/>
        <v>6.5746834447188149</v>
      </c>
      <c r="P553" s="3">
        <f t="shared" ca="1" si="69"/>
        <v>-12.820303667200621</v>
      </c>
      <c r="Q553" s="3">
        <f t="shared" ca="1" si="70"/>
        <v>-1.1742901603733722</v>
      </c>
      <c r="R553" s="3">
        <f t="shared" ca="1" si="71"/>
        <v>12.873971551156519</v>
      </c>
    </row>
    <row r="554" spans="7:18" x14ac:dyDescent="0.25">
      <c r="G554" s="2">
        <f t="shared" ca="1" si="65"/>
        <v>0.27387891868475378</v>
      </c>
      <c r="H554" s="3">
        <f t="shared" ca="1" si="66"/>
        <v>0</v>
      </c>
      <c r="I554" s="3">
        <f t="shared" ca="1" si="67"/>
        <v>1.0695900422380862</v>
      </c>
      <c r="J554" s="3">
        <f t="shared" ca="1" si="68"/>
        <v>5.1710493186540152</v>
      </c>
      <c r="P554" s="3">
        <f t="shared" ca="1" si="69"/>
        <v>-4.2762650526983608</v>
      </c>
      <c r="Q554" s="3">
        <f t="shared" ca="1" si="70"/>
        <v>-1.7898767829336077</v>
      </c>
      <c r="R554" s="3">
        <f t="shared" ca="1" si="71"/>
        <v>4.635741763624682</v>
      </c>
    </row>
    <row r="555" spans="7:18" x14ac:dyDescent="0.25">
      <c r="G555" s="2">
        <f t="shared" ca="1" si="65"/>
        <v>0.19690080515221187</v>
      </c>
      <c r="H555" s="3">
        <f t="shared" ca="1" si="66"/>
        <v>0</v>
      </c>
      <c r="I555" s="3">
        <f t="shared" ca="1" si="67"/>
        <v>6.5199144035032983</v>
      </c>
      <c r="J555" s="3">
        <f t="shared" ca="1" si="68"/>
        <v>12.767061529090494</v>
      </c>
      <c r="P555" s="3">
        <f t="shared" ca="1" si="69"/>
        <v>2.6821373806958935</v>
      </c>
      <c r="Q555" s="3">
        <f t="shared" ca="1" si="70"/>
        <v>-1.6961935605981845E-2</v>
      </c>
      <c r="R555" s="3">
        <f t="shared" ca="1" si="71"/>
        <v>2.6821910141124792</v>
      </c>
    </row>
    <row r="556" spans="7:18" x14ac:dyDescent="0.25">
      <c r="G556" s="2">
        <f t="shared" ca="1" si="65"/>
        <v>0.56583416386987617</v>
      </c>
      <c r="H556" s="3">
        <f t="shared" ca="1" si="66"/>
        <v>0</v>
      </c>
      <c r="I556" s="3">
        <f t="shared" ca="1" si="67"/>
        <v>1.2291910998975637</v>
      </c>
      <c r="J556" s="3">
        <f t="shared" ca="1" si="68"/>
        <v>5.5434445516699355</v>
      </c>
      <c r="P556" s="3">
        <f t="shared" ca="1" si="69"/>
        <v>-0.99907427080357003</v>
      </c>
      <c r="Q556" s="3">
        <f t="shared" ca="1" si="70"/>
        <v>0.33742504993278805</v>
      </c>
      <c r="R556" s="3">
        <f t="shared" ca="1" si="71"/>
        <v>1.0545165067005018</v>
      </c>
    </row>
    <row r="557" spans="7:18" x14ac:dyDescent="0.25">
      <c r="G557" s="2">
        <f t="shared" ca="1" si="65"/>
        <v>0.36630695288792614</v>
      </c>
      <c r="H557" s="3">
        <f t="shared" ca="1" si="66"/>
        <v>0</v>
      </c>
      <c r="I557" s="3">
        <f t="shared" ca="1" si="67"/>
        <v>5.2438705122465779</v>
      </c>
      <c r="J557" s="3">
        <f t="shared" ca="1" si="68"/>
        <v>11.449749464777142</v>
      </c>
      <c r="P557" s="3">
        <f t="shared" ca="1" si="69"/>
        <v>-8.7543738372663213</v>
      </c>
      <c r="Q557" s="3">
        <f t="shared" ca="1" si="70"/>
        <v>-4.3227112296535504</v>
      </c>
      <c r="R557" s="3">
        <f t="shared" ca="1" si="71"/>
        <v>9.7634468123499278</v>
      </c>
    </row>
    <row r="558" spans="7:18" x14ac:dyDescent="0.25">
      <c r="G558" s="2">
        <f t="shared" ca="1" si="65"/>
        <v>3.9153350601891068E-2</v>
      </c>
      <c r="H558" s="3">
        <f t="shared" ca="1" si="66"/>
        <v>0</v>
      </c>
      <c r="I558" s="3">
        <f t="shared" ca="1" si="67"/>
        <v>5.3246268435716537</v>
      </c>
      <c r="J558" s="3">
        <f t="shared" ca="1" si="68"/>
        <v>11.537576482489351</v>
      </c>
      <c r="P558" s="3">
        <f t="shared" ca="1" si="69"/>
        <v>8.6581487048937866E-2</v>
      </c>
      <c r="Q558" s="3">
        <f t="shared" ca="1" si="70"/>
        <v>2.8758789235071549</v>
      </c>
      <c r="R558" s="3">
        <f t="shared" ca="1" si="71"/>
        <v>2.8771819435990276</v>
      </c>
    </row>
    <row r="559" spans="7:18" x14ac:dyDescent="0.25">
      <c r="G559" s="2">
        <f t="shared" ca="1" si="65"/>
        <v>0.38817950998428907</v>
      </c>
      <c r="H559" s="3">
        <f t="shared" ca="1" si="66"/>
        <v>0</v>
      </c>
      <c r="I559" s="3">
        <f t="shared" ca="1" si="67"/>
        <v>0.12077328003472401</v>
      </c>
      <c r="J559" s="3">
        <f t="shared" ca="1" si="68"/>
        <v>1.7376225139160981</v>
      </c>
      <c r="P559" s="3">
        <f t="shared" ca="1" si="69"/>
        <v>-7.5341073550319084</v>
      </c>
      <c r="Q559" s="3">
        <f t="shared" ca="1" si="70"/>
        <v>4.9813833210421166</v>
      </c>
      <c r="R559" s="3">
        <f t="shared" ca="1" si="71"/>
        <v>9.031996093239993</v>
      </c>
    </row>
    <row r="560" spans="7:18" x14ac:dyDescent="0.25">
      <c r="G560" s="2">
        <f t="shared" ca="1" si="65"/>
        <v>0.75895040758146004</v>
      </c>
      <c r="H560" s="3">
        <f t="shared" ca="1" si="66"/>
        <v>1</v>
      </c>
      <c r="I560" s="3">
        <f t="shared" ca="1" si="67"/>
        <v>7.3496358591170248</v>
      </c>
      <c r="J560" s="3">
        <f t="shared" ca="1" si="68"/>
        <v>13.555105919096524</v>
      </c>
      <c r="P560" s="3">
        <f t="shared" ca="1" si="69"/>
        <v>-6.8573958361549101</v>
      </c>
      <c r="Q560" s="3">
        <f t="shared" ca="1" si="70"/>
        <v>-1.0135963623916679</v>
      </c>
      <c r="R560" s="3">
        <f t="shared" ca="1" si="71"/>
        <v>6.9319012716258674</v>
      </c>
    </row>
    <row r="561" spans="7:18" x14ac:dyDescent="0.25">
      <c r="G561" s="2">
        <f t="shared" ca="1" si="65"/>
        <v>0.21242225851311602</v>
      </c>
      <c r="H561" s="3">
        <f t="shared" ca="1" si="66"/>
        <v>0</v>
      </c>
      <c r="I561" s="3">
        <f t="shared" ca="1" si="67"/>
        <v>0.55488722437374627</v>
      </c>
      <c r="J561" s="3">
        <f t="shared" ca="1" si="68"/>
        <v>3.7245376369884702</v>
      </c>
      <c r="P561" s="3">
        <f t="shared" ca="1" si="69"/>
        <v>-8.3068923529536285</v>
      </c>
      <c r="Q561" s="3">
        <f t="shared" ca="1" si="70"/>
        <v>-1.29435910469806</v>
      </c>
      <c r="R561" s="3">
        <f t="shared" ca="1" si="71"/>
        <v>8.4071294777393692</v>
      </c>
    </row>
    <row r="562" spans="7:18" x14ac:dyDescent="0.25">
      <c r="G562" s="2">
        <f t="shared" ca="1" si="65"/>
        <v>0.35541595483379174</v>
      </c>
      <c r="H562" s="3">
        <f t="shared" ca="1" si="66"/>
        <v>0</v>
      </c>
      <c r="I562" s="3">
        <f t="shared" ca="1" si="67"/>
        <v>3.0529717584117977</v>
      </c>
      <c r="J562" s="3">
        <f t="shared" ca="1" si="68"/>
        <v>8.7363776223498348</v>
      </c>
      <c r="P562" s="3">
        <f t="shared" ca="1" si="69"/>
        <v>-12.834017616974904</v>
      </c>
      <c r="Q562" s="3">
        <f t="shared" ca="1" si="70"/>
        <v>-9.3433729551660303</v>
      </c>
      <c r="R562" s="3">
        <f t="shared" ca="1" si="71"/>
        <v>15.874842562121685</v>
      </c>
    </row>
    <row r="563" spans="7:18" x14ac:dyDescent="0.25">
      <c r="G563" s="2">
        <f t="shared" ca="1" si="65"/>
        <v>0.51814379360919993</v>
      </c>
      <c r="H563" s="3">
        <f t="shared" ca="1" si="66"/>
        <v>0</v>
      </c>
      <c r="I563" s="3">
        <f t="shared" ca="1" si="67"/>
        <v>1.1056896014571738</v>
      </c>
      <c r="J563" s="3">
        <f t="shared" ca="1" si="68"/>
        <v>5.2575888044263541</v>
      </c>
      <c r="P563" s="3">
        <f t="shared" ca="1" si="69"/>
        <v>-9.8946419133056427</v>
      </c>
      <c r="Q563" s="3">
        <f t="shared" ca="1" si="70"/>
        <v>-2.4964332515656062</v>
      </c>
      <c r="R563" s="3">
        <f t="shared" ca="1" si="71"/>
        <v>10.204710557976016</v>
      </c>
    </row>
    <row r="564" spans="7:18" x14ac:dyDescent="0.25">
      <c r="G564" s="2">
        <f t="shared" ca="1" si="65"/>
        <v>0.66701482211776564</v>
      </c>
      <c r="H564" s="3">
        <f t="shared" ca="1" si="66"/>
        <v>1</v>
      </c>
      <c r="I564" s="3">
        <f t="shared" ca="1" si="67"/>
        <v>0.94789195980779617</v>
      </c>
      <c r="J564" s="3">
        <f t="shared" ca="1" si="68"/>
        <v>4.8679871605412952</v>
      </c>
      <c r="P564" s="3">
        <f t="shared" ca="1" si="69"/>
        <v>-2.4440700108631934</v>
      </c>
      <c r="Q564" s="3">
        <f t="shared" ca="1" si="70"/>
        <v>2.310297334460885</v>
      </c>
      <c r="R564" s="3">
        <f t="shared" ca="1" si="71"/>
        <v>3.3631758787815245</v>
      </c>
    </row>
    <row r="565" spans="7:18" x14ac:dyDescent="0.25">
      <c r="G565" s="2">
        <f t="shared" ca="1" si="65"/>
        <v>0.85647597915738238</v>
      </c>
      <c r="H565" s="3">
        <f t="shared" ca="1" si="66"/>
        <v>1</v>
      </c>
      <c r="I565" s="3">
        <f t="shared" ca="1" si="67"/>
        <v>2.5567626778909989</v>
      </c>
      <c r="J565" s="3">
        <f t="shared" ca="1" si="68"/>
        <v>7.9949400840328355</v>
      </c>
      <c r="P565" s="3">
        <f t="shared" ca="1" si="69"/>
        <v>-5.7442455199017202</v>
      </c>
      <c r="Q565" s="3">
        <f t="shared" ca="1" si="70"/>
        <v>-5.1853503622526924</v>
      </c>
      <c r="R565" s="3">
        <f t="shared" ca="1" si="71"/>
        <v>7.7384891918400394</v>
      </c>
    </row>
    <row r="566" spans="7:18" x14ac:dyDescent="0.25">
      <c r="G566" s="2">
        <f t="shared" ca="1" si="65"/>
        <v>0.11373275070772726</v>
      </c>
      <c r="H566" s="3">
        <f t="shared" ca="1" si="66"/>
        <v>0</v>
      </c>
      <c r="I566" s="3">
        <f t="shared" ca="1" si="67"/>
        <v>2.2944139932852159</v>
      </c>
      <c r="J566" s="3">
        <f t="shared" ca="1" si="68"/>
        <v>7.5736615868502071</v>
      </c>
      <c r="P566" s="3">
        <f t="shared" ca="1" si="69"/>
        <v>-8.1391136440826557</v>
      </c>
      <c r="Q566" s="3">
        <f t="shared" ca="1" si="70"/>
        <v>0.75467973643216968</v>
      </c>
      <c r="R566" s="3">
        <f t="shared" ca="1" si="71"/>
        <v>8.1740266953242671</v>
      </c>
    </row>
    <row r="567" spans="7:18" x14ac:dyDescent="0.25">
      <c r="G567" s="2">
        <f t="shared" ca="1" si="65"/>
        <v>0.44089966608809605</v>
      </c>
      <c r="H567" s="3">
        <f t="shared" ca="1" si="66"/>
        <v>0</v>
      </c>
      <c r="I567" s="3">
        <f t="shared" ca="1" si="67"/>
        <v>3.8344702560678927</v>
      </c>
      <c r="J567" s="3">
        <f t="shared" ca="1" si="68"/>
        <v>9.790901715454881</v>
      </c>
      <c r="P567" s="3">
        <f t="shared" ca="1" si="69"/>
        <v>-7.3206620822008821</v>
      </c>
      <c r="Q567" s="3">
        <f t="shared" ca="1" si="70"/>
        <v>-7.4050924532587885</v>
      </c>
      <c r="R567" s="3">
        <f t="shared" ca="1" si="71"/>
        <v>10.412852037894519</v>
      </c>
    </row>
    <row r="568" spans="7:18" x14ac:dyDescent="0.25">
      <c r="G568" s="2">
        <f t="shared" ca="1" si="65"/>
        <v>0.64276062937029055</v>
      </c>
      <c r="H568" s="3">
        <f t="shared" ca="1" si="66"/>
        <v>1</v>
      </c>
      <c r="I568" s="3">
        <f t="shared" ca="1" si="67"/>
        <v>3.8000687864702227</v>
      </c>
      <c r="J568" s="3">
        <f t="shared" ca="1" si="68"/>
        <v>9.746882561196454</v>
      </c>
      <c r="P568" s="3">
        <f t="shared" ca="1" si="69"/>
        <v>-2.9527490237874092</v>
      </c>
      <c r="Q568" s="3">
        <f t="shared" ca="1" si="70"/>
        <v>4.1576733466263951</v>
      </c>
      <c r="R568" s="3">
        <f t="shared" ca="1" si="71"/>
        <v>5.0995072756811544</v>
      </c>
    </row>
    <row r="569" spans="7:18" x14ac:dyDescent="0.25">
      <c r="G569" s="2">
        <f t="shared" ca="1" si="65"/>
        <v>0.80555136701480179</v>
      </c>
      <c r="H569" s="3">
        <f t="shared" ca="1" si="66"/>
        <v>1</v>
      </c>
      <c r="I569" s="3">
        <f t="shared" ca="1" si="67"/>
        <v>3.7274476831388728</v>
      </c>
      <c r="J569" s="3">
        <f t="shared" ca="1" si="68"/>
        <v>9.6532995436001983</v>
      </c>
      <c r="P569" s="3">
        <f t="shared" ca="1" si="69"/>
        <v>-9.9222952551562589</v>
      </c>
      <c r="Q569" s="3">
        <f t="shared" ca="1" si="70"/>
        <v>12.841786429821207</v>
      </c>
      <c r="R569" s="3">
        <f t="shared" ca="1" si="71"/>
        <v>16.228475647442568</v>
      </c>
    </row>
    <row r="570" spans="7:18" x14ac:dyDescent="0.25">
      <c r="G570" s="2">
        <f t="shared" ca="1" si="65"/>
        <v>0.59179460178936827</v>
      </c>
      <c r="H570" s="3">
        <f t="shared" ca="1" si="66"/>
        <v>0</v>
      </c>
      <c r="I570" s="3">
        <f t="shared" ca="1" si="67"/>
        <v>2.1068940250589723</v>
      </c>
      <c r="J570" s="3">
        <f t="shared" ca="1" si="68"/>
        <v>7.2575719511744632</v>
      </c>
      <c r="P570" s="3">
        <f t="shared" ca="1" si="69"/>
        <v>5.2241863886286986</v>
      </c>
      <c r="Q570" s="3">
        <f t="shared" ca="1" si="70"/>
        <v>-2.3077547133155476</v>
      </c>
      <c r="R570" s="3">
        <f t="shared" ca="1" si="71"/>
        <v>5.7112043598494608</v>
      </c>
    </row>
    <row r="571" spans="7:18" x14ac:dyDescent="0.25">
      <c r="G571" s="2">
        <f t="shared" ca="1" si="65"/>
        <v>0.98079640530913248</v>
      </c>
      <c r="H571" s="3">
        <f t="shared" ca="1" si="66"/>
        <v>2</v>
      </c>
      <c r="I571" s="3">
        <f t="shared" ca="1" si="67"/>
        <v>7.9811894426546619</v>
      </c>
      <c r="J571" s="3">
        <f t="shared" ca="1" si="68"/>
        <v>14.125499497942242</v>
      </c>
      <c r="P571" s="3">
        <f t="shared" ca="1" si="69"/>
        <v>-9.7308205718930445</v>
      </c>
      <c r="Q571" s="3">
        <f t="shared" ca="1" si="70"/>
        <v>5.4204926210723778</v>
      </c>
      <c r="R571" s="3">
        <f t="shared" ca="1" si="71"/>
        <v>11.13869872370543</v>
      </c>
    </row>
    <row r="572" spans="7:18" x14ac:dyDescent="0.25">
      <c r="G572" s="2">
        <f t="shared" ca="1" si="65"/>
        <v>0.92232632010337157</v>
      </c>
      <c r="H572" s="3">
        <f t="shared" ca="1" si="66"/>
        <v>2</v>
      </c>
      <c r="I572" s="3">
        <f t="shared" ca="1" si="67"/>
        <v>3.8069897064242668</v>
      </c>
      <c r="J572" s="3">
        <f t="shared" ca="1" si="68"/>
        <v>9.7557543358064667</v>
      </c>
      <c r="P572" s="3">
        <f t="shared" ca="1" si="69"/>
        <v>-10.48794283790247</v>
      </c>
      <c r="Q572" s="3">
        <f t="shared" ca="1" si="70"/>
        <v>3.2022353795298852</v>
      </c>
      <c r="R572" s="3">
        <f t="shared" ca="1" si="71"/>
        <v>10.965913386354217</v>
      </c>
    </row>
    <row r="573" spans="7:18" x14ac:dyDescent="0.25">
      <c r="G573" s="2">
        <f t="shared" ca="1" si="65"/>
        <v>0.46124339113805934</v>
      </c>
      <c r="H573" s="3">
        <f t="shared" ca="1" si="66"/>
        <v>0</v>
      </c>
      <c r="I573" s="3">
        <f t="shared" ca="1" si="67"/>
        <v>0.88180091877988109</v>
      </c>
      <c r="J573" s="3">
        <f t="shared" ca="1" si="68"/>
        <v>4.6952127714829945</v>
      </c>
      <c r="P573" s="3">
        <f t="shared" ca="1" si="69"/>
        <v>1.8101829492847497</v>
      </c>
      <c r="Q573" s="3">
        <f t="shared" ca="1" si="70"/>
        <v>-2.4972599338149042</v>
      </c>
      <c r="R573" s="3">
        <f t="shared" ca="1" si="71"/>
        <v>3.0843264235353645</v>
      </c>
    </row>
    <row r="574" spans="7:18" x14ac:dyDescent="0.25">
      <c r="G574" s="2">
        <f t="shared" ca="1" si="65"/>
        <v>0.37110721831481519</v>
      </c>
      <c r="H574" s="3">
        <f t="shared" ca="1" si="66"/>
        <v>0</v>
      </c>
      <c r="I574" s="3">
        <f t="shared" ca="1" si="67"/>
        <v>0.54605209492037587</v>
      </c>
      <c r="J574" s="3">
        <f t="shared" ca="1" si="68"/>
        <v>3.6947668902123443</v>
      </c>
      <c r="P574" s="3">
        <f t="shared" ca="1" si="69"/>
        <v>-9.8331993403268978</v>
      </c>
      <c r="Q574" s="3">
        <f t="shared" ca="1" si="70"/>
        <v>2.3621348778502309</v>
      </c>
      <c r="R574" s="3">
        <f t="shared" ca="1" si="71"/>
        <v>10.112936786500835</v>
      </c>
    </row>
    <row r="575" spans="7:18" x14ac:dyDescent="0.25">
      <c r="G575" s="2">
        <f t="shared" ca="1" si="65"/>
        <v>0.5798630296234355</v>
      </c>
      <c r="H575" s="3">
        <f t="shared" ca="1" si="66"/>
        <v>0</v>
      </c>
      <c r="I575" s="3">
        <f t="shared" ca="1" si="67"/>
        <v>1.3280430833057983</v>
      </c>
      <c r="J575" s="3">
        <f t="shared" ca="1" si="68"/>
        <v>5.7620375808081086</v>
      </c>
      <c r="P575" s="3">
        <f t="shared" ca="1" si="69"/>
        <v>-6.7082767640425356</v>
      </c>
      <c r="Q575" s="3">
        <f t="shared" ca="1" si="70"/>
        <v>-11.413503566432066</v>
      </c>
      <c r="R575" s="3">
        <f t="shared" ca="1" si="71"/>
        <v>13.238921436580492</v>
      </c>
    </row>
    <row r="576" spans="7:18" x14ac:dyDescent="0.25">
      <c r="G576" s="2">
        <f t="shared" ca="1" si="65"/>
        <v>0.35610575591347304</v>
      </c>
      <c r="H576" s="3">
        <f t="shared" ca="1" si="66"/>
        <v>0</v>
      </c>
      <c r="I576" s="3">
        <f t="shared" ca="1" si="67"/>
        <v>1.6003724883246342</v>
      </c>
      <c r="J576" s="3">
        <f t="shared" ca="1" si="68"/>
        <v>6.3252914721865476</v>
      </c>
      <c r="P576" s="3">
        <f t="shared" ca="1" si="69"/>
        <v>-2.2026428126444912</v>
      </c>
      <c r="Q576" s="3">
        <f t="shared" ca="1" si="70"/>
        <v>-4.2482169219097328</v>
      </c>
      <c r="R576" s="3">
        <f t="shared" ca="1" si="71"/>
        <v>4.7852881183576228</v>
      </c>
    </row>
    <row r="577" spans="7:18" x14ac:dyDescent="0.25">
      <c r="G577" s="2">
        <f t="shared" ca="1" si="65"/>
        <v>0.85557552592255071</v>
      </c>
      <c r="H577" s="3">
        <f t="shared" ca="1" si="66"/>
        <v>1</v>
      </c>
      <c r="I577" s="3">
        <f t="shared" ca="1" si="67"/>
        <v>1.9402439625163952</v>
      </c>
      <c r="J577" s="3">
        <f t="shared" ca="1" si="68"/>
        <v>6.9646320120240288</v>
      </c>
      <c r="P577" s="3">
        <f t="shared" ca="1" si="69"/>
        <v>-11.4082416959371</v>
      </c>
      <c r="Q577" s="3">
        <f t="shared" ca="1" si="70"/>
        <v>-6.3918062582825765</v>
      </c>
      <c r="R577" s="3">
        <f t="shared" ca="1" si="71"/>
        <v>13.076817878839567</v>
      </c>
    </row>
    <row r="578" spans="7:18" x14ac:dyDescent="0.25">
      <c r="G578" s="2">
        <f t="shared" ca="1" si="65"/>
        <v>0.65432483793922147</v>
      </c>
      <c r="H578" s="3">
        <f t="shared" ca="1" si="66"/>
        <v>1</v>
      </c>
      <c r="I578" s="3">
        <f t="shared" ca="1" si="67"/>
        <v>1.7723790155875103</v>
      </c>
      <c r="J578" s="3">
        <f t="shared" ca="1" si="68"/>
        <v>6.6565362907211556</v>
      </c>
      <c r="P578" s="3">
        <f t="shared" ca="1" si="69"/>
        <v>0.68741760977569033</v>
      </c>
      <c r="Q578" s="3">
        <f t="shared" ca="1" si="70"/>
        <v>3.261012017892298E-2</v>
      </c>
      <c r="R578" s="3">
        <f t="shared" ca="1" si="71"/>
        <v>0.6881906641097415</v>
      </c>
    </row>
    <row r="579" spans="7:18" x14ac:dyDescent="0.25">
      <c r="G579" s="2">
        <f t="shared" ca="1" si="65"/>
        <v>0.40907903983781457</v>
      </c>
      <c r="H579" s="3">
        <f t="shared" ca="1" si="66"/>
        <v>0</v>
      </c>
      <c r="I579" s="3">
        <f t="shared" ca="1" si="67"/>
        <v>0.15808924674178951</v>
      </c>
      <c r="J579" s="3">
        <f t="shared" ca="1" si="68"/>
        <v>1.9880219235573682</v>
      </c>
      <c r="P579" s="3">
        <f t="shared" ca="1" si="69"/>
        <v>-11.80856891441136</v>
      </c>
      <c r="Q579" s="3">
        <f t="shared" ca="1" si="70"/>
        <v>1.9869685998491564</v>
      </c>
      <c r="R579" s="3">
        <f t="shared" ca="1" si="71"/>
        <v>11.974570723962875</v>
      </c>
    </row>
    <row r="580" spans="7:18" x14ac:dyDescent="0.25">
      <c r="G580" s="2">
        <f t="shared" ref="G580:G643" ca="1" si="72">RAND()</f>
        <v>0.39784573693266079</v>
      </c>
      <c r="H580" s="3">
        <f t="shared" ref="H580:H643" ca="1" si="73">VLOOKUP(G580,$B$9:$C$169,2,TRUE)</f>
        <v>0</v>
      </c>
      <c r="I580" s="3">
        <f t="shared" ref="I580:I643" ca="1" si="74">_xlfn.CHISQ.INV(RAND(),2*H580+2)</f>
        <v>2.562038900347309</v>
      </c>
      <c r="J580" s="3">
        <f t="shared" ref="J580:J643" ca="1" si="75">$C$4*SQRT(I580)</f>
        <v>8.0031851477197957</v>
      </c>
      <c r="P580" s="3">
        <f t="shared" ref="P580:P643" ca="1" si="76">_xlfn.NORM.INV(RAND(),$C$3*COS($O$2),$C$4)</f>
        <v>3.4558029779376458</v>
      </c>
      <c r="Q580" s="3">
        <f t="shared" ref="Q580:Q643" ca="1" si="77">_xlfn.NORM.INV(RAND(),$C$3*SIN($O$2),$C$4)</f>
        <v>-6.434033094453361</v>
      </c>
      <c r="R580" s="3">
        <f t="shared" ref="R580:R643" ca="1" si="78">SQRT(P580^2+Q580^2)</f>
        <v>7.3033797712322066</v>
      </c>
    </row>
    <row r="581" spans="7:18" x14ac:dyDescent="0.25">
      <c r="G581" s="2">
        <f t="shared" ca="1" si="72"/>
        <v>0.88450548087062353</v>
      </c>
      <c r="H581" s="3">
        <f t="shared" ca="1" si="73"/>
        <v>1</v>
      </c>
      <c r="I581" s="3">
        <f t="shared" ca="1" si="74"/>
        <v>2.3551527711435472</v>
      </c>
      <c r="J581" s="3">
        <f t="shared" ca="1" si="75"/>
        <v>7.6732535002167541</v>
      </c>
      <c r="P581" s="3">
        <f t="shared" ca="1" si="76"/>
        <v>-7.7296697710956543</v>
      </c>
      <c r="Q581" s="3">
        <f t="shared" ca="1" si="77"/>
        <v>1.4677618152451004</v>
      </c>
      <c r="R581" s="3">
        <f t="shared" ca="1" si="78"/>
        <v>7.8677900020578546</v>
      </c>
    </row>
    <row r="582" spans="7:18" x14ac:dyDescent="0.25">
      <c r="G582" s="2">
        <f t="shared" ca="1" si="72"/>
        <v>4.4828402676004853E-3</v>
      </c>
      <c r="H582" s="3">
        <f t="shared" ca="1" si="73"/>
        <v>0</v>
      </c>
      <c r="I582" s="3">
        <f t="shared" ca="1" si="74"/>
        <v>4.5320541194149211</v>
      </c>
      <c r="J582" s="3">
        <f t="shared" ca="1" si="75"/>
        <v>10.644310827168335</v>
      </c>
      <c r="P582" s="3">
        <f t="shared" ca="1" si="76"/>
        <v>-6.0812957400968894</v>
      </c>
      <c r="Q582" s="3">
        <f t="shared" ca="1" si="77"/>
        <v>2.9290375556040389</v>
      </c>
      <c r="R582" s="3">
        <f t="shared" ca="1" si="78"/>
        <v>6.749919916610823</v>
      </c>
    </row>
    <row r="583" spans="7:18" x14ac:dyDescent="0.25">
      <c r="G583" s="2">
        <f t="shared" ca="1" si="72"/>
        <v>0.95620259654326134</v>
      </c>
      <c r="H583" s="3">
        <f t="shared" ca="1" si="73"/>
        <v>2</v>
      </c>
      <c r="I583" s="3">
        <f t="shared" ca="1" si="74"/>
        <v>13.066656649692987</v>
      </c>
      <c r="J583" s="3">
        <f t="shared" ca="1" si="75"/>
        <v>18.073915354519194</v>
      </c>
      <c r="P583" s="3">
        <f t="shared" ca="1" si="76"/>
        <v>-3.4996283655714668</v>
      </c>
      <c r="Q583" s="3">
        <f t="shared" ca="1" si="77"/>
        <v>-6.5638732960053128</v>
      </c>
      <c r="R583" s="3">
        <f t="shared" ca="1" si="78"/>
        <v>7.4385369087693629</v>
      </c>
    </row>
    <row r="584" spans="7:18" x14ac:dyDescent="0.25">
      <c r="G584" s="2">
        <f t="shared" ca="1" si="72"/>
        <v>0.47973494498151215</v>
      </c>
      <c r="H584" s="3">
        <f t="shared" ca="1" si="73"/>
        <v>0</v>
      </c>
      <c r="I584" s="3">
        <f t="shared" ca="1" si="74"/>
        <v>2.0608846322955419</v>
      </c>
      <c r="J584" s="3">
        <f t="shared" ca="1" si="75"/>
        <v>7.1778907631273237</v>
      </c>
      <c r="P584" s="3">
        <f t="shared" ca="1" si="76"/>
        <v>-8.4815282561202601</v>
      </c>
      <c r="Q584" s="3">
        <f t="shared" ca="1" si="77"/>
        <v>2.8647686076611234</v>
      </c>
      <c r="R584" s="3">
        <f t="shared" ca="1" si="78"/>
        <v>8.9522746123433361</v>
      </c>
    </row>
    <row r="585" spans="7:18" x14ac:dyDescent="0.25">
      <c r="G585" s="2">
        <f t="shared" ca="1" si="72"/>
        <v>0.74368655164950714</v>
      </c>
      <c r="H585" s="3">
        <f t="shared" ca="1" si="73"/>
        <v>1</v>
      </c>
      <c r="I585" s="3">
        <f t="shared" ca="1" si="74"/>
        <v>6.9144432230627224</v>
      </c>
      <c r="J585" s="3">
        <f t="shared" ca="1" si="75"/>
        <v>13.147664453299988</v>
      </c>
      <c r="P585" s="3">
        <f t="shared" ca="1" si="76"/>
        <v>-5.5113778797189044</v>
      </c>
      <c r="Q585" s="3">
        <f t="shared" ca="1" si="77"/>
        <v>-2.0423712949121104</v>
      </c>
      <c r="R585" s="3">
        <f t="shared" ca="1" si="78"/>
        <v>5.8776327411072407</v>
      </c>
    </row>
    <row r="586" spans="7:18" x14ac:dyDescent="0.25">
      <c r="G586" s="2">
        <f t="shared" ca="1" si="72"/>
        <v>0.53096158919304937</v>
      </c>
      <c r="H586" s="3">
        <f t="shared" ca="1" si="73"/>
        <v>0</v>
      </c>
      <c r="I586" s="3">
        <f t="shared" ca="1" si="74"/>
        <v>1.2214503464153528</v>
      </c>
      <c r="J586" s="3">
        <f t="shared" ca="1" si="75"/>
        <v>5.525962238414575</v>
      </c>
      <c r="P586" s="3">
        <f t="shared" ca="1" si="76"/>
        <v>0.50154998581930599</v>
      </c>
      <c r="Q586" s="3">
        <f t="shared" ca="1" si="77"/>
        <v>-1.5209139557380205</v>
      </c>
      <c r="R586" s="3">
        <f t="shared" ca="1" si="78"/>
        <v>1.6014779577109448</v>
      </c>
    </row>
    <row r="587" spans="7:18" x14ac:dyDescent="0.25">
      <c r="G587" s="2">
        <f t="shared" ca="1" si="72"/>
        <v>0.20386780603223031</v>
      </c>
      <c r="H587" s="3">
        <f t="shared" ca="1" si="73"/>
        <v>0</v>
      </c>
      <c r="I587" s="3">
        <f t="shared" ca="1" si="74"/>
        <v>0.855685902174812</v>
      </c>
      <c r="J587" s="3">
        <f t="shared" ca="1" si="75"/>
        <v>4.625164597543562</v>
      </c>
      <c r="P587" s="3">
        <f t="shared" ca="1" si="76"/>
        <v>-10.498174326263751</v>
      </c>
      <c r="Q587" s="3">
        <f t="shared" ca="1" si="77"/>
        <v>-5.5313165148269041</v>
      </c>
      <c r="R587" s="3">
        <f t="shared" ca="1" si="78"/>
        <v>11.866217871412113</v>
      </c>
    </row>
    <row r="588" spans="7:18" x14ac:dyDescent="0.25">
      <c r="G588" s="2">
        <f t="shared" ca="1" si="72"/>
        <v>6.7540375766075522E-2</v>
      </c>
      <c r="H588" s="3">
        <f t="shared" ca="1" si="73"/>
        <v>0</v>
      </c>
      <c r="I588" s="3">
        <f t="shared" ca="1" si="74"/>
        <v>1.4605956246488596</v>
      </c>
      <c r="J588" s="3">
        <f t="shared" ca="1" si="75"/>
        <v>6.0427552173012513</v>
      </c>
      <c r="P588" s="3">
        <f t="shared" ca="1" si="76"/>
        <v>0.32840125323948399</v>
      </c>
      <c r="Q588" s="3">
        <f t="shared" ca="1" si="77"/>
        <v>-1.496768481042704</v>
      </c>
      <c r="R588" s="3">
        <f t="shared" ca="1" si="78"/>
        <v>1.5323717789662361</v>
      </c>
    </row>
    <row r="589" spans="7:18" x14ac:dyDescent="0.25">
      <c r="G589" s="2">
        <f t="shared" ca="1" si="72"/>
        <v>0.86475903702285073</v>
      </c>
      <c r="H589" s="3">
        <f t="shared" ca="1" si="73"/>
        <v>1</v>
      </c>
      <c r="I589" s="3">
        <f t="shared" ca="1" si="74"/>
        <v>4.2337351766855944</v>
      </c>
      <c r="J589" s="3">
        <f t="shared" ca="1" si="75"/>
        <v>10.288021161386666</v>
      </c>
      <c r="P589" s="3">
        <f t="shared" ca="1" si="76"/>
        <v>3.2882777008893456</v>
      </c>
      <c r="Q589" s="3">
        <f t="shared" ca="1" si="77"/>
        <v>4.3988214916457142</v>
      </c>
      <c r="R589" s="3">
        <f t="shared" ca="1" si="78"/>
        <v>5.4920306584659873</v>
      </c>
    </row>
    <row r="590" spans="7:18" x14ac:dyDescent="0.25">
      <c r="G590" s="2">
        <f t="shared" ca="1" si="72"/>
        <v>0.79350578276890138</v>
      </c>
      <c r="H590" s="3">
        <f t="shared" ca="1" si="73"/>
        <v>1</v>
      </c>
      <c r="I590" s="3">
        <f t="shared" ca="1" si="74"/>
        <v>3.6942927783577177</v>
      </c>
      <c r="J590" s="3">
        <f t="shared" ca="1" si="75"/>
        <v>9.610271560103957</v>
      </c>
      <c r="P590" s="3">
        <f t="shared" ca="1" si="76"/>
        <v>-5.1125576994473532</v>
      </c>
      <c r="Q590" s="3">
        <f t="shared" ca="1" si="77"/>
        <v>0.5124743305167424</v>
      </c>
      <c r="R590" s="3">
        <f t="shared" ca="1" si="78"/>
        <v>5.1381782928988553</v>
      </c>
    </row>
    <row r="591" spans="7:18" x14ac:dyDescent="0.25">
      <c r="G591" s="2">
        <f t="shared" ca="1" si="72"/>
        <v>0.87229295972532328</v>
      </c>
      <c r="H591" s="3">
        <f t="shared" ca="1" si="73"/>
        <v>1</v>
      </c>
      <c r="I591" s="3">
        <f t="shared" ca="1" si="74"/>
        <v>1.514087783141141</v>
      </c>
      <c r="J591" s="3">
        <f t="shared" ca="1" si="75"/>
        <v>6.1524137197142812</v>
      </c>
      <c r="P591" s="3">
        <f t="shared" ca="1" si="76"/>
        <v>-4.8262242704294991</v>
      </c>
      <c r="Q591" s="3">
        <f t="shared" ca="1" si="77"/>
        <v>-6.8035829470438784</v>
      </c>
      <c r="R591" s="3">
        <f t="shared" ca="1" si="78"/>
        <v>8.3415335296208575</v>
      </c>
    </row>
    <row r="592" spans="7:18" x14ac:dyDescent="0.25">
      <c r="G592" s="2">
        <f t="shared" ca="1" si="72"/>
        <v>0.75739271152257526</v>
      </c>
      <c r="H592" s="3">
        <f t="shared" ca="1" si="73"/>
        <v>1</v>
      </c>
      <c r="I592" s="3">
        <f t="shared" ca="1" si="74"/>
        <v>5.6797002054965322</v>
      </c>
      <c r="J592" s="3">
        <f t="shared" ca="1" si="75"/>
        <v>11.916060806215</v>
      </c>
      <c r="P592" s="3">
        <f t="shared" ca="1" si="76"/>
        <v>-7.8891866236719288</v>
      </c>
      <c r="Q592" s="3">
        <f t="shared" ca="1" si="77"/>
        <v>7.994282305414397</v>
      </c>
      <c r="R592" s="3">
        <f t="shared" ca="1" si="78"/>
        <v>11.231554441028447</v>
      </c>
    </row>
    <row r="593" spans="7:18" x14ac:dyDescent="0.25">
      <c r="G593" s="2">
        <f t="shared" ca="1" si="72"/>
        <v>0.70209315380679804</v>
      </c>
      <c r="H593" s="3">
        <f t="shared" ca="1" si="73"/>
        <v>1</v>
      </c>
      <c r="I593" s="3">
        <f t="shared" ca="1" si="74"/>
        <v>3.3421275351776072</v>
      </c>
      <c r="J593" s="3">
        <f t="shared" ca="1" si="75"/>
        <v>9.140743316571152</v>
      </c>
      <c r="P593" s="3">
        <f t="shared" ca="1" si="76"/>
        <v>-0.29561235820466081</v>
      </c>
      <c r="Q593" s="3">
        <f t="shared" ca="1" si="77"/>
        <v>0.74727227926247386</v>
      </c>
      <c r="R593" s="3">
        <f t="shared" ca="1" si="78"/>
        <v>0.80361839555690451</v>
      </c>
    </row>
    <row r="594" spans="7:18" x14ac:dyDescent="0.25">
      <c r="G594" s="2">
        <f t="shared" ca="1" si="72"/>
        <v>0.37119658134984868</v>
      </c>
      <c r="H594" s="3">
        <f t="shared" ca="1" si="73"/>
        <v>0</v>
      </c>
      <c r="I594" s="3">
        <f t="shared" ca="1" si="74"/>
        <v>0.49145844408707567</v>
      </c>
      <c r="J594" s="3">
        <f t="shared" ca="1" si="75"/>
        <v>3.5052048588031042</v>
      </c>
      <c r="P594" s="3">
        <f t="shared" ca="1" si="76"/>
        <v>-4.6953981016670827</v>
      </c>
      <c r="Q594" s="3">
        <f t="shared" ca="1" si="77"/>
        <v>-2.5179466043538636</v>
      </c>
      <c r="R594" s="3">
        <f t="shared" ca="1" si="78"/>
        <v>5.3279281560017306</v>
      </c>
    </row>
    <row r="595" spans="7:18" x14ac:dyDescent="0.25">
      <c r="G595" s="2">
        <f t="shared" ca="1" si="72"/>
        <v>0.75000074282593088</v>
      </c>
      <c r="H595" s="3">
        <f t="shared" ca="1" si="73"/>
        <v>1</v>
      </c>
      <c r="I595" s="3">
        <f t="shared" ca="1" si="74"/>
        <v>1.3905967735354696</v>
      </c>
      <c r="J595" s="3">
        <f t="shared" ca="1" si="75"/>
        <v>5.8961783672465966</v>
      </c>
      <c r="P595" s="3">
        <f t="shared" ca="1" si="76"/>
        <v>-7.3886662710417941</v>
      </c>
      <c r="Q595" s="3">
        <f t="shared" ca="1" si="77"/>
        <v>-5.0280105751722486</v>
      </c>
      <c r="R595" s="3">
        <f t="shared" ca="1" si="78"/>
        <v>8.9371852173307129</v>
      </c>
    </row>
    <row r="596" spans="7:18" x14ac:dyDescent="0.25">
      <c r="G596" s="2">
        <f t="shared" ca="1" si="72"/>
        <v>0.64796573811275637</v>
      </c>
      <c r="H596" s="3">
        <f t="shared" ca="1" si="73"/>
        <v>1</v>
      </c>
      <c r="I596" s="3">
        <f t="shared" ca="1" si="74"/>
        <v>4.7097168560015685</v>
      </c>
      <c r="J596" s="3">
        <f t="shared" ca="1" si="75"/>
        <v>10.850941037533989</v>
      </c>
      <c r="P596" s="3">
        <f t="shared" ca="1" si="76"/>
        <v>-6.5026815223824483</v>
      </c>
      <c r="Q596" s="3">
        <f t="shared" ca="1" si="77"/>
        <v>-0.31710288850355983</v>
      </c>
      <c r="R596" s="3">
        <f t="shared" ca="1" si="78"/>
        <v>6.5104086832879711</v>
      </c>
    </row>
    <row r="597" spans="7:18" x14ac:dyDescent="0.25">
      <c r="G597" s="2">
        <f t="shared" ca="1" si="72"/>
        <v>0.55583262030935687</v>
      </c>
      <c r="H597" s="3">
        <f t="shared" ca="1" si="73"/>
        <v>0</v>
      </c>
      <c r="I597" s="3">
        <f t="shared" ca="1" si="74"/>
        <v>2.8404137661607951</v>
      </c>
      <c r="J597" s="3">
        <f t="shared" ca="1" si="75"/>
        <v>8.4267635634340579</v>
      </c>
      <c r="P597" s="3">
        <f t="shared" ca="1" si="76"/>
        <v>-16.220268688853722</v>
      </c>
      <c r="Q597" s="3">
        <f t="shared" ca="1" si="77"/>
        <v>-6.2826209507672131</v>
      </c>
      <c r="R597" s="3">
        <f t="shared" ca="1" si="78"/>
        <v>17.394494598855914</v>
      </c>
    </row>
    <row r="598" spans="7:18" x14ac:dyDescent="0.25">
      <c r="G598" s="2">
        <f t="shared" ca="1" si="72"/>
        <v>0.20088457814231853</v>
      </c>
      <c r="H598" s="3">
        <f t="shared" ca="1" si="73"/>
        <v>0</v>
      </c>
      <c r="I598" s="3">
        <f t="shared" ca="1" si="74"/>
        <v>0.42284206283434783</v>
      </c>
      <c r="J598" s="3">
        <f t="shared" ca="1" si="75"/>
        <v>3.2513153601056137</v>
      </c>
      <c r="P598" s="3">
        <f t="shared" ca="1" si="76"/>
        <v>-3.6913524404130831</v>
      </c>
      <c r="Q598" s="3">
        <f t="shared" ca="1" si="77"/>
        <v>-3.1666140329114345</v>
      </c>
      <c r="R598" s="3">
        <f t="shared" ca="1" si="78"/>
        <v>4.8634892076342933</v>
      </c>
    </row>
    <row r="599" spans="7:18" x14ac:dyDescent="0.25">
      <c r="G599" s="2">
        <f t="shared" ca="1" si="72"/>
        <v>0.90428238937342775</v>
      </c>
      <c r="H599" s="3">
        <f t="shared" ca="1" si="73"/>
        <v>1</v>
      </c>
      <c r="I599" s="3">
        <f t="shared" ca="1" si="74"/>
        <v>5.2427237170753607</v>
      </c>
      <c r="J599" s="3">
        <f t="shared" ca="1" si="75"/>
        <v>11.448497409131209</v>
      </c>
      <c r="P599" s="3">
        <f t="shared" ca="1" si="76"/>
        <v>-3.4004746930914922</v>
      </c>
      <c r="Q599" s="3">
        <f t="shared" ca="1" si="77"/>
        <v>3.1478958438286684</v>
      </c>
      <c r="R599" s="3">
        <f t="shared" ca="1" si="78"/>
        <v>4.633840349208147</v>
      </c>
    </row>
    <row r="600" spans="7:18" x14ac:dyDescent="0.25">
      <c r="G600" s="2">
        <f t="shared" ca="1" si="72"/>
        <v>0.25574805341721318</v>
      </c>
      <c r="H600" s="3">
        <f t="shared" ca="1" si="73"/>
        <v>0</v>
      </c>
      <c r="I600" s="3">
        <f t="shared" ca="1" si="74"/>
        <v>1.4820983332314346</v>
      </c>
      <c r="J600" s="3">
        <f t="shared" ca="1" si="75"/>
        <v>6.0870730512115481</v>
      </c>
      <c r="P600" s="3">
        <f t="shared" ca="1" si="76"/>
        <v>0.96407200258599168</v>
      </c>
      <c r="Q600" s="3">
        <f t="shared" ca="1" si="77"/>
        <v>6.4624993522455236</v>
      </c>
      <c r="R600" s="3">
        <f t="shared" ca="1" si="78"/>
        <v>6.5340135218672435</v>
      </c>
    </row>
    <row r="601" spans="7:18" x14ac:dyDescent="0.25">
      <c r="G601" s="2">
        <f t="shared" ca="1" si="72"/>
        <v>0.42540060518088851</v>
      </c>
      <c r="H601" s="3">
        <f t="shared" ca="1" si="73"/>
        <v>0</v>
      </c>
      <c r="I601" s="3">
        <f t="shared" ca="1" si="74"/>
        <v>8.268217102614063</v>
      </c>
      <c r="J601" s="3">
        <f t="shared" ca="1" si="75"/>
        <v>14.377253825586845</v>
      </c>
      <c r="P601" s="3">
        <f t="shared" ca="1" si="76"/>
        <v>-1.9978067013594392</v>
      </c>
      <c r="Q601" s="3">
        <f t="shared" ca="1" si="77"/>
        <v>3.0587464161907127</v>
      </c>
      <c r="R601" s="3">
        <f t="shared" ca="1" si="78"/>
        <v>3.6533766921241795</v>
      </c>
    </row>
    <row r="602" spans="7:18" x14ac:dyDescent="0.25">
      <c r="G602" s="2">
        <f t="shared" ca="1" si="72"/>
        <v>0.75917196228186712</v>
      </c>
      <c r="H602" s="3">
        <f t="shared" ca="1" si="73"/>
        <v>1</v>
      </c>
      <c r="I602" s="3">
        <f t="shared" ca="1" si="74"/>
        <v>0.57742099352351117</v>
      </c>
      <c r="J602" s="3">
        <f t="shared" ca="1" si="75"/>
        <v>3.7994111172769629</v>
      </c>
      <c r="P602" s="3">
        <f t="shared" ca="1" si="76"/>
        <v>-5.5717585726351997</v>
      </c>
      <c r="Q602" s="3">
        <f t="shared" ca="1" si="77"/>
        <v>-2.9102608768831901</v>
      </c>
      <c r="R602" s="3">
        <f t="shared" ca="1" si="78"/>
        <v>6.2860251322477829</v>
      </c>
    </row>
    <row r="603" spans="7:18" x14ac:dyDescent="0.25">
      <c r="G603" s="2">
        <f t="shared" ca="1" si="72"/>
        <v>0.61226159849831652</v>
      </c>
      <c r="H603" s="3">
        <f t="shared" ca="1" si="73"/>
        <v>1</v>
      </c>
      <c r="I603" s="3">
        <f t="shared" ca="1" si="74"/>
        <v>1.5682418098766082</v>
      </c>
      <c r="J603" s="3">
        <f t="shared" ca="1" si="75"/>
        <v>6.2614730892111323</v>
      </c>
      <c r="P603" s="3">
        <f t="shared" ca="1" si="76"/>
        <v>-7.2593040852892496</v>
      </c>
      <c r="Q603" s="3">
        <f t="shared" ca="1" si="77"/>
        <v>-5.7276761596802652</v>
      </c>
      <c r="R603" s="3">
        <f t="shared" ca="1" si="78"/>
        <v>9.2468248600731524</v>
      </c>
    </row>
    <row r="604" spans="7:18" x14ac:dyDescent="0.25">
      <c r="G604" s="2">
        <f t="shared" ca="1" si="72"/>
        <v>0.90666003917721671</v>
      </c>
      <c r="H604" s="3">
        <f t="shared" ca="1" si="73"/>
        <v>1</v>
      </c>
      <c r="I604" s="3">
        <f t="shared" ca="1" si="74"/>
        <v>0.48831157031245565</v>
      </c>
      <c r="J604" s="3">
        <f t="shared" ca="1" si="75"/>
        <v>3.4939646904070725</v>
      </c>
      <c r="P604" s="3">
        <f t="shared" ca="1" si="76"/>
        <v>-13.04760718396096</v>
      </c>
      <c r="Q604" s="3">
        <f t="shared" ca="1" si="77"/>
        <v>-1.0224578711770722</v>
      </c>
      <c r="R604" s="3">
        <f t="shared" ca="1" si="78"/>
        <v>13.087607624210072</v>
      </c>
    </row>
    <row r="605" spans="7:18" x14ac:dyDescent="0.25">
      <c r="G605" s="2">
        <f t="shared" ca="1" si="72"/>
        <v>0.22284452319656733</v>
      </c>
      <c r="H605" s="3">
        <f t="shared" ca="1" si="73"/>
        <v>0</v>
      </c>
      <c r="I605" s="3">
        <f t="shared" ca="1" si="74"/>
        <v>3.5290485290738216</v>
      </c>
      <c r="J605" s="3">
        <f t="shared" ca="1" si="75"/>
        <v>9.3928809865155607</v>
      </c>
      <c r="P605" s="3">
        <f t="shared" ca="1" si="76"/>
        <v>2.2201420795623257</v>
      </c>
      <c r="Q605" s="3">
        <f t="shared" ca="1" si="77"/>
        <v>-5.2453657072614428</v>
      </c>
      <c r="R605" s="3">
        <f t="shared" ca="1" si="78"/>
        <v>5.695866242842933</v>
      </c>
    </row>
    <row r="606" spans="7:18" x14ac:dyDescent="0.25">
      <c r="G606" s="2">
        <f t="shared" ca="1" si="72"/>
        <v>0.37975852930989129</v>
      </c>
      <c r="H606" s="3">
        <f t="shared" ca="1" si="73"/>
        <v>0</v>
      </c>
      <c r="I606" s="3">
        <f t="shared" ca="1" si="74"/>
        <v>8.419315577618397E-2</v>
      </c>
      <c r="J606" s="3">
        <f t="shared" ca="1" si="75"/>
        <v>1.4508028447740924</v>
      </c>
      <c r="P606" s="3">
        <f t="shared" ca="1" si="76"/>
        <v>-1.5170626290159821</v>
      </c>
      <c r="Q606" s="3">
        <f t="shared" ca="1" si="77"/>
        <v>1.719852808284644</v>
      </c>
      <c r="R606" s="3">
        <f t="shared" ca="1" si="78"/>
        <v>2.2933322268091598</v>
      </c>
    </row>
    <row r="607" spans="7:18" x14ac:dyDescent="0.25">
      <c r="G607" s="2">
        <f t="shared" ca="1" si="72"/>
        <v>0.58191448500032394</v>
      </c>
      <c r="H607" s="3">
        <f t="shared" ca="1" si="73"/>
        <v>0</v>
      </c>
      <c r="I607" s="3">
        <f t="shared" ca="1" si="74"/>
        <v>5.0240678095488347</v>
      </c>
      <c r="J607" s="3">
        <f t="shared" ca="1" si="75"/>
        <v>11.207216212722981</v>
      </c>
      <c r="P607" s="3">
        <f t="shared" ca="1" si="76"/>
        <v>-7.8015263695109773</v>
      </c>
      <c r="Q607" s="3">
        <f t="shared" ca="1" si="77"/>
        <v>-6.857087974116264</v>
      </c>
      <c r="R607" s="3">
        <f t="shared" ca="1" si="78"/>
        <v>10.386696740491898</v>
      </c>
    </row>
    <row r="608" spans="7:18" x14ac:dyDescent="0.25">
      <c r="G608" s="2">
        <f t="shared" ca="1" si="72"/>
        <v>0.29027086928829093</v>
      </c>
      <c r="H608" s="3">
        <f t="shared" ca="1" si="73"/>
        <v>0</v>
      </c>
      <c r="I608" s="3">
        <f t="shared" ca="1" si="74"/>
        <v>3.5814251806483473</v>
      </c>
      <c r="J608" s="3">
        <f t="shared" ca="1" si="75"/>
        <v>9.4623268552829369</v>
      </c>
      <c r="P608" s="3">
        <f t="shared" ca="1" si="76"/>
        <v>-1.2698624124881523</v>
      </c>
      <c r="Q608" s="3">
        <f t="shared" ca="1" si="77"/>
        <v>-0.12294132894315773</v>
      </c>
      <c r="R608" s="3">
        <f t="shared" ca="1" si="78"/>
        <v>1.2757997950354671</v>
      </c>
    </row>
    <row r="609" spans="7:18" x14ac:dyDescent="0.25">
      <c r="G609" s="2">
        <f t="shared" ca="1" si="72"/>
        <v>0.74345003130806242</v>
      </c>
      <c r="H609" s="3">
        <f t="shared" ca="1" si="73"/>
        <v>1</v>
      </c>
      <c r="I609" s="3">
        <f t="shared" ca="1" si="74"/>
        <v>4.732248727185123</v>
      </c>
      <c r="J609" s="3">
        <f t="shared" ca="1" si="75"/>
        <v>10.876866192963305</v>
      </c>
      <c r="P609" s="3">
        <f t="shared" ca="1" si="76"/>
        <v>-8.3823920834799566</v>
      </c>
      <c r="Q609" s="3">
        <f t="shared" ca="1" si="77"/>
        <v>10.492044207784911</v>
      </c>
      <c r="R609" s="3">
        <f t="shared" ca="1" si="78"/>
        <v>13.429351760204227</v>
      </c>
    </row>
    <row r="610" spans="7:18" x14ac:dyDescent="0.25">
      <c r="G610" s="2">
        <f t="shared" ca="1" si="72"/>
        <v>0.10961763924199119</v>
      </c>
      <c r="H610" s="3">
        <f t="shared" ca="1" si="73"/>
        <v>0</v>
      </c>
      <c r="I610" s="3">
        <f t="shared" ca="1" si="74"/>
        <v>3.2271853985048327</v>
      </c>
      <c r="J610" s="3">
        <f t="shared" ca="1" si="75"/>
        <v>8.9821843090988072</v>
      </c>
      <c r="P610" s="3">
        <f t="shared" ca="1" si="76"/>
        <v>0.76107952615181951</v>
      </c>
      <c r="Q610" s="3">
        <f t="shared" ca="1" si="77"/>
        <v>-1.6425218731505911</v>
      </c>
      <c r="R610" s="3">
        <f t="shared" ca="1" si="78"/>
        <v>1.8102817871551391</v>
      </c>
    </row>
    <row r="611" spans="7:18" x14ac:dyDescent="0.25">
      <c r="G611" s="2">
        <f t="shared" ca="1" si="72"/>
        <v>0.62715840106253973</v>
      </c>
      <c r="H611" s="3">
        <f t="shared" ca="1" si="73"/>
        <v>1</v>
      </c>
      <c r="I611" s="3">
        <f t="shared" ca="1" si="74"/>
        <v>8.4437520313592405</v>
      </c>
      <c r="J611" s="3">
        <f t="shared" ca="1" si="75"/>
        <v>14.529067443713688</v>
      </c>
      <c r="P611" s="3">
        <f t="shared" ca="1" si="76"/>
        <v>-10.441643442821389</v>
      </c>
      <c r="Q611" s="3">
        <f t="shared" ca="1" si="77"/>
        <v>1.2577745909466636</v>
      </c>
      <c r="R611" s="3">
        <f t="shared" ca="1" si="78"/>
        <v>10.517124830895845</v>
      </c>
    </row>
    <row r="612" spans="7:18" x14ac:dyDescent="0.25">
      <c r="G612" s="2">
        <f t="shared" ca="1" si="72"/>
        <v>0.68333080881955777</v>
      </c>
      <c r="H612" s="3">
        <f t="shared" ca="1" si="73"/>
        <v>1</v>
      </c>
      <c r="I612" s="3">
        <f t="shared" ca="1" si="74"/>
        <v>3.2586614358343171</v>
      </c>
      <c r="J612" s="3">
        <f t="shared" ca="1" si="75"/>
        <v>9.0258814470309723</v>
      </c>
      <c r="P612" s="3">
        <f t="shared" ca="1" si="76"/>
        <v>-3.9993444955936299</v>
      </c>
      <c r="Q612" s="3">
        <f t="shared" ca="1" si="77"/>
        <v>9.3714400292933373</v>
      </c>
      <c r="R612" s="3">
        <f t="shared" ca="1" si="78"/>
        <v>10.189143468274287</v>
      </c>
    </row>
    <row r="613" spans="7:18" x14ac:dyDescent="0.25">
      <c r="G613" s="2">
        <f t="shared" ca="1" si="72"/>
        <v>0.96812282934340121</v>
      </c>
      <c r="H613" s="3">
        <f t="shared" ca="1" si="73"/>
        <v>2</v>
      </c>
      <c r="I613" s="3">
        <f t="shared" ca="1" si="74"/>
        <v>3.423822024308727</v>
      </c>
      <c r="J613" s="3">
        <f t="shared" ca="1" si="75"/>
        <v>9.2517863468477355</v>
      </c>
      <c r="P613" s="3">
        <f t="shared" ca="1" si="76"/>
        <v>-8.6784039914530648</v>
      </c>
      <c r="Q613" s="3">
        <f t="shared" ca="1" si="77"/>
        <v>-6.6276166543416322</v>
      </c>
      <c r="R613" s="3">
        <f t="shared" ca="1" si="78"/>
        <v>10.919706880487913</v>
      </c>
    </row>
    <row r="614" spans="7:18" x14ac:dyDescent="0.25">
      <c r="G614" s="2">
        <f t="shared" ca="1" si="72"/>
        <v>0.235020276576974</v>
      </c>
      <c r="H614" s="3">
        <f t="shared" ca="1" si="73"/>
        <v>0</v>
      </c>
      <c r="I614" s="3">
        <f t="shared" ca="1" si="74"/>
        <v>0.96600349449678136</v>
      </c>
      <c r="J614" s="3">
        <f t="shared" ca="1" si="75"/>
        <v>4.9142738387700309</v>
      </c>
      <c r="P614" s="3">
        <f t="shared" ca="1" si="76"/>
        <v>2.9886819622848906</v>
      </c>
      <c r="Q614" s="3">
        <f t="shared" ca="1" si="77"/>
        <v>2.5130759065104535</v>
      </c>
      <c r="R614" s="3">
        <f t="shared" ca="1" si="78"/>
        <v>3.9048393543871174</v>
      </c>
    </row>
    <row r="615" spans="7:18" x14ac:dyDescent="0.25">
      <c r="G615" s="2">
        <f t="shared" ca="1" si="72"/>
        <v>0.74307508079969209</v>
      </c>
      <c r="H615" s="3">
        <f t="shared" ca="1" si="73"/>
        <v>1</v>
      </c>
      <c r="I615" s="3">
        <f t="shared" ca="1" si="74"/>
        <v>3.8775187544892495</v>
      </c>
      <c r="J615" s="3">
        <f t="shared" ca="1" si="75"/>
        <v>9.8457081442744006</v>
      </c>
      <c r="P615" s="3">
        <f t="shared" ca="1" si="76"/>
        <v>-1.2706224671157162</v>
      </c>
      <c r="Q615" s="3">
        <f t="shared" ca="1" si="77"/>
        <v>7.0477724419977266</v>
      </c>
      <c r="R615" s="3">
        <f t="shared" ca="1" si="78"/>
        <v>7.1613949652369984</v>
      </c>
    </row>
    <row r="616" spans="7:18" x14ac:dyDescent="0.25">
      <c r="G616" s="2">
        <f t="shared" ca="1" si="72"/>
        <v>0.76272200285009006</v>
      </c>
      <c r="H616" s="3">
        <f t="shared" ca="1" si="73"/>
        <v>1</v>
      </c>
      <c r="I616" s="3">
        <f t="shared" ca="1" si="74"/>
        <v>4.9780496589504013</v>
      </c>
      <c r="J616" s="3">
        <f t="shared" ca="1" si="75"/>
        <v>11.155771666440653</v>
      </c>
      <c r="P616" s="3">
        <f t="shared" ca="1" si="76"/>
        <v>-0.34846508642709484</v>
      </c>
      <c r="Q616" s="3">
        <f t="shared" ca="1" si="77"/>
        <v>-6.084180047666341</v>
      </c>
      <c r="R616" s="3">
        <f t="shared" ca="1" si="78"/>
        <v>6.0941508652871272</v>
      </c>
    </row>
    <row r="617" spans="7:18" x14ac:dyDescent="0.25">
      <c r="G617" s="2">
        <f t="shared" ca="1" si="72"/>
        <v>0.42850866449892511</v>
      </c>
      <c r="H617" s="3">
        <f t="shared" ca="1" si="73"/>
        <v>0</v>
      </c>
      <c r="I617" s="3">
        <f t="shared" ca="1" si="74"/>
        <v>2.2311711390218147</v>
      </c>
      <c r="J617" s="3">
        <f t="shared" ca="1" si="75"/>
        <v>7.4685526359225296</v>
      </c>
      <c r="P617" s="3">
        <f t="shared" ca="1" si="76"/>
        <v>-8.6837348806857513</v>
      </c>
      <c r="Q617" s="3">
        <f t="shared" ca="1" si="77"/>
        <v>-1.5624130394074871</v>
      </c>
      <c r="R617" s="3">
        <f t="shared" ca="1" si="78"/>
        <v>8.8231732377727301</v>
      </c>
    </row>
    <row r="618" spans="7:18" x14ac:dyDescent="0.25">
      <c r="G618" s="2">
        <f t="shared" ca="1" si="72"/>
        <v>0.94564771873538522</v>
      </c>
      <c r="H618" s="3">
        <f t="shared" ca="1" si="73"/>
        <v>2</v>
      </c>
      <c r="I618" s="3">
        <f t="shared" ca="1" si="74"/>
        <v>10.624106608538145</v>
      </c>
      <c r="J618" s="3">
        <f t="shared" ca="1" si="75"/>
        <v>16.297320798629865</v>
      </c>
      <c r="P618" s="3">
        <f t="shared" ca="1" si="76"/>
        <v>-7.5304687477290919</v>
      </c>
      <c r="Q618" s="3">
        <f t="shared" ca="1" si="77"/>
        <v>2.868471688867622</v>
      </c>
      <c r="R618" s="3">
        <f t="shared" ca="1" si="78"/>
        <v>8.0582932057824515</v>
      </c>
    </row>
    <row r="619" spans="7:18" x14ac:dyDescent="0.25">
      <c r="G619" s="2">
        <f t="shared" ca="1" si="72"/>
        <v>0.52464666140321892</v>
      </c>
      <c r="H619" s="3">
        <f t="shared" ca="1" si="73"/>
        <v>0</v>
      </c>
      <c r="I619" s="3">
        <f t="shared" ca="1" si="74"/>
        <v>4.2927674299273235</v>
      </c>
      <c r="J619" s="3">
        <f t="shared" ca="1" si="75"/>
        <v>10.359497369476141</v>
      </c>
      <c r="P619" s="3">
        <f t="shared" ca="1" si="76"/>
        <v>0.28618135154446644</v>
      </c>
      <c r="Q619" s="3">
        <f t="shared" ca="1" si="77"/>
        <v>10.444283181354553</v>
      </c>
      <c r="R619" s="3">
        <f t="shared" ca="1" si="78"/>
        <v>10.448203239710519</v>
      </c>
    </row>
    <row r="620" spans="7:18" x14ac:dyDescent="0.25">
      <c r="G620" s="2">
        <f t="shared" ca="1" si="72"/>
        <v>0.75620000908029539</v>
      </c>
      <c r="H620" s="3">
        <f t="shared" ca="1" si="73"/>
        <v>1</v>
      </c>
      <c r="I620" s="3">
        <f t="shared" ca="1" si="74"/>
        <v>1.5924312777824652</v>
      </c>
      <c r="J620" s="3">
        <f t="shared" ca="1" si="75"/>
        <v>6.3095785869233474</v>
      </c>
      <c r="P620" s="3">
        <f t="shared" ca="1" si="76"/>
        <v>-2.2169563014752476</v>
      </c>
      <c r="Q620" s="3">
        <f t="shared" ca="1" si="77"/>
        <v>-9.9631311487567213</v>
      </c>
      <c r="R620" s="3">
        <f t="shared" ca="1" si="78"/>
        <v>10.206805451755081</v>
      </c>
    </row>
    <row r="621" spans="7:18" x14ac:dyDescent="0.25">
      <c r="G621" s="2">
        <f t="shared" ca="1" si="72"/>
        <v>0.73521173476882595</v>
      </c>
      <c r="H621" s="3">
        <f t="shared" ca="1" si="73"/>
        <v>1</v>
      </c>
      <c r="I621" s="3">
        <f t="shared" ca="1" si="74"/>
        <v>1.2919103336070663</v>
      </c>
      <c r="J621" s="3">
        <f t="shared" ca="1" si="75"/>
        <v>5.6831116776090775</v>
      </c>
      <c r="P621" s="3">
        <f t="shared" ca="1" si="76"/>
        <v>-3.1144896339674943</v>
      </c>
      <c r="Q621" s="3">
        <f t="shared" ca="1" si="77"/>
        <v>-5.0068133985688661</v>
      </c>
      <c r="R621" s="3">
        <f t="shared" ca="1" si="78"/>
        <v>5.8964587752463506</v>
      </c>
    </row>
    <row r="622" spans="7:18" x14ac:dyDescent="0.25">
      <c r="G622" s="2">
        <f t="shared" ca="1" si="72"/>
        <v>0.94460439583716682</v>
      </c>
      <c r="H622" s="3">
        <f t="shared" ca="1" si="73"/>
        <v>2</v>
      </c>
      <c r="I622" s="3">
        <f t="shared" ca="1" si="74"/>
        <v>5.4818203835949353</v>
      </c>
      <c r="J622" s="3">
        <f t="shared" ca="1" si="75"/>
        <v>11.70664382262796</v>
      </c>
      <c r="P622" s="3">
        <f t="shared" ca="1" si="76"/>
        <v>-9.7737047894912124</v>
      </c>
      <c r="Q622" s="3">
        <f t="shared" ca="1" si="77"/>
        <v>-1.749457045919949</v>
      </c>
      <c r="R622" s="3">
        <f t="shared" ca="1" si="78"/>
        <v>9.9290435222957107</v>
      </c>
    </row>
    <row r="623" spans="7:18" x14ac:dyDescent="0.25">
      <c r="G623" s="2">
        <f t="shared" ca="1" si="72"/>
        <v>0.82499469002049386</v>
      </c>
      <c r="H623" s="3">
        <f t="shared" ca="1" si="73"/>
        <v>1</v>
      </c>
      <c r="I623" s="3">
        <f t="shared" ca="1" si="74"/>
        <v>2.5279407253783597</v>
      </c>
      <c r="J623" s="3">
        <f t="shared" ca="1" si="75"/>
        <v>7.9497495642604354</v>
      </c>
      <c r="P623" s="3">
        <f t="shared" ca="1" si="76"/>
        <v>-10.034144425949105</v>
      </c>
      <c r="Q623" s="3">
        <f t="shared" ca="1" si="77"/>
        <v>-1.2936772815707533</v>
      </c>
      <c r="R623" s="3">
        <f t="shared" ca="1" si="78"/>
        <v>10.117196018149386</v>
      </c>
    </row>
    <row r="624" spans="7:18" x14ac:dyDescent="0.25">
      <c r="G624" s="2">
        <f t="shared" ca="1" si="72"/>
        <v>0.66901021567068475</v>
      </c>
      <c r="H624" s="3">
        <f t="shared" ca="1" si="73"/>
        <v>1</v>
      </c>
      <c r="I624" s="3">
        <f t="shared" ca="1" si="74"/>
        <v>2.7177706742249264</v>
      </c>
      <c r="J624" s="3">
        <f t="shared" ca="1" si="75"/>
        <v>8.2428312402731603</v>
      </c>
      <c r="P624" s="3">
        <f t="shared" ca="1" si="76"/>
        <v>-3.6010721770477234</v>
      </c>
      <c r="Q624" s="3">
        <f t="shared" ca="1" si="77"/>
        <v>4.2264843837208783</v>
      </c>
      <c r="R624" s="3">
        <f t="shared" ca="1" si="78"/>
        <v>5.5525571649595546</v>
      </c>
    </row>
    <row r="625" spans="7:18" x14ac:dyDescent="0.25">
      <c r="G625" s="2">
        <f t="shared" ca="1" si="72"/>
        <v>0.1979047963345707</v>
      </c>
      <c r="H625" s="3">
        <f t="shared" ca="1" si="73"/>
        <v>0</v>
      </c>
      <c r="I625" s="3">
        <f t="shared" ca="1" si="74"/>
        <v>9.2529359243524656</v>
      </c>
      <c r="J625" s="3">
        <f t="shared" ca="1" si="75"/>
        <v>15.209319449232817</v>
      </c>
      <c r="P625" s="3">
        <f t="shared" ca="1" si="76"/>
        <v>3.2739300824817761</v>
      </c>
      <c r="Q625" s="3">
        <f t="shared" ca="1" si="77"/>
        <v>0.60356678829387833</v>
      </c>
      <c r="R625" s="3">
        <f t="shared" ca="1" si="78"/>
        <v>3.3291006372458192</v>
      </c>
    </row>
    <row r="626" spans="7:18" x14ac:dyDescent="0.25">
      <c r="G626" s="2">
        <f t="shared" ca="1" si="72"/>
        <v>0.73214771751490626</v>
      </c>
      <c r="H626" s="3">
        <f t="shared" ca="1" si="73"/>
        <v>1</v>
      </c>
      <c r="I626" s="3">
        <f t="shared" ca="1" si="74"/>
        <v>10.552454702464548</v>
      </c>
      <c r="J626" s="3">
        <f t="shared" ca="1" si="75"/>
        <v>16.242271009979291</v>
      </c>
      <c r="P626" s="3">
        <f t="shared" ca="1" si="76"/>
        <v>-10.483569391428956</v>
      </c>
      <c r="Q626" s="3">
        <f t="shared" ca="1" si="77"/>
        <v>1.7982410737604744</v>
      </c>
      <c r="R626" s="3">
        <f t="shared" ca="1" si="78"/>
        <v>10.636677025474889</v>
      </c>
    </row>
    <row r="627" spans="7:18" x14ac:dyDescent="0.25">
      <c r="G627" s="2">
        <f t="shared" ca="1" si="72"/>
        <v>0.31893762317046948</v>
      </c>
      <c r="H627" s="3">
        <f t="shared" ca="1" si="73"/>
        <v>0</v>
      </c>
      <c r="I627" s="3">
        <f t="shared" ca="1" si="74"/>
        <v>2.4229642046092792</v>
      </c>
      <c r="J627" s="3">
        <f t="shared" ca="1" si="75"/>
        <v>7.782936792447436</v>
      </c>
      <c r="P627" s="3">
        <f t="shared" ca="1" si="76"/>
        <v>-7.6827883629644145</v>
      </c>
      <c r="Q627" s="3">
        <f t="shared" ca="1" si="77"/>
        <v>5.2869885792463656</v>
      </c>
      <c r="R627" s="3">
        <f t="shared" ca="1" si="78"/>
        <v>9.3261720586306431</v>
      </c>
    </row>
    <row r="628" spans="7:18" x14ac:dyDescent="0.25">
      <c r="G628" s="2">
        <f t="shared" ca="1" si="72"/>
        <v>0.18377696567658619</v>
      </c>
      <c r="H628" s="3">
        <f t="shared" ca="1" si="73"/>
        <v>0</v>
      </c>
      <c r="I628" s="3">
        <f t="shared" ca="1" si="74"/>
        <v>2.0895549243149532</v>
      </c>
      <c r="J628" s="3">
        <f t="shared" ca="1" si="75"/>
        <v>7.2276464431980783</v>
      </c>
      <c r="P628" s="3">
        <f t="shared" ca="1" si="76"/>
        <v>-14.15783388266544</v>
      </c>
      <c r="Q628" s="3">
        <f t="shared" ca="1" si="77"/>
        <v>-6.3687910838435089</v>
      </c>
      <c r="R628" s="3">
        <f t="shared" ca="1" si="78"/>
        <v>15.524360216086011</v>
      </c>
    </row>
    <row r="629" spans="7:18" x14ac:dyDescent="0.25">
      <c r="G629" s="2">
        <f t="shared" ca="1" si="72"/>
        <v>0.12288815491903349</v>
      </c>
      <c r="H629" s="3">
        <f t="shared" ca="1" si="73"/>
        <v>0</v>
      </c>
      <c r="I629" s="3">
        <f t="shared" ca="1" si="74"/>
        <v>1.1143436749421387</v>
      </c>
      <c r="J629" s="3">
        <f t="shared" ca="1" si="75"/>
        <v>5.2781238971393485</v>
      </c>
      <c r="P629" s="3">
        <f t="shared" ca="1" si="76"/>
        <v>-5.611337406246351</v>
      </c>
      <c r="Q629" s="3">
        <f t="shared" ca="1" si="77"/>
        <v>-6.687137516826013</v>
      </c>
      <c r="R629" s="3">
        <f t="shared" ca="1" si="78"/>
        <v>8.7295426945334036</v>
      </c>
    </row>
    <row r="630" spans="7:18" x14ac:dyDescent="0.25">
      <c r="G630" s="2">
        <f t="shared" ca="1" si="72"/>
        <v>0.75170140540918362</v>
      </c>
      <c r="H630" s="3">
        <f t="shared" ca="1" si="73"/>
        <v>1</v>
      </c>
      <c r="I630" s="3">
        <f t="shared" ca="1" si="74"/>
        <v>2.0131921799095815</v>
      </c>
      <c r="J630" s="3">
        <f t="shared" ca="1" si="75"/>
        <v>7.0943501814993271</v>
      </c>
      <c r="P630" s="3">
        <f t="shared" ca="1" si="76"/>
        <v>-2.3695333458409706</v>
      </c>
      <c r="Q630" s="3">
        <f t="shared" ca="1" si="77"/>
        <v>-5.5502008466068779E-2</v>
      </c>
      <c r="R630" s="3">
        <f t="shared" ca="1" si="78"/>
        <v>2.3701832735035642</v>
      </c>
    </row>
    <row r="631" spans="7:18" x14ac:dyDescent="0.25">
      <c r="G631" s="2">
        <f t="shared" ca="1" si="72"/>
        <v>0.30845423827037599</v>
      </c>
      <c r="H631" s="3">
        <f t="shared" ca="1" si="73"/>
        <v>0</v>
      </c>
      <c r="I631" s="3">
        <f t="shared" ca="1" si="74"/>
        <v>3.7892494749258523</v>
      </c>
      <c r="J631" s="3">
        <f t="shared" ca="1" si="75"/>
        <v>9.7329973221585906</v>
      </c>
      <c r="P631" s="3">
        <f t="shared" ca="1" si="76"/>
        <v>-5.6001581674919443</v>
      </c>
      <c r="Q631" s="3">
        <f t="shared" ca="1" si="77"/>
        <v>1.736447569992172</v>
      </c>
      <c r="R631" s="3">
        <f t="shared" ca="1" si="78"/>
        <v>5.863192105351696</v>
      </c>
    </row>
    <row r="632" spans="7:18" x14ac:dyDescent="0.25">
      <c r="G632" s="2">
        <f t="shared" ca="1" si="72"/>
        <v>0.27329595808202956</v>
      </c>
      <c r="H632" s="3">
        <f t="shared" ca="1" si="73"/>
        <v>0</v>
      </c>
      <c r="I632" s="3">
        <f t="shared" ca="1" si="74"/>
        <v>0.26884701026905772</v>
      </c>
      <c r="J632" s="3">
        <f t="shared" ca="1" si="75"/>
        <v>2.5925229520153614</v>
      </c>
      <c r="P632" s="3">
        <f t="shared" ca="1" si="76"/>
        <v>-0.85256175160534209</v>
      </c>
      <c r="Q632" s="3">
        <f t="shared" ca="1" si="77"/>
        <v>1.7413930492350103</v>
      </c>
      <c r="R632" s="3">
        <f t="shared" ca="1" si="78"/>
        <v>1.9388943478757101</v>
      </c>
    </row>
    <row r="633" spans="7:18" x14ac:dyDescent="0.25">
      <c r="G633" s="2">
        <f t="shared" ca="1" si="72"/>
        <v>0.17204814587262429</v>
      </c>
      <c r="H633" s="3">
        <f t="shared" ca="1" si="73"/>
        <v>0</v>
      </c>
      <c r="I633" s="3">
        <f t="shared" ca="1" si="74"/>
        <v>3.6813503210402594</v>
      </c>
      <c r="J633" s="3">
        <f t="shared" ca="1" si="75"/>
        <v>9.593422643978867</v>
      </c>
      <c r="P633" s="3">
        <f t="shared" ca="1" si="76"/>
        <v>-2.5809067541560475</v>
      </c>
      <c r="Q633" s="3">
        <f t="shared" ca="1" si="77"/>
        <v>7.1268362733234776</v>
      </c>
      <c r="R633" s="3">
        <f t="shared" ca="1" si="78"/>
        <v>7.5797674727136304</v>
      </c>
    </row>
    <row r="634" spans="7:18" x14ac:dyDescent="0.25">
      <c r="G634" s="2">
        <f t="shared" ca="1" si="72"/>
        <v>0.44833129266005456</v>
      </c>
      <c r="H634" s="3">
        <f t="shared" ca="1" si="73"/>
        <v>0</v>
      </c>
      <c r="I634" s="3">
        <f t="shared" ca="1" si="74"/>
        <v>6.429997620249611</v>
      </c>
      <c r="J634" s="3">
        <f t="shared" ca="1" si="75"/>
        <v>12.678719986900898</v>
      </c>
      <c r="P634" s="3">
        <f t="shared" ca="1" si="76"/>
        <v>-7.1988557267301747</v>
      </c>
      <c r="Q634" s="3">
        <f t="shared" ca="1" si="77"/>
        <v>-2.8631044258291122E-2</v>
      </c>
      <c r="R634" s="3">
        <f t="shared" ca="1" si="78"/>
        <v>7.1989126617129582</v>
      </c>
    </row>
    <row r="635" spans="7:18" x14ac:dyDescent="0.25">
      <c r="G635" s="2">
        <f t="shared" ca="1" si="72"/>
        <v>0.67139366034785553</v>
      </c>
      <c r="H635" s="3">
        <f t="shared" ca="1" si="73"/>
        <v>1</v>
      </c>
      <c r="I635" s="3">
        <f t="shared" ca="1" si="74"/>
        <v>2.1688434648074506</v>
      </c>
      <c r="J635" s="3">
        <f t="shared" ca="1" si="75"/>
        <v>7.3634969016212848</v>
      </c>
      <c r="P635" s="3">
        <f t="shared" ca="1" si="76"/>
        <v>-3.2448575832385886</v>
      </c>
      <c r="Q635" s="3">
        <f t="shared" ca="1" si="77"/>
        <v>-8.5173706643827369</v>
      </c>
      <c r="R635" s="3">
        <f t="shared" ca="1" si="78"/>
        <v>9.1145325590503319</v>
      </c>
    </row>
    <row r="636" spans="7:18" x14ac:dyDescent="0.25">
      <c r="G636" s="2">
        <f t="shared" ca="1" si="72"/>
        <v>0.15788600840966305</v>
      </c>
      <c r="H636" s="3">
        <f t="shared" ca="1" si="73"/>
        <v>0</v>
      </c>
      <c r="I636" s="3">
        <f t="shared" ca="1" si="74"/>
        <v>0.43430144802124393</v>
      </c>
      <c r="J636" s="3">
        <f t="shared" ca="1" si="75"/>
        <v>3.2950775712464035</v>
      </c>
      <c r="P636" s="3">
        <f t="shared" ca="1" si="76"/>
        <v>-13.728360455385749</v>
      </c>
      <c r="Q636" s="3">
        <f t="shared" ca="1" si="77"/>
        <v>-2.3094082026011411</v>
      </c>
      <c r="R636" s="3">
        <f t="shared" ca="1" si="78"/>
        <v>13.921251633356846</v>
      </c>
    </row>
    <row r="637" spans="7:18" x14ac:dyDescent="0.25">
      <c r="G637" s="2">
        <f t="shared" ca="1" si="72"/>
        <v>0.22443575189047504</v>
      </c>
      <c r="H637" s="3">
        <f t="shared" ca="1" si="73"/>
        <v>0</v>
      </c>
      <c r="I637" s="3">
        <f t="shared" ca="1" si="74"/>
        <v>4.1658058074631512</v>
      </c>
      <c r="J637" s="3">
        <f t="shared" ca="1" si="75"/>
        <v>10.205152874238523</v>
      </c>
      <c r="P637" s="3">
        <f t="shared" ca="1" si="76"/>
        <v>-12.469564170575165</v>
      </c>
      <c r="Q637" s="3">
        <f t="shared" ca="1" si="77"/>
        <v>3.6212402828722348</v>
      </c>
      <c r="R637" s="3">
        <f t="shared" ca="1" si="78"/>
        <v>12.984737648115516</v>
      </c>
    </row>
    <row r="638" spans="7:18" x14ac:dyDescent="0.25">
      <c r="G638" s="2">
        <f t="shared" ca="1" si="72"/>
        <v>9.855587827932677E-2</v>
      </c>
      <c r="H638" s="3">
        <f t="shared" ca="1" si="73"/>
        <v>0</v>
      </c>
      <c r="I638" s="3">
        <f t="shared" ca="1" si="74"/>
        <v>2.4719422809263576</v>
      </c>
      <c r="J638" s="3">
        <f t="shared" ca="1" si="75"/>
        <v>7.8612058250092236</v>
      </c>
      <c r="P638" s="3">
        <f t="shared" ca="1" si="76"/>
        <v>-5.9743477287602422</v>
      </c>
      <c r="Q638" s="3">
        <f t="shared" ca="1" si="77"/>
        <v>3.9526868500258163</v>
      </c>
      <c r="R638" s="3">
        <f t="shared" ca="1" si="78"/>
        <v>7.163558062758316</v>
      </c>
    </row>
    <row r="639" spans="7:18" x14ac:dyDescent="0.25">
      <c r="G639" s="2">
        <f t="shared" ca="1" si="72"/>
        <v>0.83553209595154021</v>
      </c>
      <c r="H639" s="3">
        <f t="shared" ca="1" si="73"/>
        <v>1</v>
      </c>
      <c r="I639" s="3">
        <f t="shared" ca="1" si="74"/>
        <v>4.1090567807134759</v>
      </c>
      <c r="J639" s="3">
        <f t="shared" ca="1" si="75"/>
        <v>10.135404260207725</v>
      </c>
      <c r="P639" s="3">
        <f t="shared" ca="1" si="76"/>
        <v>-11.954821746625122</v>
      </c>
      <c r="Q639" s="3">
        <f t="shared" ca="1" si="77"/>
        <v>-3.0099279091272475</v>
      </c>
      <c r="R639" s="3">
        <f t="shared" ca="1" si="78"/>
        <v>12.327912597505065</v>
      </c>
    </row>
    <row r="640" spans="7:18" x14ac:dyDescent="0.25">
      <c r="G640" s="2">
        <f t="shared" ca="1" si="72"/>
        <v>2.6522844780475507E-2</v>
      </c>
      <c r="H640" s="3">
        <f t="shared" ca="1" si="73"/>
        <v>0</v>
      </c>
      <c r="I640" s="3">
        <f t="shared" ca="1" si="74"/>
        <v>2.7617452892213885</v>
      </c>
      <c r="J640" s="3">
        <f t="shared" ca="1" si="75"/>
        <v>8.3092497995026431</v>
      </c>
      <c r="P640" s="3">
        <f t="shared" ca="1" si="76"/>
        <v>0.14319875207858246</v>
      </c>
      <c r="Q640" s="3">
        <f t="shared" ca="1" si="77"/>
        <v>-5.6160105072331588</v>
      </c>
      <c r="R640" s="3">
        <f t="shared" ca="1" si="78"/>
        <v>5.6178358733546236</v>
      </c>
    </row>
    <row r="641" spans="7:18" x14ac:dyDescent="0.25">
      <c r="G641" s="2">
        <f t="shared" ca="1" si="72"/>
        <v>3.6019679584778808E-2</v>
      </c>
      <c r="H641" s="3">
        <f t="shared" ca="1" si="73"/>
        <v>0</v>
      </c>
      <c r="I641" s="3">
        <f t="shared" ca="1" si="74"/>
        <v>0.77915267648328135</v>
      </c>
      <c r="J641" s="3">
        <f t="shared" ca="1" si="75"/>
        <v>4.413481269030382</v>
      </c>
      <c r="P641" s="3">
        <f t="shared" ca="1" si="76"/>
        <v>1.2999484112324318</v>
      </c>
      <c r="Q641" s="3">
        <f t="shared" ca="1" si="77"/>
        <v>5.5716704453541626</v>
      </c>
      <c r="R641" s="3">
        <f t="shared" ca="1" si="78"/>
        <v>5.7213090655459942</v>
      </c>
    </row>
    <row r="642" spans="7:18" x14ac:dyDescent="0.25">
      <c r="G642" s="2">
        <f t="shared" ca="1" si="72"/>
        <v>0.35908795226529588</v>
      </c>
      <c r="H642" s="3">
        <f t="shared" ca="1" si="73"/>
        <v>0</v>
      </c>
      <c r="I642" s="3">
        <f t="shared" ca="1" si="74"/>
        <v>0.33941588079621549</v>
      </c>
      <c r="J642" s="3">
        <f t="shared" ca="1" si="75"/>
        <v>2.9129704804383767</v>
      </c>
      <c r="P642" s="3">
        <f t="shared" ca="1" si="76"/>
        <v>-4.8846748134469644</v>
      </c>
      <c r="Q642" s="3">
        <f t="shared" ca="1" si="77"/>
        <v>-0.56657887196546031</v>
      </c>
      <c r="R642" s="3">
        <f t="shared" ca="1" si="78"/>
        <v>4.9174240869870873</v>
      </c>
    </row>
    <row r="643" spans="7:18" x14ac:dyDescent="0.25">
      <c r="G643" s="2">
        <f t="shared" ca="1" si="72"/>
        <v>0.71437466166503771</v>
      </c>
      <c r="H643" s="3">
        <f t="shared" ca="1" si="73"/>
        <v>1</v>
      </c>
      <c r="I643" s="3">
        <f t="shared" ca="1" si="74"/>
        <v>8.3513923184188315</v>
      </c>
      <c r="J643" s="3">
        <f t="shared" ca="1" si="75"/>
        <v>14.449387805733183</v>
      </c>
      <c r="P643" s="3">
        <f t="shared" ca="1" si="76"/>
        <v>-4.6875306314845515</v>
      </c>
      <c r="Q643" s="3">
        <f t="shared" ca="1" si="77"/>
        <v>3.4213395866729002</v>
      </c>
      <c r="R643" s="3">
        <f t="shared" ca="1" si="78"/>
        <v>5.8033187047103532</v>
      </c>
    </row>
    <row r="644" spans="7:18" x14ac:dyDescent="0.25">
      <c r="G644" s="2">
        <f t="shared" ref="G644:G707" ca="1" si="79">RAND()</f>
        <v>0.76914003204007908</v>
      </c>
      <c r="H644" s="3">
        <f t="shared" ref="H644:H707" ca="1" si="80">VLOOKUP(G644,$B$9:$C$169,2,TRUE)</f>
        <v>1</v>
      </c>
      <c r="I644" s="3">
        <f t="shared" ref="I644:I707" ca="1" si="81">_xlfn.CHISQ.INV(RAND(),2*H644+2)</f>
        <v>3.1122800874566092</v>
      </c>
      <c r="J644" s="3">
        <f t="shared" ref="J644:J707" ca="1" si="82">$C$4*SQRT(I644)</f>
        <v>8.8208277495037422</v>
      </c>
      <c r="P644" s="3">
        <f t="shared" ref="P644:P707" ca="1" si="83">_xlfn.NORM.INV(RAND(),$C$3*COS($O$2),$C$4)</f>
        <v>-3.2896473017981931</v>
      </c>
      <c r="Q644" s="3">
        <f t="shared" ref="Q644:Q707" ca="1" si="84">_xlfn.NORM.INV(RAND(),$C$3*SIN($O$2),$C$4)</f>
        <v>7.9484312273994453</v>
      </c>
      <c r="R644" s="3">
        <f t="shared" ref="R644:R707" ca="1" si="85">SQRT(P644^2+Q644^2)</f>
        <v>8.6022868091529467</v>
      </c>
    </row>
    <row r="645" spans="7:18" x14ac:dyDescent="0.25">
      <c r="G645" s="2">
        <f t="shared" ca="1" si="79"/>
        <v>0.50734620548776854</v>
      </c>
      <c r="H645" s="3">
        <f t="shared" ca="1" si="80"/>
        <v>0</v>
      </c>
      <c r="I645" s="3">
        <f t="shared" ca="1" si="81"/>
        <v>3.2484372740472733</v>
      </c>
      <c r="J645" s="3">
        <f t="shared" ca="1" si="82"/>
        <v>9.0117108171080282</v>
      </c>
      <c r="P645" s="3">
        <f t="shared" ca="1" si="83"/>
        <v>-8.4400877874421472</v>
      </c>
      <c r="Q645" s="3">
        <f t="shared" ca="1" si="84"/>
        <v>0.78608722186706237</v>
      </c>
      <c r="R645" s="3">
        <f t="shared" ca="1" si="85"/>
        <v>8.4766157740051398</v>
      </c>
    </row>
    <row r="646" spans="7:18" x14ac:dyDescent="0.25">
      <c r="G646" s="2">
        <f t="shared" ca="1" si="79"/>
        <v>0.58641524793763378</v>
      </c>
      <c r="H646" s="3">
        <f t="shared" ca="1" si="80"/>
        <v>0</v>
      </c>
      <c r="I646" s="3">
        <f t="shared" ca="1" si="81"/>
        <v>2.5638454591354571E-2</v>
      </c>
      <c r="J646" s="3">
        <f t="shared" ca="1" si="82"/>
        <v>0.80060062751902972</v>
      </c>
      <c r="P646" s="3">
        <f t="shared" ca="1" si="83"/>
        <v>-10.4933987858068</v>
      </c>
      <c r="Q646" s="3">
        <f t="shared" ca="1" si="84"/>
        <v>4.2977825064038528</v>
      </c>
      <c r="R646" s="3">
        <f t="shared" ca="1" si="85"/>
        <v>11.339415882236731</v>
      </c>
    </row>
    <row r="647" spans="7:18" x14ac:dyDescent="0.25">
      <c r="G647" s="2">
        <f t="shared" ca="1" si="79"/>
        <v>0.6715277541565926</v>
      </c>
      <c r="H647" s="3">
        <f t="shared" ca="1" si="80"/>
        <v>1</v>
      </c>
      <c r="I647" s="3">
        <f t="shared" ca="1" si="81"/>
        <v>1.1027738346981018</v>
      </c>
      <c r="J647" s="3">
        <f t="shared" ca="1" si="82"/>
        <v>5.2506519468969328</v>
      </c>
      <c r="P647" s="3">
        <f t="shared" ca="1" si="83"/>
        <v>-5.9194452779049564</v>
      </c>
      <c r="Q647" s="3">
        <f t="shared" ca="1" si="84"/>
        <v>-4.0421272763033205</v>
      </c>
      <c r="R647" s="3">
        <f t="shared" ca="1" si="85"/>
        <v>7.1678884837828347</v>
      </c>
    </row>
    <row r="648" spans="7:18" x14ac:dyDescent="0.25">
      <c r="G648" s="2">
        <f t="shared" ca="1" si="79"/>
        <v>0.2332003740986941</v>
      </c>
      <c r="H648" s="3">
        <f t="shared" ca="1" si="80"/>
        <v>0</v>
      </c>
      <c r="I648" s="3">
        <f t="shared" ca="1" si="81"/>
        <v>7.5951148133102955E-2</v>
      </c>
      <c r="J648" s="3">
        <f t="shared" ca="1" si="82"/>
        <v>1.377961793130555</v>
      </c>
      <c r="P648" s="3">
        <f t="shared" ca="1" si="83"/>
        <v>-14.33447703439856</v>
      </c>
      <c r="Q648" s="3">
        <f t="shared" ca="1" si="84"/>
        <v>-1.217424501271511</v>
      </c>
      <c r="R648" s="3">
        <f t="shared" ca="1" si="85"/>
        <v>14.386081963689625</v>
      </c>
    </row>
    <row r="649" spans="7:18" x14ac:dyDescent="0.25">
      <c r="G649" s="2">
        <f t="shared" ca="1" si="79"/>
        <v>0.81054315980276104</v>
      </c>
      <c r="H649" s="3">
        <f t="shared" ca="1" si="80"/>
        <v>1</v>
      </c>
      <c r="I649" s="3">
        <f t="shared" ca="1" si="81"/>
        <v>7.260668478124928</v>
      </c>
      <c r="J649" s="3">
        <f t="shared" ca="1" si="82"/>
        <v>13.47281380978462</v>
      </c>
      <c r="P649" s="3">
        <f t="shared" ca="1" si="83"/>
        <v>-6.8588262010852556</v>
      </c>
      <c r="Q649" s="3">
        <f t="shared" ca="1" si="84"/>
        <v>-3.0321668078726476</v>
      </c>
      <c r="R649" s="3">
        <f t="shared" ca="1" si="85"/>
        <v>7.499168781102223</v>
      </c>
    </row>
    <row r="650" spans="7:18" x14ac:dyDescent="0.25">
      <c r="G650" s="2">
        <f t="shared" ca="1" si="79"/>
        <v>0.27754314974965244</v>
      </c>
      <c r="H650" s="3">
        <f t="shared" ca="1" si="80"/>
        <v>0</v>
      </c>
      <c r="I650" s="3">
        <f t="shared" ca="1" si="81"/>
        <v>4.4927389265784061</v>
      </c>
      <c r="J650" s="3">
        <f t="shared" ca="1" si="82"/>
        <v>10.598041005981253</v>
      </c>
      <c r="P650" s="3">
        <f t="shared" ca="1" si="83"/>
        <v>-16.194588851674727</v>
      </c>
      <c r="Q650" s="3">
        <f t="shared" ca="1" si="84"/>
        <v>3.749364199079221</v>
      </c>
      <c r="R650" s="3">
        <f t="shared" ca="1" si="85"/>
        <v>16.622949195979764</v>
      </c>
    </row>
    <row r="651" spans="7:18" x14ac:dyDescent="0.25">
      <c r="G651" s="2">
        <f t="shared" ca="1" si="79"/>
        <v>0.81279663871720309</v>
      </c>
      <c r="H651" s="3">
        <f t="shared" ca="1" si="80"/>
        <v>1</v>
      </c>
      <c r="I651" s="3">
        <f t="shared" ca="1" si="81"/>
        <v>0.23493901525415753</v>
      </c>
      <c r="J651" s="3">
        <f t="shared" ca="1" si="82"/>
        <v>2.4235254034884672</v>
      </c>
      <c r="P651" s="3">
        <f t="shared" ca="1" si="83"/>
        <v>1.3587430835025769</v>
      </c>
      <c r="Q651" s="3">
        <f t="shared" ca="1" si="84"/>
        <v>11.011501859305188</v>
      </c>
      <c r="R651" s="3">
        <f t="shared" ca="1" si="85"/>
        <v>11.095014915016911</v>
      </c>
    </row>
    <row r="652" spans="7:18" x14ac:dyDescent="0.25">
      <c r="G652" s="2">
        <f t="shared" ca="1" si="79"/>
        <v>0.28956803352222937</v>
      </c>
      <c r="H652" s="3">
        <f t="shared" ca="1" si="80"/>
        <v>0</v>
      </c>
      <c r="I652" s="3">
        <f t="shared" ca="1" si="81"/>
        <v>2.7515253135857529</v>
      </c>
      <c r="J652" s="3">
        <f t="shared" ca="1" si="82"/>
        <v>8.2938611538681926</v>
      </c>
      <c r="P652" s="3">
        <f t="shared" ca="1" si="83"/>
        <v>-5.9992588957768698</v>
      </c>
      <c r="Q652" s="3">
        <f t="shared" ca="1" si="84"/>
        <v>-3.3817085847960859</v>
      </c>
      <c r="R652" s="3">
        <f t="shared" ca="1" si="85"/>
        <v>6.8867307375155491</v>
      </c>
    </row>
    <row r="653" spans="7:18" x14ac:dyDescent="0.25">
      <c r="G653" s="2">
        <f t="shared" ca="1" si="79"/>
        <v>0.1751362325598016</v>
      </c>
      <c r="H653" s="3">
        <f t="shared" ca="1" si="80"/>
        <v>0</v>
      </c>
      <c r="I653" s="3">
        <f t="shared" ca="1" si="81"/>
        <v>2.7803259760441255</v>
      </c>
      <c r="J653" s="3">
        <f t="shared" ca="1" si="82"/>
        <v>8.337154754537254</v>
      </c>
      <c r="P653" s="3">
        <f t="shared" ca="1" si="83"/>
        <v>3.8249050759536622</v>
      </c>
      <c r="Q653" s="3">
        <f t="shared" ca="1" si="84"/>
        <v>5.3758622391797628</v>
      </c>
      <c r="R653" s="3">
        <f t="shared" ca="1" si="85"/>
        <v>6.5977112436582841</v>
      </c>
    </row>
    <row r="654" spans="7:18" x14ac:dyDescent="0.25">
      <c r="G654" s="2">
        <f t="shared" ca="1" si="79"/>
        <v>0.30299507525289238</v>
      </c>
      <c r="H654" s="3">
        <f t="shared" ca="1" si="80"/>
        <v>0</v>
      </c>
      <c r="I654" s="3">
        <f t="shared" ca="1" si="81"/>
        <v>5.2696130573946551E-2</v>
      </c>
      <c r="J654" s="3">
        <f t="shared" ca="1" si="82"/>
        <v>1.1477818888398021</v>
      </c>
      <c r="P654" s="3">
        <f t="shared" ca="1" si="83"/>
        <v>-10.73625710562332</v>
      </c>
      <c r="Q654" s="3">
        <f t="shared" ca="1" si="84"/>
        <v>-0.17329912573546896</v>
      </c>
      <c r="R654" s="3">
        <f t="shared" ca="1" si="85"/>
        <v>10.737655667091765</v>
      </c>
    </row>
    <row r="655" spans="7:18" x14ac:dyDescent="0.25">
      <c r="G655" s="2">
        <f t="shared" ca="1" si="79"/>
        <v>0.44614530785236761</v>
      </c>
      <c r="H655" s="3">
        <f t="shared" ca="1" si="80"/>
        <v>0</v>
      </c>
      <c r="I655" s="3">
        <f t="shared" ca="1" si="81"/>
        <v>0.40847192059960663</v>
      </c>
      <c r="J655" s="3">
        <f t="shared" ca="1" si="82"/>
        <v>3.1955904016300596</v>
      </c>
      <c r="P655" s="3">
        <f t="shared" ca="1" si="83"/>
        <v>-13.552450766107555</v>
      </c>
      <c r="Q655" s="3">
        <f t="shared" ca="1" si="84"/>
        <v>5.2402432427664261</v>
      </c>
      <c r="R655" s="3">
        <f t="shared" ca="1" si="85"/>
        <v>14.530281174537828</v>
      </c>
    </row>
    <row r="656" spans="7:18" x14ac:dyDescent="0.25">
      <c r="G656" s="2">
        <f t="shared" ca="1" si="79"/>
        <v>0.55227962655448026</v>
      </c>
      <c r="H656" s="3">
        <f t="shared" ca="1" si="80"/>
        <v>0</v>
      </c>
      <c r="I656" s="3">
        <f t="shared" ca="1" si="81"/>
        <v>0.19464295575514268</v>
      </c>
      <c r="J656" s="3">
        <f t="shared" ca="1" si="82"/>
        <v>2.2059179254629053</v>
      </c>
      <c r="P656" s="3">
        <f t="shared" ca="1" si="83"/>
        <v>-14.079214438301561</v>
      </c>
      <c r="Q656" s="3">
        <f t="shared" ca="1" si="84"/>
        <v>1.8230721233150937</v>
      </c>
      <c r="R656" s="3">
        <f t="shared" ca="1" si="85"/>
        <v>14.196755656363454</v>
      </c>
    </row>
    <row r="657" spans="7:18" x14ac:dyDescent="0.25">
      <c r="G657" s="2">
        <f t="shared" ca="1" si="79"/>
        <v>0.80980887453273032</v>
      </c>
      <c r="H657" s="3">
        <f t="shared" ca="1" si="80"/>
        <v>1</v>
      </c>
      <c r="I657" s="3">
        <f t="shared" ca="1" si="81"/>
        <v>2.9399722995600346</v>
      </c>
      <c r="J657" s="3">
        <f t="shared" ca="1" si="82"/>
        <v>8.5731737115843423</v>
      </c>
      <c r="P657" s="3">
        <f t="shared" ca="1" si="83"/>
        <v>6.5723485164831246</v>
      </c>
      <c r="Q657" s="3">
        <f t="shared" ca="1" si="84"/>
        <v>9.8023530391313525</v>
      </c>
      <c r="R657" s="3">
        <f t="shared" ca="1" si="85"/>
        <v>11.801774871852352</v>
      </c>
    </row>
    <row r="658" spans="7:18" x14ac:dyDescent="0.25">
      <c r="G658" s="2">
        <f t="shared" ca="1" si="79"/>
        <v>0.75369442750019</v>
      </c>
      <c r="H658" s="3">
        <f t="shared" ca="1" si="80"/>
        <v>1</v>
      </c>
      <c r="I658" s="3">
        <f t="shared" ca="1" si="81"/>
        <v>3.4114035953832906</v>
      </c>
      <c r="J658" s="3">
        <f t="shared" ca="1" si="82"/>
        <v>9.2349926845982004</v>
      </c>
      <c r="P658" s="3">
        <f t="shared" ca="1" si="83"/>
        <v>-1.0840598752064485</v>
      </c>
      <c r="Q658" s="3">
        <f t="shared" ca="1" si="84"/>
        <v>-5.9317906299157874</v>
      </c>
      <c r="R658" s="3">
        <f t="shared" ca="1" si="85"/>
        <v>6.0300353141743175</v>
      </c>
    </row>
    <row r="659" spans="7:18" x14ac:dyDescent="0.25">
      <c r="G659" s="2">
        <f t="shared" ca="1" si="79"/>
        <v>0.66925422268158219</v>
      </c>
      <c r="H659" s="3">
        <f t="shared" ca="1" si="80"/>
        <v>1</v>
      </c>
      <c r="I659" s="3">
        <f t="shared" ca="1" si="81"/>
        <v>0.96543915498867394</v>
      </c>
      <c r="J659" s="3">
        <f t="shared" ca="1" si="82"/>
        <v>4.9128381689932397</v>
      </c>
      <c r="P659" s="3">
        <f t="shared" ca="1" si="83"/>
        <v>-3.6722790296579371</v>
      </c>
      <c r="Q659" s="3">
        <f t="shared" ca="1" si="84"/>
        <v>-0.40243596673942755</v>
      </c>
      <c r="R659" s="3">
        <f t="shared" ca="1" si="85"/>
        <v>3.6942641999444135</v>
      </c>
    </row>
    <row r="660" spans="7:18" x14ac:dyDescent="0.25">
      <c r="G660" s="2">
        <f t="shared" ca="1" si="79"/>
        <v>0.23867686550986811</v>
      </c>
      <c r="H660" s="3">
        <f t="shared" ca="1" si="80"/>
        <v>0</v>
      </c>
      <c r="I660" s="3">
        <f t="shared" ca="1" si="81"/>
        <v>0.44049267343436788</v>
      </c>
      <c r="J660" s="3">
        <f t="shared" ca="1" si="82"/>
        <v>3.318481103736949</v>
      </c>
      <c r="P660" s="3">
        <f t="shared" ca="1" si="83"/>
        <v>-3.9702500035343817</v>
      </c>
      <c r="Q660" s="3">
        <f t="shared" ca="1" si="84"/>
        <v>5.6608250297614049</v>
      </c>
      <c r="R660" s="3">
        <f t="shared" ca="1" si="85"/>
        <v>6.9143202925622393</v>
      </c>
    </row>
    <row r="661" spans="7:18" x14ac:dyDescent="0.25">
      <c r="G661" s="2">
        <f t="shared" ca="1" si="79"/>
        <v>0.63628611004572921</v>
      </c>
      <c r="H661" s="3">
        <f t="shared" ca="1" si="80"/>
        <v>1</v>
      </c>
      <c r="I661" s="3">
        <f t="shared" ca="1" si="81"/>
        <v>3.5064769899089754</v>
      </c>
      <c r="J661" s="3">
        <f t="shared" ca="1" si="82"/>
        <v>9.3627947081907319</v>
      </c>
      <c r="P661" s="3">
        <f t="shared" ca="1" si="83"/>
        <v>-11.281252007689465</v>
      </c>
      <c r="Q661" s="3">
        <f t="shared" ca="1" si="84"/>
        <v>-0.61210354867531891</v>
      </c>
      <c r="R661" s="3">
        <f t="shared" ca="1" si="85"/>
        <v>11.297845706828294</v>
      </c>
    </row>
    <row r="662" spans="7:18" x14ac:dyDescent="0.25">
      <c r="G662" s="2">
        <f t="shared" ca="1" si="79"/>
        <v>0.75960222168887592</v>
      </c>
      <c r="H662" s="3">
        <f t="shared" ca="1" si="80"/>
        <v>1</v>
      </c>
      <c r="I662" s="3">
        <f t="shared" ca="1" si="81"/>
        <v>3.9437298423072447</v>
      </c>
      <c r="J662" s="3">
        <f t="shared" ca="1" si="82"/>
        <v>9.9294131779114281</v>
      </c>
      <c r="P662" s="3">
        <f t="shared" ca="1" si="83"/>
        <v>-6.9166519470671854</v>
      </c>
      <c r="Q662" s="3">
        <f t="shared" ca="1" si="84"/>
        <v>1.936452472184951</v>
      </c>
      <c r="R662" s="3">
        <f t="shared" ca="1" si="85"/>
        <v>7.1826125006086396</v>
      </c>
    </row>
    <row r="663" spans="7:18" x14ac:dyDescent="0.25">
      <c r="G663" s="2">
        <f t="shared" ca="1" si="79"/>
        <v>0.89349287874579186</v>
      </c>
      <c r="H663" s="3">
        <f t="shared" ca="1" si="80"/>
        <v>1</v>
      </c>
      <c r="I663" s="3">
        <f t="shared" ca="1" si="81"/>
        <v>0.95446380544678877</v>
      </c>
      <c r="J663" s="3">
        <f t="shared" ca="1" si="82"/>
        <v>4.8848331738320114</v>
      </c>
      <c r="P663" s="3">
        <f t="shared" ca="1" si="83"/>
        <v>-3.1693328343617906</v>
      </c>
      <c r="Q663" s="3">
        <f t="shared" ca="1" si="84"/>
        <v>1.7582350961107669</v>
      </c>
      <c r="R663" s="3">
        <f t="shared" ca="1" si="85"/>
        <v>3.6243704650820918</v>
      </c>
    </row>
    <row r="664" spans="7:18" x14ac:dyDescent="0.25">
      <c r="G664" s="2">
        <f t="shared" ca="1" si="79"/>
        <v>0.68675980930471736</v>
      </c>
      <c r="H664" s="3">
        <f t="shared" ca="1" si="80"/>
        <v>1</v>
      </c>
      <c r="I664" s="3">
        <f t="shared" ca="1" si="81"/>
        <v>2.24919113190409</v>
      </c>
      <c r="J664" s="3">
        <f t="shared" ca="1" si="82"/>
        <v>7.4986517653243681</v>
      </c>
      <c r="P664" s="3">
        <f t="shared" ca="1" si="83"/>
        <v>-7.0483817728386473</v>
      </c>
      <c r="Q664" s="3">
        <f t="shared" ca="1" si="84"/>
        <v>1.6837058309791648</v>
      </c>
      <c r="R664" s="3">
        <f t="shared" ca="1" si="85"/>
        <v>7.2466924138504263</v>
      </c>
    </row>
    <row r="665" spans="7:18" x14ac:dyDescent="0.25">
      <c r="G665" s="2">
        <f t="shared" ca="1" si="79"/>
        <v>0.82420354040864741</v>
      </c>
      <c r="H665" s="3">
        <f t="shared" ca="1" si="80"/>
        <v>1</v>
      </c>
      <c r="I665" s="3">
        <f t="shared" ca="1" si="81"/>
        <v>1.3535648648699821</v>
      </c>
      <c r="J665" s="3">
        <f t="shared" ca="1" si="82"/>
        <v>5.817140330243852</v>
      </c>
      <c r="P665" s="3">
        <f t="shared" ca="1" si="83"/>
        <v>-10.561245751750025</v>
      </c>
      <c r="Q665" s="3">
        <f t="shared" ca="1" si="84"/>
        <v>1.8555893495354923</v>
      </c>
      <c r="R665" s="3">
        <f t="shared" ca="1" si="85"/>
        <v>10.72301840262188</v>
      </c>
    </row>
    <row r="666" spans="7:18" x14ac:dyDescent="0.25">
      <c r="G666" s="2">
        <f t="shared" ca="1" si="79"/>
        <v>0.68027261195316724</v>
      </c>
      <c r="H666" s="3">
        <f t="shared" ca="1" si="80"/>
        <v>1</v>
      </c>
      <c r="I666" s="3">
        <f t="shared" ca="1" si="81"/>
        <v>4.1251214276106385</v>
      </c>
      <c r="J666" s="3">
        <f t="shared" ca="1" si="82"/>
        <v>10.155197471751396</v>
      </c>
      <c r="P666" s="3">
        <f t="shared" ca="1" si="83"/>
        <v>-6.8892492993819037</v>
      </c>
      <c r="Q666" s="3">
        <f t="shared" ca="1" si="84"/>
        <v>8.0077973074456779</v>
      </c>
      <c r="R666" s="3">
        <f t="shared" ca="1" si="85"/>
        <v>10.563454625555424</v>
      </c>
    </row>
    <row r="667" spans="7:18" x14ac:dyDescent="0.25">
      <c r="G667" s="2">
        <f t="shared" ca="1" si="79"/>
        <v>0.8968314566557396</v>
      </c>
      <c r="H667" s="3">
        <f t="shared" ca="1" si="80"/>
        <v>1</v>
      </c>
      <c r="I667" s="3">
        <f t="shared" ca="1" si="81"/>
        <v>2.982047419868171</v>
      </c>
      <c r="J667" s="3">
        <f t="shared" ca="1" si="82"/>
        <v>8.6343028379078923</v>
      </c>
      <c r="P667" s="3">
        <f t="shared" ca="1" si="83"/>
        <v>-3.6593563776566533</v>
      </c>
      <c r="Q667" s="3">
        <f t="shared" ca="1" si="84"/>
        <v>-5.6254988383581086</v>
      </c>
      <c r="R667" s="3">
        <f t="shared" ca="1" si="85"/>
        <v>6.7109705914319759</v>
      </c>
    </row>
    <row r="668" spans="7:18" x14ac:dyDescent="0.25">
      <c r="G668" s="2">
        <f t="shared" ca="1" si="79"/>
        <v>0.48484681056007317</v>
      </c>
      <c r="H668" s="3">
        <f t="shared" ca="1" si="80"/>
        <v>0</v>
      </c>
      <c r="I668" s="3">
        <f t="shared" ca="1" si="81"/>
        <v>0.61762052139044255</v>
      </c>
      <c r="J668" s="3">
        <f t="shared" ca="1" si="82"/>
        <v>3.9294418222899119</v>
      </c>
      <c r="P668" s="3">
        <f t="shared" ca="1" si="83"/>
        <v>-5.596691641994795</v>
      </c>
      <c r="Q668" s="3">
        <f t="shared" ca="1" si="84"/>
        <v>4.6481353259115474</v>
      </c>
      <c r="R668" s="3">
        <f t="shared" ca="1" si="85"/>
        <v>7.2751714305273412</v>
      </c>
    </row>
    <row r="669" spans="7:18" x14ac:dyDescent="0.25">
      <c r="G669" s="2">
        <f t="shared" ca="1" si="79"/>
        <v>0.137997447110069</v>
      </c>
      <c r="H669" s="3">
        <f t="shared" ca="1" si="80"/>
        <v>0</v>
      </c>
      <c r="I669" s="3">
        <f t="shared" ca="1" si="81"/>
        <v>1.7106196140781886</v>
      </c>
      <c r="J669" s="3">
        <f t="shared" ca="1" si="82"/>
        <v>6.5395328848438954</v>
      </c>
      <c r="P669" s="3">
        <f t="shared" ca="1" si="83"/>
        <v>-6.2622248362737425</v>
      </c>
      <c r="Q669" s="3">
        <f t="shared" ca="1" si="84"/>
        <v>1.593448470911226</v>
      </c>
      <c r="R669" s="3">
        <f t="shared" ca="1" si="85"/>
        <v>6.4617751376454615</v>
      </c>
    </row>
    <row r="670" spans="7:18" x14ac:dyDescent="0.25">
      <c r="G670" s="2">
        <f t="shared" ca="1" si="79"/>
        <v>0.25426589632893637</v>
      </c>
      <c r="H670" s="3">
        <f t="shared" ca="1" si="80"/>
        <v>0</v>
      </c>
      <c r="I670" s="3">
        <f t="shared" ca="1" si="81"/>
        <v>0.46821134317944568</v>
      </c>
      <c r="J670" s="3">
        <f t="shared" ca="1" si="82"/>
        <v>3.4212985224160346</v>
      </c>
      <c r="P670" s="3">
        <f t="shared" ca="1" si="83"/>
        <v>-5.1733110744044808</v>
      </c>
      <c r="Q670" s="3">
        <f t="shared" ca="1" si="84"/>
        <v>1.5473495876343557</v>
      </c>
      <c r="R670" s="3">
        <f t="shared" ca="1" si="85"/>
        <v>5.399762792837131</v>
      </c>
    </row>
    <row r="671" spans="7:18" x14ac:dyDescent="0.25">
      <c r="G671" s="2">
        <f t="shared" ca="1" si="79"/>
        <v>0.3733785454188755</v>
      </c>
      <c r="H671" s="3">
        <f t="shared" ca="1" si="80"/>
        <v>0</v>
      </c>
      <c r="I671" s="3">
        <f t="shared" ca="1" si="81"/>
        <v>0.55429827516956209</v>
      </c>
      <c r="J671" s="3">
        <f t="shared" ca="1" si="82"/>
        <v>3.7225605272767632</v>
      </c>
      <c r="P671" s="3">
        <f t="shared" ca="1" si="83"/>
        <v>-5.7309834529221222</v>
      </c>
      <c r="Q671" s="3">
        <f t="shared" ca="1" si="84"/>
        <v>3.4042619759123842</v>
      </c>
      <c r="R671" s="3">
        <f t="shared" ca="1" si="85"/>
        <v>6.6658211000828747</v>
      </c>
    </row>
    <row r="672" spans="7:18" x14ac:dyDescent="0.25">
      <c r="G672" s="2">
        <f t="shared" ca="1" si="79"/>
        <v>0.58802027763493792</v>
      </c>
      <c r="H672" s="3">
        <f t="shared" ca="1" si="80"/>
        <v>0</v>
      </c>
      <c r="I672" s="3">
        <f t="shared" ca="1" si="81"/>
        <v>1.804697993092401</v>
      </c>
      <c r="J672" s="3">
        <f t="shared" ca="1" si="82"/>
        <v>6.7169524210991716</v>
      </c>
      <c r="P672" s="3">
        <f t="shared" ca="1" si="83"/>
        <v>-9.9430605204292313</v>
      </c>
      <c r="Q672" s="3">
        <f t="shared" ca="1" si="84"/>
        <v>1.3124815321598908</v>
      </c>
      <c r="R672" s="3">
        <f t="shared" ca="1" si="85"/>
        <v>10.029310060277286</v>
      </c>
    </row>
    <row r="673" spans="7:18" x14ac:dyDescent="0.25">
      <c r="G673" s="2">
        <f t="shared" ca="1" si="79"/>
        <v>0.99254028415970719</v>
      </c>
      <c r="H673" s="3">
        <f t="shared" ca="1" si="80"/>
        <v>3</v>
      </c>
      <c r="I673" s="3">
        <f t="shared" ca="1" si="81"/>
        <v>3.7170571584822105</v>
      </c>
      <c r="J673" s="3">
        <f t="shared" ca="1" si="82"/>
        <v>9.639835525674453</v>
      </c>
      <c r="P673" s="3">
        <f t="shared" ca="1" si="83"/>
        <v>-4.8802287283343482</v>
      </c>
      <c r="Q673" s="3">
        <f t="shared" ca="1" si="84"/>
        <v>8.1361064573701256</v>
      </c>
      <c r="R673" s="3">
        <f t="shared" ca="1" si="85"/>
        <v>9.4875107760950534</v>
      </c>
    </row>
    <row r="674" spans="7:18" x14ac:dyDescent="0.25">
      <c r="G674" s="2">
        <f t="shared" ca="1" si="79"/>
        <v>0.54338299330148843</v>
      </c>
      <c r="H674" s="3">
        <f t="shared" ca="1" si="80"/>
        <v>0</v>
      </c>
      <c r="I674" s="3">
        <f t="shared" ca="1" si="81"/>
        <v>2.2351172350034756</v>
      </c>
      <c r="J674" s="3">
        <f t="shared" ca="1" si="82"/>
        <v>7.4751542375449942</v>
      </c>
      <c r="P674" s="3">
        <f t="shared" ca="1" si="83"/>
        <v>1.7955407552423894</v>
      </c>
      <c r="Q674" s="3">
        <f t="shared" ca="1" si="84"/>
        <v>-1.3043614093926472</v>
      </c>
      <c r="R674" s="3">
        <f t="shared" ca="1" si="85"/>
        <v>2.2193073897162563</v>
      </c>
    </row>
    <row r="675" spans="7:18" x14ac:dyDescent="0.25">
      <c r="G675" s="2">
        <f t="shared" ca="1" si="79"/>
        <v>0.61136741245433524</v>
      </c>
      <c r="H675" s="3">
        <f t="shared" ca="1" si="80"/>
        <v>1</v>
      </c>
      <c r="I675" s="3">
        <f t="shared" ca="1" si="81"/>
        <v>4.509154689658998</v>
      </c>
      <c r="J675" s="3">
        <f t="shared" ca="1" si="82"/>
        <v>10.617385141430773</v>
      </c>
      <c r="P675" s="3">
        <f t="shared" ca="1" si="83"/>
        <v>-3.0455864409999838</v>
      </c>
      <c r="Q675" s="3">
        <f t="shared" ca="1" si="84"/>
        <v>-3.1497695007181963</v>
      </c>
      <c r="R675" s="3">
        <f t="shared" ca="1" si="85"/>
        <v>4.3813975712388284</v>
      </c>
    </row>
    <row r="676" spans="7:18" x14ac:dyDescent="0.25">
      <c r="G676" s="2">
        <f t="shared" ca="1" si="79"/>
        <v>0.34515316819364272</v>
      </c>
      <c r="H676" s="3">
        <f t="shared" ca="1" si="80"/>
        <v>0</v>
      </c>
      <c r="I676" s="3">
        <f t="shared" ca="1" si="81"/>
        <v>0.41349906972487449</v>
      </c>
      <c r="J676" s="3">
        <f t="shared" ca="1" si="82"/>
        <v>3.2151946664427431</v>
      </c>
      <c r="P676" s="3">
        <f t="shared" ca="1" si="83"/>
        <v>3.9598021478094161</v>
      </c>
      <c r="Q676" s="3">
        <f t="shared" ca="1" si="84"/>
        <v>-1.0779616150285201</v>
      </c>
      <c r="R676" s="3">
        <f t="shared" ca="1" si="85"/>
        <v>4.1039047617203499</v>
      </c>
    </row>
    <row r="677" spans="7:18" x14ac:dyDescent="0.25">
      <c r="G677" s="2">
        <f t="shared" ca="1" si="79"/>
        <v>0.19383381083009033</v>
      </c>
      <c r="H677" s="3">
        <f t="shared" ca="1" si="80"/>
        <v>0</v>
      </c>
      <c r="I677" s="3">
        <f t="shared" ca="1" si="81"/>
        <v>3.619623060290472</v>
      </c>
      <c r="J677" s="3">
        <f t="shared" ca="1" si="82"/>
        <v>9.5126534945440859</v>
      </c>
      <c r="P677" s="3">
        <f t="shared" ca="1" si="83"/>
        <v>-6.7233236601090445</v>
      </c>
      <c r="Q677" s="3">
        <f t="shared" ca="1" si="84"/>
        <v>7.325071427391483E-2</v>
      </c>
      <c r="R677" s="3">
        <f t="shared" ca="1" si="85"/>
        <v>6.7237226820953673</v>
      </c>
    </row>
    <row r="678" spans="7:18" x14ac:dyDescent="0.25">
      <c r="G678" s="2">
        <f t="shared" ca="1" si="79"/>
        <v>0.51623055190263967</v>
      </c>
      <c r="H678" s="3">
        <f t="shared" ca="1" si="80"/>
        <v>0</v>
      </c>
      <c r="I678" s="3">
        <f t="shared" ca="1" si="81"/>
        <v>1.0047156604069609</v>
      </c>
      <c r="J678" s="3">
        <f t="shared" ca="1" si="82"/>
        <v>5.0117752852830524</v>
      </c>
      <c r="P678" s="3">
        <f t="shared" ca="1" si="83"/>
        <v>-5.036563979636111</v>
      </c>
      <c r="Q678" s="3">
        <f t="shared" ca="1" si="84"/>
        <v>5.0959292071015776</v>
      </c>
      <c r="R678" s="3">
        <f t="shared" ca="1" si="85"/>
        <v>7.1648776126852898</v>
      </c>
    </row>
    <row r="679" spans="7:18" x14ac:dyDescent="0.25">
      <c r="G679" s="2">
        <f t="shared" ca="1" si="79"/>
        <v>0.4827400878281437</v>
      </c>
      <c r="H679" s="3">
        <f t="shared" ca="1" si="80"/>
        <v>0</v>
      </c>
      <c r="I679" s="3">
        <f t="shared" ca="1" si="81"/>
        <v>1.0978641365222057</v>
      </c>
      <c r="J679" s="3">
        <f t="shared" ca="1" si="82"/>
        <v>5.2389506022728582</v>
      </c>
      <c r="P679" s="3">
        <f t="shared" ca="1" si="83"/>
        <v>-11.367272995063932</v>
      </c>
      <c r="Q679" s="3">
        <f t="shared" ca="1" si="84"/>
        <v>-2.7398117300792566</v>
      </c>
      <c r="R679" s="3">
        <f t="shared" ca="1" si="85"/>
        <v>11.692795374100653</v>
      </c>
    </row>
    <row r="680" spans="7:18" x14ac:dyDescent="0.25">
      <c r="G680" s="2">
        <f t="shared" ca="1" si="79"/>
        <v>7.6351502242769431E-2</v>
      </c>
      <c r="H680" s="3">
        <f t="shared" ca="1" si="80"/>
        <v>0</v>
      </c>
      <c r="I680" s="3">
        <f t="shared" ca="1" si="81"/>
        <v>1.3379833562474368E-2</v>
      </c>
      <c r="J680" s="3">
        <f t="shared" ca="1" si="82"/>
        <v>0.57835615243711136</v>
      </c>
      <c r="P680" s="3">
        <f t="shared" ca="1" si="83"/>
        <v>-7.7005311973759039</v>
      </c>
      <c r="Q680" s="3">
        <f t="shared" ca="1" si="84"/>
        <v>3.3100044527077133</v>
      </c>
      <c r="R680" s="3">
        <f t="shared" ca="1" si="85"/>
        <v>8.3817844280740399</v>
      </c>
    </row>
    <row r="681" spans="7:18" x14ac:dyDescent="0.25">
      <c r="G681" s="2">
        <f t="shared" ca="1" si="79"/>
        <v>0.17268181453874998</v>
      </c>
      <c r="H681" s="3">
        <f t="shared" ca="1" si="80"/>
        <v>0</v>
      </c>
      <c r="I681" s="3">
        <f t="shared" ca="1" si="81"/>
        <v>0.15960067586583482</v>
      </c>
      <c r="J681" s="3">
        <f t="shared" ca="1" si="82"/>
        <v>1.9975026649909309</v>
      </c>
      <c r="P681" s="3">
        <f t="shared" ca="1" si="83"/>
        <v>-2.2855890539949506</v>
      </c>
      <c r="Q681" s="3">
        <f t="shared" ca="1" si="84"/>
        <v>8.7830891386146384</v>
      </c>
      <c r="R681" s="3">
        <f t="shared" ca="1" si="85"/>
        <v>9.0756031281999086</v>
      </c>
    </row>
    <row r="682" spans="7:18" x14ac:dyDescent="0.25">
      <c r="G682" s="2">
        <f t="shared" ca="1" si="79"/>
        <v>0.92414419331171671</v>
      </c>
      <c r="H682" s="3">
        <f t="shared" ca="1" si="80"/>
        <v>2</v>
      </c>
      <c r="I682" s="3">
        <f t="shared" ca="1" si="81"/>
        <v>3.1304659903178522</v>
      </c>
      <c r="J682" s="3">
        <f t="shared" ca="1" si="82"/>
        <v>8.846561465221745</v>
      </c>
      <c r="P682" s="3">
        <f t="shared" ca="1" si="83"/>
        <v>-5.8323164142654838</v>
      </c>
      <c r="Q682" s="3">
        <f t="shared" ca="1" si="84"/>
        <v>0.7139640167213448</v>
      </c>
      <c r="R682" s="3">
        <f t="shared" ca="1" si="85"/>
        <v>5.875853927156756</v>
      </c>
    </row>
    <row r="683" spans="7:18" x14ac:dyDescent="0.25">
      <c r="G683" s="2">
        <f t="shared" ca="1" si="79"/>
        <v>8.0557654889284458E-2</v>
      </c>
      <c r="H683" s="3">
        <f t="shared" ca="1" si="80"/>
        <v>0</v>
      </c>
      <c r="I683" s="3">
        <f t="shared" ca="1" si="81"/>
        <v>3.0326344898826578</v>
      </c>
      <c r="J683" s="3">
        <f t="shared" ca="1" si="82"/>
        <v>8.7072304579048811</v>
      </c>
      <c r="P683" s="3">
        <f t="shared" ca="1" si="83"/>
        <v>-6.0190276207898039</v>
      </c>
      <c r="Q683" s="3">
        <f t="shared" ca="1" si="84"/>
        <v>-2.0348833283008791</v>
      </c>
      <c r="R683" s="3">
        <f t="shared" ca="1" si="85"/>
        <v>6.3536952759498497</v>
      </c>
    </row>
    <row r="684" spans="7:18" x14ac:dyDescent="0.25">
      <c r="G684" s="2">
        <f t="shared" ca="1" si="79"/>
        <v>0.12348496891490357</v>
      </c>
      <c r="H684" s="3">
        <f t="shared" ca="1" si="80"/>
        <v>0</v>
      </c>
      <c r="I684" s="3">
        <f t="shared" ca="1" si="81"/>
        <v>2.0130190301890303</v>
      </c>
      <c r="J684" s="3">
        <f t="shared" ca="1" si="82"/>
        <v>7.094045091111683</v>
      </c>
      <c r="P684" s="3">
        <f t="shared" ca="1" si="83"/>
        <v>-11.657493643177913</v>
      </c>
      <c r="Q684" s="3">
        <f t="shared" ca="1" si="84"/>
        <v>-3.0609572862779486</v>
      </c>
      <c r="R684" s="3">
        <f t="shared" ca="1" si="85"/>
        <v>12.052660185583575</v>
      </c>
    </row>
    <row r="685" spans="7:18" x14ac:dyDescent="0.25">
      <c r="G685" s="2">
        <f t="shared" ca="1" si="79"/>
        <v>0.39370858187347146</v>
      </c>
      <c r="H685" s="3">
        <f t="shared" ca="1" si="80"/>
        <v>0</v>
      </c>
      <c r="I685" s="3">
        <f t="shared" ca="1" si="81"/>
        <v>1.7734986531546422</v>
      </c>
      <c r="J685" s="3">
        <f t="shared" ca="1" si="82"/>
        <v>6.6586384741076055</v>
      </c>
      <c r="P685" s="3">
        <f t="shared" ca="1" si="83"/>
        <v>7.059094255071372</v>
      </c>
      <c r="Q685" s="3">
        <f t="shared" ca="1" si="84"/>
        <v>11.168402193203896</v>
      </c>
      <c r="R685" s="3">
        <f t="shared" ca="1" si="85"/>
        <v>13.212267755807224</v>
      </c>
    </row>
    <row r="686" spans="7:18" x14ac:dyDescent="0.25">
      <c r="G686" s="2">
        <f t="shared" ca="1" si="79"/>
        <v>0.9416396215305094</v>
      </c>
      <c r="H686" s="3">
        <f t="shared" ca="1" si="80"/>
        <v>2</v>
      </c>
      <c r="I686" s="3">
        <f t="shared" ca="1" si="81"/>
        <v>6.6170055878640275</v>
      </c>
      <c r="J686" s="3">
        <f t="shared" ca="1" si="82"/>
        <v>12.861770472862617</v>
      </c>
      <c r="P686" s="3">
        <f t="shared" ca="1" si="83"/>
        <v>-10.814938703297731</v>
      </c>
      <c r="Q686" s="3">
        <f t="shared" ca="1" si="84"/>
        <v>4.7839255224004411</v>
      </c>
      <c r="R686" s="3">
        <f t="shared" ca="1" si="85"/>
        <v>11.825770273430882</v>
      </c>
    </row>
    <row r="687" spans="7:18" x14ac:dyDescent="0.25">
      <c r="G687" s="2">
        <f t="shared" ca="1" si="79"/>
        <v>0.20254077868145703</v>
      </c>
      <c r="H687" s="3">
        <f t="shared" ca="1" si="80"/>
        <v>0</v>
      </c>
      <c r="I687" s="3">
        <f t="shared" ca="1" si="81"/>
        <v>6.3667169690648864</v>
      </c>
      <c r="J687" s="3">
        <f t="shared" ca="1" si="82"/>
        <v>12.616177084466679</v>
      </c>
      <c r="P687" s="3">
        <f t="shared" ca="1" si="83"/>
        <v>-0.34168641327038962</v>
      </c>
      <c r="Q687" s="3">
        <f t="shared" ca="1" si="84"/>
        <v>-10.531692873511812</v>
      </c>
      <c r="R687" s="3">
        <f t="shared" ca="1" si="85"/>
        <v>10.53723419057359</v>
      </c>
    </row>
    <row r="688" spans="7:18" x14ac:dyDescent="0.25">
      <c r="G688" s="2">
        <f t="shared" ca="1" si="79"/>
        <v>0.96642161087500356</v>
      </c>
      <c r="H688" s="3">
        <f t="shared" ca="1" si="80"/>
        <v>2</v>
      </c>
      <c r="I688" s="3">
        <f t="shared" ca="1" si="81"/>
        <v>10.667764198891909</v>
      </c>
      <c r="J688" s="3">
        <f t="shared" ca="1" si="82"/>
        <v>16.330771720047331</v>
      </c>
      <c r="P688" s="3">
        <f t="shared" ca="1" si="83"/>
        <v>-2.9162871600273683</v>
      </c>
      <c r="Q688" s="3">
        <f t="shared" ca="1" si="84"/>
        <v>-1.8517917466849578</v>
      </c>
      <c r="R688" s="3">
        <f t="shared" ca="1" si="85"/>
        <v>3.4545424404443232</v>
      </c>
    </row>
    <row r="689" spans="7:18" x14ac:dyDescent="0.25">
      <c r="G689" s="2">
        <f t="shared" ca="1" si="79"/>
        <v>0.44406378332508478</v>
      </c>
      <c r="H689" s="3">
        <f t="shared" ca="1" si="80"/>
        <v>0</v>
      </c>
      <c r="I689" s="3">
        <f t="shared" ca="1" si="81"/>
        <v>0.10053716342765351</v>
      </c>
      <c r="J689" s="3">
        <f t="shared" ca="1" si="82"/>
        <v>1.5853797922552619</v>
      </c>
      <c r="P689" s="3">
        <f t="shared" ca="1" si="83"/>
        <v>-7.5331536805740873</v>
      </c>
      <c r="Q689" s="3">
        <f t="shared" ca="1" si="84"/>
        <v>-0.16615102561636361</v>
      </c>
      <c r="R689" s="3">
        <f t="shared" ca="1" si="85"/>
        <v>7.5349857689620281</v>
      </c>
    </row>
    <row r="690" spans="7:18" x14ac:dyDescent="0.25">
      <c r="G690" s="2">
        <f t="shared" ca="1" si="79"/>
        <v>0.10459837481795886</v>
      </c>
      <c r="H690" s="3">
        <f t="shared" ca="1" si="80"/>
        <v>0</v>
      </c>
      <c r="I690" s="3">
        <f t="shared" ca="1" si="81"/>
        <v>8.3829275564013201</v>
      </c>
      <c r="J690" s="3">
        <f t="shared" ca="1" si="82"/>
        <v>14.476642874300417</v>
      </c>
      <c r="P690" s="3">
        <f t="shared" ca="1" si="83"/>
        <v>-10.860458444610323</v>
      </c>
      <c r="Q690" s="3">
        <f t="shared" ca="1" si="84"/>
        <v>-3.1716802085605127</v>
      </c>
      <c r="R690" s="3">
        <f t="shared" ca="1" si="85"/>
        <v>11.314111232106663</v>
      </c>
    </row>
    <row r="691" spans="7:18" x14ac:dyDescent="0.25">
      <c r="G691" s="2">
        <f t="shared" ca="1" si="79"/>
        <v>0.98001828221955778</v>
      </c>
      <c r="H691" s="3">
        <f t="shared" ca="1" si="80"/>
        <v>2</v>
      </c>
      <c r="I691" s="3">
        <f t="shared" ca="1" si="81"/>
        <v>3.0159449892063672</v>
      </c>
      <c r="J691" s="3">
        <f t="shared" ca="1" si="82"/>
        <v>8.6832381477280229</v>
      </c>
      <c r="P691" s="3">
        <f t="shared" ca="1" si="83"/>
        <v>5.924988498787032</v>
      </c>
      <c r="Q691" s="3">
        <f t="shared" ca="1" si="84"/>
        <v>-4.7395574122526112</v>
      </c>
      <c r="R691" s="3">
        <f t="shared" ca="1" si="85"/>
        <v>7.5874167655927058</v>
      </c>
    </row>
    <row r="692" spans="7:18" x14ac:dyDescent="0.25">
      <c r="G692" s="2">
        <f t="shared" ca="1" si="79"/>
        <v>0.80672870559370902</v>
      </c>
      <c r="H692" s="3">
        <f t="shared" ca="1" si="80"/>
        <v>1</v>
      </c>
      <c r="I692" s="3">
        <f t="shared" ca="1" si="81"/>
        <v>3.660798201087637</v>
      </c>
      <c r="J692" s="3">
        <f t="shared" ca="1" si="82"/>
        <v>9.5666062439713144</v>
      </c>
      <c r="P692" s="3">
        <f t="shared" ca="1" si="83"/>
        <v>0.60866912470583756</v>
      </c>
      <c r="Q692" s="3">
        <f t="shared" ca="1" si="84"/>
        <v>-2.9947689070338703</v>
      </c>
      <c r="R692" s="3">
        <f t="shared" ca="1" si="85"/>
        <v>3.0559972038447634</v>
      </c>
    </row>
    <row r="693" spans="7:18" x14ac:dyDescent="0.25">
      <c r="G693" s="2">
        <f t="shared" ca="1" si="79"/>
        <v>0.80266514633445585</v>
      </c>
      <c r="H693" s="3">
        <f t="shared" ca="1" si="80"/>
        <v>1</v>
      </c>
      <c r="I693" s="3">
        <f t="shared" ca="1" si="81"/>
        <v>1.0219942295877114</v>
      </c>
      <c r="J693" s="3">
        <f t="shared" ca="1" si="82"/>
        <v>5.0546865125042908</v>
      </c>
      <c r="P693" s="3">
        <f t="shared" ca="1" si="83"/>
        <v>-18.016671255484269</v>
      </c>
      <c r="Q693" s="3">
        <f t="shared" ca="1" si="84"/>
        <v>4.9330344409695099</v>
      </c>
      <c r="R693" s="3">
        <f t="shared" ca="1" si="85"/>
        <v>18.679809204699723</v>
      </c>
    </row>
    <row r="694" spans="7:18" x14ac:dyDescent="0.25">
      <c r="G694" s="2">
        <f t="shared" ca="1" si="79"/>
        <v>0.71170314591598527</v>
      </c>
      <c r="H694" s="3">
        <f t="shared" ca="1" si="80"/>
        <v>1</v>
      </c>
      <c r="I694" s="3">
        <f t="shared" ca="1" si="81"/>
        <v>3.4892476434720576</v>
      </c>
      <c r="J694" s="3">
        <f t="shared" ca="1" si="82"/>
        <v>9.3397639738272531</v>
      </c>
      <c r="P694" s="3">
        <f t="shared" ca="1" si="83"/>
        <v>-12.413047959563032</v>
      </c>
      <c r="Q694" s="3">
        <f t="shared" ca="1" si="84"/>
        <v>1.6117676437178796</v>
      </c>
      <c r="R694" s="3">
        <f t="shared" ca="1" si="85"/>
        <v>12.517250280462871</v>
      </c>
    </row>
    <row r="695" spans="7:18" x14ac:dyDescent="0.25">
      <c r="G695" s="2">
        <f t="shared" ca="1" si="79"/>
        <v>0.95566595942878219</v>
      </c>
      <c r="H695" s="3">
        <f t="shared" ca="1" si="80"/>
        <v>2</v>
      </c>
      <c r="I695" s="3">
        <f t="shared" ca="1" si="81"/>
        <v>5.513039476098851</v>
      </c>
      <c r="J695" s="3">
        <f t="shared" ca="1" si="82"/>
        <v>11.739931298882089</v>
      </c>
      <c r="P695" s="3">
        <f t="shared" ca="1" si="83"/>
        <v>-2.0272206302331846</v>
      </c>
      <c r="Q695" s="3">
        <f t="shared" ca="1" si="84"/>
        <v>-2.4098389770273756</v>
      </c>
      <c r="R695" s="3">
        <f t="shared" ca="1" si="85"/>
        <v>3.1491185082247029</v>
      </c>
    </row>
    <row r="696" spans="7:18" x14ac:dyDescent="0.25">
      <c r="G696" s="2">
        <f t="shared" ca="1" si="79"/>
        <v>0.6651082482356877</v>
      </c>
      <c r="H696" s="3">
        <f t="shared" ca="1" si="80"/>
        <v>1</v>
      </c>
      <c r="I696" s="3">
        <f t="shared" ca="1" si="81"/>
        <v>1.1574714445369907</v>
      </c>
      <c r="J696" s="3">
        <f t="shared" ca="1" si="82"/>
        <v>5.3792923431827688</v>
      </c>
      <c r="P696" s="3">
        <f t="shared" ca="1" si="83"/>
        <v>-3.8913455353438007</v>
      </c>
      <c r="Q696" s="3">
        <f t="shared" ca="1" si="84"/>
        <v>7.2681471924760812</v>
      </c>
      <c r="R696" s="3">
        <f t="shared" ca="1" si="85"/>
        <v>8.2443031049894131</v>
      </c>
    </row>
    <row r="697" spans="7:18" x14ac:dyDescent="0.25">
      <c r="G697" s="2">
        <f t="shared" ca="1" si="79"/>
        <v>0.66292410433943261</v>
      </c>
      <c r="H697" s="3">
        <f t="shared" ca="1" si="80"/>
        <v>1</v>
      </c>
      <c r="I697" s="3">
        <f t="shared" ca="1" si="81"/>
        <v>1.4540644194471637</v>
      </c>
      <c r="J697" s="3">
        <f t="shared" ca="1" si="82"/>
        <v>6.0292296760182467</v>
      </c>
      <c r="P697" s="3">
        <f t="shared" ca="1" si="83"/>
        <v>-7.9907452436187167</v>
      </c>
      <c r="Q697" s="3">
        <f t="shared" ca="1" si="84"/>
        <v>1.3898323040254394</v>
      </c>
      <c r="R697" s="3">
        <f t="shared" ca="1" si="85"/>
        <v>8.110711644592465</v>
      </c>
    </row>
    <row r="698" spans="7:18" x14ac:dyDescent="0.25">
      <c r="G698" s="2">
        <f t="shared" ca="1" si="79"/>
        <v>0.80865427234652576</v>
      </c>
      <c r="H698" s="3">
        <f t="shared" ca="1" si="80"/>
        <v>1</v>
      </c>
      <c r="I698" s="3">
        <f t="shared" ca="1" si="81"/>
        <v>3.009373073657946</v>
      </c>
      <c r="J698" s="3">
        <f t="shared" ca="1" si="82"/>
        <v>8.6737723535638551</v>
      </c>
      <c r="P698" s="3">
        <f t="shared" ca="1" si="83"/>
        <v>-10.322461569065899</v>
      </c>
      <c r="Q698" s="3">
        <f t="shared" ca="1" si="84"/>
        <v>2.479744387161591</v>
      </c>
      <c r="R698" s="3">
        <f t="shared" ca="1" si="85"/>
        <v>10.616136070647448</v>
      </c>
    </row>
    <row r="699" spans="7:18" x14ac:dyDescent="0.25">
      <c r="G699" s="2">
        <f t="shared" ca="1" si="79"/>
        <v>0.32906115839665495</v>
      </c>
      <c r="H699" s="3">
        <f t="shared" ca="1" si="80"/>
        <v>0</v>
      </c>
      <c r="I699" s="3">
        <f t="shared" ca="1" si="81"/>
        <v>1.22700523195469</v>
      </c>
      <c r="J699" s="3">
        <f t="shared" ca="1" si="82"/>
        <v>5.5385134105522624</v>
      </c>
      <c r="P699" s="3">
        <f t="shared" ca="1" si="83"/>
        <v>-8.3969284648625457</v>
      </c>
      <c r="Q699" s="3">
        <f t="shared" ca="1" si="84"/>
        <v>5.7995915609336359</v>
      </c>
      <c r="R699" s="3">
        <f t="shared" ca="1" si="85"/>
        <v>10.20508059339423</v>
      </c>
    </row>
    <row r="700" spans="7:18" x14ac:dyDescent="0.25">
      <c r="G700" s="2">
        <f t="shared" ca="1" si="79"/>
        <v>0.18595406881114118</v>
      </c>
      <c r="H700" s="3">
        <f t="shared" ca="1" si="80"/>
        <v>0</v>
      </c>
      <c r="I700" s="3">
        <f t="shared" ca="1" si="81"/>
        <v>0.95490572596743095</v>
      </c>
      <c r="J700" s="3">
        <f t="shared" ca="1" si="82"/>
        <v>4.8859638915147308</v>
      </c>
      <c r="P700" s="3">
        <f t="shared" ca="1" si="83"/>
        <v>-2.5043466593449968</v>
      </c>
      <c r="Q700" s="3">
        <f t="shared" ca="1" si="84"/>
        <v>-2.3514693948210206</v>
      </c>
      <c r="R700" s="3">
        <f t="shared" ca="1" si="85"/>
        <v>3.4352817213370406</v>
      </c>
    </row>
    <row r="701" spans="7:18" x14ac:dyDescent="0.25">
      <c r="G701" s="2">
        <f t="shared" ca="1" si="79"/>
        <v>0.85657178088052832</v>
      </c>
      <c r="H701" s="3">
        <f t="shared" ca="1" si="80"/>
        <v>1</v>
      </c>
      <c r="I701" s="3">
        <f t="shared" ca="1" si="81"/>
        <v>4.7883112577996707</v>
      </c>
      <c r="J701" s="3">
        <f t="shared" ca="1" si="82"/>
        <v>10.941105129053089</v>
      </c>
      <c r="P701" s="3">
        <f t="shared" ca="1" si="83"/>
        <v>-4.5395173979005525</v>
      </c>
      <c r="Q701" s="3">
        <f t="shared" ca="1" si="84"/>
        <v>1.6565995882776388</v>
      </c>
      <c r="R701" s="3">
        <f t="shared" ca="1" si="85"/>
        <v>4.8323431585229386</v>
      </c>
    </row>
    <row r="702" spans="7:18" x14ac:dyDescent="0.25">
      <c r="G702" s="2">
        <f t="shared" ca="1" si="79"/>
        <v>0.40056048929866572</v>
      </c>
      <c r="H702" s="3">
        <f t="shared" ca="1" si="80"/>
        <v>0</v>
      </c>
      <c r="I702" s="3">
        <f t="shared" ca="1" si="81"/>
        <v>3.8514870742626739</v>
      </c>
      <c r="J702" s="3">
        <f t="shared" ca="1" si="82"/>
        <v>9.8126029603040017</v>
      </c>
      <c r="P702" s="3">
        <f t="shared" ca="1" si="83"/>
        <v>-1.4676989670402376</v>
      </c>
      <c r="Q702" s="3">
        <f t="shared" ca="1" si="84"/>
        <v>-11.498989442517885</v>
      </c>
      <c r="R702" s="3">
        <f t="shared" ca="1" si="85"/>
        <v>11.592277535367618</v>
      </c>
    </row>
    <row r="703" spans="7:18" x14ac:dyDescent="0.25">
      <c r="G703" s="2">
        <f t="shared" ca="1" si="79"/>
        <v>0.2125330298095599</v>
      </c>
      <c r="H703" s="3">
        <f t="shared" ca="1" si="80"/>
        <v>0</v>
      </c>
      <c r="I703" s="3">
        <f t="shared" ca="1" si="81"/>
        <v>0.41872036961812986</v>
      </c>
      <c r="J703" s="3">
        <f t="shared" ca="1" si="82"/>
        <v>3.2354303022091586</v>
      </c>
      <c r="P703" s="3">
        <f t="shared" ca="1" si="83"/>
        <v>-11.907796539928498</v>
      </c>
      <c r="Q703" s="3">
        <f t="shared" ca="1" si="84"/>
        <v>-3.0009337712471735</v>
      </c>
      <c r="R703" s="3">
        <f t="shared" ca="1" si="85"/>
        <v>12.280114899126348</v>
      </c>
    </row>
    <row r="704" spans="7:18" x14ac:dyDescent="0.25">
      <c r="G704" s="2">
        <f t="shared" ca="1" si="79"/>
        <v>0.10988504584378733</v>
      </c>
      <c r="H704" s="3">
        <f t="shared" ca="1" si="80"/>
        <v>0</v>
      </c>
      <c r="I704" s="3">
        <f t="shared" ca="1" si="81"/>
        <v>5.317494532272943</v>
      </c>
      <c r="J704" s="3">
        <f t="shared" ca="1" si="82"/>
        <v>11.529846629804908</v>
      </c>
      <c r="P704" s="3">
        <f t="shared" ca="1" si="83"/>
        <v>5.2661083901547308</v>
      </c>
      <c r="Q704" s="3">
        <f t="shared" ca="1" si="84"/>
        <v>-3.2559417537817277</v>
      </c>
      <c r="R704" s="3">
        <f t="shared" ca="1" si="85"/>
        <v>6.1913693381090811</v>
      </c>
    </row>
    <row r="705" spans="7:18" x14ac:dyDescent="0.25">
      <c r="G705" s="2">
        <f t="shared" ca="1" si="79"/>
        <v>0.26426484454998522</v>
      </c>
      <c r="H705" s="3">
        <f t="shared" ca="1" si="80"/>
        <v>0</v>
      </c>
      <c r="I705" s="3">
        <f t="shared" ca="1" si="81"/>
        <v>0.5680308645748785</v>
      </c>
      <c r="J705" s="3">
        <f t="shared" ca="1" si="82"/>
        <v>3.7683911174892608</v>
      </c>
      <c r="P705" s="3">
        <f t="shared" ca="1" si="83"/>
        <v>-10.688398082354151</v>
      </c>
      <c r="Q705" s="3">
        <f t="shared" ca="1" si="84"/>
        <v>1.3802887506478261</v>
      </c>
      <c r="R705" s="3">
        <f t="shared" ca="1" si="85"/>
        <v>10.777154104959102</v>
      </c>
    </row>
    <row r="706" spans="7:18" x14ac:dyDescent="0.25">
      <c r="G706" s="2">
        <f t="shared" ca="1" si="79"/>
        <v>0.35920370047489336</v>
      </c>
      <c r="H706" s="3">
        <f t="shared" ca="1" si="80"/>
        <v>0</v>
      </c>
      <c r="I706" s="3">
        <f t="shared" ca="1" si="81"/>
        <v>3.2708437661852319</v>
      </c>
      <c r="J706" s="3">
        <f t="shared" ca="1" si="82"/>
        <v>9.0427370941895031</v>
      </c>
      <c r="P706" s="3">
        <f t="shared" ca="1" si="83"/>
        <v>-14.368354187170491</v>
      </c>
      <c r="Q706" s="3">
        <f t="shared" ca="1" si="84"/>
        <v>8.5224888071750868</v>
      </c>
      <c r="R706" s="3">
        <f t="shared" ca="1" si="85"/>
        <v>16.705760010140345</v>
      </c>
    </row>
    <row r="707" spans="7:18" x14ac:dyDescent="0.25">
      <c r="G707" s="2">
        <f t="shared" ca="1" si="79"/>
        <v>0.74250017305505212</v>
      </c>
      <c r="H707" s="3">
        <f t="shared" ca="1" si="80"/>
        <v>1</v>
      </c>
      <c r="I707" s="3">
        <f t="shared" ca="1" si="81"/>
        <v>2.7724383823363126</v>
      </c>
      <c r="J707" s="3">
        <f t="shared" ca="1" si="82"/>
        <v>8.3253203877333029</v>
      </c>
      <c r="P707" s="3">
        <f t="shared" ca="1" si="83"/>
        <v>-11.858461839081041</v>
      </c>
      <c r="Q707" s="3">
        <f t="shared" ca="1" si="84"/>
        <v>-4.0733829566400023E-2</v>
      </c>
      <c r="R707" s="3">
        <f t="shared" ca="1" si="85"/>
        <v>11.858531799249537</v>
      </c>
    </row>
    <row r="708" spans="7:18" x14ac:dyDescent="0.25">
      <c r="G708" s="2">
        <f t="shared" ref="G708:G771" ca="1" si="86">RAND()</f>
        <v>0.44107889346742524</v>
      </c>
      <c r="H708" s="3">
        <f t="shared" ref="H708:H771" ca="1" si="87">VLOOKUP(G708,$B$9:$C$169,2,TRUE)</f>
        <v>0</v>
      </c>
      <c r="I708" s="3">
        <f t="shared" ref="I708:I771" ca="1" si="88">_xlfn.CHISQ.INV(RAND(),2*H708+2)</f>
        <v>1.3545557799715189</v>
      </c>
      <c r="J708" s="3">
        <f t="shared" ref="J708:J771" ca="1" si="89">$C$4*SQRT(I708)</f>
        <v>5.8192692410033731</v>
      </c>
      <c r="P708" s="3">
        <f t="shared" ref="P708:P771" ca="1" si="90">_xlfn.NORM.INV(RAND(),$C$3*COS($O$2),$C$4)</f>
        <v>-1.4552584075510442</v>
      </c>
      <c r="Q708" s="3">
        <f t="shared" ref="Q708:Q771" ca="1" si="91">_xlfn.NORM.INV(RAND(),$C$3*SIN($O$2),$C$4)</f>
        <v>2.1934127659811207</v>
      </c>
      <c r="R708" s="3">
        <f t="shared" ref="R708:R771" ca="1" si="92">SQRT(P708^2+Q708^2)</f>
        <v>2.6322683363815611</v>
      </c>
    </row>
    <row r="709" spans="7:18" x14ac:dyDescent="0.25">
      <c r="G709" s="2">
        <f t="shared" ca="1" si="86"/>
        <v>0.5452006148352001</v>
      </c>
      <c r="H709" s="3">
        <f t="shared" ca="1" si="87"/>
        <v>0</v>
      </c>
      <c r="I709" s="3">
        <f t="shared" ca="1" si="88"/>
        <v>1.2614860228878801</v>
      </c>
      <c r="J709" s="3">
        <f t="shared" ca="1" si="89"/>
        <v>5.6157947409246542</v>
      </c>
      <c r="P709" s="3">
        <f t="shared" ca="1" si="90"/>
        <v>-13.417906655085588</v>
      </c>
      <c r="Q709" s="3">
        <f t="shared" ca="1" si="91"/>
        <v>-11.803324062853612</v>
      </c>
      <c r="R709" s="3">
        <f t="shared" ca="1" si="92"/>
        <v>17.870609333129334</v>
      </c>
    </row>
    <row r="710" spans="7:18" x14ac:dyDescent="0.25">
      <c r="G710" s="2">
        <f t="shared" ca="1" si="86"/>
        <v>0.81867873593528295</v>
      </c>
      <c r="H710" s="3">
        <f t="shared" ca="1" si="87"/>
        <v>1</v>
      </c>
      <c r="I710" s="3">
        <f t="shared" ca="1" si="88"/>
        <v>1.8904601314289</v>
      </c>
      <c r="J710" s="3">
        <f t="shared" ca="1" si="89"/>
        <v>6.8747002324263207</v>
      </c>
      <c r="P710" s="3">
        <f t="shared" ca="1" si="90"/>
        <v>-3.855748407305962</v>
      </c>
      <c r="Q710" s="3">
        <f t="shared" ca="1" si="91"/>
        <v>-3.0190753881837975</v>
      </c>
      <c r="R710" s="3">
        <f t="shared" ca="1" si="92"/>
        <v>4.8971024065236382</v>
      </c>
    </row>
    <row r="711" spans="7:18" x14ac:dyDescent="0.25">
      <c r="G711" s="2">
        <f t="shared" ca="1" si="86"/>
        <v>0.57988307717397047</v>
      </c>
      <c r="H711" s="3">
        <f t="shared" ca="1" si="87"/>
        <v>0</v>
      </c>
      <c r="I711" s="3">
        <f t="shared" ca="1" si="88"/>
        <v>1.3249579423682971</v>
      </c>
      <c r="J711" s="3">
        <f t="shared" ca="1" si="89"/>
        <v>5.7553408725467712</v>
      </c>
      <c r="P711" s="3">
        <f t="shared" ca="1" si="90"/>
        <v>-5.1501555702325863</v>
      </c>
      <c r="Q711" s="3">
        <f t="shared" ca="1" si="91"/>
        <v>10.283113623471202</v>
      </c>
      <c r="R711" s="3">
        <f t="shared" ca="1" si="92"/>
        <v>11.50071859454081</v>
      </c>
    </row>
    <row r="712" spans="7:18" x14ac:dyDescent="0.25">
      <c r="G712" s="2">
        <f t="shared" ca="1" si="86"/>
        <v>0.30053226127865662</v>
      </c>
      <c r="H712" s="3">
        <f t="shared" ca="1" si="87"/>
        <v>0</v>
      </c>
      <c r="I712" s="3">
        <f t="shared" ca="1" si="88"/>
        <v>2.2870696316429999</v>
      </c>
      <c r="J712" s="3">
        <f t="shared" ca="1" si="89"/>
        <v>7.5615303207138567</v>
      </c>
      <c r="P712" s="3">
        <f t="shared" ca="1" si="90"/>
        <v>-3.3851360413188285</v>
      </c>
      <c r="Q712" s="3">
        <f t="shared" ca="1" si="91"/>
        <v>8.3884244768436993</v>
      </c>
      <c r="R712" s="3">
        <f t="shared" ca="1" si="92"/>
        <v>9.0457067839912995</v>
      </c>
    </row>
    <row r="713" spans="7:18" x14ac:dyDescent="0.25">
      <c r="G713" s="2">
        <f t="shared" ca="1" si="86"/>
        <v>0.80875041637625211</v>
      </c>
      <c r="H713" s="3">
        <f t="shared" ca="1" si="87"/>
        <v>1</v>
      </c>
      <c r="I713" s="3">
        <f t="shared" ca="1" si="88"/>
        <v>1.8483471136094534</v>
      </c>
      <c r="J713" s="3">
        <f t="shared" ca="1" si="89"/>
        <v>6.797696509865407</v>
      </c>
      <c r="P713" s="3">
        <f t="shared" ca="1" si="90"/>
        <v>3.1342433316253704</v>
      </c>
      <c r="Q713" s="3">
        <f t="shared" ca="1" si="91"/>
        <v>1.6250447437361</v>
      </c>
      <c r="R713" s="3">
        <f t="shared" ca="1" si="92"/>
        <v>3.5304747104295235</v>
      </c>
    </row>
    <row r="714" spans="7:18" x14ac:dyDescent="0.25">
      <c r="G714" s="2">
        <f t="shared" ca="1" si="86"/>
        <v>0.68995556660985591</v>
      </c>
      <c r="H714" s="3">
        <f t="shared" ca="1" si="87"/>
        <v>1</v>
      </c>
      <c r="I714" s="3">
        <f t="shared" ca="1" si="88"/>
        <v>4.3616760211441159</v>
      </c>
      <c r="J714" s="3">
        <f t="shared" ca="1" si="89"/>
        <v>10.442312987485238</v>
      </c>
      <c r="P714" s="3">
        <f t="shared" ca="1" si="90"/>
        <v>-0.18304503543506812</v>
      </c>
      <c r="Q714" s="3">
        <f t="shared" ca="1" si="91"/>
        <v>-2.0631636609116617</v>
      </c>
      <c r="R714" s="3">
        <f t="shared" ca="1" si="92"/>
        <v>2.0712676738422378</v>
      </c>
    </row>
    <row r="715" spans="7:18" x14ac:dyDescent="0.25">
      <c r="G715" s="2">
        <f t="shared" ca="1" si="86"/>
        <v>0.51042255814462889</v>
      </c>
      <c r="H715" s="3">
        <f t="shared" ca="1" si="87"/>
        <v>0</v>
      </c>
      <c r="I715" s="3">
        <f t="shared" ca="1" si="88"/>
        <v>2.1850806647235803</v>
      </c>
      <c r="J715" s="3">
        <f t="shared" ca="1" si="89"/>
        <v>7.3910091745369595</v>
      </c>
      <c r="P715" s="3">
        <f t="shared" ca="1" si="90"/>
        <v>-5.8996164089331469</v>
      </c>
      <c r="Q715" s="3">
        <f t="shared" ca="1" si="91"/>
        <v>3.073297472559398</v>
      </c>
      <c r="R715" s="3">
        <f t="shared" ca="1" si="92"/>
        <v>6.6521147860957139</v>
      </c>
    </row>
    <row r="716" spans="7:18" x14ac:dyDescent="0.25">
      <c r="G716" s="2">
        <f t="shared" ca="1" si="86"/>
        <v>0.19457829401857152</v>
      </c>
      <c r="H716" s="3">
        <f t="shared" ca="1" si="87"/>
        <v>0</v>
      </c>
      <c r="I716" s="3">
        <f t="shared" ca="1" si="88"/>
        <v>2.4123028612847008</v>
      </c>
      <c r="J716" s="3">
        <f t="shared" ca="1" si="89"/>
        <v>7.7657949710327481</v>
      </c>
      <c r="P716" s="3">
        <f t="shared" ca="1" si="90"/>
        <v>-1.8091871465670102</v>
      </c>
      <c r="Q716" s="3">
        <f t="shared" ca="1" si="91"/>
        <v>-3.1089631349043234</v>
      </c>
      <c r="R716" s="3">
        <f t="shared" ca="1" si="92"/>
        <v>3.5970557273271981</v>
      </c>
    </row>
    <row r="717" spans="7:18" x14ac:dyDescent="0.25">
      <c r="G717" s="2">
        <f t="shared" ca="1" si="86"/>
        <v>0.58335370205966353</v>
      </c>
      <c r="H717" s="3">
        <f t="shared" ca="1" si="87"/>
        <v>0</v>
      </c>
      <c r="I717" s="3">
        <f t="shared" ca="1" si="88"/>
        <v>7.0576683629217811</v>
      </c>
      <c r="J717" s="3">
        <f t="shared" ca="1" si="89"/>
        <v>13.283136266448693</v>
      </c>
      <c r="P717" s="3">
        <f t="shared" ca="1" si="90"/>
        <v>-5.9874696240881038</v>
      </c>
      <c r="Q717" s="3">
        <f t="shared" ca="1" si="91"/>
        <v>4.0221245995405575</v>
      </c>
      <c r="R717" s="3">
        <f t="shared" ca="1" si="92"/>
        <v>7.2129937469546608</v>
      </c>
    </row>
    <row r="718" spans="7:18" x14ac:dyDescent="0.25">
      <c r="G718" s="2">
        <f t="shared" ca="1" si="86"/>
        <v>0.88676191379741842</v>
      </c>
      <c r="H718" s="3">
        <f t="shared" ca="1" si="87"/>
        <v>1</v>
      </c>
      <c r="I718" s="3">
        <f t="shared" ca="1" si="88"/>
        <v>3.9577860617747715</v>
      </c>
      <c r="J718" s="3">
        <f t="shared" ca="1" si="89"/>
        <v>9.9470926176631771</v>
      </c>
      <c r="P718" s="3">
        <f t="shared" ca="1" si="90"/>
        <v>-15.716313673043011</v>
      </c>
      <c r="Q718" s="3">
        <f t="shared" ca="1" si="91"/>
        <v>6.0699066322333612</v>
      </c>
      <c r="R718" s="3">
        <f t="shared" ca="1" si="92"/>
        <v>16.847738186282136</v>
      </c>
    </row>
    <row r="719" spans="7:18" x14ac:dyDescent="0.25">
      <c r="G719" s="2">
        <f t="shared" ca="1" si="86"/>
        <v>8.4490425386857249E-3</v>
      </c>
      <c r="H719" s="3">
        <f t="shared" ca="1" si="87"/>
        <v>0</v>
      </c>
      <c r="I719" s="3">
        <f t="shared" ca="1" si="88"/>
        <v>1.5361023604100594</v>
      </c>
      <c r="J719" s="3">
        <f t="shared" ca="1" si="89"/>
        <v>6.1969798297437997</v>
      </c>
      <c r="P719" s="3">
        <f t="shared" ca="1" si="90"/>
        <v>-12.898043666816696</v>
      </c>
      <c r="Q719" s="3">
        <f t="shared" ca="1" si="91"/>
        <v>-5.0737798184968668</v>
      </c>
      <c r="R719" s="3">
        <f t="shared" ca="1" si="92"/>
        <v>13.860114432344936</v>
      </c>
    </row>
    <row r="720" spans="7:18" x14ac:dyDescent="0.25">
      <c r="G720" s="2">
        <f t="shared" ca="1" si="86"/>
        <v>0.51401493925518316</v>
      </c>
      <c r="H720" s="3">
        <f t="shared" ca="1" si="87"/>
        <v>0</v>
      </c>
      <c r="I720" s="3">
        <f t="shared" ca="1" si="88"/>
        <v>4.2116696670708675</v>
      </c>
      <c r="J720" s="3">
        <f t="shared" ca="1" si="89"/>
        <v>10.261176427523877</v>
      </c>
      <c r="P720" s="3">
        <f t="shared" ca="1" si="90"/>
        <v>-5.0376833100885658</v>
      </c>
      <c r="Q720" s="3">
        <f t="shared" ca="1" si="91"/>
        <v>-9.2399765829269125</v>
      </c>
      <c r="R720" s="3">
        <f t="shared" ca="1" si="92"/>
        <v>10.524040117073984</v>
      </c>
    </row>
    <row r="721" spans="7:18" x14ac:dyDescent="0.25">
      <c r="G721" s="2">
        <f t="shared" ca="1" si="86"/>
        <v>0.62962469851656844</v>
      </c>
      <c r="H721" s="3">
        <f t="shared" ca="1" si="87"/>
        <v>1</v>
      </c>
      <c r="I721" s="3">
        <f t="shared" ca="1" si="88"/>
        <v>7.2430817128370641</v>
      </c>
      <c r="J721" s="3">
        <f t="shared" ca="1" si="89"/>
        <v>13.456487016339986</v>
      </c>
      <c r="P721" s="3">
        <f t="shared" ca="1" si="90"/>
        <v>-13.39830470415767</v>
      </c>
      <c r="Q721" s="3">
        <f t="shared" ca="1" si="91"/>
        <v>5.4461170450473659</v>
      </c>
      <c r="R721" s="3">
        <f t="shared" ca="1" si="92"/>
        <v>14.462875226379055</v>
      </c>
    </row>
    <row r="722" spans="7:18" x14ac:dyDescent="0.25">
      <c r="G722" s="2">
        <f t="shared" ca="1" si="86"/>
        <v>0.86006161773858969</v>
      </c>
      <c r="H722" s="3">
        <f t="shared" ca="1" si="87"/>
        <v>1</v>
      </c>
      <c r="I722" s="3">
        <f t="shared" ca="1" si="88"/>
        <v>1.6275305337031711</v>
      </c>
      <c r="J722" s="3">
        <f t="shared" ca="1" si="89"/>
        <v>6.378735246314843</v>
      </c>
      <c r="P722" s="3">
        <f t="shared" ca="1" si="90"/>
        <v>-3.033556255341805</v>
      </c>
      <c r="Q722" s="3">
        <f t="shared" ca="1" si="91"/>
        <v>2.5464543211365567</v>
      </c>
      <c r="R722" s="3">
        <f t="shared" ca="1" si="92"/>
        <v>3.9606682723952575</v>
      </c>
    </row>
    <row r="723" spans="7:18" x14ac:dyDescent="0.25">
      <c r="G723" s="2">
        <f t="shared" ca="1" si="86"/>
        <v>0.4669193293809587</v>
      </c>
      <c r="H723" s="3">
        <f t="shared" ca="1" si="87"/>
        <v>0</v>
      </c>
      <c r="I723" s="3">
        <f t="shared" ca="1" si="88"/>
        <v>0.56604757930771421</v>
      </c>
      <c r="J723" s="3">
        <f t="shared" ca="1" si="89"/>
        <v>3.761806678006308</v>
      </c>
      <c r="P723" s="3">
        <f t="shared" ca="1" si="90"/>
        <v>-3.4150158389149396</v>
      </c>
      <c r="Q723" s="3">
        <f t="shared" ca="1" si="91"/>
        <v>0.76265542788654173</v>
      </c>
      <c r="R723" s="3">
        <f t="shared" ca="1" si="92"/>
        <v>3.4991393915825522</v>
      </c>
    </row>
    <row r="724" spans="7:18" x14ac:dyDescent="0.25">
      <c r="G724" s="2">
        <f t="shared" ca="1" si="86"/>
        <v>0.73860746082049022</v>
      </c>
      <c r="H724" s="3">
        <f t="shared" ca="1" si="87"/>
        <v>1</v>
      </c>
      <c r="I724" s="3">
        <f t="shared" ca="1" si="88"/>
        <v>1.9670629184333188</v>
      </c>
      <c r="J724" s="3">
        <f t="shared" ca="1" si="89"/>
        <v>7.0126010125225982</v>
      </c>
      <c r="P724" s="3">
        <f t="shared" ca="1" si="90"/>
        <v>-10.153077929420778</v>
      </c>
      <c r="Q724" s="3">
        <f t="shared" ca="1" si="91"/>
        <v>1.7992935367589185</v>
      </c>
      <c r="R724" s="3">
        <f t="shared" ca="1" si="92"/>
        <v>10.311277741982986</v>
      </c>
    </row>
    <row r="725" spans="7:18" x14ac:dyDescent="0.25">
      <c r="G725" s="2">
        <f t="shared" ca="1" si="86"/>
        <v>9.253737186758737E-2</v>
      </c>
      <c r="H725" s="3">
        <f t="shared" ca="1" si="87"/>
        <v>0</v>
      </c>
      <c r="I725" s="3">
        <f t="shared" ca="1" si="88"/>
        <v>6.2775403272778156</v>
      </c>
      <c r="J725" s="3">
        <f t="shared" ca="1" si="89"/>
        <v>12.527510055152435</v>
      </c>
      <c r="P725" s="3">
        <f t="shared" ca="1" si="90"/>
        <v>-3.4798286211706428</v>
      </c>
      <c r="Q725" s="3">
        <f t="shared" ca="1" si="91"/>
        <v>0.49177682756124824</v>
      </c>
      <c r="R725" s="3">
        <f t="shared" ca="1" si="92"/>
        <v>3.5144063056005037</v>
      </c>
    </row>
    <row r="726" spans="7:18" x14ac:dyDescent="0.25">
      <c r="G726" s="2">
        <f t="shared" ca="1" si="86"/>
        <v>0.80799275605054477</v>
      </c>
      <c r="H726" s="3">
        <f t="shared" ca="1" si="87"/>
        <v>1</v>
      </c>
      <c r="I726" s="3">
        <f t="shared" ca="1" si="88"/>
        <v>1.2196966946280519</v>
      </c>
      <c r="J726" s="3">
        <f t="shared" ca="1" si="89"/>
        <v>5.5219939664673028</v>
      </c>
      <c r="P726" s="3">
        <f t="shared" ca="1" si="90"/>
        <v>-3.5856658325943842</v>
      </c>
      <c r="Q726" s="3">
        <f t="shared" ca="1" si="91"/>
        <v>3.5980471176195459</v>
      </c>
      <c r="R726" s="3">
        <f t="shared" ca="1" si="92"/>
        <v>5.0796596858101726</v>
      </c>
    </row>
    <row r="727" spans="7:18" x14ac:dyDescent="0.25">
      <c r="G727" s="2">
        <f t="shared" ca="1" si="86"/>
        <v>0.91364250990244777</v>
      </c>
      <c r="H727" s="3">
        <f t="shared" ca="1" si="87"/>
        <v>2</v>
      </c>
      <c r="I727" s="3">
        <f t="shared" ca="1" si="88"/>
        <v>1.7345233114963416</v>
      </c>
      <c r="J727" s="3">
        <f t="shared" ca="1" si="89"/>
        <v>6.5850651315995758</v>
      </c>
      <c r="P727" s="3">
        <f t="shared" ca="1" si="90"/>
        <v>-5.4024693084433419</v>
      </c>
      <c r="Q727" s="3">
        <f t="shared" ca="1" si="91"/>
        <v>6.3666377105070024</v>
      </c>
      <c r="R727" s="3">
        <f t="shared" ca="1" si="92"/>
        <v>8.3498952308111107</v>
      </c>
    </row>
    <row r="728" spans="7:18" x14ac:dyDescent="0.25">
      <c r="G728" s="2">
        <f t="shared" ca="1" si="86"/>
        <v>0.95951083188410213</v>
      </c>
      <c r="H728" s="3">
        <f t="shared" ca="1" si="87"/>
        <v>2</v>
      </c>
      <c r="I728" s="3">
        <f t="shared" ca="1" si="88"/>
        <v>2.2338872197488273</v>
      </c>
      <c r="J728" s="3">
        <f t="shared" ca="1" si="89"/>
        <v>7.4730971152341308</v>
      </c>
      <c r="P728" s="3">
        <f t="shared" ca="1" si="90"/>
        <v>-12.022537939705169</v>
      </c>
      <c r="Q728" s="3">
        <f t="shared" ca="1" si="91"/>
        <v>-6.4974298721587154</v>
      </c>
      <c r="R728" s="3">
        <f t="shared" ca="1" si="92"/>
        <v>13.665943562567152</v>
      </c>
    </row>
    <row r="729" spans="7:18" x14ac:dyDescent="0.25">
      <c r="G729" s="2">
        <f t="shared" ca="1" si="86"/>
        <v>0.79127420364949552</v>
      </c>
      <c r="H729" s="3">
        <f t="shared" ca="1" si="87"/>
        <v>1</v>
      </c>
      <c r="I729" s="3">
        <f t="shared" ca="1" si="88"/>
        <v>6.703395148545912</v>
      </c>
      <c r="J729" s="3">
        <f t="shared" ca="1" si="89"/>
        <v>12.945457841020833</v>
      </c>
      <c r="P729" s="3">
        <f t="shared" ca="1" si="90"/>
        <v>-3.851736686239096</v>
      </c>
      <c r="Q729" s="3">
        <f t="shared" ca="1" si="91"/>
        <v>-5.0041081097576292</v>
      </c>
      <c r="R729" s="3">
        <f t="shared" ca="1" si="92"/>
        <v>6.3148217294126532</v>
      </c>
    </row>
    <row r="730" spans="7:18" x14ac:dyDescent="0.25">
      <c r="G730" s="2">
        <f t="shared" ca="1" si="86"/>
        <v>0.9026175966840444</v>
      </c>
      <c r="H730" s="3">
        <f t="shared" ca="1" si="87"/>
        <v>1</v>
      </c>
      <c r="I730" s="3">
        <f t="shared" ca="1" si="88"/>
        <v>2.1279849709666889</v>
      </c>
      <c r="J730" s="3">
        <f t="shared" ca="1" si="89"/>
        <v>7.2938072550738022</v>
      </c>
      <c r="P730" s="3">
        <f t="shared" ca="1" si="90"/>
        <v>-5.3483500447156471</v>
      </c>
      <c r="Q730" s="3">
        <f t="shared" ca="1" si="91"/>
        <v>-3.080555368871948</v>
      </c>
      <c r="R730" s="3">
        <f t="shared" ca="1" si="92"/>
        <v>6.1720879434349971</v>
      </c>
    </row>
    <row r="731" spans="7:18" x14ac:dyDescent="0.25">
      <c r="G731" s="2">
        <f t="shared" ca="1" si="86"/>
        <v>0.48444922637981747</v>
      </c>
      <c r="H731" s="3">
        <f t="shared" ca="1" si="87"/>
        <v>0</v>
      </c>
      <c r="I731" s="3">
        <f t="shared" ca="1" si="88"/>
        <v>4.3439691492748889</v>
      </c>
      <c r="J731" s="3">
        <f t="shared" ca="1" si="89"/>
        <v>10.421095371018932</v>
      </c>
      <c r="P731" s="3">
        <f t="shared" ca="1" si="90"/>
        <v>-1.8870999588404298</v>
      </c>
      <c r="Q731" s="3">
        <f t="shared" ca="1" si="91"/>
        <v>4.7276760588668401</v>
      </c>
      <c r="R731" s="3">
        <f t="shared" ca="1" si="92"/>
        <v>5.0903896876602923</v>
      </c>
    </row>
    <row r="732" spans="7:18" x14ac:dyDescent="0.25">
      <c r="G732" s="2">
        <f t="shared" ca="1" si="86"/>
        <v>0.37208458016890966</v>
      </c>
      <c r="H732" s="3">
        <f t="shared" ca="1" si="87"/>
        <v>0</v>
      </c>
      <c r="I732" s="3">
        <f t="shared" ca="1" si="88"/>
        <v>0.12762659864022649</v>
      </c>
      <c r="J732" s="3">
        <f t="shared" ca="1" si="89"/>
        <v>1.786243254992349</v>
      </c>
      <c r="P732" s="3">
        <f t="shared" ca="1" si="90"/>
        <v>-2.4811498801832101</v>
      </c>
      <c r="Q732" s="3">
        <f t="shared" ca="1" si="91"/>
        <v>-4.3139209337606479</v>
      </c>
      <c r="R732" s="3">
        <f t="shared" ca="1" si="92"/>
        <v>4.9765468500428582</v>
      </c>
    </row>
    <row r="733" spans="7:18" x14ac:dyDescent="0.25">
      <c r="G733" s="2">
        <f t="shared" ca="1" si="86"/>
        <v>0.48677168756846223</v>
      </c>
      <c r="H733" s="3">
        <f t="shared" ca="1" si="87"/>
        <v>0</v>
      </c>
      <c r="I733" s="3">
        <f t="shared" ca="1" si="88"/>
        <v>5.0168599110283623</v>
      </c>
      <c r="J733" s="3">
        <f t="shared" ca="1" si="89"/>
        <v>11.199173977383737</v>
      </c>
      <c r="P733" s="3">
        <f t="shared" ca="1" si="90"/>
        <v>-7.7069426307954902</v>
      </c>
      <c r="Q733" s="3">
        <f t="shared" ca="1" si="91"/>
        <v>-7.0567399954975141</v>
      </c>
      <c r="R733" s="3">
        <f t="shared" ca="1" si="92"/>
        <v>10.44961932696245</v>
      </c>
    </row>
    <row r="734" spans="7:18" x14ac:dyDescent="0.25">
      <c r="G734" s="2">
        <f t="shared" ca="1" si="86"/>
        <v>0.54783408566380409</v>
      </c>
      <c r="H734" s="3">
        <f t="shared" ca="1" si="87"/>
        <v>0</v>
      </c>
      <c r="I734" s="3">
        <f t="shared" ca="1" si="88"/>
        <v>0.89957930389543939</v>
      </c>
      <c r="J734" s="3">
        <f t="shared" ca="1" si="89"/>
        <v>4.7423077290899194</v>
      </c>
      <c r="P734" s="3">
        <f t="shared" ca="1" si="90"/>
        <v>-3.1338421966973407</v>
      </c>
      <c r="Q734" s="3">
        <f t="shared" ca="1" si="91"/>
        <v>-3.7564741901567968</v>
      </c>
      <c r="R734" s="3">
        <f t="shared" ca="1" si="92"/>
        <v>4.8920410111849</v>
      </c>
    </row>
    <row r="735" spans="7:18" x14ac:dyDescent="0.25">
      <c r="G735" s="2">
        <f t="shared" ca="1" si="86"/>
        <v>0.82595811523717633</v>
      </c>
      <c r="H735" s="3">
        <f t="shared" ca="1" si="87"/>
        <v>1</v>
      </c>
      <c r="I735" s="3">
        <f t="shared" ca="1" si="88"/>
        <v>4.5765897666695601</v>
      </c>
      <c r="J735" s="3">
        <f t="shared" ca="1" si="89"/>
        <v>10.696482794205719</v>
      </c>
      <c r="P735" s="3">
        <f t="shared" ca="1" si="90"/>
        <v>-2.2751746393940957</v>
      </c>
      <c r="Q735" s="3">
        <f t="shared" ca="1" si="91"/>
        <v>-0.40643523160730505</v>
      </c>
      <c r="R735" s="3">
        <f t="shared" ca="1" si="92"/>
        <v>2.3111921679587217</v>
      </c>
    </row>
    <row r="736" spans="7:18" x14ac:dyDescent="0.25">
      <c r="G736" s="2">
        <f t="shared" ca="1" si="86"/>
        <v>0.50495390309590937</v>
      </c>
      <c r="H736" s="3">
        <f t="shared" ca="1" si="87"/>
        <v>0</v>
      </c>
      <c r="I736" s="3">
        <f t="shared" ca="1" si="88"/>
        <v>3.0301268719920702</v>
      </c>
      <c r="J736" s="3">
        <f t="shared" ca="1" si="89"/>
        <v>8.70362980599484</v>
      </c>
      <c r="P736" s="3">
        <f t="shared" ca="1" si="90"/>
        <v>-2.2301557624772683</v>
      </c>
      <c r="Q736" s="3">
        <f t="shared" ca="1" si="91"/>
        <v>-0.61141590322851602</v>
      </c>
      <c r="R736" s="3">
        <f t="shared" ca="1" si="92"/>
        <v>2.3124498116999876</v>
      </c>
    </row>
    <row r="737" spans="7:18" x14ac:dyDescent="0.25">
      <c r="G737" s="2">
        <f t="shared" ca="1" si="86"/>
        <v>0.63531493759261437</v>
      </c>
      <c r="H737" s="3">
        <f t="shared" ca="1" si="87"/>
        <v>1</v>
      </c>
      <c r="I737" s="3">
        <f t="shared" ca="1" si="88"/>
        <v>3.9423564986190405</v>
      </c>
      <c r="J737" s="3">
        <f t="shared" ca="1" si="89"/>
        <v>9.9276841441232406</v>
      </c>
      <c r="P737" s="3">
        <f t="shared" ca="1" si="90"/>
        <v>-3.0458767614660802</v>
      </c>
      <c r="Q737" s="3">
        <f t="shared" ca="1" si="91"/>
        <v>6.6602816654000927</v>
      </c>
      <c r="R737" s="3">
        <f t="shared" ca="1" si="92"/>
        <v>7.3237092452188275</v>
      </c>
    </row>
    <row r="738" spans="7:18" x14ac:dyDescent="0.25">
      <c r="G738" s="2">
        <f t="shared" ca="1" si="86"/>
        <v>0.22060569747387149</v>
      </c>
      <c r="H738" s="3">
        <f t="shared" ca="1" si="87"/>
        <v>0</v>
      </c>
      <c r="I738" s="3">
        <f t="shared" ca="1" si="88"/>
        <v>0.45620143672013003</v>
      </c>
      <c r="J738" s="3">
        <f t="shared" ca="1" si="89"/>
        <v>3.3771342759806355</v>
      </c>
      <c r="P738" s="3">
        <f t="shared" ca="1" si="90"/>
        <v>-11.460933882817912</v>
      </c>
      <c r="Q738" s="3">
        <f t="shared" ca="1" si="91"/>
        <v>3.1467941138391642</v>
      </c>
      <c r="R738" s="3">
        <f t="shared" ca="1" si="92"/>
        <v>11.885088079657486</v>
      </c>
    </row>
    <row r="739" spans="7:18" x14ac:dyDescent="0.25">
      <c r="G739" s="2">
        <f t="shared" ca="1" si="86"/>
        <v>0.26483242086412118</v>
      </c>
      <c r="H739" s="3">
        <f t="shared" ca="1" si="87"/>
        <v>0</v>
      </c>
      <c r="I739" s="3">
        <f t="shared" ca="1" si="88"/>
        <v>1.4658137893164869</v>
      </c>
      <c r="J739" s="3">
        <f t="shared" ca="1" si="89"/>
        <v>6.0535398514350405</v>
      </c>
      <c r="P739" s="3">
        <f t="shared" ca="1" si="90"/>
        <v>-7.6392365281879338</v>
      </c>
      <c r="Q739" s="3">
        <f t="shared" ca="1" si="91"/>
        <v>-2.3726004741908051</v>
      </c>
      <c r="R739" s="3">
        <f t="shared" ca="1" si="92"/>
        <v>7.9991979437773182</v>
      </c>
    </row>
    <row r="740" spans="7:18" x14ac:dyDescent="0.25">
      <c r="G740" s="2">
        <f t="shared" ca="1" si="86"/>
        <v>0.1815789051222535</v>
      </c>
      <c r="H740" s="3">
        <f t="shared" ca="1" si="87"/>
        <v>0</v>
      </c>
      <c r="I740" s="3">
        <f t="shared" ca="1" si="88"/>
        <v>0.11980445938915602</v>
      </c>
      <c r="J740" s="3">
        <f t="shared" ca="1" si="89"/>
        <v>1.7306390394096915</v>
      </c>
      <c r="P740" s="3">
        <f t="shared" ca="1" si="90"/>
        <v>-9.7388469590961968</v>
      </c>
      <c r="Q740" s="3">
        <f t="shared" ca="1" si="91"/>
        <v>0.87242226214439533</v>
      </c>
      <c r="R740" s="3">
        <f t="shared" ca="1" si="92"/>
        <v>9.7778454015280065</v>
      </c>
    </row>
    <row r="741" spans="7:18" x14ac:dyDescent="0.25">
      <c r="G741" s="2">
        <f t="shared" ca="1" si="86"/>
        <v>3.3998133400482855E-2</v>
      </c>
      <c r="H741" s="3">
        <f t="shared" ca="1" si="87"/>
        <v>0</v>
      </c>
      <c r="I741" s="3">
        <f t="shared" ca="1" si="88"/>
        <v>1.7917222746029022</v>
      </c>
      <c r="J741" s="3">
        <f t="shared" ca="1" si="89"/>
        <v>6.6927615275813137</v>
      </c>
      <c r="P741" s="3">
        <f t="shared" ca="1" si="90"/>
        <v>-1.4204901199217206</v>
      </c>
      <c r="Q741" s="3">
        <f t="shared" ca="1" si="91"/>
        <v>4.5548112533348313</v>
      </c>
      <c r="R741" s="3">
        <f t="shared" ca="1" si="92"/>
        <v>4.7711736223177672</v>
      </c>
    </row>
    <row r="742" spans="7:18" x14ac:dyDescent="0.25">
      <c r="G742" s="2">
        <f t="shared" ca="1" si="86"/>
        <v>0.98142401191140616</v>
      </c>
      <c r="H742" s="3">
        <f t="shared" ca="1" si="87"/>
        <v>2</v>
      </c>
      <c r="I742" s="3">
        <f t="shared" ca="1" si="88"/>
        <v>3.1248418487300484</v>
      </c>
      <c r="J742" s="3">
        <f t="shared" ca="1" si="89"/>
        <v>8.8386111023311358</v>
      </c>
      <c r="P742" s="3">
        <f t="shared" ca="1" si="90"/>
        <v>-0.43574846537736001</v>
      </c>
      <c r="Q742" s="3">
        <f t="shared" ca="1" si="91"/>
        <v>2.5299236282815274</v>
      </c>
      <c r="R742" s="3">
        <f t="shared" ca="1" si="92"/>
        <v>2.5671755471755127</v>
      </c>
    </row>
    <row r="743" spans="7:18" x14ac:dyDescent="0.25">
      <c r="G743" s="2">
        <f t="shared" ca="1" si="86"/>
        <v>0.10220446129864547</v>
      </c>
      <c r="H743" s="3">
        <f t="shared" ca="1" si="87"/>
        <v>0</v>
      </c>
      <c r="I743" s="3">
        <f t="shared" ca="1" si="88"/>
        <v>1.5653176418727039</v>
      </c>
      <c r="J743" s="3">
        <f t="shared" ca="1" si="89"/>
        <v>6.2556327455196401</v>
      </c>
      <c r="P743" s="3">
        <f t="shared" ca="1" si="90"/>
        <v>-5.2356338189490534</v>
      </c>
      <c r="Q743" s="3">
        <f t="shared" ca="1" si="91"/>
        <v>-0.24456517979450496</v>
      </c>
      <c r="R743" s="3">
        <f t="shared" ca="1" si="92"/>
        <v>5.2413427299968633</v>
      </c>
    </row>
    <row r="744" spans="7:18" x14ac:dyDescent="0.25">
      <c r="G744" s="2">
        <f t="shared" ca="1" si="86"/>
        <v>0.68564771890019527</v>
      </c>
      <c r="H744" s="3">
        <f t="shared" ca="1" si="87"/>
        <v>1</v>
      </c>
      <c r="I744" s="3">
        <f t="shared" ca="1" si="88"/>
        <v>3.8399303064817927</v>
      </c>
      <c r="J744" s="3">
        <f t="shared" ca="1" si="89"/>
        <v>9.7978700574178266</v>
      </c>
      <c r="P744" s="3">
        <f t="shared" ca="1" si="90"/>
        <v>-1.5110617907367678</v>
      </c>
      <c r="Q744" s="3">
        <f t="shared" ca="1" si="91"/>
        <v>-8.1890005537582908</v>
      </c>
      <c r="R744" s="3">
        <f t="shared" ca="1" si="92"/>
        <v>8.3272467121419069</v>
      </c>
    </row>
    <row r="745" spans="7:18" x14ac:dyDescent="0.25">
      <c r="G745" s="2">
        <f t="shared" ca="1" si="86"/>
        <v>0.95910839458921027</v>
      </c>
      <c r="H745" s="3">
        <f t="shared" ca="1" si="87"/>
        <v>2</v>
      </c>
      <c r="I745" s="3">
        <f t="shared" ca="1" si="88"/>
        <v>4.3413141594983111</v>
      </c>
      <c r="J745" s="3">
        <f t="shared" ca="1" si="89"/>
        <v>10.417910250499272</v>
      </c>
      <c r="P745" s="3">
        <f t="shared" ca="1" si="90"/>
        <v>-9.524230862730386</v>
      </c>
      <c r="Q745" s="3">
        <f t="shared" ca="1" si="91"/>
        <v>4.6368217261913953</v>
      </c>
      <c r="R745" s="3">
        <f t="shared" ca="1" si="92"/>
        <v>10.592973579079036</v>
      </c>
    </row>
    <row r="746" spans="7:18" x14ac:dyDescent="0.25">
      <c r="G746" s="2">
        <f t="shared" ca="1" si="86"/>
        <v>0.4075934384535409</v>
      </c>
      <c r="H746" s="3">
        <f t="shared" ca="1" si="87"/>
        <v>0</v>
      </c>
      <c r="I746" s="3">
        <f t="shared" ca="1" si="88"/>
        <v>2.1015462208972826</v>
      </c>
      <c r="J746" s="3">
        <f t="shared" ca="1" si="89"/>
        <v>7.248355366731964</v>
      </c>
      <c r="P746" s="3">
        <f t="shared" ca="1" si="90"/>
        <v>-12.25894432578156</v>
      </c>
      <c r="Q746" s="3">
        <f t="shared" ca="1" si="91"/>
        <v>0.30334165307668037</v>
      </c>
      <c r="R746" s="3">
        <f t="shared" ca="1" si="92"/>
        <v>12.262696772778131</v>
      </c>
    </row>
    <row r="747" spans="7:18" x14ac:dyDescent="0.25">
      <c r="G747" s="2">
        <f t="shared" ca="1" si="86"/>
        <v>0.66309348445611294</v>
      </c>
      <c r="H747" s="3">
        <f t="shared" ca="1" si="87"/>
        <v>1</v>
      </c>
      <c r="I747" s="3">
        <f t="shared" ca="1" si="88"/>
        <v>0.46846693197930817</v>
      </c>
      <c r="J747" s="3">
        <f t="shared" ca="1" si="89"/>
        <v>3.4222322100469316</v>
      </c>
      <c r="P747" s="3">
        <f t="shared" ca="1" si="90"/>
        <v>-3.295053372294336</v>
      </c>
      <c r="Q747" s="3">
        <f t="shared" ca="1" si="91"/>
        <v>8.4889678035661138</v>
      </c>
      <c r="R747" s="3">
        <f t="shared" ca="1" si="92"/>
        <v>9.1060392650290254</v>
      </c>
    </row>
    <row r="748" spans="7:18" x14ac:dyDescent="0.25">
      <c r="G748" s="2">
        <f t="shared" ca="1" si="86"/>
        <v>0.56795602308109483</v>
      </c>
      <c r="H748" s="3">
        <f t="shared" ca="1" si="87"/>
        <v>0</v>
      </c>
      <c r="I748" s="3">
        <f t="shared" ca="1" si="88"/>
        <v>0.15940051286707299</v>
      </c>
      <c r="J748" s="3">
        <f t="shared" ca="1" si="89"/>
        <v>1.9962496892114534</v>
      </c>
      <c r="P748" s="3">
        <f t="shared" ca="1" si="90"/>
        <v>-1.9538139305913216</v>
      </c>
      <c r="Q748" s="3">
        <f t="shared" ca="1" si="91"/>
        <v>1.7426242954217501</v>
      </c>
      <c r="R748" s="3">
        <f t="shared" ca="1" si="92"/>
        <v>2.6180390200237391</v>
      </c>
    </row>
    <row r="749" spans="7:18" x14ac:dyDescent="0.25">
      <c r="G749" s="2">
        <f t="shared" ca="1" si="86"/>
        <v>6.6434235367582861E-2</v>
      </c>
      <c r="H749" s="3">
        <f t="shared" ca="1" si="87"/>
        <v>0</v>
      </c>
      <c r="I749" s="3">
        <f t="shared" ca="1" si="88"/>
        <v>0.1975262114780359</v>
      </c>
      <c r="J749" s="3">
        <f t="shared" ca="1" si="89"/>
        <v>2.2221960505209477</v>
      </c>
      <c r="P749" s="3">
        <f t="shared" ca="1" si="90"/>
        <v>-13.753433299905964</v>
      </c>
      <c r="Q749" s="3">
        <f t="shared" ca="1" si="91"/>
        <v>-5.3331408021044959</v>
      </c>
      <c r="R749" s="3">
        <f t="shared" ca="1" si="92"/>
        <v>14.751248026863152</v>
      </c>
    </row>
    <row r="750" spans="7:18" x14ac:dyDescent="0.25">
      <c r="G750" s="2">
        <f t="shared" ca="1" si="86"/>
        <v>0.16101051307851211</v>
      </c>
      <c r="H750" s="3">
        <f t="shared" ca="1" si="87"/>
        <v>0</v>
      </c>
      <c r="I750" s="3">
        <f t="shared" ca="1" si="88"/>
        <v>0.94966555356001203</v>
      </c>
      <c r="J750" s="3">
        <f t="shared" ca="1" si="89"/>
        <v>4.8725392598726494</v>
      </c>
      <c r="P750" s="3">
        <f t="shared" ca="1" si="90"/>
        <v>1.5185900337435845</v>
      </c>
      <c r="Q750" s="3">
        <f t="shared" ca="1" si="91"/>
        <v>1.3804768201637938</v>
      </c>
      <c r="R750" s="3">
        <f t="shared" ca="1" si="92"/>
        <v>2.052274821166717</v>
      </c>
    </row>
    <row r="751" spans="7:18" x14ac:dyDescent="0.25">
      <c r="G751" s="2">
        <f t="shared" ca="1" si="86"/>
        <v>0.10727198222004963</v>
      </c>
      <c r="H751" s="3">
        <f t="shared" ca="1" si="87"/>
        <v>0</v>
      </c>
      <c r="I751" s="3">
        <f t="shared" ca="1" si="88"/>
        <v>1.3340507839070135</v>
      </c>
      <c r="J751" s="3">
        <f t="shared" ca="1" si="89"/>
        <v>5.7750558090528736</v>
      </c>
      <c r="P751" s="3">
        <f t="shared" ca="1" si="90"/>
        <v>-4.8675763331179684</v>
      </c>
      <c r="Q751" s="3">
        <f t="shared" ca="1" si="91"/>
        <v>-1.8279190684518913</v>
      </c>
      <c r="R751" s="3">
        <f t="shared" ca="1" si="92"/>
        <v>5.1994795392943125</v>
      </c>
    </row>
    <row r="752" spans="7:18" x14ac:dyDescent="0.25">
      <c r="G752" s="2">
        <f t="shared" ca="1" si="86"/>
        <v>0.99951949758359815</v>
      </c>
      <c r="H752" s="3">
        <f t="shared" ca="1" si="87"/>
        <v>4</v>
      </c>
      <c r="I752" s="3">
        <f t="shared" ca="1" si="88"/>
        <v>13.605104885716161</v>
      </c>
      <c r="J752" s="3">
        <f t="shared" ca="1" si="89"/>
        <v>18.442549231136784</v>
      </c>
      <c r="P752" s="3">
        <f t="shared" ca="1" si="90"/>
        <v>-1.1281360124601028</v>
      </c>
      <c r="Q752" s="3">
        <f t="shared" ca="1" si="91"/>
        <v>-3.0667425451944537</v>
      </c>
      <c r="R752" s="3">
        <f t="shared" ca="1" si="92"/>
        <v>3.2676598202865512</v>
      </c>
    </row>
    <row r="753" spans="7:18" x14ac:dyDescent="0.25">
      <c r="G753" s="2">
        <f t="shared" ca="1" si="86"/>
        <v>0.83307305542281929</v>
      </c>
      <c r="H753" s="3">
        <f t="shared" ca="1" si="87"/>
        <v>1</v>
      </c>
      <c r="I753" s="3">
        <f t="shared" ca="1" si="88"/>
        <v>6.5459971724049364</v>
      </c>
      <c r="J753" s="3">
        <f t="shared" ca="1" si="89"/>
        <v>12.792573209097668</v>
      </c>
      <c r="P753" s="3">
        <f t="shared" ca="1" si="90"/>
        <v>-7.0770721800856276</v>
      </c>
      <c r="Q753" s="3">
        <f t="shared" ca="1" si="91"/>
        <v>3.0219165976295201</v>
      </c>
      <c r="R753" s="3">
        <f t="shared" ca="1" si="92"/>
        <v>7.6952537687311331</v>
      </c>
    </row>
    <row r="754" spans="7:18" x14ac:dyDescent="0.25">
      <c r="G754" s="2">
        <f t="shared" ca="1" si="86"/>
        <v>2.840007466793637E-2</v>
      </c>
      <c r="H754" s="3">
        <f t="shared" ca="1" si="87"/>
        <v>0</v>
      </c>
      <c r="I754" s="3">
        <f t="shared" ca="1" si="88"/>
        <v>2.7833237060061582</v>
      </c>
      <c r="J754" s="3">
        <f t="shared" ca="1" si="89"/>
        <v>8.3416480775775934</v>
      </c>
      <c r="P754" s="3">
        <f t="shared" ca="1" si="90"/>
        <v>-2.8630943182237365</v>
      </c>
      <c r="Q754" s="3">
        <f t="shared" ca="1" si="91"/>
        <v>-0.51800799345103121</v>
      </c>
      <c r="R754" s="3">
        <f t="shared" ca="1" si="92"/>
        <v>2.9095775219650375</v>
      </c>
    </row>
    <row r="755" spans="7:18" x14ac:dyDescent="0.25">
      <c r="G755" s="2">
        <f t="shared" ca="1" si="86"/>
        <v>0.37075490543004741</v>
      </c>
      <c r="H755" s="3">
        <f t="shared" ca="1" si="87"/>
        <v>0</v>
      </c>
      <c r="I755" s="3">
        <f t="shared" ca="1" si="88"/>
        <v>0.17698301437198391</v>
      </c>
      <c r="J755" s="3">
        <f t="shared" ca="1" si="89"/>
        <v>2.1034674609557422</v>
      </c>
      <c r="P755" s="3">
        <f t="shared" ca="1" si="90"/>
        <v>1.6326769939668315</v>
      </c>
      <c r="Q755" s="3">
        <f t="shared" ca="1" si="91"/>
        <v>-0.19612826832653119</v>
      </c>
      <c r="R755" s="3">
        <f t="shared" ca="1" si="92"/>
        <v>1.6444149306866964</v>
      </c>
    </row>
    <row r="756" spans="7:18" x14ac:dyDescent="0.25">
      <c r="G756" s="2">
        <f t="shared" ca="1" si="86"/>
        <v>0.6490738127832818</v>
      </c>
      <c r="H756" s="3">
        <f t="shared" ca="1" si="87"/>
        <v>1</v>
      </c>
      <c r="I756" s="3">
        <f t="shared" ca="1" si="88"/>
        <v>5.2309730514802721</v>
      </c>
      <c r="J756" s="3">
        <f t="shared" ca="1" si="89"/>
        <v>11.435660290818664</v>
      </c>
      <c r="P756" s="3">
        <f t="shared" ca="1" si="90"/>
        <v>-12.132622105492398</v>
      </c>
      <c r="Q756" s="3">
        <f t="shared" ca="1" si="91"/>
        <v>-4.4124982337201031</v>
      </c>
      <c r="R756" s="3">
        <f t="shared" ca="1" si="92"/>
        <v>12.910099140489427</v>
      </c>
    </row>
    <row r="757" spans="7:18" x14ac:dyDescent="0.25">
      <c r="G757" s="2">
        <f t="shared" ca="1" si="86"/>
        <v>0.39169812549286975</v>
      </c>
      <c r="H757" s="3">
        <f t="shared" ca="1" si="87"/>
        <v>0</v>
      </c>
      <c r="I757" s="3">
        <f t="shared" ca="1" si="88"/>
        <v>7.3384699196048106E-2</v>
      </c>
      <c r="J757" s="3">
        <f t="shared" ca="1" si="89"/>
        <v>1.3544805203107213</v>
      </c>
      <c r="P757" s="3">
        <f t="shared" ca="1" si="90"/>
        <v>3.9138155269874382</v>
      </c>
      <c r="Q757" s="3">
        <f t="shared" ca="1" si="91"/>
        <v>4.2072740975340261</v>
      </c>
      <c r="R757" s="3">
        <f t="shared" ca="1" si="92"/>
        <v>5.746225483834472</v>
      </c>
    </row>
    <row r="758" spans="7:18" x14ac:dyDescent="0.25">
      <c r="G758" s="2">
        <f t="shared" ca="1" si="86"/>
        <v>0.6337371779464388</v>
      </c>
      <c r="H758" s="3">
        <f t="shared" ca="1" si="87"/>
        <v>1</v>
      </c>
      <c r="I758" s="3">
        <f t="shared" ca="1" si="88"/>
        <v>1.3637932339476309</v>
      </c>
      <c r="J758" s="3">
        <f t="shared" ca="1" si="89"/>
        <v>5.8390779108255417</v>
      </c>
      <c r="P758" s="3">
        <f t="shared" ca="1" si="90"/>
        <v>-2.9234165276250614</v>
      </c>
      <c r="Q758" s="3">
        <f t="shared" ca="1" si="91"/>
        <v>5.3946316646397605</v>
      </c>
      <c r="R758" s="3">
        <f t="shared" ca="1" si="92"/>
        <v>6.1358304239218766</v>
      </c>
    </row>
    <row r="759" spans="7:18" x14ac:dyDescent="0.25">
      <c r="G759" s="2">
        <f t="shared" ca="1" si="86"/>
        <v>0.51942202621695044</v>
      </c>
      <c r="H759" s="3">
        <f t="shared" ca="1" si="87"/>
        <v>0</v>
      </c>
      <c r="I759" s="3">
        <f t="shared" ca="1" si="88"/>
        <v>0.42795881508996825</v>
      </c>
      <c r="J759" s="3">
        <f t="shared" ca="1" si="89"/>
        <v>3.2709280605432465</v>
      </c>
      <c r="P759" s="3">
        <f t="shared" ca="1" si="90"/>
        <v>-7.5509966510961712</v>
      </c>
      <c r="Q759" s="3">
        <f t="shared" ca="1" si="91"/>
        <v>-3.459641354644964</v>
      </c>
      <c r="R759" s="3">
        <f t="shared" ca="1" si="92"/>
        <v>8.305821375856528</v>
      </c>
    </row>
    <row r="760" spans="7:18" x14ac:dyDescent="0.25">
      <c r="G760" s="2">
        <f t="shared" ca="1" si="86"/>
        <v>0.98488002066677194</v>
      </c>
      <c r="H760" s="3">
        <f t="shared" ca="1" si="87"/>
        <v>2</v>
      </c>
      <c r="I760" s="3">
        <f t="shared" ca="1" si="88"/>
        <v>3.421410287509937</v>
      </c>
      <c r="J760" s="3">
        <f t="shared" ca="1" si="89"/>
        <v>9.2485272983188196</v>
      </c>
      <c r="P760" s="3">
        <f t="shared" ca="1" si="90"/>
        <v>-2.1463179969952018</v>
      </c>
      <c r="Q760" s="3">
        <f t="shared" ca="1" si="91"/>
        <v>-3.7022442591707811</v>
      </c>
      <c r="R760" s="3">
        <f t="shared" ca="1" si="92"/>
        <v>4.2794034045399956</v>
      </c>
    </row>
    <row r="761" spans="7:18" x14ac:dyDescent="0.25">
      <c r="G761" s="2">
        <f t="shared" ca="1" si="86"/>
        <v>0.44125673484113237</v>
      </c>
      <c r="H761" s="3">
        <f t="shared" ca="1" si="87"/>
        <v>0</v>
      </c>
      <c r="I761" s="3">
        <f t="shared" ca="1" si="88"/>
        <v>0.90014083166378644</v>
      </c>
      <c r="J761" s="3">
        <f t="shared" ca="1" si="89"/>
        <v>4.7437875997555645</v>
      </c>
      <c r="P761" s="3">
        <f t="shared" ca="1" si="90"/>
        <v>-0.44140815616630835</v>
      </c>
      <c r="Q761" s="3">
        <f t="shared" ca="1" si="91"/>
        <v>-6.3294947836789754</v>
      </c>
      <c r="R761" s="3">
        <f t="shared" ca="1" si="92"/>
        <v>6.3448676406170605</v>
      </c>
    </row>
    <row r="762" spans="7:18" x14ac:dyDescent="0.25">
      <c r="G762" s="2">
        <f t="shared" ca="1" si="86"/>
        <v>0.2966853759268453</v>
      </c>
      <c r="H762" s="3">
        <f t="shared" ca="1" si="87"/>
        <v>0</v>
      </c>
      <c r="I762" s="3">
        <f t="shared" ca="1" si="88"/>
        <v>3.940213556856461E-2</v>
      </c>
      <c r="J762" s="3">
        <f t="shared" ca="1" si="89"/>
        <v>0.99249855879699656</v>
      </c>
      <c r="P762" s="3">
        <f t="shared" ca="1" si="90"/>
        <v>-5.6521237915099851</v>
      </c>
      <c r="Q762" s="3">
        <f t="shared" ca="1" si="91"/>
        <v>-11.642171303205931</v>
      </c>
      <c r="R762" s="3">
        <f t="shared" ca="1" si="92"/>
        <v>12.941663571880738</v>
      </c>
    </row>
    <row r="763" spans="7:18" x14ac:dyDescent="0.25">
      <c r="G763" s="2">
        <f t="shared" ca="1" si="86"/>
        <v>0.62349551213348442</v>
      </c>
      <c r="H763" s="3">
        <f t="shared" ca="1" si="87"/>
        <v>1</v>
      </c>
      <c r="I763" s="3">
        <f t="shared" ca="1" si="88"/>
        <v>1.5662610150841025</v>
      </c>
      <c r="J763" s="3">
        <f t="shared" ca="1" si="89"/>
        <v>6.2575175091327209</v>
      </c>
      <c r="P763" s="3">
        <f t="shared" ca="1" si="90"/>
        <v>-3.0764094712283763</v>
      </c>
      <c r="Q763" s="3">
        <f t="shared" ca="1" si="91"/>
        <v>-2.1465983243819835</v>
      </c>
      <c r="R763" s="3">
        <f t="shared" ca="1" si="92"/>
        <v>3.7512903914390843</v>
      </c>
    </row>
    <row r="764" spans="7:18" x14ac:dyDescent="0.25">
      <c r="G764" s="2">
        <f t="shared" ca="1" si="86"/>
        <v>0.281452928430035</v>
      </c>
      <c r="H764" s="3">
        <f t="shared" ca="1" si="87"/>
        <v>0</v>
      </c>
      <c r="I764" s="3">
        <f t="shared" ca="1" si="88"/>
        <v>2.0530863900248</v>
      </c>
      <c r="J764" s="3">
        <f t="shared" ca="1" si="89"/>
        <v>7.1642975755212737</v>
      </c>
      <c r="P764" s="3">
        <f t="shared" ca="1" si="90"/>
        <v>-9.3521779275603691</v>
      </c>
      <c r="Q764" s="3">
        <f t="shared" ca="1" si="91"/>
        <v>-4.5056575271338515</v>
      </c>
      <c r="R764" s="3">
        <f t="shared" ca="1" si="92"/>
        <v>10.380952833943775</v>
      </c>
    </row>
    <row r="765" spans="7:18" x14ac:dyDescent="0.25">
      <c r="G765" s="2">
        <f t="shared" ca="1" si="86"/>
        <v>0.17633854208662914</v>
      </c>
      <c r="H765" s="3">
        <f t="shared" ca="1" si="87"/>
        <v>0</v>
      </c>
      <c r="I765" s="3">
        <f t="shared" ca="1" si="88"/>
        <v>0.37775011573327766</v>
      </c>
      <c r="J765" s="3">
        <f t="shared" ca="1" si="89"/>
        <v>3.073068969829988</v>
      </c>
      <c r="P765" s="3">
        <f t="shared" ca="1" si="90"/>
        <v>-4.4979256529718228</v>
      </c>
      <c r="Q765" s="3">
        <f t="shared" ca="1" si="91"/>
        <v>1.8347414030346374</v>
      </c>
      <c r="R765" s="3">
        <f t="shared" ca="1" si="92"/>
        <v>4.8577372505798939</v>
      </c>
    </row>
    <row r="766" spans="7:18" x14ac:dyDescent="0.25">
      <c r="G766" s="2">
        <f t="shared" ca="1" si="86"/>
        <v>0.85133649102786724</v>
      </c>
      <c r="H766" s="3">
        <f t="shared" ca="1" si="87"/>
        <v>1</v>
      </c>
      <c r="I766" s="3">
        <f t="shared" ca="1" si="88"/>
        <v>10.405380220362428</v>
      </c>
      <c r="J766" s="3">
        <f t="shared" ca="1" si="89"/>
        <v>16.128685796092025</v>
      </c>
      <c r="P766" s="3">
        <f t="shared" ca="1" si="90"/>
        <v>10.733004546206615</v>
      </c>
      <c r="Q766" s="3">
        <f t="shared" ca="1" si="91"/>
        <v>6.2256783131712208</v>
      </c>
      <c r="R766" s="3">
        <f t="shared" ca="1" si="92"/>
        <v>12.407919126428183</v>
      </c>
    </row>
    <row r="767" spans="7:18" x14ac:dyDescent="0.25">
      <c r="G767" s="2">
        <f t="shared" ca="1" si="86"/>
        <v>4.2964377963995215E-2</v>
      </c>
      <c r="H767" s="3">
        <f t="shared" ca="1" si="87"/>
        <v>0</v>
      </c>
      <c r="I767" s="3">
        <f t="shared" ca="1" si="88"/>
        <v>0.6900924084444352</v>
      </c>
      <c r="J767" s="3">
        <f t="shared" ca="1" si="89"/>
        <v>4.1535900388833369</v>
      </c>
      <c r="P767" s="3">
        <f t="shared" ca="1" si="90"/>
        <v>-5.7026590572316422</v>
      </c>
      <c r="Q767" s="3">
        <f t="shared" ca="1" si="91"/>
        <v>0.68673015218059574</v>
      </c>
      <c r="R767" s="3">
        <f t="shared" ca="1" si="92"/>
        <v>5.7438592100555592</v>
      </c>
    </row>
    <row r="768" spans="7:18" x14ac:dyDescent="0.25">
      <c r="G768" s="2">
        <f t="shared" ca="1" si="86"/>
        <v>0.35778212682795896</v>
      </c>
      <c r="H768" s="3">
        <f t="shared" ca="1" si="87"/>
        <v>0</v>
      </c>
      <c r="I768" s="3">
        <f t="shared" ca="1" si="88"/>
        <v>2.1461060914932983</v>
      </c>
      <c r="J768" s="3">
        <f t="shared" ca="1" si="89"/>
        <v>7.3247970816489154</v>
      </c>
      <c r="P768" s="3">
        <f t="shared" ca="1" si="90"/>
        <v>-2.6411786793291618</v>
      </c>
      <c r="Q768" s="3">
        <f t="shared" ca="1" si="91"/>
        <v>-5.8024047445497251</v>
      </c>
      <c r="R768" s="3">
        <f t="shared" ca="1" si="92"/>
        <v>6.3752431824767353</v>
      </c>
    </row>
    <row r="769" spans="7:18" x14ac:dyDescent="0.25">
      <c r="G769" s="2">
        <f t="shared" ca="1" si="86"/>
        <v>0.14875418272329932</v>
      </c>
      <c r="H769" s="3">
        <f t="shared" ca="1" si="87"/>
        <v>0</v>
      </c>
      <c r="I769" s="3">
        <f t="shared" ca="1" si="88"/>
        <v>7.04698589272658</v>
      </c>
      <c r="J769" s="3">
        <f t="shared" ca="1" si="89"/>
        <v>13.273079797777322</v>
      </c>
      <c r="P769" s="3">
        <f t="shared" ca="1" si="90"/>
        <v>2.241932175971967</v>
      </c>
      <c r="Q769" s="3">
        <f t="shared" ca="1" si="91"/>
        <v>7.2786106362358174</v>
      </c>
      <c r="R769" s="3">
        <f t="shared" ca="1" si="92"/>
        <v>7.6160641197132506</v>
      </c>
    </row>
    <row r="770" spans="7:18" x14ac:dyDescent="0.25">
      <c r="G770" s="2">
        <f t="shared" ca="1" si="86"/>
        <v>0.7974825165321483</v>
      </c>
      <c r="H770" s="3">
        <f t="shared" ca="1" si="87"/>
        <v>1</v>
      </c>
      <c r="I770" s="3">
        <f t="shared" ca="1" si="88"/>
        <v>2.7263336369830884</v>
      </c>
      <c r="J770" s="3">
        <f t="shared" ca="1" si="89"/>
        <v>8.2558064975250733</v>
      </c>
      <c r="P770" s="3">
        <f t="shared" ca="1" si="90"/>
        <v>-2.8422450469371956</v>
      </c>
      <c r="Q770" s="3">
        <f t="shared" ca="1" si="91"/>
        <v>-3.7182165808835133</v>
      </c>
      <c r="R770" s="3">
        <f t="shared" ca="1" si="92"/>
        <v>4.6801166063674211</v>
      </c>
    </row>
    <row r="771" spans="7:18" x14ac:dyDescent="0.25">
      <c r="G771" s="2">
        <f t="shared" ca="1" si="86"/>
        <v>0.2439750580087986</v>
      </c>
      <c r="H771" s="3">
        <f t="shared" ca="1" si="87"/>
        <v>0</v>
      </c>
      <c r="I771" s="3">
        <f t="shared" ca="1" si="88"/>
        <v>3.4245660962287463</v>
      </c>
      <c r="J771" s="3">
        <f t="shared" ca="1" si="89"/>
        <v>9.2527916006856366</v>
      </c>
      <c r="P771" s="3">
        <f t="shared" ca="1" si="90"/>
        <v>-8.7675314235571733</v>
      </c>
      <c r="Q771" s="3">
        <f t="shared" ca="1" si="91"/>
        <v>-5.271265323616908</v>
      </c>
      <c r="R771" s="3">
        <f t="shared" ca="1" si="92"/>
        <v>10.230143956710901</v>
      </c>
    </row>
    <row r="772" spans="7:18" x14ac:dyDescent="0.25">
      <c r="G772" s="2">
        <f t="shared" ref="G772:G835" ca="1" si="93">RAND()</f>
        <v>0.66681580425770182</v>
      </c>
      <c r="H772" s="3">
        <f t="shared" ref="H772:H835" ca="1" si="94">VLOOKUP(G772,$B$9:$C$169,2,TRUE)</f>
        <v>1</v>
      </c>
      <c r="I772" s="3">
        <f t="shared" ref="I772:I835" ca="1" si="95">_xlfn.CHISQ.INV(RAND(),2*H772+2)</f>
        <v>0.69895827887156392</v>
      </c>
      <c r="J772" s="3">
        <f t="shared" ref="J772:J835" ca="1" si="96">$C$4*SQRT(I772)</f>
        <v>4.1801862364958211</v>
      </c>
      <c r="P772" s="3">
        <f t="shared" ref="P772:P835" ca="1" si="97">_xlfn.NORM.INV(RAND(),$C$3*COS($O$2),$C$4)</f>
        <v>-11.359077450127199</v>
      </c>
      <c r="Q772" s="3">
        <f t="shared" ref="Q772:Q835" ca="1" si="98">_xlfn.NORM.INV(RAND(),$C$3*SIN($O$2),$C$4)</f>
        <v>-2.1317577846696389</v>
      </c>
      <c r="R772" s="3">
        <f t="shared" ref="R772:R835" ca="1" si="99">SQRT(P772^2+Q772^2)</f>
        <v>11.557379969979694</v>
      </c>
    </row>
    <row r="773" spans="7:18" x14ac:dyDescent="0.25">
      <c r="G773" s="2">
        <f t="shared" ca="1" si="93"/>
        <v>0.5659642196042739</v>
      </c>
      <c r="H773" s="3">
        <f t="shared" ca="1" si="94"/>
        <v>0</v>
      </c>
      <c r="I773" s="3">
        <f t="shared" ca="1" si="95"/>
        <v>1.3641497880389635</v>
      </c>
      <c r="J773" s="3">
        <f t="shared" ca="1" si="96"/>
        <v>5.8398411537450299</v>
      </c>
      <c r="P773" s="3">
        <f t="shared" ca="1" si="97"/>
        <v>-5.5036013888229167</v>
      </c>
      <c r="Q773" s="3">
        <f t="shared" ca="1" si="98"/>
        <v>-5.8625274130129084</v>
      </c>
      <c r="R773" s="3">
        <f t="shared" ca="1" si="99"/>
        <v>8.0410730574582754</v>
      </c>
    </row>
    <row r="774" spans="7:18" x14ac:dyDescent="0.25">
      <c r="G774" s="2">
        <f t="shared" ca="1" si="93"/>
        <v>0.62128825997706028</v>
      </c>
      <c r="H774" s="3">
        <f t="shared" ca="1" si="94"/>
        <v>1</v>
      </c>
      <c r="I774" s="3">
        <f t="shared" ca="1" si="95"/>
        <v>2.6953443167724918</v>
      </c>
      <c r="J774" s="3">
        <f t="shared" ca="1" si="96"/>
        <v>8.2087519099624568</v>
      </c>
      <c r="P774" s="3">
        <f t="shared" ca="1" si="97"/>
        <v>-10.437397089281857</v>
      </c>
      <c r="Q774" s="3">
        <f t="shared" ca="1" si="98"/>
        <v>-2.4544415844331815</v>
      </c>
      <c r="R774" s="3">
        <f t="shared" ca="1" si="99"/>
        <v>10.72210527325414</v>
      </c>
    </row>
    <row r="775" spans="7:18" x14ac:dyDescent="0.25">
      <c r="G775" s="2">
        <f t="shared" ca="1" si="93"/>
        <v>0.2646264053226749</v>
      </c>
      <c r="H775" s="3">
        <f t="shared" ca="1" si="94"/>
        <v>0</v>
      </c>
      <c r="I775" s="3">
        <f t="shared" ca="1" si="95"/>
        <v>4.9117853955479323</v>
      </c>
      <c r="J775" s="3">
        <f t="shared" ca="1" si="96"/>
        <v>11.08127406432574</v>
      </c>
      <c r="P775" s="3">
        <f t="shared" ca="1" si="97"/>
        <v>-1.2785499117094878</v>
      </c>
      <c r="Q775" s="3">
        <f t="shared" ca="1" si="98"/>
        <v>-4.293939457845938</v>
      </c>
      <c r="R775" s="3">
        <f t="shared" ca="1" si="99"/>
        <v>4.4802461923848123</v>
      </c>
    </row>
    <row r="776" spans="7:18" x14ac:dyDescent="0.25">
      <c r="G776" s="2">
        <f t="shared" ca="1" si="93"/>
        <v>0.13351150471039874</v>
      </c>
      <c r="H776" s="3">
        <f t="shared" ca="1" si="94"/>
        <v>0</v>
      </c>
      <c r="I776" s="3">
        <f t="shared" ca="1" si="95"/>
        <v>2.8383371309456829</v>
      </c>
      <c r="J776" s="3">
        <f t="shared" ca="1" si="96"/>
        <v>8.4236825838609377</v>
      </c>
      <c r="P776" s="3">
        <f t="shared" ca="1" si="97"/>
        <v>0.55492461425755568</v>
      </c>
      <c r="Q776" s="3">
        <f t="shared" ca="1" si="98"/>
        <v>5.2568655421171435</v>
      </c>
      <c r="R776" s="3">
        <f t="shared" ca="1" si="99"/>
        <v>5.2860738412745869</v>
      </c>
    </row>
    <row r="777" spans="7:18" x14ac:dyDescent="0.25">
      <c r="G777" s="2">
        <f t="shared" ca="1" si="93"/>
        <v>0.4590363630509473</v>
      </c>
      <c r="H777" s="3">
        <f t="shared" ca="1" si="94"/>
        <v>0</v>
      </c>
      <c r="I777" s="3">
        <f t="shared" ca="1" si="95"/>
        <v>1.6789615384907064</v>
      </c>
      <c r="J777" s="3">
        <f t="shared" ca="1" si="96"/>
        <v>6.4787374126651915</v>
      </c>
      <c r="P777" s="3">
        <f t="shared" ca="1" si="97"/>
        <v>-6.688113401908959</v>
      </c>
      <c r="Q777" s="3">
        <f t="shared" ca="1" si="98"/>
        <v>-4.3854305526562074</v>
      </c>
      <c r="R777" s="3">
        <f t="shared" ca="1" si="99"/>
        <v>7.9976785387363973</v>
      </c>
    </row>
    <row r="778" spans="7:18" x14ac:dyDescent="0.25">
      <c r="G778" s="2">
        <f t="shared" ca="1" si="93"/>
        <v>6.4644400805445756E-2</v>
      </c>
      <c r="H778" s="3">
        <f t="shared" ca="1" si="94"/>
        <v>0</v>
      </c>
      <c r="I778" s="3">
        <f t="shared" ca="1" si="95"/>
        <v>0.65228260475493371</v>
      </c>
      <c r="J778" s="3">
        <f t="shared" ca="1" si="96"/>
        <v>4.0382007279075847</v>
      </c>
      <c r="P778" s="3">
        <f t="shared" ca="1" si="97"/>
        <v>0.98586083856775097</v>
      </c>
      <c r="Q778" s="3">
        <f t="shared" ca="1" si="98"/>
        <v>-2.4071303320049298</v>
      </c>
      <c r="R778" s="3">
        <f t="shared" ca="1" si="99"/>
        <v>2.6011916554301941</v>
      </c>
    </row>
    <row r="779" spans="7:18" x14ac:dyDescent="0.25">
      <c r="G779" s="2">
        <f t="shared" ca="1" si="93"/>
        <v>0.37398269984453758</v>
      </c>
      <c r="H779" s="3">
        <f t="shared" ca="1" si="94"/>
        <v>0</v>
      </c>
      <c r="I779" s="3">
        <f t="shared" ca="1" si="95"/>
        <v>0.1033928894296765</v>
      </c>
      <c r="J779" s="3">
        <f t="shared" ca="1" si="96"/>
        <v>1.6077382360763559</v>
      </c>
      <c r="P779" s="3">
        <f t="shared" ca="1" si="97"/>
        <v>-2.6706103317881187</v>
      </c>
      <c r="Q779" s="3">
        <f t="shared" ca="1" si="98"/>
        <v>10.216497019107448</v>
      </c>
      <c r="R779" s="3">
        <f t="shared" ca="1" si="99"/>
        <v>10.559780816176291</v>
      </c>
    </row>
    <row r="780" spans="7:18" x14ac:dyDescent="0.25">
      <c r="G780" s="2">
        <f t="shared" ca="1" si="93"/>
        <v>0.24341714941788217</v>
      </c>
      <c r="H780" s="3">
        <f t="shared" ca="1" si="94"/>
        <v>0</v>
      </c>
      <c r="I780" s="3">
        <f t="shared" ca="1" si="95"/>
        <v>1.5943431170034182E-2</v>
      </c>
      <c r="J780" s="3">
        <f t="shared" ca="1" si="96"/>
        <v>0.63133650239064631</v>
      </c>
      <c r="P780" s="3">
        <f t="shared" ca="1" si="97"/>
        <v>-14.761030091778869</v>
      </c>
      <c r="Q780" s="3">
        <f t="shared" ca="1" si="98"/>
        <v>4.0596523590342697</v>
      </c>
      <c r="R780" s="3">
        <f t="shared" ca="1" si="99"/>
        <v>15.309107963778091</v>
      </c>
    </row>
    <row r="781" spans="7:18" x14ac:dyDescent="0.25">
      <c r="G781" s="2">
        <f t="shared" ca="1" si="93"/>
        <v>0.56690925272272918</v>
      </c>
      <c r="H781" s="3">
        <f t="shared" ca="1" si="94"/>
        <v>0</v>
      </c>
      <c r="I781" s="3">
        <f t="shared" ca="1" si="95"/>
        <v>2.6571466034120954</v>
      </c>
      <c r="J781" s="3">
        <f t="shared" ca="1" si="96"/>
        <v>8.1503782173161987</v>
      </c>
      <c r="P781" s="3">
        <f t="shared" ca="1" si="97"/>
        <v>-5.7071475752002838</v>
      </c>
      <c r="Q781" s="3">
        <f t="shared" ca="1" si="98"/>
        <v>-3.9722208040945923</v>
      </c>
      <c r="R781" s="3">
        <f t="shared" ca="1" si="99"/>
        <v>6.9534215722618438</v>
      </c>
    </row>
    <row r="782" spans="7:18" x14ac:dyDescent="0.25">
      <c r="G782" s="2">
        <f t="shared" ca="1" si="93"/>
        <v>0.85499705176617813</v>
      </c>
      <c r="H782" s="3">
        <f t="shared" ca="1" si="94"/>
        <v>1</v>
      </c>
      <c r="I782" s="3">
        <f t="shared" ca="1" si="95"/>
        <v>5.4358498852723134</v>
      </c>
      <c r="J782" s="3">
        <f t="shared" ca="1" si="96"/>
        <v>11.657454573439598</v>
      </c>
      <c r="P782" s="3">
        <f t="shared" ca="1" si="97"/>
        <v>5.773110500844794</v>
      </c>
      <c r="Q782" s="3">
        <f t="shared" ca="1" si="98"/>
        <v>-3.9863686471229536</v>
      </c>
      <c r="R782" s="3">
        <f t="shared" ca="1" si="99"/>
        <v>7.0156923995945917</v>
      </c>
    </row>
    <row r="783" spans="7:18" x14ac:dyDescent="0.25">
      <c r="G783" s="2">
        <f t="shared" ca="1" si="93"/>
        <v>0.59430060624302139</v>
      </c>
      <c r="H783" s="3">
        <f t="shared" ca="1" si="94"/>
        <v>0</v>
      </c>
      <c r="I783" s="3">
        <f t="shared" ca="1" si="95"/>
        <v>0.48048996234840829</v>
      </c>
      <c r="J783" s="3">
        <f t="shared" ca="1" si="96"/>
        <v>3.4658691635302978</v>
      </c>
      <c r="P783" s="3">
        <f t="shared" ca="1" si="97"/>
        <v>-1.3523673290208627</v>
      </c>
      <c r="Q783" s="3">
        <f t="shared" ca="1" si="98"/>
        <v>5.8834924837988334</v>
      </c>
      <c r="R783" s="3">
        <f t="shared" ca="1" si="99"/>
        <v>6.0369181872475624</v>
      </c>
    </row>
    <row r="784" spans="7:18" x14ac:dyDescent="0.25">
      <c r="G784" s="2">
        <f t="shared" ca="1" si="93"/>
        <v>0.3256667483607586</v>
      </c>
      <c r="H784" s="3">
        <f t="shared" ca="1" si="94"/>
        <v>0</v>
      </c>
      <c r="I784" s="3">
        <f t="shared" ca="1" si="95"/>
        <v>7.9484106059264842E-2</v>
      </c>
      <c r="J784" s="3">
        <f t="shared" ca="1" si="96"/>
        <v>1.4096462859460954</v>
      </c>
      <c r="P784" s="3">
        <f t="shared" ca="1" si="97"/>
        <v>-11.498259920508431</v>
      </c>
      <c r="Q784" s="3">
        <f t="shared" ca="1" si="98"/>
        <v>-10.443511457855903</v>
      </c>
      <c r="R784" s="3">
        <f t="shared" ca="1" si="99"/>
        <v>15.533090895566733</v>
      </c>
    </row>
    <row r="785" spans="7:18" x14ac:dyDescent="0.25">
      <c r="G785" s="2">
        <f t="shared" ca="1" si="93"/>
        <v>0.63452409208074645</v>
      </c>
      <c r="H785" s="3">
        <f t="shared" ca="1" si="94"/>
        <v>1</v>
      </c>
      <c r="I785" s="3">
        <f t="shared" ca="1" si="95"/>
        <v>7.5221135070742866</v>
      </c>
      <c r="J785" s="3">
        <f t="shared" ca="1" si="96"/>
        <v>13.713235857260575</v>
      </c>
      <c r="P785" s="3">
        <f t="shared" ca="1" si="97"/>
        <v>-6.930276836955672</v>
      </c>
      <c r="Q785" s="3">
        <f t="shared" ca="1" si="98"/>
        <v>-3.1406714787821763</v>
      </c>
      <c r="R785" s="3">
        <f t="shared" ca="1" si="99"/>
        <v>7.6087156849549933</v>
      </c>
    </row>
    <row r="786" spans="7:18" x14ac:dyDescent="0.25">
      <c r="G786" s="2">
        <f t="shared" ca="1" si="93"/>
        <v>8.7115385485236785E-2</v>
      </c>
      <c r="H786" s="3">
        <f t="shared" ca="1" si="94"/>
        <v>0</v>
      </c>
      <c r="I786" s="3">
        <f t="shared" ca="1" si="95"/>
        <v>0.82957823988273316</v>
      </c>
      <c r="J786" s="3">
        <f t="shared" ca="1" si="96"/>
        <v>4.554059287829741</v>
      </c>
      <c r="P786" s="3">
        <f t="shared" ca="1" si="97"/>
        <v>-2.806645708975338</v>
      </c>
      <c r="Q786" s="3">
        <f t="shared" ca="1" si="98"/>
        <v>1.2070408710521208</v>
      </c>
      <c r="R786" s="3">
        <f t="shared" ca="1" si="99"/>
        <v>3.055193578171429</v>
      </c>
    </row>
    <row r="787" spans="7:18" x14ac:dyDescent="0.25">
      <c r="G787" s="2">
        <f t="shared" ca="1" si="93"/>
        <v>0.31058272077841453</v>
      </c>
      <c r="H787" s="3">
        <f t="shared" ca="1" si="94"/>
        <v>0</v>
      </c>
      <c r="I787" s="3">
        <f t="shared" ca="1" si="95"/>
        <v>0.77235114842679387</v>
      </c>
      <c r="J787" s="3">
        <f t="shared" ca="1" si="96"/>
        <v>4.3941755439069397</v>
      </c>
      <c r="P787" s="3">
        <f t="shared" ca="1" si="97"/>
        <v>-2.1094671556780891</v>
      </c>
      <c r="Q787" s="3">
        <f t="shared" ca="1" si="98"/>
        <v>2.1390051115798911</v>
      </c>
      <c r="R787" s="3">
        <f t="shared" ca="1" si="99"/>
        <v>3.004196156753002</v>
      </c>
    </row>
    <row r="788" spans="7:18" x14ac:dyDescent="0.25">
      <c r="G788" s="2">
        <f t="shared" ca="1" si="93"/>
        <v>2.7576282593058332E-2</v>
      </c>
      <c r="H788" s="3">
        <f t="shared" ca="1" si="94"/>
        <v>0</v>
      </c>
      <c r="I788" s="3">
        <f t="shared" ca="1" si="95"/>
        <v>1.3181410350068701E-2</v>
      </c>
      <c r="J788" s="3">
        <f t="shared" ca="1" si="96"/>
        <v>0.57405161680089145</v>
      </c>
      <c r="P788" s="3">
        <f t="shared" ca="1" si="97"/>
        <v>-7.5732912031322499</v>
      </c>
      <c r="Q788" s="3">
        <f t="shared" ca="1" si="98"/>
        <v>-4.0795895167938161</v>
      </c>
      <c r="R788" s="3">
        <f t="shared" ca="1" si="99"/>
        <v>8.6021968283092853</v>
      </c>
    </row>
    <row r="789" spans="7:18" x14ac:dyDescent="0.25">
      <c r="G789" s="2">
        <f t="shared" ca="1" si="93"/>
        <v>0.21848475337980944</v>
      </c>
      <c r="H789" s="3">
        <f t="shared" ca="1" si="94"/>
        <v>0</v>
      </c>
      <c r="I789" s="3">
        <f t="shared" ca="1" si="95"/>
        <v>0.72403305221259695</v>
      </c>
      <c r="J789" s="3">
        <f t="shared" ca="1" si="96"/>
        <v>4.254506587762549</v>
      </c>
      <c r="P789" s="3">
        <f t="shared" ca="1" si="97"/>
        <v>-6.393714339268044</v>
      </c>
      <c r="Q789" s="3">
        <f t="shared" ca="1" si="98"/>
        <v>-4.3506346645797906</v>
      </c>
      <c r="R789" s="3">
        <f t="shared" ca="1" si="99"/>
        <v>7.7335376792775188</v>
      </c>
    </row>
    <row r="790" spans="7:18" x14ac:dyDescent="0.25">
      <c r="G790" s="2">
        <f t="shared" ca="1" si="93"/>
        <v>0.61982838715486954</v>
      </c>
      <c r="H790" s="3">
        <f t="shared" ca="1" si="94"/>
        <v>1</v>
      </c>
      <c r="I790" s="3">
        <f t="shared" ca="1" si="95"/>
        <v>3.3611475312234629</v>
      </c>
      <c r="J790" s="3">
        <f t="shared" ca="1" si="96"/>
        <v>9.1667163303217016</v>
      </c>
      <c r="P790" s="3">
        <f t="shared" ca="1" si="97"/>
        <v>-6.2801270113067167</v>
      </c>
      <c r="Q790" s="3">
        <f t="shared" ca="1" si="98"/>
        <v>4.1486796770842007</v>
      </c>
      <c r="R790" s="3">
        <f t="shared" ca="1" si="99"/>
        <v>7.5267216197489129</v>
      </c>
    </row>
    <row r="791" spans="7:18" x14ac:dyDescent="0.25">
      <c r="G791" s="2">
        <f t="shared" ca="1" si="93"/>
        <v>0.11642280393868976</v>
      </c>
      <c r="H791" s="3">
        <f t="shared" ca="1" si="94"/>
        <v>0</v>
      </c>
      <c r="I791" s="3">
        <f t="shared" ca="1" si="95"/>
        <v>0.40508607442781663</v>
      </c>
      <c r="J791" s="3">
        <f t="shared" ca="1" si="96"/>
        <v>3.182318629662249</v>
      </c>
      <c r="P791" s="3">
        <f t="shared" ca="1" si="97"/>
        <v>-9.8401755111389821</v>
      </c>
      <c r="Q791" s="3">
        <f t="shared" ca="1" si="98"/>
        <v>11.566497260045594</v>
      </c>
      <c r="R791" s="3">
        <f t="shared" ca="1" si="99"/>
        <v>15.18594458559169</v>
      </c>
    </row>
    <row r="792" spans="7:18" x14ac:dyDescent="0.25">
      <c r="G792" s="2">
        <f t="shared" ca="1" si="93"/>
        <v>0.3719389554153919</v>
      </c>
      <c r="H792" s="3">
        <f t="shared" ca="1" si="94"/>
        <v>0</v>
      </c>
      <c r="I792" s="3">
        <f t="shared" ca="1" si="95"/>
        <v>0.47213490101792027</v>
      </c>
      <c r="J792" s="3">
        <f t="shared" ca="1" si="96"/>
        <v>3.4356036624511868</v>
      </c>
      <c r="P792" s="3">
        <f t="shared" ca="1" si="97"/>
        <v>-1.7848716427227842</v>
      </c>
      <c r="Q792" s="3">
        <f t="shared" ca="1" si="98"/>
        <v>-6.7584361314037213</v>
      </c>
      <c r="R792" s="3">
        <f t="shared" ca="1" si="99"/>
        <v>6.9901520529427135</v>
      </c>
    </row>
    <row r="793" spans="7:18" x14ac:dyDescent="0.25">
      <c r="G793" s="2">
        <f t="shared" ca="1" si="93"/>
        <v>0.26716148294168796</v>
      </c>
      <c r="H793" s="3">
        <f t="shared" ca="1" si="94"/>
        <v>0</v>
      </c>
      <c r="I793" s="3">
        <f t="shared" ca="1" si="95"/>
        <v>3.0416906412291187</v>
      </c>
      <c r="J793" s="3">
        <f t="shared" ca="1" si="96"/>
        <v>8.7202216732562459</v>
      </c>
      <c r="P793" s="3">
        <f t="shared" ca="1" si="97"/>
        <v>-0.38973623235612109</v>
      </c>
      <c r="Q793" s="3">
        <f t="shared" ca="1" si="98"/>
        <v>7.4731159085451537</v>
      </c>
      <c r="R793" s="3">
        <f t="shared" ca="1" si="99"/>
        <v>7.4832717252122949</v>
      </c>
    </row>
    <row r="794" spans="7:18" x14ac:dyDescent="0.25">
      <c r="G794" s="2">
        <f t="shared" ca="1" si="93"/>
        <v>0.58359315615307839</v>
      </c>
      <c r="H794" s="3">
        <f t="shared" ca="1" si="94"/>
        <v>0</v>
      </c>
      <c r="I794" s="3">
        <f t="shared" ca="1" si="95"/>
        <v>6.460040925553507</v>
      </c>
      <c r="J794" s="3">
        <f t="shared" ca="1" si="96"/>
        <v>12.708305281934237</v>
      </c>
      <c r="P794" s="3">
        <f t="shared" ca="1" si="97"/>
        <v>3.6290835316892931</v>
      </c>
      <c r="Q794" s="3">
        <f t="shared" ca="1" si="98"/>
        <v>-0.52506386176505793</v>
      </c>
      <c r="R794" s="3">
        <f t="shared" ca="1" si="99"/>
        <v>3.6668705102457695</v>
      </c>
    </row>
    <row r="795" spans="7:18" x14ac:dyDescent="0.25">
      <c r="G795" s="2">
        <f t="shared" ca="1" si="93"/>
        <v>0.60888433573241862</v>
      </c>
      <c r="H795" s="3">
        <f t="shared" ca="1" si="94"/>
        <v>1</v>
      </c>
      <c r="I795" s="3">
        <f t="shared" ca="1" si="95"/>
        <v>4.0734663936111266</v>
      </c>
      <c r="J795" s="3">
        <f t="shared" ca="1" si="96"/>
        <v>10.091415155481325</v>
      </c>
      <c r="P795" s="3">
        <f t="shared" ca="1" si="97"/>
        <v>-0.70238291851153001</v>
      </c>
      <c r="Q795" s="3">
        <f t="shared" ca="1" si="98"/>
        <v>0.47996443380249704</v>
      </c>
      <c r="R795" s="3">
        <f t="shared" ca="1" si="99"/>
        <v>0.85071006925516413</v>
      </c>
    </row>
    <row r="796" spans="7:18" x14ac:dyDescent="0.25">
      <c r="G796" s="2">
        <f t="shared" ca="1" si="93"/>
        <v>0.77624332821170372</v>
      </c>
      <c r="H796" s="3">
        <f t="shared" ca="1" si="94"/>
        <v>1</v>
      </c>
      <c r="I796" s="3">
        <f t="shared" ca="1" si="95"/>
        <v>15.003462038889761</v>
      </c>
      <c r="J796" s="3">
        <f t="shared" ca="1" si="96"/>
        <v>19.367151338600213</v>
      </c>
      <c r="P796" s="3">
        <f t="shared" ca="1" si="97"/>
        <v>-1.3239431899235217</v>
      </c>
      <c r="Q796" s="3">
        <f t="shared" ca="1" si="98"/>
        <v>-2.8300619639551639</v>
      </c>
      <c r="R796" s="3">
        <f t="shared" ca="1" si="99"/>
        <v>3.124432154803594</v>
      </c>
    </row>
    <row r="797" spans="7:18" x14ac:dyDescent="0.25">
      <c r="G797" s="2">
        <f t="shared" ca="1" si="93"/>
        <v>0.4751139835445729</v>
      </c>
      <c r="H797" s="3">
        <f t="shared" ca="1" si="94"/>
        <v>0</v>
      </c>
      <c r="I797" s="3">
        <f t="shared" ca="1" si="95"/>
        <v>1.5815838702144158</v>
      </c>
      <c r="J797" s="3">
        <f t="shared" ca="1" si="96"/>
        <v>6.2880519046331349</v>
      </c>
      <c r="P797" s="3">
        <f t="shared" ca="1" si="97"/>
        <v>-6.7749332605828805</v>
      </c>
      <c r="Q797" s="3">
        <f t="shared" ca="1" si="98"/>
        <v>3.6791798200614285</v>
      </c>
      <c r="R797" s="3">
        <f t="shared" ca="1" si="99"/>
        <v>7.7094801921854259</v>
      </c>
    </row>
    <row r="798" spans="7:18" x14ac:dyDescent="0.25">
      <c r="G798" s="2">
        <f t="shared" ca="1" si="93"/>
        <v>0.13145076577673009</v>
      </c>
      <c r="H798" s="3">
        <f t="shared" ca="1" si="94"/>
        <v>0</v>
      </c>
      <c r="I798" s="3">
        <f t="shared" ca="1" si="95"/>
        <v>0.57616908507330333</v>
      </c>
      <c r="J798" s="3">
        <f t="shared" ca="1" si="96"/>
        <v>3.7952901241976988</v>
      </c>
      <c r="P798" s="3">
        <f t="shared" ca="1" si="97"/>
        <v>6.6736931403671722</v>
      </c>
      <c r="Q798" s="3">
        <f t="shared" ca="1" si="98"/>
        <v>2.6337857219522118</v>
      </c>
      <c r="R798" s="3">
        <f t="shared" ca="1" si="99"/>
        <v>7.1746085162148869</v>
      </c>
    </row>
    <row r="799" spans="7:18" x14ac:dyDescent="0.25">
      <c r="G799" s="2">
        <f t="shared" ca="1" si="93"/>
        <v>0.45128267056809601</v>
      </c>
      <c r="H799" s="3">
        <f t="shared" ca="1" si="94"/>
        <v>0</v>
      </c>
      <c r="I799" s="3">
        <f t="shared" ca="1" si="95"/>
        <v>0.22910359351635798</v>
      </c>
      <c r="J799" s="3">
        <f t="shared" ca="1" si="96"/>
        <v>2.3932383579386634</v>
      </c>
      <c r="P799" s="3">
        <f t="shared" ca="1" si="97"/>
        <v>-9.0672245568537395</v>
      </c>
      <c r="Q799" s="3">
        <f t="shared" ca="1" si="98"/>
        <v>-4.3190526129208511</v>
      </c>
      <c r="R799" s="3">
        <f t="shared" ca="1" si="99"/>
        <v>10.043344892892502</v>
      </c>
    </row>
    <row r="800" spans="7:18" x14ac:dyDescent="0.25">
      <c r="G800" s="2">
        <f t="shared" ca="1" si="93"/>
        <v>0.26973502599340582</v>
      </c>
      <c r="H800" s="3">
        <f t="shared" ca="1" si="94"/>
        <v>0</v>
      </c>
      <c r="I800" s="3">
        <f t="shared" ca="1" si="95"/>
        <v>1.550194580061476</v>
      </c>
      <c r="J800" s="3">
        <f t="shared" ca="1" si="96"/>
        <v>6.2253405128986241</v>
      </c>
      <c r="P800" s="3">
        <f t="shared" ca="1" si="97"/>
        <v>-7.2087543050846801</v>
      </c>
      <c r="Q800" s="3">
        <f t="shared" ca="1" si="98"/>
        <v>12.547388976176435</v>
      </c>
      <c r="R800" s="3">
        <f t="shared" ca="1" si="99"/>
        <v>14.470767386374188</v>
      </c>
    </row>
    <row r="801" spans="7:18" x14ac:dyDescent="0.25">
      <c r="G801" s="2">
        <f t="shared" ca="1" si="93"/>
        <v>0.54729051824188235</v>
      </c>
      <c r="H801" s="3">
        <f t="shared" ca="1" si="94"/>
        <v>0</v>
      </c>
      <c r="I801" s="3">
        <f t="shared" ca="1" si="95"/>
        <v>0.16001210137909488</v>
      </c>
      <c r="J801" s="3">
        <f t="shared" ca="1" si="96"/>
        <v>2.0000756321892861</v>
      </c>
      <c r="P801" s="3">
        <f t="shared" ca="1" si="97"/>
        <v>-10.012918540889563</v>
      </c>
      <c r="Q801" s="3">
        <f t="shared" ca="1" si="98"/>
        <v>-5.0836910017540324</v>
      </c>
      <c r="R801" s="3">
        <f t="shared" ca="1" si="99"/>
        <v>11.229534803713149</v>
      </c>
    </row>
    <row r="802" spans="7:18" x14ac:dyDescent="0.25">
      <c r="G802" s="2">
        <f t="shared" ca="1" si="93"/>
        <v>0.46959651620262632</v>
      </c>
      <c r="H802" s="3">
        <f t="shared" ca="1" si="94"/>
        <v>0</v>
      </c>
      <c r="I802" s="3">
        <f t="shared" ca="1" si="95"/>
        <v>0.16636067885955477</v>
      </c>
      <c r="J802" s="3">
        <f t="shared" ca="1" si="96"/>
        <v>2.0393668065085468</v>
      </c>
      <c r="P802" s="3">
        <f t="shared" ca="1" si="97"/>
        <v>-4.4745267233960275</v>
      </c>
      <c r="Q802" s="3">
        <f t="shared" ca="1" si="98"/>
        <v>-6.5753867926648226</v>
      </c>
      <c r="R802" s="3">
        <f t="shared" ca="1" si="99"/>
        <v>7.9534332757329507</v>
      </c>
    </row>
    <row r="803" spans="7:18" x14ac:dyDescent="0.25">
      <c r="G803" s="2">
        <f t="shared" ca="1" si="93"/>
        <v>0.2812828181210284</v>
      </c>
      <c r="H803" s="3">
        <f t="shared" ca="1" si="94"/>
        <v>0</v>
      </c>
      <c r="I803" s="3">
        <f t="shared" ca="1" si="95"/>
        <v>1.6614931309300847</v>
      </c>
      <c r="J803" s="3">
        <f t="shared" ca="1" si="96"/>
        <v>6.4449459480473621</v>
      </c>
      <c r="P803" s="3">
        <f t="shared" ca="1" si="97"/>
        <v>-2.4155192934535883</v>
      </c>
      <c r="Q803" s="3">
        <f t="shared" ca="1" si="98"/>
        <v>4.2691722720374683</v>
      </c>
      <c r="R803" s="3">
        <f t="shared" ca="1" si="99"/>
        <v>4.9051570153645523</v>
      </c>
    </row>
    <row r="804" spans="7:18" x14ac:dyDescent="0.25">
      <c r="G804" s="2">
        <f t="shared" ca="1" si="93"/>
        <v>0.85095741158165217</v>
      </c>
      <c r="H804" s="3">
        <f t="shared" ca="1" si="94"/>
        <v>1</v>
      </c>
      <c r="I804" s="3">
        <f t="shared" ca="1" si="95"/>
        <v>2.4144005102170065</v>
      </c>
      <c r="J804" s="3">
        <f t="shared" ca="1" si="96"/>
        <v>7.7691706607221054</v>
      </c>
      <c r="P804" s="3">
        <f t="shared" ca="1" si="97"/>
        <v>-9.0778048843796633</v>
      </c>
      <c r="Q804" s="3">
        <f t="shared" ca="1" si="98"/>
        <v>-3.9309061609857205</v>
      </c>
      <c r="R804" s="3">
        <f t="shared" ca="1" si="99"/>
        <v>9.8923487992156218</v>
      </c>
    </row>
    <row r="805" spans="7:18" x14ac:dyDescent="0.25">
      <c r="G805" s="2">
        <f t="shared" ca="1" si="93"/>
        <v>0.33731223420426992</v>
      </c>
      <c r="H805" s="3">
        <f t="shared" ca="1" si="94"/>
        <v>0</v>
      </c>
      <c r="I805" s="3">
        <f t="shared" ca="1" si="95"/>
        <v>8.2357216091251821</v>
      </c>
      <c r="J805" s="3">
        <f t="shared" ca="1" si="96"/>
        <v>14.348973490397476</v>
      </c>
      <c r="P805" s="3">
        <f t="shared" ca="1" si="97"/>
        <v>2.3308664869836315</v>
      </c>
      <c r="Q805" s="3">
        <f t="shared" ca="1" si="98"/>
        <v>-2.8516580198794519</v>
      </c>
      <c r="R805" s="3">
        <f t="shared" ca="1" si="99"/>
        <v>3.6830547161949974</v>
      </c>
    </row>
    <row r="806" spans="7:18" x14ac:dyDescent="0.25">
      <c r="G806" s="2">
        <f t="shared" ca="1" si="93"/>
        <v>0.67801816149964489</v>
      </c>
      <c r="H806" s="3">
        <f t="shared" ca="1" si="94"/>
        <v>1</v>
      </c>
      <c r="I806" s="3">
        <f t="shared" ca="1" si="95"/>
        <v>2.014393104174836</v>
      </c>
      <c r="J806" s="3">
        <f t="shared" ca="1" si="96"/>
        <v>7.0964658531110327</v>
      </c>
      <c r="P806" s="3">
        <f t="shared" ca="1" si="97"/>
        <v>-5.1826558248189869</v>
      </c>
      <c r="Q806" s="3">
        <f t="shared" ca="1" si="98"/>
        <v>4.2315449793127629</v>
      </c>
      <c r="R806" s="3">
        <f t="shared" ca="1" si="99"/>
        <v>6.6907319712029434</v>
      </c>
    </row>
    <row r="807" spans="7:18" x14ac:dyDescent="0.25">
      <c r="G807" s="2">
        <f t="shared" ca="1" si="93"/>
        <v>0.20924439701436515</v>
      </c>
      <c r="H807" s="3">
        <f t="shared" ca="1" si="94"/>
        <v>0</v>
      </c>
      <c r="I807" s="3">
        <f t="shared" ca="1" si="95"/>
        <v>1.5099529694827276</v>
      </c>
      <c r="J807" s="3">
        <f t="shared" ca="1" si="96"/>
        <v>6.1440071807467955</v>
      </c>
      <c r="P807" s="3">
        <f t="shared" ca="1" si="97"/>
        <v>4.6273555114586493</v>
      </c>
      <c r="Q807" s="3">
        <f t="shared" ca="1" si="98"/>
        <v>5.1459903992342859</v>
      </c>
      <c r="R807" s="3">
        <f t="shared" ca="1" si="99"/>
        <v>6.9205228284023583</v>
      </c>
    </row>
    <row r="808" spans="7:18" x14ac:dyDescent="0.25">
      <c r="G808" s="2">
        <f t="shared" ca="1" si="93"/>
        <v>0.85307305158189217</v>
      </c>
      <c r="H808" s="3">
        <f t="shared" ca="1" si="94"/>
        <v>1</v>
      </c>
      <c r="I808" s="3">
        <f t="shared" ca="1" si="95"/>
        <v>11.147692287697986</v>
      </c>
      <c r="J808" s="3">
        <f t="shared" ca="1" si="96"/>
        <v>16.694080004374293</v>
      </c>
      <c r="P808" s="3">
        <f t="shared" ca="1" si="97"/>
        <v>4.2267254106394088</v>
      </c>
      <c r="Q808" s="3">
        <f t="shared" ca="1" si="98"/>
        <v>9.8706914601997937</v>
      </c>
      <c r="R808" s="3">
        <f t="shared" ca="1" si="99"/>
        <v>10.737586209172246</v>
      </c>
    </row>
    <row r="809" spans="7:18" x14ac:dyDescent="0.25">
      <c r="G809" s="2">
        <f t="shared" ca="1" si="93"/>
        <v>8.8312049452780594E-2</v>
      </c>
      <c r="H809" s="3">
        <f t="shared" ca="1" si="94"/>
        <v>0</v>
      </c>
      <c r="I809" s="3">
        <f t="shared" ca="1" si="95"/>
        <v>1.0199032083112667</v>
      </c>
      <c r="J809" s="3">
        <f t="shared" ca="1" si="96"/>
        <v>5.0495128683647961</v>
      </c>
      <c r="P809" s="3">
        <f t="shared" ca="1" si="97"/>
        <v>-5.1173185833313797</v>
      </c>
      <c r="Q809" s="3">
        <f t="shared" ca="1" si="98"/>
        <v>4.6343561398360729</v>
      </c>
      <c r="R809" s="3">
        <f t="shared" ca="1" si="99"/>
        <v>6.9039268763613784</v>
      </c>
    </row>
    <row r="810" spans="7:18" x14ac:dyDescent="0.25">
      <c r="G810" s="2">
        <f t="shared" ca="1" si="93"/>
        <v>0.59036985721069812</v>
      </c>
      <c r="H810" s="3">
        <f t="shared" ca="1" si="94"/>
        <v>0</v>
      </c>
      <c r="I810" s="3">
        <f t="shared" ca="1" si="95"/>
        <v>1.1039496057997202</v>
      </c>
      <c r="J810" s="3">
        <f t="shared" ca="1" si="96"/>
        <v>5.25345030860605</v>
      </c>
      <c r="P810" s="3">
        <f t="shared" ca="1" si="97"/>
        <v>-1.3989418060455838</v>
      </c>
      <c r="Q810" s="3">
        <f t="shared" ca="1" si="98"/>
        <v>1.4393415828701022</v>
      </c>
      <c r="R810" s="3">
        <f t="shared" ca="1" si="99"/>
        <v>2.0071727302056224</v>
      </c>
    </row>
    <row r="811" spans="7:18" x14ac:dyDescent="0.25">
      <c r="G811" s="2">
        <f t="shared" ca="1" si="93"/>
        <v>0.89628839851835307</v>
      </c>
      <c r="H811" s="3">
        <f t="shared" ca="1" si="94"/>
        <v>1</v>
      </c>
      <c r="I811" s="3">
        <f t="shared" ca="1" si="95"/>
        <v>0.97339521973452547</v>
      </c>
      <c r="J811" s="3">
        <f t="shared" ca="1" si="96"/>
        <v>4.9330396809029562</v>
      </c>
      <c r="P811" s="3">
        <f t="shared" ca="1" si="97"/>
        <v>-7.7125045106481309</v>
      </c>
      <c r="Q811" s="3">
        <f t="shared" ca="1" si="98"/>
        <v>-6.6833062747706657</v>
      </c>
      <c r="R811" s="3">
        <f t="shared" ca="1" si="99"/>
        <v>10.205356857511486</v>
      </c>
    </row>
    <row r="812" spans="7:18" x14ac:dyDescent="0.25">
      <c r="G812" s="2">
        <f t="shared" ca="1" si="93"/>
        <v>0.37832990847253456</v>
      </c>
      <c r="H812" s="3">
        <f t="shared" ca="1" si="94"/>
        <v>0</v>
      </c>
      <c r="I812" s="3">
        <f t="shared" ca="1" si="95"/>
        <v>3.3347475655196201</v>
      </c>
      <c r="J812" s="3">
        <f t="shared" ca="1" si="96"/>
        <v>9.13064560356991</v>
      </c>
      <c r="P812" s="3">
        <f t="shared" ca="1" si="97"/>
        <v>-0.71879906872402177</v>
      </c>
      <c r="Q812" s="3">
        <f t="shared" ca="1" si="98"/>
        <v>-3.432846259968513</v>
      </c>
      <c r="R812" s="3">
        <f t="shared" ca="1" si="99"/>
        <v>3.5072931935865199</v>
      </c>
    </row>
    <row r="813" spans="7:18" x14ac:dyDescent="0.25">
      <c r="G813" s="2">
        <f t="shared" ca="1" si="93"/>
        <v>0.85327112769077917</v>
      </c>
      <c r="H813" s="3">
        <f t="shared" ca="1" si="94"/>
        <v>1</v>
      </c>
      <c r="I813" s="3">
        <f t="shared" ca="1" si="95"/>
        <v>3.8378239053291265</v>
      </c>
      <c r="J813" s="3">
        <f t="shared" ca="1" si="96"/>
        <v>9.7951823685538475</v>
      </c>
      <c r="P813" s="3">
        <f t="shared" ca="1" si="97"/>
        <v>-7.0758176911969723</v>
      </c>
      <c r="Q813" s="3">
        <f t="shared" ca="1" si="98"/>
        <v>6.2905236467209074</v>
      </c>
      <c r="R813" s="3">
        <f t="shared" ca="1" si="99"/>
        <v>9.4677285422117468</v>
      </c>
    </row>
    <row r="814" spans="7:18" x14ac:dyDescent="0.25">
      <c r="G814" s="2">
        <f t="shared" ca="1" si="93"/>
        <v>0.84818264340025185</v>
      </c>
      <c r="H814" s="3">
        <f t="shared" ca="1" si="94"/>
        <v>1</v>
      </c>
      <c r="I814" s="3">
        <f t="shared" ca="1" si="95"/>
        <v>7.2463190402398201</v>
      </c>
      <c r="J814" s="3">
        <f t="shared" ca="1" si="96"/>
        <v>13.459493898583093</v>
      </c>
      <c r="P814" s="3">
        <f t="shared" ca="1" si="97"/>
        <v>-8.5034099719563514</v>
      </c>
      <c r="Q814" s="3">
        <f t="shared" ca="1" si="98"/>
        <v>-4.5367311814786131</v>
      </c>
      <c r="R814" s="3">
        <f t="shared" ca="1" si="99"/>
        <v>9.6379412202070966</v>
      </c>
    </row>
    <row r="815" spans="7:18" x14ac:dyDescent="0.25">
      <c r="G815" s="2">
        <f t="shared" ca="1" si="93"/>
        <v>2.6376211533224336E-2</v>
      </c>
      <c r="H815" s="3">
        <f t="shared" ca="1" si="94"/>
        <v>0</v>
      </c>
      <c r="I815" s="3">
        <f t="shared" ca="1" si="95"/>
        <v>6.5129145021236097</v>
      </c>
      <c r="J815" s="3">
        <f t="shared" ca="1" si="96"/>
        <v>12.760206211229121</v>
      </c>
      <c r="P815" s="3">
        <f t="shared" ca="1" si="97"/>
        <v>-1.0205179348382458</v>
      </c>
      <c r="Q815" s="3">
        <f t="shared" ca="1" si="98"/>
        <v>3.443625820519189</v>
      </c>
      <c r="R815" s="3">
        <f t="shared" ca="1" si="99"/>
        <v>3.5916591774656146</v>
      </c>
    </row>
    <row r="816" spans="7:18" x14ac:dyDescent="0.25">
      <c r="G816" s="2">
        <f t="shared" ca="1" si="93"/>
        <v>0.26070607487823949</v>
      </c>
      <c r="H816" s="3">
        <f t="shared" ca="1" si="94"/>
        <v>0</v>
      </c>
      <c r="I816" s="3">
        <f t="shared" ca="1" si="95"/>
        <v>3.5771294745746283</v>
      </c>
      <c r="J816" s="3">
        <f t="shared" ca="1" si="96"/>
        <v>9.4566504040471813</v>
      </c>
      <c r="P816" s="3">
        <f t="shared" ca="1" si="97"/>
        <v>-12.112830255563688</v>
      </c>
      <c r="Q816" s="3">
        <f t="shared" ca="1" si="98"/>
        <v>5.4601187630593264</v>
      </c>
      <c r="R816" s="3">
        <f t="shared" ca="1" si="99"/>
        <v>13.286593005989593</v>
      </c>
    </row>
    <row r="817" spans="7:18" x14ac:dyDescent="0.25">
      <c r="G817" s="2">
        <f t="shared" ca="1" si="93"/>
        <v>0.89774745664963318</v>
      </c>
      <c r="H817" s="3">
        <f t="shared" ca="1" si="94"/>
        <v>1</v>
      </c>
      <c r="I817" s="3">
        <f t="shared" ca="1" si="95"/>
        <v>3.9426444934845071</v>
      </c>
      <c r="J817" s="3">
        <f t="shared" ca="1" si="96"/>
        <v>9.9280467533706087</v>
      </c>
      <c r="P817" s="3">
        <f t="shared" ca="1" si="97"/>
        <v>-7.7605778227930493</v>
      </c>
      <c r="Q817" s="3">
        <f t="shared" ca="1" si="98"/>
        <v>-4.911006426032964</v>
      </c>
      <c r="R817" s="3">
        <f t="shared" ca="1" si="99"/>
        <v>9.1839290208583577</v>
      </c>
    </row>
    <row r="818" spans="7:18" x14ac:dyDescent="0.25">
      <c r="G818" s="2">
        <f t="shared" ca="1" si="93"/>
        <v>0.91855049657065857</v>
      </c>
      <c r="H818" s="3">
        <f t="shared" ca="1" si="94"/>
        <v>2</v>
      </c>
      <c r="I818" s="3">
        <f t="shared" ca="1" si="95"/>
        <v>6.465949738723225</v>
      </c>
      <c r="J818" s="3">
        <f t="shared" ca="1" si="96"/>
        <v>12.714115913742514</v>
      </c>
      <c r="P818" s="3">
        <f t="shared" ca="1" si="97"/>
        <v>-6.4045929069603096</v>
      </c>
      <c r="Q818" s="3">
        <f t="shared" ca="1" si="98"/>
        <v>2.7802760949730132</v>
      </c>
      <c r="R818" s="3">
        <f t="shared" ca="1" si="99"/>
        <v>6.9820301824157633</v>
      </c>
    </row>
    <row r="819" spans="7:18" x14ac:dyDescent="0.25">
      <c r="G819" s="2">
        <f t="shared" ca="1" si="93"/>
        <v>0.61787637124592387</v>
      </c>
      <c r="H819" s="3">
        <f t="shared" ca="1" si="94"/>
        <v>1</v>
      </c>
      <c r="I819" s="3">
        <f t="shared" ca="1" si="95"/>
        <v>2.8884937243972315</v>
      </c>
      <c r="J819" s="3">
        <f t="shared" ca="1" si="96"/>
        <v>8.4977846001137731</v>
      </c>
      <c r="P819" s="3">
        <f t="shared" ca="1" si="97"/>
        <v>-11.272247441005181</v>
      </c>
      <c r="Q819" s="3">
        <f t="shared" ca="1" si="98"/>
        <v>10.447201775186468</v>
      </c>
      <c r="R819" s="3">
        <f t="shared" ca="1" si="99"/>
        <v>15.3690464018659</v>
      </c>
    </row>
    <row r="820" spans="7:18" x14ac:dyDescent="0.25">
      <c r="G820" s="2">
        <f t="shared" ca="1" si="93"/>
        <v>0.63203948061182935</v>
      </c>
      <c r="H820" s="3">
        <f t="shared" ca="1" si="94"/>
        <v>1</v>
      </c>
      <c r="I820" s="3">
        <f t="shared" ca="1" si="95"/>
        <v>5.1943054738101138</v>
      </c>
      <c r="J820" s="3">
        <f t="shared" ca="1" si="96"/>
        <v>11.395509503539227</v>
      </c>
      <c r="P820" s="3">
        <f t="shared" ca="1" si="97"/>
        <v>-8.2656146594079267</v>
      </c>
      <c r="Q820" s="3">
        <f t="shared" ca="1" si="98"/>
        <v>5.7873335674647315</v>
      </c>
      <c r="R820" s="3">
        <f t="shared" ca="1" si="99"/>
        <v>10.090273312399585</v>
      </c>
    </row>
    <row r="821" spans="7:18" x14ac:dyDescent="0.25">
      <c r="G821" s="2">
        <f t="shared" ca="1" si="93"/>
        <v>0.57875484614255435</v>
      </c>
      <c r="H821" s="3">
        <f t="shared" ca="1" si="94"/>
        <v>0</v>
      </c>
      <c r="I821" s="3">
        <f t="shared" ca="1" si="95"/>
        <v>0.48842678692629271</v>
      </c>
      <c r="J821" s="3">
        <f t="shared" ca="1" si="96"/>
        <v>3.4943768647868128</v>
      </c>
      <c r="P821" s="3">
        <f t="shared" ca="1" si="97"/>
        <v>-5.9516388319467843</v>
      </c>
      <c r="Q821" s="3">
        <f t="shared" ca="1" si="98"/>
        <v>-1.0973719725694115</v>
      </c>
      <c r="R821" s="3">
        <f t="shared" ca="1" si="99"/>
        <v>6.0519608419187385</v>
      </c>
    </row>
    <row r="822" spans="7:18" x14ac:dyDescent="0.25">
      <c r="G822" s="2">
        <f t="shared" ca="1" si="93"/>
        <v>4.4336454041279616E-2</v>
      </c>
      <c r="H822" s="3">
        <f t="shared" ca="1" si="94"/>
        <v>0</v>
      </c>
      <c r="I822" s="3">
        <f t="shared" ca="1" si="95"/>
        <v>4.3635729798929521</v>
      </c>
      <c r="J822" s="3">
        <f t="shared" ca="1" si="96"/>
        <v>10.44458350042374</v>
      </c>
      <c r="P822" s="3">
        <f t="shared" ca="1" si="97"/>
        <v>-8.4179985815215463</v>
      </c>
      <c r="Q822" s="3">
        <f t="shared" ca="1" si="98"/>
        <v>-1.5351572252955832</v>
      </c>
      <c r="R822" s="3">
        <f t="shared" ca="1" si="99"/>
        <v>8.55683398371594</v>
      </c>
    </row>
    <row r="823" spans="7:18" x14ac:dyDescent="0.25">
      <c r="G823" s="2">
        <f t="shared" ca="1" si="93"/>
        <v>0.25065024228044419</v>
      </c>
      <c r="H823" s="3">
        <f t="shared" ca="1" si="94"/>
        <v>0</v>
      </c>
      <c r="I823" s="3">
        <f t="shared" ca="1" si="95"/>
        <v>4.9864232080818036</v>
      </c>
      <c r="J823" s="3">
        <f t="shared" ca="1" si="96"/>
        <v>11.165150254342532</v>
      </c>
      <c r="P823" s="3">
        <f t="shared" ca="1" si="97"/>
        <v>-6.8635520364036298</v>
      </c>
      <c r="Q823" s="3">
        <f t="shared" ca="1" si="98"/>
        <v>8.8646830840349224</v>
      </c>
      <c r="R823" s="3">
        <f t="shared" ca="1" si="99"/>
        <v>11.211197649528588</v>
      </c>
    </row>
    <row r="824" spans="7:18" x14ac:dyDescent="0.25">
      <c r="G824" s="2">
        <f t="shared" ca="1" si="93"/>
        <v>0.10882232267360492</v>
      </c>
      <c r="H824" s="3">
        <f t="shared" ca="1" si="94"/>
        <v>0</v>
      </c>
      <c r="I824" s="3">
        <f t="shared" ca="1" si="95"/>
        <v>1.5374375797722304</v>
      </c>
      <c r="J824" s="3">
        <f t="shared" ca="1" si="96"/>
        <v>6.1996725312153185</v>
      </c>
      <c r="P824" s="3">
        <f t="shared" ca="1" si="97"/>
        <v>-4.1038271570274159</v>
      </c>
      <c r="Q824" s="3">
        <f t="shared" ca="1" si="98"/>
        <v>4.2745187962871169E-2</v>
      </c>
      <c r="R824" s="3">
        <f t="shared" ca="1" si="99"/>
        <v>4.1040497664928122</v>
      </c>
    </row>
    <row r="825" spans="7:18" x14ac:dyDescent="0.25">
      <c r="G825" s="2">
        <f t="shared" ca="1" si="93"/>
        <v>0.595519776294968</v>
      </c>
      <c r="H825" s="3">
        <f t="shared" ca="1" si="94"/>
        <v>0</v>
      </c>
      <c r="I825" s="3">
        <f t="shared" ca="1" si="95"/>
        <v>2.8199012692121483</v>
      </c>
      <c r="J825" s="3">
        <f t="shared" ca="1" si="96"/>
        <v>8.3962808272653504</v>
      </c>
      <c r="P825" s="3">
        <f t="shared" ca="1" si="97"/>
        <v>-4.896739059255915</v>
      </c>
      <c r="Q825" s="3">
        <f t="shared" ca="1" si="98"/>
        <v>-1.9393981709955823</v>
      </c>
      <c r="R825" s="3">
        <f t="shared" ca="1" si="99"/>
        <v>5.2668129528305361</v>
      </c>
    </row>
    <row r="826" spans="7:18" x14ac:dyDescent="0.25">
      <c r="G826" s="2">
        <f t="shared" ca="1" si="93"/>
        <v>0.26835065512811895</v>
      </c>
      <c r="H826" s="3">
        <f t="shared" ca="1" si="94"/>
        <v>0</v>
      </c>
      <c r="I826" s="3">
        <f t="shared" ca="1" si="95"/>
        <v>0.93016840513383492</v>
      </c>
      <c r="J826" s="3">
        <f t="shared" ca="1" si="96"/>
        <v>4.8222619307069863</v>
      </c>
      <c r="P826" s="3">
        <f t="shared" ca="1" si="97"/>
        <v>-2.9210478542536435</v>
      </c>
      <c r="Q826" s="3">
        <f t="shared" ca="1" si="98"/>
        <v>-0.13259509598413954</v>
      </c>
      <c r="R826" s="3">
        <f t="shared" ca="1" si="99"/>
        <v>2.9240557495230592</v>
      </c>
    </row>
    <row r="827" spans="7:18" x14ac:dyDescent="0.25">
      <c r="G827" s="2">
        <f t="shared" ca="1" si="93"/>
        <v>0.19267756924441737</v>
      </c>
      <c r="H827" s="3">
        <f t="shared" ca="1" si="94"/>
        <v>0</v>
      </c>
      <c r="I827" s="3">
        <f t="shared" ca="1" si="95"/>
        <v>1.0719402154092588</v>
      </c>
      <c r="J827" s="3">
        <f t="shared" ca="1" si="96"/>
        <v>5.176727285190081</v>
      </c>
      <c r="P827" s="3">
        <f t="shared" ca="1" si="97"/>
        <v>-9.6359625837504481</v>
      </c>
      <c r="Q827" s="3">
        <f t="shared" ca="1" si="98"/>
        <v>-1.4395746494581763</v>
      </c>
      <c r="R827" s="3">
        <f t="shared" ca="1" si="99"/>
        <v>9.7429025493844108</v>
      </c>
    </row>
    <row r="828" spans="7:18" x14ac:dyDescent="0.25">
      <c r="G828" s="2">
        <f t="shared" ca="1" si="93"/>
        <v>0.61556781700563734</v>
      </c>
      <c r="H828" s="3">
        <f t="shared" ca="1" si="94"/>
        <v>1</v>
      </c>
      <c r="I828" s="3">
        <f t="shared" ca="1" si="95"/>
        <v>4.0227340262227482</v>
      </c>
      <c r="J828" s="3">
        <f t="shared" ca="1" si="96"/>
        <v>10.028377269307766</v>
      </c>
      <c r="P828" s="3">
        <f t="shared" ca="1" si="97"/>
        <v>2.5449252794405268</v>
      </c>
      <c r="Q828" s="3">
        <f t="shared" ca="1" si="98"/>
        <v>4.5619258152690412</v>
      </c>
      <c r="R828" s="3">
        <f t="shared" ca="1" si="99"/>
        <v>5.2237737146581633</v>
      </c>
    </row>
    <row r="829" spans="7:18" x14ac:dyDescent="0.25">
      <c r="G829" s="2">
        <f t="shared" ca="1" si="93"/>
        <v>0.93405539668028692</v>
      </c>
      <c r="H829" s="3">
        <f t="shared" ca="1" si="94"/>
        <v>2</v>
      </c>
      <c r="I829" s="3">
        <f t="shared" ca="1" si="95"/>
        <v>13.33101640072746</v>
      </c>
      <c r="J829" s="3">
        <f t="shared" ca="1" si="96"/>
        <v>18.255832219271365</v>
      </c>
      <c r="P829" s="3">
        <f t="shared" ca="1" si="97"/>
        <v>-6.8728050853171272</v>
      </c>
      <c r="Q829" s="3">
        <f t="shared" ca="1" si="98"/>
        <v>-2.5715527289871538</v>
      </c>
      <c r="R829" s="3">
        <f t="shared" ca="1" si="99"/>
        <v>7.3381423520344873</v>
      </c>
    </row>
    <row r="830" spans="7:18" x14ac:dyDescent="0.25">
      <c r="G830" s="2">
        <f t="shared" ca="1" si="93"/>
        <v>4.5179146949808513E-2</v>
      </c>
      <c r="H830" s="3">
        <f t="shared" ca="1" si="94"/>
        <v>0</v>
      </c>
      <c r="I830" s="3">
        <f t="shared" ca="1" si="95"/>
        <v>0.53919871353962112</v>
      </c>
      <c r="J830" s="3">
        <f t="shared" ca="1" si="96"/>
        <v>3.671507570261912</v>
      </c>
      <c r="P830" s="3">
        <f t="shared" ca="1" si="97"/>
        <v>5.4684391526764546</v>
      </c>
      <c r="Q830" s="3">
        <f t="shared" ca="1" si="98"/>
        <v>3.9069690476311298</v>
      </c>
      <c r="R830" s="3">
        <f t="shared" ca="1" si="99"/>
        <v>6.7207316495804594</v>
      </c>
    </row>
    <row r="831" spans="7:18" x14ac:dyDescent="0.25">
      <c r="G831" s="2">
        <f t="shared" ca="1" si="93"/>
        <v>4.5564428380584276E-2</v>
      </c>
      <c r="H831" s="3">
        <f t="shared" ca="1" si="94"/>
        <v>0</v>
      </c>
      <c r="I831" s="3">
        <f t="shared" ca="1" si="95"/>
        <v>2.1728042078260938</v>
      </c>
      <c r="J831" s="3">
        <f t="shared" ca="1" si="96"/>
        <v>7.3702174456153156</v>
      </c>
      <c r="P831" s="3">
        <f t="shared" ca="1" si="97"/>
        <v>-6.8138114113772321</v>
      </c>
      <c r="Q831" s="3">
        <f t="shared" ca="1" si="98"/>
        <v>-0.8847621689114632</v>
      </c>
      <c r="R831" s="3">
        <f t="shared" ca="1" si="99"/>
        <v>6.8710137567429967</v>
      </c>
    </row>
    <row r="832" spans="7:18" x14ac:dyDescent="0.25">
      <c r="G832" s="2">
        <f t="shared" ca="1" si="93"/>
        <v>0.52289041359122701</v>
      </c>
      <c r="H832" s="3">
        <f t="shared" ca="1" si="94"/>
        <v>0</v>
      </c>
      <c r="I832" s="3">
        <f t="shared" ca="1" si="95"/>
        <v>0.50547163131562978</v>
      </c>
      <c r="J832" s="3">
        <f t="shared" ca="1" si="96"/>
        <v>3.5548264068574071</v>
      </c>
      <c r="P832" s="3">
        <f t="shared" ca="1" si="97"/>
        <v>-3.2024889384964976</v>
      </c>
      <c r="Q832" s="3">
        <f t="shared" ca="1" si="98"/>
        <v>7.8934515439442956</v>
      </c>
      <c r="R832" s="3">
        <f t="shared" ca="1" si="99"/>
        <v>8.5183632628450994</v>
      </c>
    </row>
    <row r="833" spans="7:18" x14ac:dyDescent="0.25">
      <c r="G833" s="2">
        <f t="shared" ca="1" si="93"/>
        <v>0.34329527862321241</v>
      </c>
      <c r="H833" s="3">
        <f t="shared" ca="1" si="94"/>
        <v>0</v>
      </c>
      <c r="I833" s="3">
        <f t="shared" ca="1" si="95"/>
        <v>2.9769391439304429E-2</v>
      </c>
      <c r="J833" s="3">
        <f t="shared" ca="1" si="96"/>
        <v>0.86269043461870532</v>
      </c>
      <c r="P833" s="3">
        <f t="shared" ca="1" si="97"/>
        <v>0.48486671654755931</v>
      </c>
      <c r="Q833" s="3">
        <f t="shared" ca="1" si="98"/>
        <v>-2.3429316971969407</v>
      </c>
      <c r="R833" s="3">
        <f t="shared" ca="1" si="99"/>
        <v>2.3925769936505175</v>
      </c>
    </row>
    <row r="834" spans="7:18" x14ac:dyDescent="0.25">
      <c r="G834" s="2">
        <f t="shared" ca="1" si="93"/>
        <v>0.71388296566751785</v>
      </c>
      <c r="H834" s="3">
        <f t="shared" ca="1" si="94"/>
        <v>1</v>
      </c>
      <c r="I834" s="3">
        <f t="shared" ca="1" si="95"/>
        <v>1.4326667063634098</v>
      </c>
      <c r="J834" s="3">
        <f t="shared" ca="1" si="96"/>
        <v>5.9847028045747805</v>
      </c>
      <c r="P834" s="3">
        <f t="shared" ca="1" si="97"/>
        <v>-15.555580071221977</v>
      </c>
      <c r="Q834" s="3">
        <f t="shared" ca="1" si="98"/>
        <v>-9.0580905234547231</v>
      </c>
      <c r="R834" s="3">
        <f t="shared" ca="1" si="99"/>
        <v>18.000696522170983</v>
      </c>
    </row>
    <row r="835" spans="7:18" x14ac:dyDescent="0.25">
      <c r="G835" s="2">
        <f t="shared" ca="1" si="93"/>
        <v>0.37068493167402616</v>
      </c>
      <c r="H835" s="3">
        <f t="shared" ca="1" si="94"/>
        <v>0</v>
      </c>
      <c r="I835" s="3">
        <f t="shared" ca="1" si="95"/>
        <v>9.429159384976693E-2</v>
      </c>
      <c r="J835" s="3">
        <f t="shared" ca="1" si="96"/>
        <v>1.535346816274477</v>
      </c>
      <c r="P835" s="3">
        <f t="shared" ca="1" si="97"/>
        <v>-5.5825632093016253</v>
      </c>
      <c r="Q835" s="3">
        <f t="shared" ca="1" si="98"/>
        <v>-10.34747194858193</v>
      </c>
      <c r="R835" s="3">
        <f t="shared" ca="1" si="99"/>
        <v>11.757346116898065</v>
      </c>
    </row>
    <row r="836" spans="7:18" x14ac:dyDescent="0.25">
      <c r="G836" s="2">
        <f t="shared" ref="G836:G899" ca="1" si="100">RAND()</f>
        <v>7.6279610548568577E-4</v>
      </c>
      <c r="H836" s="3">
        <f t="shared" ref="H836:H899" ca="1" si="101">VLOOKUP(G836,$B$9:$C$169,2,TRUE)</f>
        <v>0</v>
      </c>
      <c r="I836" s="3">
        <f t="shared" ref="I836:I899" ca="1" si="102">_xlfn.CHISQ.INV(RAND(),2*H836+2)</f>
        <v>0.17470040539515605</v>
      </c>
      <c r="J836" s="3">
        <f t="shared" ref="J836:J899" ca="1" si="103">$C$4*SQRT(I836)</f>
        <v>2.089858879177946</v>
      </c>
      <c r="P836" s="3">
        <f t="shared" ref="P836:P899" ca="1" si="104">_xlfn.NORM.INV(RAND(),$C$3*COS($O$2),$C$4)</f>
        <v>-2.5726021208222076</v>
      </c>
      <c r="Q836" s="3">
        <f t="shared" ref="Q836:Q899" ca="1" si="105">_xlfn.NORM.INV(RAND(),$C$3*SIN($O$2),$C$4)</f>
        <v>-7.9079037600016049</v>
      </c>
      <c r="R836" s="3">
        <f t="shared" ref="R836:R899" ca="1" si="106">SQRT(P836^2+Q836^2)</f>
        <v>8.3158417222495551</v>
      </c>
    </row>
    <row r="837" spans="7:18" x14ac:dyDescent="0.25">
      <c r="G837" s="2">
        <f t="shared" ca="1" si="100"/>
        <v>0.30037313471489202</v>
      </c>
      <c r="H837" s="3">
        <f t="shared" ca="1" si="101"/>
        <v>0</v>
      </c>
      <c r="I837" s="3">
        <f t="shared" ca="1" si="102"/>
        <v>1.2127581492870541</v>
      </c>
      <c r="J837" s="3">
        <f t="shared" ca="1" si="103"/>
        <v>5.5062649529582526</v>
      </c>
      <c r="P837" s="3">
        <f t="shared" ca="1" si="104"/>
        <v>-11.212003791330332</v>
      </c>
      <c r="Q837" s="3">
        <f t="shared" ca="1" si="105"/>
        <v>-5.6512217573167574</v>
      </c>
      <c r="R837" s="3">
        <f t="shared" ca="1" si="106"/>
        <v>12.555689402305875</v>
      </c>
    </row>
    <row r="838" spans="7:18" x14ac:dyDescent="0.25">
      <c r="G838" s="2">
        <f t="shared" ca="1" si="100"/>
        <v>0.28561014274044139</v>
      </c>
      <c r="H838" s="3">
        <f t="shared" ca="1" si="101"/>
        <v>0</v>
      </c>
      <c r="I838" s="3">
        <f t="shared" ca="1" si="102"/>
        <v>0.60327690902298226</v>
      </c>
      <c r="J838" s="3">
        <f t="shared" ca="1" si="103"/>
        <v>3.8835451234116691</v>
      </c>
      <c r="P838" s="3">
        <f t="shared" ca="1" si="104"/>
        <v>-5.5414855401943379</v>
      </c>
      <c r="Q838" s="3">
        <f t="shared" ca="1" si="105"/>
        <v>-0.43822601095082941</v>
      </c>
      <c r="R838" s="3">
        <f t="shared" ca="1" si="106"/>
        <v>5.5587862010385694</v>
      </c>
    </row>
    <row r="839" spans="7:18" x14ac:dyDescent="0.25">
      <c r="G839" s="2">
        <f t="shared" ca="1" si="100"/>
        <v>0.41221100993019577</v>
      </c>
      <c r="H839" s="3">
        <f t="shared" ca="1" si="101"/>
        <v>0</v>
      </c>
      <c r="I839" s="3">
        <f t="shared" ca="1" si="102"/>
        <v>1.9859121126710588</v>
      </c>
      <c r="J839" s="3">
        <f t="shared" ca="1" si="103"/>
        <v>7.046119699293822</v>
      </c>
      <c r="P839" s="3">
        <f t="shared" ca="1" si="104"/>
        <v>-7.336117183907092</v>
      </c>
      <c r="Q839" s="3">
        <f t="shared" ca="1" si="105"/>
        <v>-1.9636013538378845</v>
      </c>
      <c r="R839" s="3">
        <f t="shared" ca="1" si="106"/>
        <v>7.5943627522532058</v>
      </c>
    </row>
    <row r="840" spans="7:18" x14ac:dyDescent="0.25">
      <c r="G840" s="2">
        <f t="shared" ca="1" si="100"/>
        <v>9.2277473381534691E-2</v>
      </c>
      <c r="H840" s="3">
        <f t="shared" ca="1" si="101"/>
        <v>0</v>
      </c>
      <c r="I840" s="3">
        <f t="shared" ca="1" si="102"/>
        <v>1.983041022401947</v>
      </c>
      <c r="J840" s="3">
        <f t="shared" ca="1" si="103"/>
        <v>7.0410244680762668</v>
      </c>
      <c r="P840" s="3">
        <f t="shared" ca="1" si="104"/>
        <v>1.0986928309987487</v>
      </c>
      <c r="Q840" s="3">
        <f t="shared" ca="1" si="105"/>
        <v>4.4938160911768499</v>
      </c>
      <c r="R840" s="3">
        <f t="shared" ca="1" si="106"/>
        <v>4.6261764988171414</v>
      </c>
    </row>
    <row r="841" spans="7:18" x14ac:dyDescent="0.25">
      <c r="G841" s="2">
        <f t="shared" ca="1" si="100"/>
        <v>0.76255087395851473</v>
      </c>
      <c r="H841" s="3">
        <f t="shared" ca="1" si="101"/>
        <v>1</v>
      </c>
      <c r="I841" s="3">
        <f t="shared" ca="1" si="102"/>
        <v>1.7490084992797494</v>
      </c>
      <c r="J841" s="3">
        <f t="shared" ca="1" si="103"/>
        <v>6.6125042519452295</v>
      </c>
      <c r="P841" s="3">
        <f t="shared" ca="1" si="104"/>
        <v>-5.8549633434916935</v>
      </c>
      <c r="Q841" s="3">
        <f t="shared" ca="1" si="105"/>
        <v>14.642947807701308</v>
      </c>
      <c r="R841" s="3">
        <f t="shared" ca="1" si="106"/>
        <v>15.770114655661066</v>
      </c>
    </row>
    <row r="842" spans="7:18" x14ac:dyDescent="0.25">
      <c r="G842" s="2">
        <f t="shared" ca="1" si="100"/>
        <v>0.69399330351513044</v>
      </c>
      <c r="H842" s="3">
        <f t="shared" ca="1" si="101"/>
        <v>1</v>
      </c>
      <c r="I842" s="3">
        <f t="shared" ca="1" si="102"/>
        <v>6.7551217571470756</v>
      </c>
      <c r="J842" s="3">
        <f t="shared" ca="1" si="103"/>
        <v>12.995308535339856</v>
      </c>
      <c r="P842" s="3">
        <f t="shared" ca="1" si="104"/>
        <v>-0.18892203449214318</v>
      </c>
      <c r="Q842" s="3">
        <f t="shared" ca="1" si="105"/>
        <v>-4.987217602143728</v>
      </c>
      <c r="R842" s="3">
        <f t="shared" ca="1" si="106"/>
        <v>4.9907946207241274</v>
      </c>
    </row>
    <row r="843" spans="7:18" x14ac:dyDescent="0.25">
      <c r="G843" s="2">
        <f t="shared" ca="1" si="100"/>
        <v>0.10940540021636502</v>
      </c>
      <c r="H843" s="3">
        <f t="shared" ca="1" si="101"/>
        <v>0</v>
      </c>
      <c r="I843" s="3">
        <f t="shared" ca="1" si="102"/>
        <v>1.190593419427584</v>
      </c>
      <c r="J843" s="3">
        <f t="shared" ca="1" si="103"/>
        <v>5.4557158545592896</v>
      </c>
      <c r="P843" s="3">
        <f t="shared" ca="1" si="104"/>
        <v>-13.686415339308505</v>
      </c>
      <c r="Q843" s="3">
        <f t="shared" ca="1" si="105"/>
        <v>0.25067073539968032</v>
      </c>
      <c r="R843" s="3">
        <f t="shared" ca="1" si="106"/>
        <v>13.688710701072068</v>
      </c>
    </row>
    <row r="844" spans="7:18" x14ac:dyDescent="0.25">
      <c r="G844" s="2">
        <f t="shared" ca="1" si="100"/>
        <v>0.25604326530011734</v>
      </c>
      <c r="H844" s="3">
        <f t="shared" ca="1" si="101"/>
        <v>0</v>
      </c>
      <c r="I844" s="3">
        <f t="shared" ca="1" si="102"/>
        <v>0.89984896312404405</v>
      </c>
      <c r="J844" s="3">
        <f t="shared" ca="1" si="103"/>
        <v>4.7430184564369027</v>
      </c>
      <c r="P844" s="3">
        <f t="shared" ca="1" si="104"/>
        <v>2.2563700060534018</v>
      </c>
      <c r="Q844" s="3">
        <f t="shared" ca="1" si="105"/>
        <v>3.4193959350473001E-2</v>
      </c>
      <c r="R844" s="3">
        <f t="shared" ca="1" si="106"/>
        <v>2.2566290858431941</v>
      </c>
    </row>
    <row r="845" spans="7:18" x14ac:dyDescent="0.25">
      <c r="G845" s="2">
        <f t="shared" ca="1" si="100"/>
        <v>0.49924360238068644</v>
      </c>
      <c r="H845" s="3">
        <f t="shared" ca="1" si="101"/>
        <v>0</v>
      </c>
      <c r="I845" s="3">
        <f t="shared" ca="1" si="102"/>
        <v>0.85739827690746651</v>
      </c>
      <c r="J845" s="3">
        <f t="shared" ca="1" si="103"/>
        <v>4.6297901596818249</v>
      </c>
      <c r="P845" s="3">
        <f t="shared" ca="1" si="104"/>
        <v>-2.8765161061952309</v>
      </c>
      <c r="Q845" s="3">
        <f t="shared" ca="1" si="105"/>
        <v>6.9130838048318086</v>
      </c>
      <c r="R845" s="3">
        <f t="shared" ca="1" si="106"/>
        <v>7.4876613573150061</v>
      </c>
    </row>
    <row r="846" spans="7:18" x14ac:dyDescent="0.25">
      <c r="G846" s="2">
        <f t="shared" ca="1" si="100"/>
        <v>0.36138088855357053</v>
      </c>
      <c r="H846" s="3">
        <f t="shared" ca="1" si="101"/>
        <v>0</v>
      </c>
      <c r="I846" s="3">
        <f t="shared" ca="1" si="102"/>
        <v>0.77969239698231096</v>
      </c>
      <c r="J846" s="3">
        <f t="shared" ca="1" si="103"/>
        <v>4.4150096177197371</v>
      </c>
      <c r="P846" s="3">
        <f t="shared" ca="1" si="104"/>
        <v>-3.0142947695739783</v>
      </c>
      <c r="Q846" s="3">
        <f t="shared" ca="1" si="105"/>
        <v>-4.3867954939331888</v>
      </c>
      <c r="R846" s="3">
        <f t="shared" ca="1" si="106"/>
        <v>5.3225884364163996</v>
      </c>
    </row>
    <row r="847" spans="7:18" x14ac:dyDescent="0.25">
      <c r="G847" s="2">
        <f t="shared" ca="1" si="100"/>
        <v>0.11350657603030634</v>
      </c>
      <c r="H847" s="3">
        <f t="shared" ca="1" si="101"/>
        <v>0</v>
      </c>
      <c r="I847" s="3">
        <f t="shared" ca="1" si="102"/>
        <v>2.2790295496199873</v>
      </c>
      <c r="J847" s="3">
        <f t="shared" ca="1" si="103"/>
        <v>7.5482275231010156</v>
      </c>
      <c r="P847" s="3">
        <f t="shared" ca="1" si="104"/>
        <v>-10.04898178612123</v>
      </c>
      <c r="Q847" s="3">
        <f t="shared" ca="1" si="105"/>
        <v>-7.2942736672024591</v>
      </c>
      <c r="R847" s="3">
        <f t="shared" ca="1" si="106"/>
        <v>12.417264725769497</v>
      </c>
    </row>
    <row r="848" spans="7:18" x14ac:dyDescent="0.25">
      <c r="G848" s="2">
        <f t="shared" ca="1" si="100"/>
        <v>0.25936370727036884</v>
      </c>
      <c r="H848" s="3">
        <f t="shared" ca="1" si="101"/>
        <v>0</v>
      </c>
      <c r="I848" s="3">
        <f t="shared" ca="1" si="102"/>
        <v>7.2796776007626507</v>
      </c>
      <c r="J848" s="3">
        <f t="shared" ca="1" si="103"/>
        <v>13.490438837156717</v>
      </c>
      <c r="P848" s="3">
        <f t="shared" ca="1" si="104"/>
        <v>-1.0394145962759316</v>
      </c>
      <c r="Q848" s="3">
        <f t="shared" ca="1" si="105"/>
        <v>1.6976146567607446</v>
      </c>
      <c r="R848" s="3">
        <f t="shared" ca="1" si="106"/>
        <v>1.9905472176766765</v>
      </c>
    </row>
    <row r="849" spans="7:18" x14ac:dyDescent="0.25">
      <c r="G849" s="2">
        <f t="shared" ca="1" si="100"/>
        <v>0.43582790722841969</v>
      </c>
      <c r="H849" s="3">
        <f t="shared" ca="1" si="101"/>
        <v>0</v>
      </c>
      <c r="I849" s="3">
        <f t="shared" ca="1" si="102"/>
        <v>3.3954610428835554</v>
      </c>
      <c r="J849" s="3">
        <f t="shared" ca="1" si="103"/>
        <v>9.2133884142637168</v>
      </c>
      <c r="P849" s="3">
        <f t="shared" ca="1" si="104"/>
        <v>-6.3990299284817063</v>
      </c>
      <c r="Q849" s="3">
        <f t="shared" ca="1" si="105"/>
        <v>1.3598124572322583</v>
      </c>
      <c r="R849" s="3">
        <f t="shared" ca="1" si="106"/>
        <v>6.5419166873668315</v>
      </c>
    </row>
    <row r="850" spans="7:18" x14ac:dyDescent="0.25">
      <c r="G850" s="2">
        <f t="shared" ca="1" si="100"/>
        <v>3.9426111524282104E-2</v>
      </c>
      <c r="H850" s="3">
        <f t="shared" ca="1" si="101"/>
        <v>0</v>
      </c>
      <c r="I850" s="3">
        <f t="shared" ca="1" si="102"/>
        <v>5.9833372223334207</v>
      </c>
      <c r="J850" s="3">
        <f t="shared" ca="1" si="103"/>
        <v>12.230430514022617</v>
      </c>
      <c r="P850" s="3">
        <f t="shared" ca="1" si="104"/>
        <v>-6.2817602659121503</v>
      </c>
      <c r="Q850" s="3">
        <f t="shared" ca="1" si="105"/>
        <v>5.8635171088795666</v>
      </c>
      <c r="R850" s="3">
        <f t="shared" ca="1" si="106"/>
        <v>8.5930986800173592</v>
      </c>
    </row>
    <row r="851" spans="7:18" x14ac:dyDescent="0.25">
      <c r="G851" s="2">
        <f t="shared" ca="1" si="100"/>
        <v>0.34413384013960724</v>
      </c>
      <c r="H851" s="3">
        <f t="shared" ca="1" si="101"/>
        <v>0</v>
      </c>
      <c r="I851" s="3">
        <f t="shared" ca="1" si="102"/>
        <v>0.94008577485374167</v>
      </c>
      <c r="J851" s="3">
        <f t="shared" ca="1" si="103"/>
        <v>4.8479010273873726</v>
      </c>
      <c r="P851" s="3">
        <f t="shared" ca="1" si="104"/>
        <v>-6.6299512591705323</v>
      </c>
      <c r="Q851" s="3">
        <f t="shared" ca="1" si="105"/>
        <v>6.1958132786042341</v>
      </c>
      <c r="R851" s="3">
        <f t="shared" ca="1" si="106"/>
        <v>9.074379090731524</v>
      </c>
    </row>
    <row r="852" spans="7:18" x14ac:dyDescent="0.25">
      <c r="G852" s="2">
        <f t="shared" ca="1" si="100"/>
        <v>0.63456895272756608</v>
      </c>
      <c r="H852" s="3">
        <f t="shared" ca="1" si="101"/>
        <v>1</v>
      </c>
      <c r="I852" s="3">
        <f t="shared" ca="1" si="102"/>
        <v>7.7284231088763482</v>
      </c>
      <c r="J852" s="3">
        <f t="shared" ca="1" si="103"/>
        <v>13.900020781348088</v>
      </c>
      <c r="P852" s="3">
        <f t="shared" ca="1" si="104"/>
        <v>-2.0202436643659132</v>
      </c>
      <c r="Q852" s="3">
        <f t="shared" ca="1" si="105"/>
        <v>-5.2836228439581117</v>
      </c>
      <c r="R852" s="3">
        <f t="shared" ca="1" si="106"/>
        <v>5.6566823156870507</v>
      </c>
    </row>
    <row r="853" spans="7:18" x14ac:dyDescent="0.25">
      <c r="G853" s="2">
        <f t="shared" ca="1" si="100"/>
        <v>0.72124477469855575</v>
      </c>
      <c r="H853" s="3">
        <f t="shared" ca="1" si="101"/>
        <v>1</v>
      </c>
      <c r="I853" s="3">
        <f t="shared" ca="1" si="102"/>
        <v>4.5584771830595381</v>
      </c>
      <c r="J853" s="3">
        <f t="shared" ca="1" si="103"/>
        <v>10.675295292238452</v>
      </c>
      <c r="P853" s="3">
        <f t="shared" ca="1" si="104"/>
        <v>0.32838842310688499</v>
      </c>
      <c r="Q853" s="3">
        <f t="shared" ca="1" si="105"/>
        <v>5.2986081352193457</v>
      </c>
      <c r="R853" s="3">
        <f t="shared" ca="1" si="106"/>
        <v>5.3087745409880851</v>
      </c>
    </row>
    <row r="854" spans="7:18" x14ac:dyDescent="0.25">
      <c r="G854" s="2">
        <f t="shared" ca="1" si="100"/>
        <v>0.25539196316973067</v>
      </c>
      <c r="H854" s="3">
        <f t="shared" ca="1" si="101"/>
        <v>0</v>
      </c>
      <c r="I854" s="3">
        <f t="shared" ca="1" si="102"/>
        <v>1.915230389244567</v>
      </c>
      <c r="J854" s="3">
        <f t="shared" ca="1" si="103"/>
        <v>6.9195924541199805</v>
      </c>
      <c r="P854" s="3">
        <f t="shared" ca="1" si="104"/>
        <v>-2.7816183216025054</v>
      </c>
      <c r="Q854" s="3">
        <f t="shared" ca="1" si="105"/>
        <v>6.0381004963042706</v>
      </c>
      <c r="R854" s="3">
        <f t="shared" ca="1" si="106"/>
        <v>6.6480115892306184</v>
      </c>
    </row>
    <row r="855" spans="7:18" x14ac:dyDescent="0.25">
      <c r="G855" s="2">
        <f t="shared" ca="1" si="100"/>
        <v>0.99099381852758439</v>
      </c>
      <c r="H855" s="3">
        <f t="shared" ca="1" si="101"/>
        <v>3</v>
      </c>
      <c r="I855" s="3">
        <f t="shared" ca="1" si="102"/>
        <v>8.0738202122832323</v>
      </c>
      <c r="J855" s="3">
        <f t="shared" ca="1" si="103"/>
        <v>14.207234259597497</v>
      </c>
      <c r="P855" s="3">
        <f t="shared" ca="1" si="104"/>
        <v>-4.203825941819531</v>
      </c>
      <c r="Q855" s="3">
        <f t="shared" ca="1" si="105"/>
        <v>4.0064709966947332</v>
      </c>
      <c r="R855" s="3">
        <f t="shared" ca="1" si="106"/>
        <v>5.807233626820171</v>
      </c>
    </row>
    <row r="856" spans="7:18" x14ac:dyDescent="0.25">
      <c r="G856" s="2">
        <f t="shared" ca="1" si="100"/>
        <v>0.57778756481269422</v>
      </c>
      <c r="H856" s="3">
        <f t="shared" ca="1" si="101"/>
        <v>0</v>
      </c>
      <c r="I856" s="3">
        <f t="shared" ca="1" si="102"/>
        <v>3.6692567977301929</v>
      </c>
      <c r="J856" s="3">
        <f t="shared" ca="1" si="103"/>
        <v>9.5776521101601322</v>
      </c>
      <c r="P856" s="3">
        <f t="shared" ca="1" si="104"/>
        <v>-6.4696566029439317</v>
      </c>
      <c r="Q856" s="3">
        <f t="shared" ca="1" si="105"/>
        <v>-4.7118757726492833</v>
      </c>
      <c r="R856" s="3">
        <f t="shared" ca="1" si="106"/>
        <v>8.0036385386207503</v>
      </c>
    </row>
    <row r="857" spans="7:18" x14ac:dyDescent="0.25">
      <c r="G857" s="2">
        <f t="shared" ca="1" si="100"/>
        <v>0.16699705259420083</v>
      </c>
      <c r="H857" s="3">
        <f t="shared" ca="1" si="101"/>
        <v>0</v>
      </c>
      <c r="I857" s="3">
        <f t="shared" ca="1" si="102"/>
        <v>1.860498375166453</v>
      </c>
      <c r="J857" s="3">
        <f t="shared" ca="1" si="103"/>
        <v>6.8200043533095576</v>
      </c>
      <c r="P857" s="3">
        <f t="shared" ca="1" si="104"/>
        <v>-3.0957789606813209</v>
      </c>
      <c r="Q857" s="3">
        <f t="shared" ca="1" si="105"/>
        <v>-3.6922043213112237</v>
      </c>
      <c r="R857" s="3">
        <f t="shared" ca="1" si="106"/>
        <v>4.8183212972680014</v>
      </c>
    </row>
    <row r="858" spans="7:18" x14ac:dyDescent="0.25">
      <c r="G858" s="2">
        <f t="shared" ca="1" si="100"/>
        <v>0.71377183521769028</v>
      </c>
      <c r="H858" s="3">
        <f t="shared" ca="1" si="101"/>
        <v>1</v>
      </c>
      <c r="I858" s="3">
        <f t="shared" ca="1" si="102"/>
        <v>7.9878127425092895</v>
      </c>
      <c r="J858" s="3">
        <f t="shared" ca="1" si="103"/>
        <v>14.13135940250379</v>
      </c>
      <c r="P858" s="3">
        <f t="shared" ca="1" si="104"/>
        <v>-2.4872207802016035</v>
      </c>
      <c r="Q858" s="3">
        <f t="shared" ca="1" si="105"/>
        <v>1.3146983748575518</v>
      </c>
      <c r="R858" s="3">
        <f t="shared" ca="1" si="106"/>
        <v>2.8133074887611844</v>
      </c>
    </row>
    <row r="859" spans="7:18" x14ac:dyDescent="0.25">
      <c r="G859" s="2">
        <f t="shared" ca="1" si="100"/>
        <v>0.79394691926483074</v>
      </c>
      <c r="H859" s="3">
        <f t="shared" ca="1" si="101"/>
        <v>1</v>
      </c>
      <c r="I859" s="3">
        <f t="shared" ca="1" si="102"/>
        <v>4.82702601580778</v>
      </c>
      <c r="J859" s="3">
        <f t="shared" ca="1" si="103"/>
        <v>10.985246942840863</v>
      </c>
      <c r="P859" s="3">
        <f t="shared" ca="1" si="104"/>
        <v>-3.5481109066982937</v>
      </c>
      <c r="Q859" s="3">
        <f t="shared" ca="1" si="105"/>
        <v>3.5064783336674643</v>
      </c>
      <c r="R859" s="3">
        <f t="shared" ca="1" si="106"/>
        <v>4.9884347555832322</v>
      </c>
    </row>
    <row r="860" spans="7:18" x14ac:dyDescent="0.25">
      <c r="G860" s="2">
        <f t="shared" ca="1" si="100"/>
        <v>0.70216284103652815</v>
      </c>
      <c r="H860" s="3">
        <f t="shared" ca="1" si="101"/>
        <v>1</v>
      </c>
      <c r="I860" s="3">
        <f t="shared" ca="1" si="102"/>
        <v>1.7760644548284124</v>
      </c>
      <c r="J860" s="3">
        <f t="shared" ca="1" si="103"/>
        <v>6.6634534117610746</v>
      </c>
      <c r="P860" s="3">
        <f t="shared" ca="1" si="104"/>
        <v>-11.480292380825965</v>
      </c>
      <c r="Q860" s="3">
        <f t="shared" ca="1" si="105"/>
        <v>4.2148229343672501</v>
      </c>
      <c r="R860" s="3">
        <f t="shared" ca="1" si="106"/>
        <v>12.229548050411301</v>
      </c>
    </row>
    <row r="861" spans="7:18" x14ac:dyDescent="0.25">
      <c r="G861" s="2">
        <f t="shared" ca="1" si="100"/>
        <v>0.31199518523296499</v>
      </c>
      <c r="H861" s="3">
        <f t="shared" ca="1" si="101"/>
        <v>0</v>
      </c>
      <c r="I861" s="3">
        <f t="shared" ca="1" si="102"/>
        <v>0.38824125045967905</v>
      </c>
      <c r="J861" s="3">
        <f t="shared" ca="1" si="103"/>
        <v>3.1154504106937693</v>
      </c>
      <c r="P861" s="3">
        <f t="shared" ca="1" si="104"/>
        <v>-4.5182516158542212</v>
      </c>
      <c r="Q861" s="3">
        <f t="shared" ca="1" si="105"/>
        <v>-4.2655447604095071</v>
      </c>
      <c r="R861" s="3">
        <f t="shared" ca="1" si="106"/>
        <v>6.213651886549993</v>
      </c>
    </row>
    <row r="862" spans="7:18" x14ac:dyDescent="0.25">
      <c r="G862" s="2">
        <f t="shared" ca="1" si="100"/>
        <v>0.67446143372235146</v>
      </c>
      <c r="H862" s="3">
        <f t="shared" ca="1" si="101"/>
        <v>1</v>
      </c>
      <c r="I862" s="3">
        <f t="shared" ca="1" si="102"/>
        <v>5.0150909995856452</v>
      </c>
      <c r="J862" s="3">
        <f t="shared" ca="1" si="103"/>
        <v>11.197199426179797</v>
      </c>
      <c r="P862" s="3">
        <f t="shared" ca="1" si="104"/>
        <v>-1.1611277689639636</v>
      </c>
      <c r="Q862" s="3">
        <f t="shared" ca="1" si="105"/>
        <v>-14.785208408231593</v>
      </c>
      <c r="R862" s="3">
        <f t="shared" ca="1" si="106"/>
        <v>14.830731788104774</v>
      </c>
    </row>
    <row r="863" spans="7:18" x14ac:dyDescent="0.25">
      <c r="G863" s="2">
        <f t="shared" ca="1" si="100"/>
        <v>0.50561793202556482</v>
      </c>
      <c r="H863" s="3">
        <f t="shared" ca="1" si="101"/>
        <v>0</v>
      </c>
      <c r="I863" s="3">
        <f t="shared" ca="1" si="102"/>
        <v>1.3347399678026062E-3</v>
      </c>
      <c r="J863" s="3">
        <f t="shared" ca="1" si="103"/>
        <v>0.18267046612702653</v>
      </c>
      <c r="P863" s="3">
        <f t="shared" ca="1" si="104"/>
        <v>-9.7377917629113746</v>
      </c>
      <c r="Q863" s="3">
        <f t="shared" ca="1" si="105"/>
        <v>-6.5758931941986001</v>
      </c>
      <c r="R863" s="3">
        <f t="shared" ca="1" si="106"/>
        <v>11.750189773758214</v>
      </c>
    </row>
    <row r="864" spans="7:18" x14ac:dyDescent="0.25">
      <c r="G864" s="2">
        <f t="shared" ca="1" si="100"/>
        <v>0.9089064895349579</v>
      </c>
      <c r="H864" s="3">
        <f t="shared" ca="1" si="101"/>
        <v>1</v>
      </c>
      <c r="I864" s="3">
        <f t="shared" ca="1" si="102"/>
        <v>4.1725016450754815</v>
      </c>
      <c r="J864" s="3">
        <f t="shared" ca="1" si="103"/>
        <v>10.21335112129643</v>
      </c>
      <c r="P864" s="3">
        <f t="shared" ca="1" si="104"/>
        <v>3.2791707451969234</v>
      </c>
      <c r="Q864" s="3">
        <f t="shared" ca="1" si="105"/>
        <v>7.1073586746426685</v>
      </c>
      <c r="R864" s="3">
        <f t="shared" ca="1" si="106"/>
        <v>7.8273563932003078</v>
      </c>
    </row>
    <row r="865" spans="7:18" x14ac:dyDescent="0.25">
      <c r="G865" s="2">
        <f t="shared" ca="1" si="100"/>
        <v>0.8832293108086039</v>
      </c>
      <c r="H865" s="3">
        <f t="shared" ca="1" si="101"/>
        <v>1</v>
      </c>
      <c r="I865" s="3">
        <f t="shared" ca="1" si="102"/>
        <v>0.91428941145889442</v>
      </c>
      <c r="J865" s="3">
        <f t="shared" ca="1" si="103"/>
        <v>4.780924103818462</v>
      </c>
      <c r="P865" s="3">
        <f t="shared" ca="1" si="104"/>
        <v>1.2167009854516202</v>
      </c>
      <c r="Q865" s="3">
        <f t="shared" ca="1" si="105"/>
        <v>-0.92323730582380625</v>
      </c>
      <c r="R865" s="3">
        <f t="shared" ca="1" si="106"/>
        <v>1.5273272114592027</v>
      </c>
    </row>
    <row r="866" spans="7:18" x14ac:dyDescent="0.25">
      <c r="G866" s="2">
        <f t="shared" ca="1" si="100"/>
        <v>0.53194909649033206</v>
      </c>
      <c r="H866" s="3">
        <f t="shared" ca="1" si="101"/>
        <v>0</v>
      </c>
      <c r="I866" s="3">
        <f t="shared" ca="1" si="102"/>
        <v>0.61551795337041049</v>
      </c>
      <c r="J866" s="3">
        <f t="shared" ca="1" si="103"/>
        <v>3.9227476128678305</v>
      </c>
      <c r="P866" s="3">
        <f t="shared" ca="1" si="104"/>
        <v>-13.784333468300265</v>
      </c>
      <c r="Q866" s="3">
        <f t="shared" ca="1" si="105"/>
        <v>-7.7743797409743056</v>
      </c>
      <c r="R866" s="3">
        <f t="shared" ca="1" si="106"/>
        <v>15.825575171922646</v>
      </c>
    </row>
    <row r="867" spans="7:18" x14ac:dyDescent="0.25">
      <c r="G867" s="2">
        <f t="shared" ca="1" si="100"/>
        <v>0.19634048374153679</v>
      </c>
      <c r="H867" s="3">
        <f t="shared" ca="1" si="101"/>
        <v>0</v>
      </c>
      <c r="I867" s="3">
        <f t="shared" ca="1" si="102"/>
        <v>1.2832119711048522</v>
      </c>
      <c r="J867" s="3">
        <f t="shared" ca="1" si="103"/>
        <v>5.6639473229913868</v>
      </c>
      <c r="P867" s="3">
        <f t="shared" ca="1" si="104"/>
        <v>-21.368637350879286</v>
      </c>
      <c r="Q867" s="3">
        <f t="shared" ca="1" si="105"/>
        <v>2.5907616540675931</v>
      </c>
      <c r="R867" s="3">
        <f t="shared" ca="1" si="106"/>
        <v>21.525118075903332</v>
      </c>
    </row>
    <row r="868" spans="7:18" x14ac:dyDescent="0.25">
      <c r="G868" s="2">
        <f t="shared" ca="1" si="100"/>
        <v>0.23542009999517699</v>
      </c>
      <c r="H868" s="3">
        <f t="shared" ca="1" si="101"/>
        <v>0</v>
      </c>
      <c r="I868" s="3">
        <f t="shared" ca="1" si="102"/>
        <v>2.9230804785658298</v>
      </c>
      <c r="J868" s="3">
        <f t="shared" ca="1" si="103"/>
        <v>8.5485093416423048</v>
      </c>
      <c r="P868" s="3">
        <f t="shared" ca="1" si="104"/>
        <v>0.36907566467307795</v>
      </c>
      <c r="Q868" s="3">
        <f t="shared" ca="1" si="105"/>
        <v>6.046534513065331</v>
      </c>
      <c r="R868" s="3">
        <f t="shared" ca="1" si="106"/>
        <v>6.0577880834463063</v>
      </c>
    </row>
    <row r="869" spans="7:18" x14ac:dyDescent="0.25">
      <c r="G869" s="2">
        <f t="shared" ca="1" si="100"/>
        <v>4.0935282960234409E-2</v>
      </c>
      <c r="H869" s="3">
        <f t="shared" ca="1" si="101"/>
        <v>0</v>
      </c>
      <c r="I869" s="3">
        <f t="shared" ca="1" si="102"/>
        <v>1.1401507282582857</v>
      </c>
      <c r="J869" s="3">
        <f t="shared" ca="1" si="103"/>
        <v>5.3388920392209798</v>
      </c>
      <c r="P869" s="3">
        <f t="shared" ca="1" si="104"/>
        <v>-5.1518925706712588</v>
      </c>
      <c r="Q869" s="3">
        <f t="shared" ca="1" si="105"/>
        <v>2.4773380676840016</v>
      </c>
      <c r="R869" s="3">
        <f t="shared" ca="1" si="106"/>
        <v>5.7165724836945797</v>
      </c>
    </row>
    <row r="870" spans="7:18" x14ac:dyDescent="0.25">
      <c r="G870" s="2">
        <f t="shared" ca="1" si="100"/>
        <v>0.25403569265746062</v>
      </c>
      <c r="H870" s="3">
        <f t="shared" ca="1" si="101"/>
        <v>0</v>
      </c>
      <c r="I870" s="3">
        <f t="shared" ca="1" si="102"/>
        <v>1.0193253090915675</v>
      </c>
      <c r="J870" s="3">
        <f t="shared" ca="1" si="103"/>
        <v>5.0480820840482767</v>
      </c>
      <c r="P870" s="3">
        <f t="shared" ca="1" si="104"/>
        <v>-5.3970305702169021</v>
      </c>
      <c r="Q870" s="3">
        <f t="shared" ca="1" si="105"/>
        <v>-1.0954146911728211</v>
      </c>
      <c r="R870" s="3">
        <f t="shared" ca="1" si="106"/>
        <v>5.5070747517618672</v>
      </c>
    </row>
    <row r="871" spans="7:18" x14ac:dyDescent="0.25">
      <c r="G871" s="2">
        <f t="shared" ca="1" si="100"/>
        <v>0.46725079769734923</v>
      </c>
      <c r="H871" s="3">
        <f t="shared" ca="1" si="101"/>
        <v>0</v>
      </c>
      <c r="I871" s="3">
        <f t="shared" ca="1" si="102"/>
        <v>12.382812775292482</v>
      </c>
      <c r="J871" s="3">
        <f t="shared" ca="1" si="103"/>
        <v>17.59461052090418</v>
      </c>
      <c r="P871" s="3">
        <f t="shared" ca="1" si="104"/>
        <v>-10.119789190524333</v>
      </c>
      <c r="Q871" s="3">
        <f t="shared" ca="1" si="105"/>
        <v>-0.59038045495129043</v>
      </c>
      <c r="R871" s="3">
        <f t="shared" ca="1" si="106"/>
        <v>10.136995725669495</v>
      </c>
    </row>
    <row r="872" spans="7:18" x14ac:dyDescent="0.25">
      <c r="G872" s="2">
        <f t="shared" ca="1" si="100"/>
        <v>0.50184728381594013</v>
      </c>
      <c r="H872" s="3">
        <f t="shared" ca="1" si="101"/>
        <v>0</v>
      </c>
      <c r="I872" s="3">
        <f t="shared" ca="1" si="102"/>
        <v>0.42426002329678442</v>
      </c>
      <c r="J872" s="3">
        <f t="shared" ca="1" si="103"/>
        <v>3.2567622852181906</v>
      </c>
      <c r="P872" s="3">
        <f t="shared" ca="1" si="104"/>
        <v>-8.6598679190372607</v>
      </c>
      <c r="Q872" s="3">
        <f t="shared" ca="1" si="105"/>
        <v>2.9210508560884634</v>
      </c>
      <c r="R872" s="3">
        <f t="shared" ca="1" si="106"/>
        <v>9.139247807069566</v>
      </c>
    </row>
    <row r="873" spans="7:18" x14ac:dyDescent="0.25">
      <c r="G873" s="2">
        <f t="shared" ca="1" si="100"/>
        <v>0.59712917903306362</v>
      </c>
      <c r="H873" s="3">
        <f t="shared" ca="1" si="101"/>
        <v>0</v>
      </c>
      <c r="I873" s="3">
        <f t="shared" ca="1" si="102"/>
        <v>3.5114209852371925</v>
      </c>
      <c r="J873" s="3">
        <f t="shared" ca="1" si="103"/>
        <v>9.3693929702478496</v>
      </c>
      <c r="P873" s="3">
        <f t="shared" ca="1" si="104"/>
        <v>-2.528244739183453</v>
      </c>
      <c r="Q873" s="3">
        <f t="shared" ca="1" si="105"/>
        <v>-4.5348961593247603</v>
      </c>
      <c r="R873" s="3">
        <f t="shared" ca="1" si="106"/>
        <v>5.1920424340588038</v>
      </c>
    </row>
    <row r="874" spans="7:18" x14ac:dyDescent="0.25">
      <c r="G874" s="2">
        <f t="shared" ca="1" si="100"/>
        <v>0.41990472641674825</v>
      </c>
      <c r="H874" s="3">
        <f t="shared" ca="1" si="101"/>
        <v>0</v>
      </c>
      <c r="I874" s="3">
        <f t="shared" ca="1" si="102"/>
        <v>1.8082972996820381</v>
      </c>
      <c r="J874" s="3">
        <f t="shared" ca="1" si="103"/>
        <v>6.7236472611262821</v>
      </c>
      <c r="P874" s="3">
        <f t="shared" ca="1" si="104"/>
        <v>-4.5444130811321806</v>
      </c>
      <c r="Q874" s="3">
        <f t="shared" ca="1" si="105"/>
        <v>9.7115324654552495</v>
      </c>
      <c r="R874" s="3">
        <f t="shared" ca="1" si="106"/>
        <v>10.722199078526597</v>
      </c>
    </row>
    <row r="875" spans="7:18" x14ac:dyDescent="0.25">
      <c r="G875" s="2">
        <f t="shared" ca="1" si="100"/>
        <v>0.14710066247426345</v>
      </c>
      <c r="H875" s="3">
        <f t="shared" ca="1" si="101"/>
        <v>0</v>
      </c>
      <c r="I875" s="3">
        <f t="shared" ca="1" si="102"/>
        <v>0.47401533761989595</v>
      </c>
      <c r="J875" s="3">
        <f t="shared" ca="1" si="103"/>
        <v>3.4424385892122173</v>
      </c>
      <c r="P875" s="3">
        <f t="shared" ca="1" si="104"/>
        <v>-10.331369335231312</v>
      </c>
      <c r="Q875" s="3">
        <f t="shared" ca="1" si="105"/>
        <v>-3.2954662877860441</v>
      </c>
      <c r="R875" s="3">
        <f t="shared" ca="1" si="106"/>
        <v>10.844228437048539</v>
      </c>
    </row>
    <row r="876" spans="7:18" x14ac:dyDescent="0.25">
      <c r="G876" s="2">
        <f t="shared" ca="1" si="100"/>
        <v>0.67175130941406147</v>
      </c>
      <c r="H876" s="3">
        <f t="shared" ca="1" si="101"/>
        <v>1</v>
      </c>
      <c r="I876" s="3">
        <f t="shared" ca="1" si="102"/>
        <v>2.1461390604462913</v>
      </c>
      <c r="J876" s="3">
        <f t="shared" ca="1" si="103"/>
        <v>7.3248533440033654</v>
      </c>
      <c r="P876" s="3">
        <f t="shared" ca="1" si="104"/>
        <v>-5.7604529390620742</v>
      </c>
      <c r="Q876" s="3">
        <f t="shared" ca="1" si="105"/>
        <v>-1.5448748764449087</v>
      </c>
      <c r="R876" s="3">
        <f t="shared" ca="1" si="106"/>
        <v>5.9640134512775509</v>
      </c>
    </row>
    <row r="877" spans="7:18" x14ac:dyDescent="0.25">
      <c r="G877" s="2">
        <f t="shared" ca="1" si="100"/>
        <v>0.88455344082194787</v>
      </c>
      <c r="H877" s="3">
        <f t="shared" ca="1" si="101"/>
        <v>1</v>
      </c>
      <c r="I877" s="3">
        <f t="shared" ca="1" si="102"/>
        <v>2.1805829293086054</v>
      </c>
      <c r="J877" s="3">
        <f t="shared" ca="1" si="103"/>
        <v>7.3833984880077512</v>
      </c>
      <c r="P877" s="3">
        <f t="shared" ca="1" si="104"/>
        <v>-2.1199385488345275</v>
      </c>
      <c r="Q877" s="3">
        <f t="shared" ca="1" si="105"/>
        <v>-3.0385131260182461</v>
      </c>
      <c r="R877" s="3">
        <f t="shared" ca="1" si="106"/>
        <v>3.7049563381799544</v>
      </c>
    </row>
    <row r="878" spans="7:18" x14ac:dyDescent="0.25">
      <c r="G878" s="2">
        <f t="shared" ca="1" si="100"/>
        <v>0.15258604767438644</v>
      </c>
      <c r="H878" s="3">
        <f t="shared" ca="1" si="101"/>
        <v>0</v>
      </c>
      <c r="I878" s="3">
        <f t="shared" ca="1" si="102"/>
        <v>0.10376242024714377</v>
      </c>
      <c r="J878" s="3">
        <f t="shared" ca="1" si="103"/>
        <v>1.6106087377692306</v>
      </c>
      <c r="P878" s="3">
        <f t="shared" ca="1" si="104"/>
        <v>-14.011422411155049</v>
      </c>
      <c r="Q878" s="3">
        <f t="shared" ca="1" si="105"/>
        <v>-8.1500990902115085</v>
      </c>
      <c r="R878" s="3">
        <f t="shared" ca="1" si="106"/>
        <v>16.209382257325057</v>
      </c>
    </row>
    <row r="879" spans="7:18" x14ac:dyDescent="0.25">
      <c r="G879" s="2">
        <f t="shared" ca="1" si="100"/>
        <v>0.87916652830517672</v>
      </c>
      <c r="H879" s="3">
        <f t="shared" ca="1" si="101"/>
        <v>1</v>
      </c>
      <c r="I879" s="3">
        <f t="shared" ca="1" si="102"/>
        <v>4.5252958961129091</v>
      </c>
      <c r="J879" s="3">
        <f t="shared" ca="1" si="103"/>
        <v>10.636371439679168</v>
      </c>
      <c r="P879" s="3">
        <f t="shared" ca="1" si="104"/>
        <v>-9.375665586183267</v>
      </c>
      <c r="Q879" s="3">
        <f t="shared" ca="1" si="105"/>
        <v>-2.3998787094446059</v>
      </c>
      <c r="R879" s="3">
        <f t="shared" ca="1" si="106"/>
        <v>9.6779400186189797</v>
      </c>
    </row>
    <row r="880" spans="7:18" x14ac:dyDescent="0.25">
      <c r="G880" s="2">
        <f t="shared" ca="1" si="100"/>
        <v>0.90083051788468116</v>
      </c>
      <c r="H880" s="3">
        <f t="shared" ca="1" si="101"/>
        <v>1</v>
      </c>
      <c r="I880" s="3">
        <f t="shared" ca="1" si="102"/>
        <v>2.7161313245767267</v>
      </c>
      <c r="J880" s="3">
        <f t="shared" ca="1" si="103"/>
        <v>8.2403448419600842</v>
      </c>
      <c r="P880" s="3">
        <f t="shared" ca="1" si="104"/>
        <v>-9.1092197660009973</v>
      </c>
      <c r="Q880" s="3">
        <f t="shared" ca="1" si="105"/>
        <v>-5.1463259492274114</v>
      </c>
      <c r="R880" s="3">
        <f t="shared" ca="1" si="106"/>
        <v>10.462435448832871</v>
      </c>
    </row>
    <row r="881" spans="7:18" x14ac:dyDescent="0.25">
      <c r="G881" s="2">
        <f t="shared" ca="1" si="100"/>
        <v>0.32033984698252649</v>
      </c>
      <c r="H881" s="3">
        <f t="shared" ca="1" si="101"/>
        <v>0</v>
      </c>
      <c r="I881" s="3">
        <f t="shared" ca="1" si="102"/>
        <v>0.62139399034746778</v>
      </c>
      <c r="J881" s="3">
        <f t="shared" ca="1" si="103"/>
        <v>3.9414273757975922</v>
      </c>
      <c r="P881" s="3">
        <f t="shared" ca="1" si="104"/>
        <v>0.20991231197036253</v>
      </c>
      <c r="Q881" s="3">
        <f t="shared" ca="1" si="105"/>
        <v>3.0108158930376425</v>
      </c>
      <c r="R881" s="3">
        <f t="shared" ca="1" si="106"/>
        <v>3.0181245038077535</v>
      </c>
    </row>
    <row r="882" spans="7:18" x14ac:dyDescent="0.25">
      <c r="G882" s="2">
        <f t="shared" ca="1" si="100"/>
        <v>0.52681546850577998</v>
      </c>
      <c r="H882" s="3">
        <f t="shared" ca="1" si="101"/>
        <v>0</v>
      </c>
      <c r="I882" s="3">
        <f t="shared" ca="1" si="102"/>
        <v>4.6554073574123278E-2</v>
      </c>
      <c r="J882" s="3">
        <f t="shared" ca="1" si="103"/>
        <v>1.0788196509857808</v>
      </c>
      <c r="P882" s="3">
        <f t="shared" ca="1" si="104"/>
        <v>-8.5134624193287856</v>
      </c>
      <c r="Q882" s="3">
        <f t="shared" ca="1" si="105"/>
        <v>14.186095376712204</v>
      </c>
      <c r="R882" s="3">
        <f t="shared" ca="1" si="106"/>
        <v>16.544616780164443</v>
      </c>
    </row>
    <row r="883" spans="7:18" x14ac:dyDescent="0.25">
      <c r="G883" s="2">
        <f t="shared" ca="1" si="100"/>
        <v>0.2669772657923285</v>
      </c>
      <c r="H883" s="3">
        <f t="shared" ca="1" si="101"/>
        <v>0</v>
      </c>
      <c r="I883" s="3">
        <f t="shared" ca="1" si="102"/>
        <v>0.69646635526091338</v>
      </c>
      <c r="J883" s="3">
        <f t="shared" ca="1" si="103"/>
        <v>4.1727279903586858</v>
      </c>
      <c r="P883" s="3">
        <f t="shared" ca="1" si="104"/>
        <v>-1.648528686742901</v>
      </c>
      <c r="Q883" s="3">
        <f t="shared" ca="1" si="105"/>
        <v>-3.1706474773184739</v>
      </c>
      <c r="R883" s="3">
        <f t="shared" ca="1" si="106"/>
        <v>3.573604938495619</v>
      </c>
    </row>
    <row r="884" spans="7:18" x14ac:dyDescent="0.25">
      <c r="G884" s="2">
        <f t="shared" ca="1" si="100"/>
        <v>0.99986363993052907</v>
      </c>
      <c r="H884" s="3">
        <f t="shared" ca="1" si="101"/>
        <v>5</v>
      </c>
      <c r="I884" s="3">
        <f t="shared" ca="1" si="102"/>
        <v>7.0306393906554234</v>
      </c>
      <c r="J884" s="3">
        <f t="shared" ca="1" si="103"/>
        <v>13.257676446737776</v>
      </c>
      <c r="P884" s="3">
        <f t="shared" ca="1" si="104"/>
        <v>-8.0962948283332423</v>
      </c>
      <c r="Q884" s="3">
        <f t="shared" ca="1" si="105"/>
        <v>-4.6470082042093352</v>
      </c>
      <c r="R884" s="3">
        <f t="shared" ca="1" si="106"/>
        <v>9.3351312362111152</v>
      </c>
    </row>
    <row r="885" spans="7:18" x14ac:dyDescent="0.25">
      <c r="G885" s="2">
        <f t="shared" ca="1" si="100"/>
        <v>0.67377983108525152</v>
      </c>
      <c r="H885" s="3">
        <f t="shared" ca="1" si="101"/>
        <v>1</v>
      </c>
      <c r="I885" s="3">
        <f t="shared" ca="1" si="102"/>
        <v>3.278223491895826</v>
      </c>
      <c r="J885" s="3">
        <f t="shared" ca="1" si="103"/>
        <v>9.0529325247344943</v>
      </c>
      <c r="P885" s="3">
        <f t="shared" ca="1" si="104"/>
        <v>-9.3257611714394422</v>
      </c>
      <c r="Q885" s="3">
        <f t="shared" ca="1" si="105"/>
        <v>-1.3858801440377393</v>
      </c>
      <c r="R885" s="3">
        <f t="shared" ca="1" si="106"/>
        <v>9.4281750726408156</v>
      </c>
    </row>
    <row r="886" spans="7:18" x14ac:dyDescent="0.25">
      <c r="G886" s="2">
        <f t="shared" ca="1" si="100"/>
        <v>0.84325564940406017</v>
      </c>
      <c r="H886" s="3">
        <f t="shared" ca="1" si="101"/>
        <v>1</v>
      </c>
      <c r="I886" s="3">
        <f t="shared" ca="1" si="102"/>
        <v>3.9200358457033833</v>
      </c>
      <c r="J886" s="3">
        <f t="shared" ca="1" si="103"/>
        <v>9.8995401985437983</v>
      </c>
      <c r="P886" s="3">
        <f t="shared" ca="1" si="104"/>
        <v>-1.9311961110664058</v>
      </c>
      <c r="Q886" s="3">
        <f t="shared" ca="1" si="105"/>
        <v>1.9075685071482127</v>
      </c>
      <c r="R886" s="3">
        <f t="shared" ca="1" si="106"/>
        <v>2.7144679089762085</v>
      </c>
    </row>
    <row r="887" spans="7:18" x14ac:dyDescent="0.25">
      <c r="G887" s="2">
        <f t="shared" ca="1" si="100"/>
        <v>0.62284545007402548</v>
      </c>
      <c r="H887" s="3">
        <f t="shared" ca="1" si="101"/>
        <v>1</v>
      </c>
      <c r="I887" s="3">
        <f t="shared" ca="1" si="102"/>
        <v>2.6642560323218141</v>
      </c>
      <c r="J887" s="3">
        <f t="shared" ca="1" si="103"/>
        <v>8.1612744597915192</v>
      </c>
      <c r="P887" s="3">
        <f t="shared" ca="1" si="104"/>
        <v>-7.4280717302553523</v>
      </c>
      <c r="Q887" s="3">
        <f t="shared" ca="1" si="105"/>
        <v>-3.5763141203400006</v>
      </c>
      <c r="R887" s="3">
        <f t="shared" ca="1" si="106"/>
        <v>8.2441659564301588</v>
      </c>
    </row>
    <row r="888" spans="7:18" x14ac:dyDescent="0.25">
      <c r="G888" s="2">
        <f t="shared" ca="1" si="100"/>
        <v>0.21364665315509179</v>
      </c>
      <c r="H888" s="3">
        <f t="shared" ca="1" si="101"/>
        <v>0</v>
      </c>
      <c r="I888" s="3">
        <f t="shared" ca="1" si="102"/>
        <v>5.373825233259268</v>
      </c>
      <c r="J888" s="3">
        <f t="shared" ca="1" si="103"/>
        <v>11.590756266589411</v>
      </c>
      <c r="P888" s="3">
        <f t="shared" ca="1" si="104"/>
        <v>-11.319903529454262</v>
      </c>
      <c r="Q888" s="3">
        <f t="shared" ca="1" si="105"/>
        <v>7.0646422772172563</v>
      </c>
      <c r="R888" s="3">
        <f t="shared" ca="1" si="106"/>
        <v>13.343514770149447</v>
      </c>
    </row>
    <row r="889" spans="7:18" x14ac:dyDescent="0.25">
      <c r="G889" s="2">
        <f t="shared" ca="1" si="100"/>
        <v>0.99312583395496967</v>
      </c>
      <c r="H889" s="3">
        <f t="shared" ca="1" si="101"/>
        <v>3</v>
      </c>
      <c r="I889" s="3">
        <f t="shared" ca="1" si="102"/>
        <v>4.078884508143644</v>
      </c>
      <c r="J889" s="3">
        <f t="shared" ca="1" si="103"/>
        <v>10.09812421708067</v>
      </c>
      <c r="P889" s="3">
        <f t="shared" ca="1" si="104"/>
        <v>-1.5804107321722336</v>
      </c>
      <c r="Q889" s="3">
        <f t="shared" ca="1" si="105"/>
        <v>-0.53537124950120873</v>
      </c>
      <c r="R889" s="3">
        <f t="shared" ca="1" si="106"/>
        <v>1.6686283160601287</v>
      </c>
    </row>
    <row r="890" spans="7:18" x14ac:dyDescent="0.25">
      <c r="G890" s="2">
        <f t="shared" ca="1" si="100"/>
        <v>0.4272597123655707</v>
      </c>
      <c r="H890" s="3">
        <f t="shared" ca="1" si="101"/>
        <v>0</v>
      </c>
      <c r="I890" s="3">
        <f t="shared" ca="1" si="102"/>
        <v>1.2391526831013246</v>
      </c>
      <c r="J890" s="3">
        <f t="shared" ca="1" si="103"/>
        <v>5.5658617551582354</v>
      </c>
      <c r="P890" s="3">
        <f t="shared" ca="1" si="104"/>
        <v>-3.7414498533017131</v>
      </c>
      <c r="Q890" s="3">
        <f t="shared" ca="1" si="105"/>
        <v>7.4139102493112885</v>
      </c>
      <c r="R890" s="3">
        <f t="shared" ca="1" si="106"/>
        <v>8.3044874730241105</v>
      </c>
    </row>
    <row r="891" spans="7:18" x14ac:dyDescent="0.25">
      <c r="G891" s="2">
        <f t="shared" ca="1" si="100"/>
        <v>0.95214038261942202</v>
      </c>
      <c r="H891" s="3">
        <f t="shared" ca="1" si="101"/>
        <v>2</v>
      </c>
      <c r="I891" s="3">
        <f t="shared" ca="1" si="102"/>
        <v>4.0267585321866086</v>
      </c>
      <c r="J891" s="3">
        <f t="shared" ca="1" si="103"/>
        <v>10.03339241257239</v>
      </c>
      <c r="P891" s="3">
        <f t="shared" ca="1" si="104"/>
        <v>0.52497324866484441</v>
      </c>
      <c r="Q891" s="3">
        <f t="shared" ca="1" si="105"/>
        <v>-3.049038087353086</v>
      </c>
      <c r="R891" s="3">
        <f t="shared" ca="1" si="106"/>
        <v>3.0939020944340636</v>
      </c>
    </row>
    <row r="892" spans="7:18" x14ac:dyDescent="0.25">
      <c r="G892" s="2">
        <f t="shared" ca="1" si="100"/>
        <v>0.52900967119253051</v>
      </c>
      <c r="H892" s="3">
        <f t="shared" ca="1" si="101"/>
        <v>0</v>
      </c>
      <c r="I892" s="3">
        <f t="shared" ca="1" si="102"/>
        <v>4.4045593058884185</v>
      </c>
      <c r="J892" s="3">
        <f t="shared" ca="1" si="103"/>
        <v>10.493520984265029</v>
      </c>
      <c r="P892" s="3">
        <f t="shared" ca="1" si="104"/>
        <v>-4.8970490599692438</v>
      </c>
      <c r="Q892" s="3">
        <f t="shared" ca="1" si="105"/>
        <v>2.1031313942951075</v>
      </c>
      <c r="R892" s="3">
        <f t="shared" ca="1" si="106"/>
        <v>5.3295638806018015</v>
      </c>
    </row>
    <row r="893" spans="7:18" x14ac:dyDescent="0.25">
      <c r="G893" s="2">
        <f t="shared" ca="1" si="100"/>
        <v>0.92319846888005508</v>
      </c>
      <c r="H893" s="3">
        <f t="shared" ca="1" si="101"/>
        <v>2</v>
      </c>
      <c r="I893" s="3">
        <f t="shared" ca="1" si="102"/>
        <v>2.026880952996819</v>
      </c>
      <c r="J893" s="3">
        <f t="shared" ca="1" si="103"/>
        <v>7.1184284659551427</v>
      </c>
      <c r="P893" s="3">
        <f t="shared" ca="1" si="104"/>
        <v>2.3930785612167487</v>
      </c>
      <c r="Q893" s="3">
        <f t="shared" ca="1" si="105"/>
        <v>-5.9010858501979273</v>
      </c>
      <c r="R893" s="3">
        <f t="shared" ca="1" si="106"/>
        <v>6.3678598611748214</v>
      </c>
    </row>
    <row r="894" spans="7:18" x14ac:dyDescent="0.25">
      <c r="G894" s="2">
        <f t="shared" ca="1" si="100"/>
        <v>0.82765867698391948</v>
      </c>
      <c r="H894" s="3">
        <f t="shared" ca="1" si="101"/>
        <v>1</v>
      </c>
      <c r="I894" s="3">
        <f t="shared" ca="1" si="102"/>
        <v>1.4736082813365967</v>
      </c>
      <c r="J894" s="3">
        <f t="shared" ca="1" si="103"/>
        <v>6.0696134171308564</v>
      </c>
      <c r="P894" s="3">
        <f t="shared" ca="1" si="104"/>
        <v>0.2380200235031662</v>
      </c>
      <c r="Q894" s="3">
        <f t="shared" ca="1" si="105"/>
        <v>7.7391591243752123</v>
      </c>
      <c r="R894" s="3">
        <f t="shared" ca="1" si="106"/>
        <v>7.7428184457591769</v>
      </c>
    </row>
    <row r="895" spans="7:18" x14ac:dyDescent="0.25">
      <c r="G895" s="2">
        <f t="shared" ca="1" si="100"/>
        <v>0.91119501353906207</v>
      </c>
      <c r="H895" s="3">
        <f t="shared" ca="1" si="101"/>
        <v>2</v>
      </c>
      <c r="I895" s="3">
        <f t="shared" ca="1" si="102"/>
        <v>7.2443788303581869</v>
      </c>
      <c r="J895" s="3">
        <f t="shared" ca="1" si="103"/>
        <v>13.457691880815027</v>
      </c>
      <c r="P895" s="3">
        <f t="shared" ca="1" si="104"/>
        <v>-11.297276220088682</v>
      </c>
      <c r="Q895" s="3">
        <f t="shared" ca="1" si="105"/>
        <v>-1.6631370715561016</v>
      </c>
      <c r="R895" s="3">
        <f t="shared" ca="1" si="106"/>
        <v>11.419040017083985</v>
      </c>
    </row>
    <row r="896" spans="7:18" x14ac:dyDescent="0.25">
      <c r="G896" s="2">
        <f t="shared" ca="1" si="100"/>
        <v>0.57656102953281685</v>
      </c>
      <c r="H896" s="3">
        <f t="shared" ca="1" si="101"/>
        <v>0</v>
      </c>
      <c r="I896" s="3">
        <f t="shared" ca="1" si="102"/>
        <v>0.73558996840870494</v>
      </c>
      <c r="J896" s="3">
        <f t="shared" ca="1" si="103"/>
        <v>4.2883270875969366</v>
      </c>
      <c r="P896" s="3">
        <f t="shared" ca="1" si="104"/>
        <v>-4.2074599994776607</v>
      </c>
      <c r="Q896" s="3">
        <f t="shared" ca="1" si="105"/>
        <v>5.6044291683362948</v>
      </c>
      <c r="R896" s="3">
        <f t="shared" ca="1" si="106"/>
        <v>7.008020116274154</v>
      </c>
    </row>
    <row r="897" spans="7:18" x14ac:dyDescent="0.25">
      <c r="G897" s="2">
        <f t="shared" ca="1" si="100"/>
        <v>0.21066924537149223</v>
      </c>
      <c r="H897" s="3">
        <f t="shared" ca="1" si="101"/>
        <v>0</v>
      </c>
      <c r="I897" s="3">
        <f t="shared" ca="1" si="102"/>
        <v>4.8460858553122383</v>
      </c>
      <c r="J897" s="3">
        <f t="shared" ca="1" si="103"/>
        <v>11.006913572060332</v>
      </c>
      <c r="P897" s="3">
        <f t="shared" ca="1" si="104"/>
        <v>5.6932104623609536</v>
      </c>
      <c r="Q897" s="3">
        <f t="shared" ca="1" si="105"/>
        <v>2.371524863778939</v>
      </c>
      <c r="R897" s="3">
        <f t="shared" ca="1" si="106"/>
        <v>6.1673961724748914</v>
      </c>
    </row>
    <row r="898" spans="7:18" x14ac:dyDescent="0.25">
      <c r="G898" s="2">
        <f t="shared" ca="1" si="100"/>
        <v>0.27164652412757173</v>
      </c>
      <c r="H898" s="3">
        <f t="shared" ca="1" si="101"/>
        <v>0</v>
      </c>
      <c r="I898" s="3">
        <f t="shared" ca="1" si="102"/>
        <v>1.2313588934430759</v>
      </c>
      <c r="J898" s="3">
        <f t="shared" ca="1" si="103"/>
        <v>5.5483305900132605</v>
      </c>
      <c r="P898" s="3">
        <f t="shared" ca="1" si="104"/>
        <v>-5.1212470026577153</v>
      </c>
      <c r="Q898" s="3">
        <f t="shared" ca="1" si="105"/>
        <v>2.4525675193701786</v>
      </c>
      <c r="R898" s="3">
        <f t="shared" ca="1" si="106"/>
        <v>5.6782266861494906</v>
      </c>
    </row>
    <row r="899" spans="7:18" x14ac:dyDescent="0.25">
      <c r="G899" s="2">
        <f t="shared" ca="1" si="100"/>
        <v>0.46883249199965604</v>
      </c>
      <c r="H899" s="3">
        <f t="shared" ca="1" si="101"/>
        <v>0</v>
      </c>
      <c r="I899" s="3">
        <f t="shared" ca="1" si="102"/>
        <v>0.13217154232553727</v>
      </c>
      <c r="J899" s="3">
        <f t="shared" ca="1" si="103"/>
        <v>1.8177702159894777</v>
      </c>
      <c r="P899" s="3">
        <f t="shared" ca="1" si="104"/>
        <v>2.084220090701824</v>
      </c>
      <c r="Q899" s="3">
        <f t="shared" ca="1" si="105"/>
        <v>-0.98545041741327677</v>
      </c>
      <c r="R899" s="3">
        <f t="shared" ca="1" si="106"/>
        <v>2.3054470090776586</v>
      </c>
    </row>
    <row r="900" spans="7:18" x14ac:dyDescent="0.25">
      <c r="G900" s="2">
        <f t="shared" ref="G900:G963" ca="1" si="107">RAND()</f>
        <v>0.56747366963627865</v>
      </c>
      <c r="H900" s="3">
        <f t="shared" ref="H900:H963" ca="1" si="108">VLOOKUP(G900,$B$9:$C$169,2,TRUE)</f>
        <v>0</v>
      </c>
      <c r="I900" s="3">
        <f t="shared" ref="I900:I963" ca="1" si="109">_xlfn.CHISQ.INV(RAND(),2*H900+2)</f>
        <v>0.59593881346752775</v>
      </c>
      <c r="J900" s="3">
        <f t="shared" ref="J900:J963" ca="1" si="110">$C$4*SQRT(I900)</f>
        <v>3.8598536677817457</v>
      </c>
      <c r="P900" s="3">
        <f t="shared" ref="P900:P963" ca="1" si="111">_xlfn.NORM.INV(RAND(),$C$3*COS($O$2),$C$4)</f>
        <v>-12.520724657593615</v>
      </c>
      <c r="Q900" s="3">
        <f t="shared" ref="Q900:Q963" ca="1" si="112">_xlfn.NORM.INV(RAND(),$C$3*SIN($O$2),$C$4)</f>
        <v>7.9222676734693662</v>
      </c>
      <c r="R900" s="3">
        <f t="shared" ref="R900:R963" ca="1" si="113">SQRT(P900^2+Q900^2)</f>
        <v>14.816574200582618</v>
      </c>
    </row>
    <row r="901" spans="7:18" x14ac:dyDescent="0.25">
      <c r="G901" s="2">
        <f t="shared" ca="1" si="107"/>
        <v>0.19726637381910384</v>
      </c>
      <c r="H901" s="3">
        <f t="shared" ca="1" si="108"/>
        <v>0</v>
      </c>
      <c r="I901" s="3">
        <f t="shared" ca="1" si="109"/>
        <v>0.99875286778480299</v>
      </c>
      <c r="J901" s="3">
        <f t="shared" ca="1" si="110"/>
        <v>4.9968811967686477</v>
      </c>
      <c r="P901" s="3">
        <f t="shared" ca="1" si="111"/>
        <v>-5.9486188299768585</v>
      </c>
      <c r="Q901" s="3">
        <f t="shared" ca="1" si="112"/>
        <v>-1.6863551497954179</v>
      </c>
      <c r="R901" s="3">
        <f t="shared" ca="1" si="113"/>
        <v>6.1830299753111966</v>
      </c>
    </row>
    <row r="902" spans="7:18" x14ac:dyDescent="0.25">
      <c r="G902" s="2">
        <f t="shared" ca="1" si="107"/>
        <v>0.45097352665679014</v>
      </c>
      <c r="H902" s="3">
        <f t="shared" ca="1" si="108"/>
        <v>0</v>
      </c>
      <c r="I902" s="3">
        <f t="shared" ca="1" si="109"/>
        <v>0.2163124829661274</v>
      </c>
      <c r="J902" s="3">
        <f t="shared" ca="1" si="110"/>
        <v>2.3254702909633536</v>
      </c>
      <c r="P902" s="3">
        <f t="shared" ca="1" si="111"/>
        <v>-8.8562953466530576</v>
      </c>
      <c r="Q902" s="3">
        <f t="shared" ca="1" si="112"/>
        <v>1.7002350224538738</v>
      </c>
      <c r="R902" s="3">
        <f t="shared" ca="1" si="113"/>
        <v>9.0180245286164169</v>
      </c>
    </row>
    <row r="903" spans="7:18" x14ac:dyDescent="0.25">
      <c r="G903" s="2">
        <f t="shared" ca="1" si="107"/>
        <v>0.79061867622957327</v>
      </c>
      <c r="H903" s="3">
        <f t="shared" ca="1" si="108"/>
        <v>1</v>
      </c>
      <c r="I903" s="3">
        <f t="shared" ca="1" si="109"/>
        <v>2.3582515269883317</v>
      </c>
      <c r="J903" s="3">
        <f t="shared" ca="1" si="110"/>
        <v>7.6782998231840551</v>
      </c>
      <c r="P903" s="3">
        <f t="shared" ca="1" si="111"/>
        <v>-3.5641573398701372</v>
      </c>
      <c r="Q903" s="3">
        <f t="shared" ca="1" si="112"/>
        <v>4.0955645431008545</v>
      </c>
      <c r="R903" s="3">
        <f t="shared" ca="1" si="113"/>
        <v>5.4292602138832029</v>
      </c>
    </row>
    <row r="904" spans="7:18" x14ac:dyDescent="0.25">
      <c r="G904" s="2">
        <f t="shared" ca="1" si="107"/>
        <v>0.40658869691289945</v>
      </c>
      <c r="H904" s="3">
        <f t="shared" ca="1" si="108"/>
        <v>0</v>
      </c>
      <c r="I904" s="3">
        <f t="shared" ca="1" si="109"/>
        <v>2.528672001272501</v>
      </c>
      <c r="J904" s="3">
        <f t="shared" ca="1" si="110"/>
        <v>7.9508993222032762</v>
      </c>
      <c r="P904" s="3">
        <f t="shared" ca="1" si="111"/>
        <v>-3.9278139231917781</v>
      </c>
      <c r="Q904" s="3">
        <f t="shared" ca="1" si="112"/>
        <v>6.6364436910726576</v>
      </c>
      <c r="R904" s="3">
        <f t="shared" ca="1" si="113"/>
        <v>7.7116863966318849</v>
      </c>
    </row>
    <row r="905" spans="7:18" x14ac:dyDescent="0.25">
      <c r="G905" s="2">
        <f t="shared" ca="1" si="107"/>
        <v>0.62872300491169164</v>
      </c>
      <c r="H905" s="3">
        <f t="shared" ca="1" si="108"/>
        <v>1</v>
      </c>
      <c r="I905" s="3">
        <f t="shared" ca="1" si="109"/>
        <v>3.4191840556741258</v>
      </c>
      <c r="J905" s="3">
        <f t="shared" ca="1" si="110"/>
        <v>9.2455179082544188</v>
      </c>
      <c r="P905" s="3">
        <f t="shared" ca="1" si="111"/>
        <v>-4.844653990498565</v>
      </c>
      <c r="Q905" s="3">
        <f t="shared" ca="1" si="112"/>
        <v>1.1425140548769657</v>
      </c>
      <c r="R905" s="3">
        <f t="shared" ca="1" si="113"/>
        <v>4.9775506680741159</v>
      </c>
    </row>
    <row r="906" spans="7:18" x14ac:dyDescent="0.25">
      <c r="G906" s="2">
        <f t="shared" ca="1" si="107"/>
        <v>0.10111912727603267</v>
      </c>
      <c r="H906" s="3">
        <f t="shared" ca="1" si="108"/>
        <v>0</v>
      </c>
      <c r="I906" s="3">
        <f t="shared" ca="1" si="109"/>
        <v>2.2327977847214981</v>
      </c>
      <c r="J906" s="3">
        <f t="shared" ca="1" si="110"/>
        <v>7.4712746314158105</v>
      </c>
      <c r="P906" s="3">
        <f t="shared" ca="1" si="111"/>
        <v>-13.462178413532119</v>
      </c>
      <c r="Q906" s="3">
        <f t="shared" ca="1" si="112"/>
        <v>-1.5254737101743692</v>
      </c>
      <c r="R906" s="3">
        <f t="shared" ca="1" si="113"/>
        <v>13.548332653068542</v>
      </c>
    </row>
    <row r="907" spans="7:18" x14ac:dyDescent="0.25">
      <c r="G907" s="2">
        <f t="shared" ca="1" si="107"/>
        <v>0.24712265235270536</v>
      </c>
      <c r="H907" s="3">
        <f t="shared" ca="1" si="108"/>
        <v>0</v>
      </c>
      <c r="I907" s="3">
        <f t="shared" ca="1" si="109"/>
        <v>0.43605201676243577</v>
      </c>
      <c r="J907" s="3">
        <f t="shared" ca="1" si="110"/>
        <v>3.301711740758253</v>
      </c>
      <c r="P907" s="3">
        <f t="shared" ca="1" si="111"/>
        <v>-8.2975499196684233</v>
      </c>
      <c r="Q907" s="3">
        <f t="shared" ca="1" si="112"/>
        <v>-0.12527875541919306</v>
      </c>
      <c r="R907" s="3">
        <f t="shared" ca="1" si="113"/>
        <v>8.2984956128173515</v>
      </c>
    </row>
    <row r="908" spans="7:18" x14ac:dyDescent="0.25">
      <c r="G908" s="2">
        <f t="shared" ca="1" si="107"/>
        <v>0.42926689710724675</v>
      </c>
      <c r="H908" s="3">
        <f t="shared" ca="1" si="108"/>
        <v>0</v>
      </c>
      <c r="I908" s="3">
        <f t="shared" ca="1" si="109"/>
        <v>0.61940855496572056</v>
      </c>
      <c r="J908" s="3">
        <f t="shared" ca="1" si="110"/>
        <v>3.9351256490921624</v>
      </c>
      <c r="P908" s="3">
        <f t="shared" ca="1" si="111"/>
        <v>-7.6568828903046731</v>
      </c>
      <c r="Q908" s="3">
        <f t="shared" ca="1" si="112"/>
        <v>2.2255020082326022</v>
      </c>
      <c r="R908" s="3">
        <f t="shared" ca="1" si="113"/>
        <v>7.9737516129164563</v>
      </c>
    </row>
    <row r="909" spans="7:18" x14ac:dyDescent="0.25">
      <c r="G909" s="2">
        <f t="shared" ca="1" si="107"/>
        <v>0.54835514183777034</v>
      </c>
      <c r="H909" s="3">
        <f t="shared" ca="1" si="108"/>
        <v>0</v>
      </c>
      <c r="I909" s="3">
        <f t="shared" ca="1" si="109"/>
        <v>0.98903775434939256</v>
      </c>
      <c r="J909" s="3">
        <f t="shared" ca="1" si="110"/>
        <v>4.9725188645931571</v>
      </c>
      <c r="P909" s="3">
        <f t="shared" ca="1" si="111"/>
        <v>-1.7237324170664787</v>
      </c>
      <c r="Q909" s="3">
        <f t="shared" ca="1" si="112"/>
        <v>-1.1896311238242312</v>
      </c>
      <c r="R909" s="3">
        <f t="shared" ca="1" si="113"/>
        <v>2.094391476400042</v>
      </c>
    </row>
    <row r="910" spans="7:18" x14ac:dyDescent="0.25">
      <c r="G910" s="2">
        <f t="shared" ca="1" si="107"/>
        <v>0.25062139954254459</v>
      </c>
      <c r="H910" s="3">
        <f t="shared" ca="1" si="108"/>
        <v>0</v>
      </c>
      <c r="I910" s="3">
        <f t="shared" ca="1" si="109"/>
        <v>5.3369105752600392</v>
      </c>
      <c r="J910" s="3">
        <f t="shared" ca="1" si="110"/>
        <v>11.550877212640646</v>
      </c>
      <c r="P910" s="3">
        <f t="shared" ca="1" si="111"/>
        <v>-8.7742875356344072</v>
      </c>
      <c r="Q910" s="3">
        <f t="shared" ca="1" si="112"/>
        <v>-4.9307989350465595</v>
      </c>
      <c r="R910" s="3">
        <f t="shared" ca="1" si="113"/>
        <v>10.064834817116752</v>
      </c>
    </row>
    <row r="911" spans="7:18" x14ac:dyDescent="0.25">
      <c r="G911" s="2">
        <f t="shared" ca="1" si="107"/>
        <v>0.41508583163950763</v>
      </c>
      <c r="H911" s="3">
        <f t="shared" ca="1" si="108"/>
        <v>0</v>
      </c>
      <c r="I911" s="3">
        <f t="shared" ca="1" si="109"/>
        <v>1.4658599289587777</v>
      </c>
      <c r="J911" s="3">
        <f t="shared" ca="1" si="110"/>
        <v>6.05363512477994</v>
      </c>
      <c r="P911" s="3">
        <f t="shared" ca="1" si="111"/>
        <v>0.3332490990270065</v>
      </c>
      <c r="Q911" s="3">
        <f t="shared" ca="1" si="112"/>
        <v>-3.0634104661708323</v>
      </c>
      <c r="R911" s="3">
        <f t="shared" ca="1" si="113"/>
        <v>3.0814831893501071</v>
      </c>
    </row>
    <row r="912" spans="7:18" x14ac:dyDescent="0.25">
      <c r="G912" s="2">
        <f t="shared" ca="1" si="107"/>
        <v>0.19140392717440757</v>
      </c>
      <c r="H912" s="3">
        <f t="shared" ca="1" si="108"/>
        <v>0</v>
      </c>
      <c r="I912" s="3">
        <f t="shared" ca="1" si="109"/>
        <v>0.49554512054187494</v>
      </c>
      <c r="J912" s="3">
        <f t="shared" ca="1" si="110"/>
        <v>3.5197482883789961</v>
      </c>
      <c r="P912" s="3">
        <f t="shared" ca="1" si="111"/>
        <v>-12.054322020420377</v>
      </c>
      <c r="Q912" s="3">
        <f t="shared" ca="1" si="112"/>
        <v>0.83574973094633587</v>
      </c>
      <c r="R912" s="3">
        <f t="shared" ca="1" si="113"/>
        <v>12.0832593692583</v>
      </c>
    </row>
    <row r="913" spans="7:18" x14ac:dyDescent="0.25">
      <c r="G913" s="2">
        <f t="shared" ca="1" si="107"/>
        <v>0.61590377912243122</v>
      </c>
      <c r="H913" s="3">
        <f t="shared" ca="1" si="108"/>
        <v>1</v>
      </c>
      <c r="I913" s="3">
        <f t="shared" ca="1" si="109"/>
        <v>4.9033302880930236</v>
      </c>
      <c r="J913" s="3">
        <f t="shared" ca="1" si="110"/>
        <v>11.071732348748572</v>
      </c>
      <c r="P913" s="3">
        <f t="shared" ca="1" si="111"/>
        <v>-3.8762005265197956</v>
      </c>
      <c r="Q913" s="3">
        <f t="shared" ca="1" si="112"/>
        <v>1.8430001284611524</v>
      </c>
      <c r="R913" s="3">
        <f t="shared" ca="1" si="113"/>
        <v>4.2920368119693668</v>
      </c>
    </row>
    <row r="914" spans="7:18" x14ac:dyDescent="0.25">
      <c r="G914" s="2">
        <f t="shared" ca="1" si="107"/>
        <v>0.67296154651230511</v>
      </c>
      <c r="H914" s="3">
        <f t="shared" ca="1" si="108"/>
        <v>1</v>
      </c>
      <c r="I914" s="3">
        <f t="shared" ca="1" si="109"/>
        <v>5.6884161276012719</v>
      </c>
      <c r="J914" s="3">
        <f t="shared" ca="1" si="110"/>
        <v>11.925200341714675</v>
      </c>
      <c r="P914" s="3">
        <f t="shared" ca="1" si="111"/>
        <v>-5.8287248276390233</v>
      </c>
      <c r="Q914" s="3">
        <f t="shared" ca="1" si="112"/>
        <v>-3.0657727642576695</v>
      </c>
      <c r="R914" s="3">
        <f t="shared" ca="1" si="113"/>
        <v>6.5858177744604864</v>
      </c>
    </row>
    <row r="915" spans="7:18" x14ac:dyDescent="0.25">
      <c r="G915" s="2">
        <f t="shared" ca="1" si="107"/>
        <v>0.82600282117016166</v>
      </c>
      <c r="H915" s="3">
        <f t="shared" ca="1" si="108"/>
        <v>1</v>
      </c>
      <c r="I915" s="3">
        <f t="shared" ca="1" si="109"/>
        <v>3.4572592988436104</v>
      </c>
      <c r="J915" s="3">
        <f t="shared" ca="1" si="110"/>
        <v>9.2968533639662336</v>
      </c>
      <c r="P915" s="3">
        <f t="shared" ca="1" si="111"/>
        <v>-5.4438210492798715</v>
      </c>
      <c r="Q915" s="3">
        <f t="shared" ca="1" si="112"/>
        <v>-2.5079178019271255</v>
      </c>
      <c r="R915" s="3">
        <f t="shared" ca="1" si="113"/>
        <v>5.9937333372286075</v>
      </c>
    </row>
    <row r="916" spans="7:18" x14ac:dyDescent="0.25">
      <c r="G916" s="2">
        <f t="shared" ca="1" si="107"/>
        <v>0.50794123893125187</v>
      </c>
      <c r="H916" s="3">
        <f t="shared" ca="1" si="108"/>
        <v>0</v>
      </c>
      <c r="I916" s="3">
        <f t="shared" ca="1" si="109"/>
        <v>0.38750385122923153</v>
      </c>
      <c r="J916" s="3">
        <f t="shared" ca="1" si="110"/>
        <v>3.1124903663675472</v>
      </c>
      <c r="P916" s="3">
        <f t="shared" ca="1" si="111"/>
        <v>-10.384870808637062</v>
      </c>
      <c r="Q916" s="3">
        <f t="shared" ca="1" si="112"/>
        <v>-1.0236174418892747</v>
      </c>
      <c r="R916" s="3">
        <f t="shared" ca="1" si="113"/>
        <v>10.435196901804112</v>
      </c>
    </row>
    <row r="917" spans="7:18" x14ac:dyDescent="0.25">
      <c r="G917" s="2">
        <f t="shared" ca="1" si="107"/>
        <v>0.37519610816130566</v>
      </c>
      <c r="H917" s="3">
        <f t="shared" ca="1" si="108"/>
        <v>0</v>
      </c>
      <c r="I917" s="3">
        <f t="shared" ca="1" si="109"/>
        <v>1.3564582707780395</v>
      </c>
      <c r="J917" s="3">
        <f t="shared" ca="1" si="110"/>
        <v>5.8233544258829886</v>
      </c>
      <c r="P917" s="3">
        <f t="shared" ca="1" si="111"/>
        <v>-6.7090185367632218</v>
      </c>
      <c r="Q917" s="3">
        <f t="shared" ca="1" si="112"/>
        <v>10.309553315081255</v>
      </c>
      <c r="R917" s="3">
        <f t="shared" ca="1" si="113"/>
        <v>12.300317852931094</v>
      </c>
    </row>
    <row r="918" spans="7:18" x14ac:dyDescent="0.25">
      <c r="G918" s="2">
        <f t="shared" ca="1" si="107"/>
        <v>0.63219809198321331</v>
      </c>
      <c r="H918" s="3">
        <f t="shared" ca="1" si="108"/>
        <v>1</v>
      </c>
      <c r="I918" s="3">
        <f t="shared" ca="1" si="109"/>
        <v>0.88255593519927977</v>
      </c>
      <c r="J918" s="3">
        <f t="shared" ca="1" si="110"/>
        <v>4.6972224111683278</v>
      </c>
      <c r="P918" s="3">
        <f t="shared" ca="1" si="111"/>
        <v>-6.9100511121571735</v>
      </c>
      <c r="Q918" s="3">
        <f t="shared" ca="1" si="112"/>
        <v>-3.3783939004743346</v>
      </c>
      <c r="R918" s="3">
        <f t="shared" ca="1" si="113"/>
        <v>7.6917066844353066</v>
      </c>
    </row>
    <row r="919" spans="7:18" x14ac:dyDescent="0.25">
      <c r="G919" s="2">
        <f t="shared" ca="1" si="107"/>
        <v>0.62916755026963922</v>
      </c>
      <c r="H919" s="3">
        <f t="shared" ca="1" si="108"/>
        <v>1</v>
      </c>
      <c r="I919" s="3">
        <f t="shared" ca="1" si="109"/>
        <v>1.1726664279967747</v>
      </c>
      <c r="J919" s="3">
        <f t="shared" ca="1" si="110"/>
        <v>5.4144861898355012</v>
      </c>
      <c r="P919" s="3">
        <f t="shared" ca="1" si="111"/>
        <v>-5.7267833763878908</v>
      </c>
      <c r="Q919" s="3">
        <f t="shared" ca="1" si="112"/>
        <v>-7.8482870252776396</v>
      </c>
      <c r="R919" s="3">
        <f t="shared" ca="1" si="113"/>
        <v>9.7155368905281829</v>
      </c>
    </row>
    <row r="920" spans="7:18" x14ac:dyDescent="0.25">
      <c r="G920" s="2">
        <f t="shared" ca="1" si="107"/>
        <v>0.96194416538051208</v>
      </c>
      <c r="H920" s="3">
        <f t="shared" ca="1" si="108"/>
        <v>2</v>
      </c>
      <c r="I920" s="3">
        <f t="shared" ca="1" si="109"/>
        <v>16.185321746353235</v>
      </c>
      <c r="J920" s="3">
        <f t="shared" ca="1" si="110"/>
        <v>20.115492627793902</v>
      </c>
      <c r="P920" s="3">
        <f t="shared" ca="1" si="111"/>
        <v>-12.793270818030207</v>
      </c>
      <c r="Q920" s="3">
        <f t="shared" ca="1" si="112"/>
        <v>-2.4033231661282053</v>
      </c>
      <c r="R920" s="3">
        <f t="shared" ca="1" si="113"/>
        <v>13.017055752523754</v>
      </c>
    </row>
    <row r="921" spans="7:18" x14ac:dyDescent="0.25">
      <c r="G921" s="2">
        <f t="shared" ca="1" si="107"/>
        <v>0.43900770739261497</v>
      </c>
      <c r="H921" s="3">
        <f t="shared" ca="1" si="108"/>
        <v>0</v>
      </c>
      <c r="I921" s="3">
        <f t="shared" ca="1" si="109"/>
        <v>12.57369816509431</v>
      </c>
      <c r="J921" s="3">
        <f t="shared" ca="1" si="110"/>
        <v>17.729705415695935</v>
      </c>
      <c r="P921" s="3">
        <f t="shared" ca="1" si="111"/>
        <v>6.821774592740697</v>
      </c>
      <c r="Q921" s="3">
        <f t="shared" ca="1" si="112"/>
        <v>0.63052882928172249</v>
      </c>
      <c r="R921" s="3">
        <f t="shared" ca="1" si="113"/>
        <v>6.8508521512814653</v>
      </c>
    </row>
    <row r="922" spans="7:18" x14ac:dyDescent="0.25">
      <c r="G922" s="2">
        <f t="shared" ca="1" si="107"/>
        <v>0.82009393467590386</v>
      </c>
      <c r="H922" s="3">
        <f t="shared" ca="1" si="108"/>
        <v>1</v>
      </c>
      <c r="I922" s="3">
        <f t="shared" ca="1" si="109"/>
        <v>3.9871070039794758</v>
      </c>
      <c r="J922" s="3">
        <f t="shared" ca="1" si="110"/>
        <v>9.9838707473347679</v>
      </c>
      <c r="P922" s="3">
        <f t="shared" ca="1" si="111"/>
        <v>-5.4595364498402494</v>
      </c>
      <c r="Q922" s="3">
        <f t="shared" ca="1" si="112"/>
        <v>-10.511630993762015</v>
      </c>
      <c r="R922" s="3">
        <f t="shared" ca="1" si="113"/>
        <v>11.844869116885693</v>
      </c>
    </row>
    <row r="923" spans="7:18" x14ac:dyDescent="0.25">
      <c r="G923" s="2">
        <f t="shared" ca="1" si="107"/>
        <v>0.61588977381665855</v>
      </c>
      <c r="H923" s="3">
        <f t="shared" ca="1" si="108"/>
        <v>1</v>
      </c>
      <c r="I923" s="3">
        <f t="shared" ca="1" si="109"/>
        <v>0.8652728525998673</v>
      </c>
      <c r="J923" s="3">
        <f t="shared" ca="1" si="110"/>
        <v>4.6510021839380684</v>
      </c>
      <c r="P923" s="3">
        <f t="shared" ca="1" si="111"/>
        <v>-3.2515829633563733</v>
      </c>
      <c r="Q923" s="3">
        <f t="shared" ca="1" si="112"/>
        <v>3.3537222436959579</v>
      </c>
      <c r="R923" s="3">
        <f t="shared" ca="1" si="113"/>
        <v>4.6712144732874838</v>
      </c>
    </row>
    <row r="924" spans="7:18" x14ac:dyDescent="0.25">
      <c r="G924" s="2">
        <f t="shared" ca="1" si="107"/>
        <v>0.97311458059856026</v>
      </c>
      <c r="H924" s="3">
        <f t="shared" ca="1" si="108"/>
        <v>2</v>
      </c>
      <c r="I924" s="3">
        <f t="shared" ca="1" si="109"/>
        <v>5.5681338285381026</v>
      </c>
      <c r="J924" s="3">
        <f t="shared" ca="1" si="110"/>
        <v>11.798446750036742</v>
      </c>
      <c r="P924" s="3">
        <f t="shared" ca="1" si="111"/>
        <v>6.4021913256750729</v>
      </c>
      <c r="Q924" s="3">
        <f t="shared" ca="1" si="112"/>
        <v>-5.6962221705135407</v>
      </c>
      <c r="R924" s="3">
        <f t="shared" ca="1" si="113"/>
        <v>8.5694224301524038</v>
      </c>
    </row>
    <row r="925" spans="7:18" x14ac:dyDescent="0.25">
      <c r="G925" s="2">
        <f t="shared" ca="1" si="107"/>
        <v>0.16211466426415144</v>
      </c>
      <c r="H925" s="3">
        <f t="shared" ca="1" si="108"/>
        <v>0</v>
      </c>
      <c r="I925" s="3">
        <f t="shared" ca="1" si="109"/>
        <v>0.63727008642517624</v>
      </c>
      <c r="J925" s="3">
        <f t="shared" ca="1" si="110"/>
        <v>3.9914599034224816</v>
      </c>
      <c r="P925" s="3">
        <f t="shared" ca="1" si="111"/>
        <v>-8.8111690867656236</v>
      </c>
      <c r="Q925" s="3">
        <f t="shared" ca="1" si="112"/>
        <v>-1.9153100616873886</v>
      </c>
      <c r="R925" s="3">
        <f t="shared" ca="1" si="113"/>
        <v>9.0169348066832047</v>
      </c>
    </row>
    <row r="926" spans="7:18" x14ac:dyDescent="0.25">
      <c r="G926" s="2">
        <f t="shared" ca="1" si="107"/>
        <v>0.12200922161459349</v>
      </c>
      <c r="H926" s="3">
        <f t="shared" ca="1" si="108"/>
        <v>0</v>
      </c>
      <c r="I926" s="3">
        <f t="shared" ca="1" si="109"/>
        <v>0.2345606894928178</v>
      </c>
      <c r="J926" s="3">
        <f t="shared" ca="1" si="110"/>
        <v>2.4215732979450459</v>
      </c>
      <c r="P926" s="3">
        <f t="shared" ca="1" si="111"/>
        <v>-10.831588742480815</v>
      </c>
      <c r="Q926" s="3">
        <f t="shared" ca="1" si="112"/>
        <v>-5.8754936256984971</v>
      </c>
      <c r="R926" s="3">
        <f t="shared" ca="1" si="113"/>
        <v>12.322529774030201</v>
      </c>
    </row>
    <row r="927" spans="7:18" x14ac:dyDescent="0.25">
      <c r="G927" s="2">
        <f t="shared" ca="1" si="107"/>
        <v>0.86084852611405949</v>
      </c>
      <c r="H927" s="3">
        <f t="shared" ca="1" si="108"/>
        <v>1</v>
      </c>
      <c r="I927" s="3">
        <f t="shared" ca="1" si="109"/>
        <v>8.4754126192154686</v>
      </c>
      <c r="J927" s="3">
        <f t="shared" ca="1" si="110"/>
        <v>14.55628096322638</v>
      </c>
      <c r="P927" s="3">
        <f t="shared" ca="1" si="111"/>
        <v>-6.0079009560157841</v>
      </c>
      <c r="Q927" s="3">
        <f t="shared" ca="1" si="112"/>
        <v>6.45113894492596</v>
      </c>
      <c r="R927" s="3">
        <f t="shared" ca="1" si="113"/>
        <v>8.8154448318865786</v>
      </c>
    </row>
    <row r="928" spans="7:18" x14ac:dyDescent="0.25">
      <c r="G928" s="2">
        <f t="shared" ca="1" si="107"/>
        <v>0.56336927210861076</v>
      </c>
      <c r="H928" s="3">
        <f t="shared" ca="1" si="108"/>
        <v>0</v>
      </c>
      <c r="I928" s="3">
        <f t="shared" ca="1" si="109"/>
        <v>0.72636979170229188</v>
      </c>
      <c r="J928" s="3">
        <f t="shared" ca="1" si="110"/>
        <v>4.2613665405075514</v>
      </c>
      <c r="P928" s="3">
        <f t="shared" ca="1" si="111"/>
        <v>-4.8916955368030912</v>
      </c>
      <c r="Q928" s="3">
        <f t="shared" ca="1" si="112"/>
        <v>4.0757153312710095</v>
      </c>
      <c r="R928" s="3">
        <f t="shared" ca="1" si="113"/>
        <v>6.3671139997911803</v>
      </c>
    </row>
    <row r="929" spans="7:18" x14ac:dyDescent="0.25">
      <c r="G929" s="2">
        <f t="shared" ca="1" si="107"/>
        <v>0.21325992273865579</v>
      </c>
      <c r="H929" s="3">
        <f t="shared" ca="1" si="108"/>
        <v>0</v>
      </c>
      <c r="I929" s="3">
        <f t="shared" ca="1" si="109"/>
        <v>0.35483083239654761</v>
      </c>
      <c r="J929" s="3">
        <f t="shared" ca="1" si="110"/>
        <v>2.9783839258755225</v>
      </c>
      <c r="P929" s="3">
        <f t="shared" ca="1" si="111"/>
        <v>-1.8188649517717881</v>
      </c>
      <c r="Q929" s="3">
        <f t="shared" ca="1" si="112"/>
        <v>7.1384227142612673</v>
      </c>
      <c r="R929" s="3">
        <f t="shared" ca="1" si="113"/>
        <v>7.3665017858047781</v>
      </c>
    </row>
    <row r="930" spans="7:18" x14ac:dyDescent="0.25">
      <c r="G930" s="2">
        <f t="shared" ca="1" si="107"/>
        <v>0.6715376075547419</v>
      </c>
      <c r="H930" s="3">
        <f t="shared" ca="1" si="108"/>
        <v>1</v>
      </c>
      <c r="I930" s="3">
        <f t="shared" ca="1" si="109"/>
        <v>4.5833999062698805</v>
      </c>
      <c r="J930" s="3">
        <f t="shared" ca="1" si="110"/>
        <v>10.704438222379867</v>
      </c>
      <c r="P930" s="3">
        <f t="shared" ca="1" si="111"/>
        <v>-2.8211555193913962</v>
      </c>
      <c r="Q930" s="3">
        <f t="shared" ca="1" si="112"/>
        <v>-12.427443726829637</v>
      </c>
      <c r="R930" s="3">
        <f t="shared" ca="1" si="113"/>
        <v>12.743636688485349</v>
      </c>
    </row>
    <row r="931" spans="7:18" x14ac:dyDescent="0.25">
      <c r="G931" s="2">
        <f t="shared" ca="1" si="107"/>
        <v>0.49239357487399482</v>
      </c>
      <c r="H931" s="3">
        <f t="shared" ca="1" si="108"/>
        <v>0</v>
      </c>
      <c r="I931" s="3">
        <f t="shared" ca="1" si="109"/>
        <v>8.9341253203682233E-2</v>
      </c>
      <c r="J931" s="3">
        <f t="shared" ca="1" si="110"/>
        <v>1.4945003613556125</v>
      </c>
      <c r="P931" s="3">
        <f t="shared" ca="1" si="111"/>
        <v>-9.9420258226388256</v>
      </c>
      <c r="Q931" s="3">
        <f t="shared" ca="1" si="112"/>
        <v>-7.1546930184605051</v>
      </c>
      <c r="R931" s="3">
        <f t="shared" ca="1" si="113"/>
        <v>12.248816663107695</v>
      </c>
    </row>
    <row r="932" spans="7:18" x14ac:dyDescent="0.25">
      <c r="G932" s="2">
        <f t="shared" ca="1" si="107"/>
        <v>0.16648424286533137</v>
      </c>
      <c r="H932" s="3">
        <f t="shared" ca="1" si="108"/>
        <v>0</v>
      </c>
      <c r="I932" s="3">
        <f t="shared" ca="1" si="109"/>
        <v>2.0150450539548479</v>
      </c>
      <c r="J932" s="3">
        <f t="shared" ca="1" si="110"/>
        <v>7.0976141307393714</v>
      </c>
      <c r="P932" s="3">
        <f t="shared" ca="1" si="111"/>
        <v>-5.1477447507969636</v>
      </c>
      <c r="Q932" s="3">
        <f t="shared" ca="1" si="112"/>
        <v>-8.8811699089573715</v>
      </c>
      <c r="R932" s="3">
        <f t="shared" ca="1" si="113"/>
        <v>10.26520603646744</v>
      </c>
    </row>
    <row r="933" spans="7:18" x14ac:dyDescent="0.25">
      <c r="G933" s="2">
        <f t="shared" ca="1" si="107"/>
        <v>0.40988317654913953</v>
      </c>
      <c r="H933" s="3">
        <f t="shared" ca="1" si="108"/>
        <v>0</v>
      </c>
      <c r="I933" s="3">
        <f t="shared" ca="1" si="109"/>
        <v>0.73495977738376916</v>
      </c>
      <c r="J933" s="3">
        <f t="shared" ca="1" si="110"/>
        <v>4.2864897567350173</v>
      </c>
      <c r="P933" s="3">
        <f t="shared" ca="1" si="111"/>
        <v>-3.9559249095715669</v>
      </c>
      <c r="Q933" s="3">
        <f t="shared" ca="1" si="112"/>
        <v>-3.0121698002281803</v>
      </c>
      <c r="R933" s="3">
        <f t="shared" ca="1" si="113"/>
        <v>4.9721734478571324</v>
      </c>
    </row>
    <row r="934" spans="7:18" x14ac:dyDescent="0.25">
      <c r="G934" s="2">
        <f t="shared" ca="1" si="107"/>
        <v>0.58515093158873288</v>
      </c>
      <c r="H934" s="3">
        <f t="shared" ca="1" si="108"/>
        <v>0</v>
      </c>
      <c r="I934" s="3">
        <f t="shared" ca="1" si="109"/>
        <v>2.0843471305365142</v>
      </c>
      <c r="J934" s="3">
        <f t="shared" ca="1" si="110"/>
        <v>7.2186340995657101</v>
      </c>
      <c r="P934" s="3">
        <f t="shared" ca="1" si="111"/>
        <v>-7.6191237164573131</v>
      </c>
      <c r="Q934" s="3">
        <f t="shared" ca="1" si="112"/>
        <v>1.5198766922503861</v>
      </c>
      <c r="R934" s="3">
        <f t="shared" ca="1" si="113"/>
        <v>7.7692387893749455</v>
      </c>
    </row>
    <row r="935" spans="7:18" x14ac:dyDescent="0.25">
      <c r="G935" s="2">
        <f t="shared" ca="1" si="107"/>
        <v>0.14903303652764843</v>
      </c>
      <c r="H935" s="3">
        <f t="shared" ca="1" si="108"/>
        <v>0</v>
      </c>
      <c r="I935" s="3">
        <f t="shared" ca="1" si="109"/>
        <v>0.98472250378380222</v>
      </c>
      <c r="J935" s="3">
        <f t="shared" ca="1" si="110"/>
        <v>4.9616592582114158</v>
      </c>
      <c r="P935" s="3">
        <f t="shared" ca="1" si="111"/>
        <v>2.2709507375988869</v>
      </c>
      <c r="Q935" s="3">
        <f t="shared" ca="1" si="112"/>
        <v>-5.3445182706269883</v>
      </c>
      <c r="R935" s="3">
        <f t="shared" ca="1" si="113"/>
        <v>5.806986550498169</v>
      </c>
    </row>
    <row r="936" spans="7:18" x14ac:dyDescent="0.25">
      <c r="G936" s="2">
        <f t="shared" ca="1" si="107"/>
        <v>0.9022515219922056</v>
      </c>
      <c r="H936" s="3">
        <f t="shared" ca="1" si="108"/>
        <v>1</v>
      </c>
      <c r="I936" s="3">
        <f t="shared" ca="1" si="109"/>
        <v>0.7112155411999459</v>
      </c>
      <c r="J936" s="3">
        <f t="shared" ca="1" si="110"/>
        <v>4.2166797993206275</v>
      </c>
      <c r="P936" s="3">
        <f t="shared" ca="1" si="111"/>
        <v>-0.36879102846526379</v>
      </c>
      <c r="Q936" s="3">
        <f t="shared" ca="1" si="112"/>
        <v>-3.8890344846489996E-2</v>
      </c>
      <c r="R936" s="3">
        <f t="shared" ca="1" si="113"/>
        <v>0.37083592274582289</v>
      </c>
    </row>
    <row r="937" spans="7:18" x14ac:dyDescent="0.25">
      <c r="G937" s="2">
        <f t="shared" ca="1" si="107"/>
        <v>0.14850306135742564</v>
      </c>
      <c r="H937" s="3">
        <f t="shared" ca="1" si="108"/>
        <v>0</v>
      </c>
      <c r="I937" s="3">
        <f t="shared" ca="1" si="109"/>
        <v>5.4426226118799672</v>
      </c>
      <c r="J937" s="3">
        <f t="shared" ca="1" si="110"/>
        <v>11.66471453988477</v>
      </c>
      <c r="P937" s="3">
        <f t="shared" ca="1" si="111"/>
        <v>-2.2909910027837705</v>
      </c>
      <c r="Q937" s="3">
        <f t="shared" ca="1" si="112"/>
        <v>-2.3172706675141885</v>
      </c>
      <c r="R937" s="3">
        <f t="shared" ca="1" si="113"/>
        <v>3.2585860616773403</v>
      </c>
    </row>
    <row r="938" spans="7:18" x14ac:dyDescent="0.25">
      <c r="G938" s="2">
        <f t="shared" ca="1" si="107"/>
        <v>0.15290616753593689</v>
      </c>
      <c r="H938" s="3">
        <f t="shared" ca="1" si="108"/>
        <v>0</v>
      </c>
      <c r="I938" s="3">
        <f t="shared" ca="1" si="109"/>
        <v>2.5848711222858443</v>
      </c>
      <c r="J938" s="3">
        <f t="shared" ca="1" si="110"/>
        <v>8.0387671975960409</v>
      </c>
      <c r="P938" s="3">
        <f t="shared" ca="1" si="111"/>
        <v>0.97198536409818015</v>
      </c>
      <c r="Q938" s="3">
        <f t="shared" ca="1" si="112"/>
        <v>1.902686691401817</v>
      </c>
      <c r="R938" s="3">
        <f t="shared" ca="1" si="113"/>
        <v>2.1365795547226099</v>
      </c>
    </row>
    <row r="939" spans="7:18" x14ac:dyDescent="0.25">
      <c r="G939" s="2">
        <f t="shared" ca="1" si="107"/>
        <v>0.51291593227169585</v>
      </c>
      <c r="H939" s="3">
        <f t="shared" ca="1" si="108"/>
        <v>0</v>
      </c>
      <c r="I939" s="3">
        <f t="shared" ca="1" si="109"/>
        <v>0.77678912367531294</v>
      </c>
      <c r="J939" s="3">
        <f t="shared" ca="1" si="110"/>
        <v>4.4067820563176054</v>
      </c>
      <c r="P939" s="3">
        <f t="shared" ca="1" si="111"/>
        <v>-3.4593073794341471</v>
      </c>
      <c r="Q939" s="3">
        <f t="shared" ca="1" si="112"/>
        <v>5.1979229088032453</v>
      </c>
      <c r="R939" s="3">
        <f t="shared" ca="1" si="113"/>
        <v>6.2438137473237569</v>
      </c>
    </row>
    <row r="940" spans="7:18" x14ac:dyDescent="0.25">
      <c r="G940" s="2">
        <f t="shared" ca="1" si="107"/>
        <v>0.65952775094289595</v>
      </c>
      <c r="H940" s="3">
        <f t="shared" ca="1" si="108"/>
        <v>1</v>
      </c>
      <c r="I940" s="3">
        <f t="shared" ca="1" si="109"/>
        <v>0.48757620128939277</v>
      </c>
      <c r="J940" s="3">
        <f t="shared" ca="1" si="110"/>
        <v>3.4913328446647447</v>
      </c>
      <c r="P940" s="3">
        <f t="shared" ca="1" si="111"/>
        <v>-7.666210569969099</v>
      </c>
      <c r="Q940" s="3">
        <f t="shared" ca="1" si="112"/>
        <v>0.55689887139813521</v>
      </c>
      <c r="R940" s="3">
        <f t="shared" ca="1" si="113"/>
        <v>7.6864114420235436</v>
      </c>
    </row>
    <row r="941" spans="7:18" x14ac:dyDescent="0.25">
      <c r="G941" s="2">
        <f t="shared" ca="1" si="107"/>
        <v>0.87601419686673809</v>
      </c>
      <c r="H941" s="3">
        <f t="shared" ca="1" si="108"/>
        <v>1</v>
      </c>
      <c r="I941" s="3">
        <f t="shared" ca="1" si="109"/>
        <v>6.7475384647304111</v>
      </c>
      <c r="J941" s="3">
        <f t="shared" ca="1" si="110"/>
        <v>12.988012227367985</v>
      </c>
      <c r="P941" s="3">
        <f t="shared" ca="1" si="111"/>
        <v>-8.7735427421442864</v>
      </c>
      <c r="Q941" s="3">
        <f t="shared" ca="1" si="112"/>
        <v>2.6061451364542041</v>
      </c>
      <c r="R941" s="3">
        <f t="shared" ca="1" si="113"/>
        <v>9.1524338140462174</v>
      </c>
    </row>
    <row r="942" spans="7:18" x14ac:dyDescent="0.25">
      <c r="G942" s="2">
        <f t="shared" ca="1" si="107"/>
        <v>7.6649701303508122E-2</v>
      </c>
      <c r="H942" s="3">
        <f t="shared" ca="1" si="108"/>
        <v>0</v>
      </c>
      <c r="I942" s="3">
        <f t="shared" ca="1" si="109"/>
        <v>4.46515314282437</v>
      </c>
      <c r="J942" s="3">
        <f t="shared" ca="1" si="110"/>
        <v>10.565454489543233</v>
      </c>
      <c r="P942" s="3">
        <f t="shared" ca="1" si="111"/>
        <v>-4.7793891385013012</v>
      </c>
      <c r="Q942" s="3">
        <f t="shared" ca="1" si="112"/>
        <v>3.1884537973013494</v>
      </c>
      <c r="R942" s="3">
        <f t="shared" ca="1" si="113"/>
        <v>5.745328376581238</v>
      </c>
    </row>
    <row r="943" spans="7:18" x14ac:dyDescent="0.25">
      <c r="G943" s="2">
        <f t="shared" ca="1" si="107"/>
        <v>0.70486841020633151</v>
      </c>
      <c r="H943" s="3">
        <f t="shared" ca="1" si="108"/>
        <v>1</v>
      </c>
      <c r="I943" s="3">
        <f t="shared" ca="1" si="109"/>
        <v>5.5700709745579164</v>
      </c>
      <c r="J943" s="3">
        <f t="shared" ca="1" si="110"/>
        <v>11.800498903179811</v>
      </c>
      <c r="P943" s="3">
        <f t="shared" ca="1" si="111"/>
        <v>-7.1952293333220112</v>
      </c>
      <c r="Q943" s="3">
        <f t="shared" ca="1" si="112"/>
        <v>1.9205417454102642</v>
      </c>
      <c r="R943" s="3">
        <f t="shared" ca="1" si="113"/>
        <v>7.4471340631790035</v>
      </c>
    </row>
    <row r="944" spans="7:18" x14ac:dyDescent="0.25">
      <c r="G944" s="2">
        <f t="shared" ca="1" si="107"/>
        <v>0.66466751571117144</v>
      </c>
      <c r="H944" s="3">
        <f t="shared" ca="1" si="108"/>
        <v>1</v>
      </c>
      <c r="I944" s="3">
        <f t="shared" ca="1" si="109"/>
        <v>7.21167630254235</v>
      </c>
      <c r="J944" s="3">
        <f t="shared" ca="1" si="110"/>
        <v>13.427282210617262</v>
      </c>
      <c r="P944" s="3">
        <f t="shared" ca="1" si="111"/>
        <v>-11.766772248762456</v>
      </c>
      <c r="Q944" s="3">
        <f t="shared" ca="1" si="112"/>
        <v>10.330828099060136</v>
      </c>
      <c r="R944" s="3">
        <f t="shared" ca="1" si="113"/>
        <v>15.658318503804191</v>
      </c>
    </row>
    <row r="945" spans="7:18" x14ac:dyDescent="0.25">
      <c r="G945" s="2">
        <f t="shared" ca="1" si="107"/>
        <v>0.96235607853840222</v>
      </c>
      <c r="H945" s="3">
        <f t="shared" ca="1" si="108"/>
        <v>2</v>
      </c>
      <c r="I945" s="3">
        <f t="shared" ca="1" si="109"/>
        <v>12.855023872835419</v>
      </c>
      <c r="J945" s="3">
        <f t="shared" ca="1" si="110"/>
        <v>17.926951687916311</v>
      </c>
      <c r="P945" s="3">
        <f t="shared" ca="1" si="111"/>
        <v>0.62739510412426736</v>
      </c>
      <c r="Q945" s="3">
        <f t="shared" ca="1" si="112"/>
        <v>0.13406044223674121</v>
      </c>
      <c r="R945" s="3">
        <f t="shared" ca="1" si="113"/>
        <v>0.64155811806243312</v>
      </c>
    </row>
    <row r="946" spans="7:18" x14ac:dyDescent="0.25">
      <c r="G946" s="2">
        <f t="shared" ca="1" si="107"/>
        <v>0.80934670712658807</v>
      </c>
      <c r="H946" s="3">
        <f t="shared" ca="1" si="108"/>
        <v>1</v>
      </c>
      <c r="I946" s="3">
        <f t="shared" ca="1" si="109"/>
        <v>12.913854128667744</v>
      </c>
      <c r="J946" s="3">
        <f t="shared" ca="1" si="110"/>
        <v>17.967925679295693</v>
      </c>
      <c r="P946" s="3">
        <f t="shared" ca="1" si="111"/>
        <v>-0.12989990156865616</v>
      </c>
      <c r="Q946" s="3">
        <f t="shared" ca="1" si="112"/>
        <v>6.8352289912823716</v>
      </c>
      <c r="R946" s="3">
        <f t="shared" ca="1" si="113"/>
        <v>6.8364632192161006</v>
      </c>
    </row>
    <row r="947" spans="7:18" x14ac:dyDescent="0.25">
      <c r="G947" s="2">
        <f t="shared" ca="1" si="107"/>
        <v>0.61864858679406898</v>
      </c>
      <c r="H947" s="3">
        <f t="shared" ca="1" si="108"/>
        <v>1</v>
      </c>
      <c r="I947" s="3">
        <f t="shared" ca="1" si="109"/>
        <v>2.7882204595041444</v>
      </c>
      <c r="J947" s="3">
        <f t="shared" ca="1" si="110"/>
        <v>8.3489826618339329</v>
      </c>
      <c r="P947" s="3">
        <f t="shared" ca="1" si="111"/>
        <v>-12.775073141447454</v>
      </c>
      <c r="Q947" s="3">
        <f t="shared" ca="1" si="112"/>
        <v>5.5114196115794112</v>
      </c>
      <c r="R947" s="3">
        <f t="shared" ca="1" si="113"/>
        <v>13.913239734304669</v>
      </c>
    </row>
    <row r="948" spans="7:18" x14ac:dyDescent="0.25">
      <c r="G948" s="2">
        <f t="shared" ca="1" si="107"/>
        <v>0.95202555899711783</v>
      </c>
      <c r="H948" s="3">
        <f t="shared" ca="1" si="108"/>
        <v>2</v>
      </c>
      <c r="I948" s="3">
        <f t="shared" ca="1" si="109"/>
        <v>7.0151143678003782</v>
      </c>
      <c r="J948" s="3">
        <f t="shared" ca="1" si="110"/>
        <v>13.243030589521776</v>
      </c>
      <c r="P948" s="3">
        <f t="shared" ca="1" si="111"/>
        <v>-3.5764303306123062</v>
      </c>
      <c r="Q948" s="3">
        <f t="shared" ca="1" si="112"/>
        <v>5.674558845955942</v>
      </c>
      <c r="R948" s="3">
        <f t="shared" ca="1" si="113"/>
        <v>6.707568263233739</v>
      </c>
    </row>
    <row r="949" spans="7:18" x14ac:dyDescent="0.25">
      <c r="G949" s="2">
        <f t="shared" ca="1" si="107"/>
        <v>0.6809735076231701</v>
      </c>
      <c r="H949" s="3">
        <f t="shared" ca="1" si="108"/>
        <v>1</v>
      </c>
      <c r="I949" s="3">
        <f t="shared" ca="1" si="109"/>
        <v>6.8500612422472953</v>
      </c>
      <c r="J949" s="3">
        <f t="shared" ca="1" si="110"/>
        <v>13.086310826821377</v>
      </c>
      <c r="P949" s="3">
        <f t="shared" ca="1" si="111"/>
        <v>-6.9643796806471103</v>
      </c>
      <c r="Q949" s="3">
        <f t="shared" ca="1" si="112"/>
        <v>3.3706986055999382</v>
      </c>
      <c r="R949" s="3">
        <f t="shared" ca="1" si="113"/>
        <v>7.7371954496447692</v>
      </c>
    </row>
    <row r="950" spans="7:18" x14ac:dyDescent="0.25">
      <c r="G950" s="2">
        <f t="shared" ca="1" si="107"/>
        <v>0.2536605703258783</v>
      </c>
      <c r="H950" s="3">
        <f t="shared" ca="1" si="108"/>
        <v>0</v>
      </c>
      <c r="I950" s="3">
        <f t="shared" ca="1" si="109"/>
        <v>4.5383768271224548E-2</v>
      </c>
      <c r="J950" s="3">
        <f t="shared" ca="1" si="110"/>
        <v>1.0651733224131243</v>
      </c>
      <c r="P950" s="3">
        <f t="shared" ca="1" si="111"/>
        <v>-14.046064818899158</v>
      </c>
      <c r="Q950" s="3">
        <f t="shared" ca="1" si="112"/>
        <v>-9.0751614628476798</v>
      </c>
      <c r="R950" s="3">
        <f t="shared" ca="1" si="113"/>
        <v>16.722753734761277</v>
      </c>
    </row>
    <row r="951" spans="7:18" x14ac:dyDescent="0.25">
      <c r="G951" s="2">
        <f t="shared" ca="1" si="107"/>
        <v>0.17046416431874467</v>
      </c>
      <c r="H951" s="3">
        <f t="shared" ca="1" si="108"/>
        <v>0</v>
      </c>
      <c r="I951" s="3">
        <f t="shared" ca="1" si="109"/>
        <v>1.9075984670504917</v>
      </c>
      <c r="J951" s="3">
        <f t="shared" ca="1" si="110"/>
        <v>6.9057918934950742</v>
      </c>
      <c r="P951" s="3">
        <f t="shared" ca="1" si="111"/>
        <v>-8.0819574403373693</v>
      </c>
      <c r="Q951" s="3">
        <f t="shared" ca="1" si="112"/>
        <v>-6.1988777383581422</v>
      </c>
      <c r="R951" s="3">
        <f t="shared" ca="1" si="113"/>
        <v>10.185485814753104</v>
      </c>
    </row>
    <row r="952" spans="7:18" x14ac:dyDescent="0.25">
      <c r="G952" s="2">
        <f t="shared" ca="1" si="107"/>
        <v>0.20147224537527886</v>
      </c>
      <c r="H952" s="3">
        <f t="shared" ca="1" si="108"/>
        <v>0</v>
      </c>
      <c r="I952" s="3">
        <f t="shared" ca="1" si="109"/>
        <v>0.28922770967247852</v>
      </c>
      <c r="J952" s="3">
        <f t="shared" ca="1" si="110"/>
        <v>2.6889947455902479</v>
      </c>
      <c r="P952" s="3">
        <f t="shared" ca="1" si="111"/>
        <v>-7.9432363037718918</v>
      </c>
      <c r="Q952" s="3">
        <f t="shared" ca="1" si="112"/>
        <v>1.9397984466068194</v>
      </c>
      <c r="R952" s="3">
        <f t="shared" ca="1" si="113"/>
        <v>8.1766631941775589</v>
      </c>
    </row>
    <row r="953" spans="7:18" x14ac:dyDescent="0.25">
      <c r="G953" s="2">
        <f t="shared" ca="1" si="107"/>
        <v>0.9829119622306175</v>
      </c>
      <c r="H953" s="3">
        <f t="shared" ca="1" si="108"/>
        <v>2</v>
      </c>
      <c r="I953" s="3">
        <f t="shared" ca="1" si="109"/>
        <v>8.4305719407441249</v>
      </c>
      <c r="J953" s="3">
        <f t="shared" ca="1" si="110"/>
        <v>14.517723599745352</v>
      </c>
      <c r="P953" s="3">
        <f t="shared" ca="1" si="111"/>
        <v>1.1827380043406954</v>
      </c>
      <c r="Q953" s="3">
        <f t="shared" ca="1" si="112"/>
        <v>-2.1895409817546789</v>
      </c>
      <c r="R953" s="3">
        <f t="shared" ca="1" si="113"/>
        <v>2.4885656305781958</v>
      </c>
    </row>
    <row r="954" spans="7:18" x14ac:dyDescent="0.25">
      <c r="G954" s="2">
        <f t="shared" ca="1" si="107"/>
        <v>0.31123120624043255</v>
      </c>
      <c r="H954" s="3">
        <f t="shared" ca="1" si="108"/>
        <v>0</v>
      </c>
      <c r="I954" s="3">
        <f t="shared" ca="1" si="109"/>
        <v>2.1857782287096952</v>
      </c>
      <c r="J954" s="3">
        <f t="shared" ca="1" si="110"/>
        <v>7.3921888313098698</v>
      </c>
      <c r="P954" s="3">
        <f t="shared" ca="1" si="111"/>
        <v>-6.0065409335904363</v>
      </c>
      <c r="Q954" s="3">
        <f t="shared" ca="1" si="112"/>
        <v>-1.1970860236981993</v>
      </c>
      <c r="R954" s="3">
        <f t="shared" ca="1" si="113"/>
        <v>6.1246672509640092</v>
      </c>
    </row>
    <row r="955" spans="7:18" x14ac:dyDescent="0.25">
      <c r="G955" s="2">
        <f t="shared" ca="1" si="107"/>
        <v>0.62196114186910478</v>
      </c>
      <c r="H955" s="3">
        <f t="shared" ca="1" si="108"/>
        <v>1</v>
      </c>
      <c r="I955" s="3">
        <f t="shared" ca="1" si="109"/>
        <v>7.3043347485869301</v>
      </c>
      <c r="J955" s="3">
        <f t="shared" ca="1" si="110"/>
        <v>13.513266396940203</v>
      </c>
      <c r="P955" s="3">
        <f t="shared" ca="1" si="111"/>
        <v>-2.8915502492361664</v>
      </c>
      <c r="Q955" s="3">
        <f t="shared" ca="1" si="112"/>
        <v>1.6893342028239744</v>
      </c>
      <c r="R955" s="3">
        <f t="shared" ca="1" si="113"/>
        <v>3.348867404465075</v>
      </c>
    </row>
    <row r="956" spans="7:18" x14ac:dyDescent="0.25">
      <c r="G956" s="2">
        <f t="shared" ca="1" si="107"/>
        <v>0.82877696648942023</v>
      </c>
      <c r="H956" s="3">
        <f t="shared" ca="1" si="108"/>
        <v>1</v>
      </c>
      <c r="I956" s="3">
        <f t="shared" ca="1" si="109"/>
        <v>4.1557254829928754</v>
      </c>
      <c r="J956" s="3">
        <f t="shared" ca="1" si="110"/>
        <v>10.192798294620662</v>
      </c>
      <c r="P956" s="3">
        <f t="shared" ca="1" si="111"/>
        <v>-4.9868580054892941</v>
      </c>
      <c r="Q956" s="3">
        <f t="shared" ca="1" si="112"/>
        <v>-0.20454994921155895</v>
      </c>
      <c r="R956" s="3">
        <f t="shared" ca="1" si="113"/>
        <v>4.9910513370065743</v>
      </c>
    </row>
    <row r="957" spans="7:18" x14ac:dyDescent="0.25">
      <c r="G957" s="2">
        <f t="shared" ca="1" si="107"/>
        <v>0.42630029984091955</v>
      </c>
      <c r="H957" s="3">
        <f t="shared" ca="1" si="108"/>
        <v>0</v>
      </c>
      <c r="I957" s="3">
        <f t="shared" ca="1" si="109"/>
        <v>0.94073867280940848</v>
      </c>
      <c r="J957" s="3">
        <f t="shared" ca="1" si="110"/>
        <v>4.8495841904471781</v>
      </c>
      <c r="P957" s="3">
        <f t="shared" ca="1" si="111"/>
        <v>-8.071043398195334</v>
      </c>
      <c r="Q957" s="3">
        <f t="shared" ca="1" si="112"/>
        <v>6.3678189959709828</v>
      </c>
      <c r="R957" s="3">
        <f t="shared" ca="1" si="113"/>
        <v>10.280606027905231</v>
      </c>
    </row>
    <row r="958" spans="7:18" x14ac:dyDescent="0.25">
      <c r="G958" s="2">
        <f t="shared" ca="1" si="107"/>
        <v>0.27578955071249478</v>
      </c>
      <c r="H958" s="3">
        <f t="shared" ca="1" si="108"/>
        <v>0</v>
      </c>
      <c r="I958" s="3">
        <f t="shared" ca="1" si="109"/>
        <v>0.48701244158354395</v>
      </c>
      <c r="J958" s="3">
        <f t="shared" ca="1" si="110"/>
        <v>3.4893138350668029</v>
      </c>
      <c r="P958" s="3">
        <f t="shared" ca="1" si="111"/>
        <v>-9.2574714712205264</v>
      </c>
      <c r="Q958" s="3">
        <f t="shared" ca="1" si="112"/>
        <v>-0.48563237621576627</v>
      </c>
      <c r="R958" s="3">
        <f t="shared" ca="1" si="113"/>
        <v>9.2702004749245255</v>
      </c>
    </row>
    <row r="959" spans="7:18" x14ac:dyDescent="0.25">
      <c r="G959" s="2">
        <f t="shared" ca="1" si="107"/>
        <v>0.17455437223924442</v>
      </c>
      <c r="H959" s="3">
        <f t="shared" ca="1" si="108"/>
        <v>0</v>
      </c>
      <c r="I959" s="3">
        <f t="shared" ca="1" si="109"/>
        <v>0.66188664979231771</v>
      </c>
      <c r="J959" s="3">
        <f t="shared" ca="1" si="110"/>
        <v>4.0678208226036636</v>
      </c>
      <c r="P959" s="3">
        <f t="shared" ca="1" si="111"/>
        <v>-9.8284225633114026</v>
      </c>
      <c r="Q959" s="3">
        <f t="shared" ca="1" si="112"/>
        <v>-5.0729853071202546</v>
      </c>
      <c r="R959" s="3">
        <f t="shared" ca="1" si="113"/>
        <v>11.060428111482244</v>
      </c>
    </row>
    <row r="960" spans="7:18" x14ac:dyDescent="0.25">
      <c r="G960" s="2">
        <f t="shared" ca="1" si="107"/>
        <v>0.46226722855499591</v>
      </c>
      <c r="H960" s="3">
        <f t="shared" ca="1" si="108"/>
        <v>0</v>
      </c>
      <c r="I960" s="3">
        <f t="shared" ca="1" si="109"/>
        <v>6.732279068757653</v>
      </c>
      <c r="J960" s="3">
        <f t="shared" ca="1" si="110"/>
        <v>12.973317876277498</v>
      </c>
      <c r="P960" s="3">
        <f t="shared" ca="1" si="111"/>
        <v>-3.5880373341682086</v>
      </c>
      <c r="Q960" s="3">
        <f t="shared" ca="1" si="112"/>
        <v>0.65877931764071085</v>
      </c>
      <c r="R960" s="3">
        <f t="shared" ca="1" si="113"/>
        <v>3.648013445799791</v>
      </c>
    </row>
    <row r="961" spans="7:18" x14ac:dyDescent="0.25">
      <c r="G961" s="2">
        <f t="shared" ca="1" si="107"/>
        <v>2.9970791779798112E-2</v>
      </c>
      <c r="H961" s="3">
        <f t="shared" ca="1" si="108"/>
        <v>0</v>
      </c>
      <c r="I961" s="3">
        <f t="shared" ca="1" si="109"/>
        <v>2.6367317391951013</v>
      </c>
      <c r="J961" s="3">
        <f t="shared" ca="1" si="110"/>
        <v>8.1190081586285849</v>
      </c>
      <c r="P961" s="3">
        <f t="shared" ca="1" si="111"/>
        <v>-7.2448251897173535</v>
      </c>
      <c r="Q961" s="3">
        <f t="shared" ca="1" si="112"/>
        <v>-7.7606931396733163</v>
      </c>
      <c r="R961" s="3">
        <f t="shared" ca="1" si="113"/>
        <v>10.616772110097097</v>
      </c>
    </row>
    <row r="962" spans="7:18" x14ac:dyDescent="0.25">
      <c r="G962" s="2">
        <f t="shared" ca="1" si="107"/>
        <v>0.33036418036299442</v>
      </c>
      <c r="H962" s="3">
        <f t="shared" ca="1" si="108"/>
        <v>0</v>
      </c>
      <c r="I962" s="3">
        <f t="shared" ca="1" si="109"/>
        <v>1.5039867765464237</v>
      </c>
      <c r="J962" s="3">
        <f t="shared" ca="1" si="110"/>
        <v>6.1318569302993842</v>
      </c>
      <c r="P962" s="3">
        <f t="shared" ca="1" si="111"/>
        <v>-8.3223298027308417</v>
      </c>
      <c r="Q962" s="3">
        <f t="shared" ca="1" si="112"/>
        <v>-2.7274740492605849</v>
      </c>
      <c r="R962" s="3">
        <f t="shared" ca="1" si="113"/>
        <v>8.7578700626814463</v>
      </c>
    </row>
    <row r="963" spans="7:18" x14ac:dyDescent="0.25">
      <c r="G963" s="2">
        <f t="shared" ca="1" si="107"/>
        <v>0.5985692422712916</v>
      </c>
      <c r="H963" s="3">
        <f t="shared" ca="1" si="108"/>
        <v>0</v>
      </c>
      <c r="I963" s="3">
        <f t="shared" ca="1" si="109"/>
        <v>3.8973006633476177</v>
      </c>
      <c r="J963" s="3">
        <f t="shared" ca="1" si="110"/>
        <v>9.870791081959462</v>
      </c>
      <c r="P963" s="3">
        <f t="shared" ca="1" si="111"/>
        <v>-5.6873936372264406</v>
      </c>
      <c r="Q963" s="3">
        <f t="shared" ca="1" si="112"/>
        <v>-6.5122630279956502</v>
      </c>
      <c r="R963" s="3">
        <f t="shared" ca="1" si="113"/>
        <v>8.6461561477088118</v>
      </c>
    </row>
    <row r="964" spans="7:18" x14ac:dyDescent="0.25">
      <c r="G964" s="2">
        <f t="shared" ref="G964:G1027" ca="1" si="114">RAND()</f>
        <v>0.24738194160069182</v>
      </c>
      <c r="H964" s="3">
        <f t="shared" ref="H964:H1027" ca="1" si="115">VLOOKUP(G964,$B$9:$C$169,2,TRUE)</f>
        <v>0</v>
      </c>
      <c r="I964" s="3">
        <f t="shared" ref="I964:I1027" ca="1" si="116">_xlfn.CHISQ.INV(RAND(),2*H964+2)</f>
        <v>1.0482109757751885</v>
      </c>
      <c r="J964" s="3">
        <f t="shared" ref="J964:J1027" ca="1" si="117">$C$4*SQRT(I964)</f>
        <v>5.1191087500051911</v>
      </c>
      <c r="P964" s="3">
        <f t="shared" ref="P964:P1027" ca="1" si="118">_xlfn.NORM.INV(RAND(),$C$3*COS($O$2),$C$4)</f>
        <v>-4.4075676103873134</v>
      </c>
      <c r="Q964" s="3">
        <f t="shared" ref="Q964:Q1027" ca="1" si="119">_xlfn.NORM.INV(RAND(),$C$3*SIN($O$2),$C$4)</f>
        <v>6.0510628834368179</v>
      </c>
      <c r="R964" s="3">
        <f t="shared" ref="R964:R1027" ca="1" si="120">SQRT(P964^2+Q964^2)</f>
        <v>7.4861214430065202</v>
      </c>
    </row>
    <row r="965" spans="7:18" x14ac:dyDescent="0.25">
      <c r="G965" s="2">
        <f t="shared" ca="1" si="114"/>
        <v>0.84826280508336627</v>
      </c>
      <c r="H965" s="3">
        <f t="shared" ca="1" si="115"/>
        <v>1</v>
      </c>
      <c r="I965" s="3">
        <f t="shared" ca="1" si="116"/>
        <v>3.0436547704061319</v>
      </c>
      <c r="J965" s="3">
        <f t="shared" ca="1" si="117"/>
        <v>8.7230366994615629</v>
      </c>
      <c r="P965" s="3">
        <f t="shared" ca="1" si="118"/>
        <v>-6.7843471795155708</v>
      </c>
      <c r="Q965" s="3">
        <f t="shared" ca="1" si="119"/>
        <v>-3.0691154277503747</v>
      </c>
      <c r="R965" s="3">
        <f t="shared" ca="1" si="120"/>
        <v>7.4462632347410498</v>
      </c>
    </row>
    <row r="966" spans="7:18" x14ac:dyDescent="0.25">
      <c r="G966" s="2">
        <f t="shared" ca="1" si="114"/>
        <v>0.44462852481514958</v>
      </c>
      <c r="H966" s="3">
        <f t="shared" ca="1" si="115"/>
        <v>0</v>
      </c>
      <c r="I966" s="3">
        <f t="shared" ca="1" si="116"/>
        <v>1.6415290146052459</v>
      </c>
      <c r="J966" s="3">
        <f t="shared" ca="1" si="117"/>
        <v>6.4061084415681844</v>
      </c>
      <c r="P966" s="3">
        <f t="shared" ca="1" si="118"/>
        <v>-5.6797474458194248</v>
      </c>
      <c r="Q966" s="3">
        <f t="shared" ca="1" si="119"/>
        <v>-0.58390333989228582</v>
      </c>
      <c r="R966" s="3">
        <f t="shared" ca="1" si="120"/>
        <v>5.7096824919280449</v>
      </c>
    </row>
    <row r="967" spans="7:18" x14ac:dyDescent="0.25">
      <c r="G967" s="2">
        <f t="shared" ca="1" si="114"/>
        <v>0.68810460861110656</v>
      </c>
      <c r="H967" s="3">
        <f t="shared" ca="1" si="115"/>
        <v>1</v>
      </c>
      <c r="I967" s="3">
        <f t="shared" ca="1" si="116"/>
        <v>6.8847187237977359</v>
      </c>
      <c r="J967" s="3">
        <f t="shared" ca="1" si="117"/>
        <v>13.119373769160759</v>
      </c>
      <c r="P967" s="3">
        <f t="shared" ca="1" si="118"/>
        <v>-4.7708614779189498</v>
      </c>
      <c r="Q967" s="3">
        <f t="shared" ca="1" si="119"/>
        <v>-11.492278954047382</v>
      </c>
      <c r="R967" s="3">
        <f t="shared" ca="1" si="120"/>
        <v>12.443214809651538</v>
      </c>
    </row>
    <row r="968" spans="7:18" x14ac:dyDescent="0.25">
      <c r="G968" s="2">
        <f t="shared" ca="1" si="114"/>
        <v>0.49152408921986679</v>
      </c>
      <c r="H968" s="3">
        <f t="shared" ca="1" si="115"/>
        <v>0</v>
      </c>
      <c r="I968" s="3">
        <f t="shared" ca="1" si="116"/>
        <v>9.9488665361139247E-3</v>
      </c>
      <c r="J968" s="3">
        <f t="shared" ca="1" si="117"/>
        <v>0.49872002506701907</v>
      </c>
      <c r="P968" s="3">
        <f t="shared" ca="1" si="118"/>
        <v>-9.3320628491063129</v>
      </c>
      <c r="Q968" s="3">
        <f t="shared" ca="1" si="119"/>
        <v>1.7690821428989865</v>
      </c>
      <c r="R968" s="3">
        <f t="shared" ca="1" si="120"/>
        <v>9.4982655599848496</v>
      </c>
    </row>
    <row r="969" spans="7:18" x14ac:dyDescent="0.25">
      <c r="G969" s="2">
        <f t="shared" ca="1" si="114"/>
        <v>0.81123957686578407</v>
      </c>
      <c r="H969" s="3">
        <f t="shared" ca="1" si="115"/>
        <v>1</v>
      </c>
      <c r="I969" s="3">
        <f t="shared" ca="1" si="116"/>
        <v>1.703721123305282</v>
      </c>
      <c r="J969" s="3">
        <f t="shared" ca="1" si="117"/>
        <v>6.5263334333017378</v>
      </c>
      <c r="P969" s="3">
        <f t="shared" ca="1" si="118"/>
        <v>-5.3967657922562573</v>
      </c>
      <c r="Q969" s="3">
        <f t="shared" ca="1" si="119"/>
        <v>2.0144785765948323</v>
      </c>
      <c r="R969" s="3">
        <f t="shared" ca="1" si="120"/>
        <v>5.7604865204274933</v>
      </c>
    </row>
    <row r="970" spans="7:18" x14ac:dyDescent="0.25">
      <c r="G970" s="2">
        <f t="shared" ca="1" si="114"/>
        <v>0.55700140769041706</v>
      </c>
      <c r="H970" s="3">
        <f t="shared" ca="1" si="115"/>
        <v>0</v>
      </c>
      <c r="I970" s="3">
        <f t="shared" ca="1" si="116"/>
        <v>2.2702298997137782</v>
      </c>
      <c r="J970" s="3">
        <f t="shared" ca="1" si="117"/>
        <v>7.5336410514998953</v>
      </c>
      <c r="P970" s="3">
        <f t="shared" ca="1" si="118"/>
        <v>-13.937674440966417</v>
      </c>
      <c r="Q970" s="3">
        <f t="shared" ca="1" si="119"/>
        <v>8.8586792332083473</v>
      </c>
      <c r="R970" s="3">
        <f t="shared" ca="1" si="120"/>
        <v>16.51468941818905</v>
      </c>
    </row>
    <row r="971" spans="7:18" x14ac:dyDescent="0.25">
      <c r="G971" s="2">
        <f t="shared" ca="1" si="114"/>
        <v>0.45242679157547294</v>
      </c>
      <c r="H971" s="3">
        <f t="shared" ca="1" si="115"/>
        <v>0</v>
      </c>
      <c r="I971" s="3">
        <f t="shared" ca="1" si="116"/>
        <v>0.61467623728079934</v>
      </c>
      <c r="J971" s="3">
        <f t="shared" ca="1" si="117"/>
        <v>3.920064531614242</v>
      </c>
      <c r="P971" s="3">
        <f t="shared" ca="1" si="118"/>
        <v>-7.4151622247845275</v>
      </c>
      <c r="Q971" s="3">
        <f t="shared" ca="1" si="119"/>
        <v>-2.6148672896880076</v>
      </c>
      <c r="R971" s="3">
        <f t="shared" ca="1" si="120"/>
        <v>7.862707025099672</v>
      </c>
    </row>
    <row r="972" spans="7:18" x14ac:dyDescent="0.25">
      <c r="G972" s="2">
        <f t="shared" ca="1" si="114"/>
        <v>0.83816888615870344</v>
      </c>
      <c r="H972" s="3">
        <f t="shared" ca="1" si="115"/>
        <v>1</v>
      </c>
      <c r="I972" s="3">
        <f t="shared" ca="1" si="116"/>
        <v>3.3493427866027936</v>
      </c>
      <c r="J972" s="3">
        <f t="shared" ca="1" si="117"/>
        <v>9.1506048797371768</v>
      </c>
      <c r="P972" s="3">
        <f t="shared" ca="1" si="118"/>
        <v>-11.145966870787483</v>
      </c>
      <c r="Q972" s="3">
        <f t="shared" ca="1" si="119"/>
        <v>10.941955850021765</v>
      </c>
      <c r="R972" s="3">
        <f t="shared" ca="1" si="120"/>
        <v>15.619186128237207</v>
      </c>
    </row>
    <row r="973" spans="7:18" x14ac:dyDescent="0.25">
      <c r="G973" s="2">
        <f t="shared" ca="1" si="114"/>
        <v>0.90513323526221667</v>
      </c>
      <c r="H973" s="3">
        <f t="shared" ca="1" si="115"/>
        <v>1</v>
      </c>
      <c r="I973" s="3">
        <f t="shared" ca="1" si="116"/>
        <v>2.211310475275245</v>
      </c>
      <c r="J973" s="3">
        <f t="shared" ca="1" si="117"/>
        <v>7.4352378497181331</v>
      </c>
      <c r="P973" s="3">
        <f t="shared" ca="1" si="118"/>
        <v>-9.3738289527587177</v>
      </c>
      <c r="Q973" s="3">
        <f t="shared" ca="1" si="119"/>
        <v>5.6936116512794372</v>
      </c>
      <c r="R973" s="3">
        <f t="shared" ca="1" si="120"/>
        <v>10.967492095787557</v>
      </c>
    </row>
    <row r="974" spans="7:18" x14ac:dyDescent="0.25">
      <c r="G974" s="2">
        <f t="shared" ca="1" si="114"/>
        <v>0.80962785594151343</v>
      </c>
      <c r="H974" s="3">
        <f t="shared" ca="1" si="115"/>
        <v>1</v>
      </c>
      <c r="I974" s="3">
        <f t="shared" ca="1" si="116"/>
        <v>3.0215486525257829</v>
      </c>
      <c r="J974" s="3">
        <f t="shared" ca="1" si="117"/>
        <v>8.6913011864245373</v>
      </c>
      <c r="P974" s="3">
        <f t="shared" ca="1" si="118"/>
        <v>-11.285333623091336</v>
      </c>
      <c r="Q974" s="3">
        <f t="shared" ca="1" si="119"/>
        <v>-3.5605970333541395</v>
      </c>
      <c r="R974" s="3">
        <f t="shared" ca="1" si="120"/>
        <v>11.833706360156404</v>
      </c>
    </row>
    <row r="975" spans="7:18" x14ac:dyDescent="0.25">
      <c r="G975" s="2">
        <f t="shared" ca="1" si="114"/>
        <v>0.90041519096369216</v>
      </c>
      <c r="H975" s="3">
        <f t="shared" ca="1" si="115"/>
        <v>1</v>
      </c>
      <c r="I975" s="3">
        <f t="shared" ca="1" si="116"/>
        <v>4.932780444123134</v>
      </c>
      <c r="J975" s="3">
        <f t="shared" ca="1" si="117"/>
        <v>11.104931836939764</v>
      </c>
      <c r="P975" s="3">
        <f t="shared" ca="1" si="118"/>
        <v>1.1640994420044972</v>
      </c>
      <c r="Q975" s="3">
        <f t="shared" ca="1" si="119"/>
        <v>-2.2375458602132481</v>
      </c>
      <c r="R975" s="3">
        <f t="shared" ca="1" si="120"/>
        <v>2.5222487957044653</v>
      </c>
    </row>
    <row r="976" spans="7:18" x14ac:dyDescent="0.25">
      <c r="G976" s="2">
        <f t="shared" ca="1" si="114"/>
        <v>0.9400939895004865</v>
      </c>
      <c r="H976" s="3">
        <f t="shared" ca="1" si="115"/>
        <v>2</v>
      </c>
      <c r="I976" s="3">
        <f t="shared" ca="1" si="116"/>
        <v>5.9035333872049502</v>
      </c>
      <c r="J976" s="3">
        <f t="shared" ca="1" si="117"/>
        <v>12.148593938399774</v>
      </c>
      <c r="P976" s="3">
        <f t="shared" ca="1" si="118"/>
        <v>-12.333090128756034</v>
      </c>
      <c r="Q976" s="3">
        <f t="shared" ca="1" si="119"/>
        <v>-1.0969082105519483</v>
      </c>
      <c r="R976" s="3">
        <f t="shared" ca="1" si="120"/>
        <v>12.381773691454541</v>
      </c>
    </row>
    <row r="977" spans="7:18" x14ac:dyDescent="0.25">
      <c r="G977" s="2">
        <f t="shared" ca="1" si="114"/>
        <v>0.4700508603862259</v>
      </c>
      <c r="H977" s="3">
        <f t="shared" ca="1" si="115"/>
        <v>0</v>
      </c>
      <c r="I977" s="3">
        <f t="shared" ca="1" si="116"/>
        <v>4.0915727019059489E-2</v>
      </c>
      <c r="J977" s="3">
        <f t="shared" ca="1" si="117"/>
        <v>1.0113818148832256</v>
      </c>
      <c r="P977" s="3">
        <f t="shared" ca="1" si="118"/>
        <v>-6.3779906193473535</v>
      </c>
      <c r="Q977" s="3">
        <f t="shared" ca="1" si="119"/>
        <v>-1.5099635270660101</v>
      </c>
      <c r="R977" s="3">
        <f t="shared" ca="1" si="120"/>
        <v>6.5542928065163872</v>
      </c>
    </row>
    <row r="978" spans="7:18" x14ac:dyDescent="0.25">
      <c r="G978" s="2">
        <f t="shared" ca="1" si="114"/>
        <v>0.56739787099720296</v>
      </c>
      <c r="H978" s="3">
        <f t="shared" ca="1" si="115"/>
        <v>0</v>
      </c>
      <c r="I978" s="3">
        <f t="shared" ca="1" si="116"/>
        <v>3.8198054792573175</v>
      </c>
      <c r="J978" s="3">
        <f t="shared" ca="1" si="117"/>
        <v>9.7721613260032161</v>
      </c>
      <c r="P978" s="3">
        <f t="shared" ca="1" si="118"/>
        <v>-9.1429442549839806</v>
      </c>
      <c r="Q978" s="3">
        <f t="shared" ca="1" si="119"/>
        <v>-4.9036074068742659</v>
      </c>
      <c r="R978" s="3">
        <f t="shared" ca="1" si="120"/>
        <v>10.374911818926305</v>
      </c>
    </row>
    <row r="979" spans="7:18" x14ac:dyDescent="0.25">
      <c r="G979" s="2">
        <f t="shared" ca="1" si="114"/>
        <v>0.60698832664312474</v>
      </c>
      <c r="H979" s="3">
        <f t="shared" ca="1" si="115"/>
        <v>1</v>
      </c>
      <c r="I979" s="3">
        <f t="shared" ca="1" si="116"/>
        <v>3.6021357449178888</v>
      </c>
      <c r="J979" s="3">
        <f t="shared" ca="1" si="117"/>
        <v>9.4896466542726028</v>
      </c>
      <c r="P979" s="3">
        <f t="shared" ca="1" si="118"/>
        <v>-7.7797051017068153</v>
      </c>
      <c r="Q979" s="3">
        <f t="shared" ca="1" si="119"/>
        <v>7.0766497015445688</v>
      </c>
      <c r="R979" s="3">
        <f t="shared" ca="1" si="120"/>
        <v>10.516785747931442</v>
      </c>
    </row>
    <row r="980" spans="7:18" x14ac:dyDescent="0.25">
      <c r="G980" s="2">
        <f t="shared" ca="1" si="114"/>
        <v>0.29871145099842511</v>
      </c>
      <c r="H980" s="3">
        <f t="shared" ca="1" si="115"/>
        <v>0</v>
      </c>
      <c r="I980" s="3">
        <f t="shared" ca="1" si="116"/>
        <v>0.80819012721423689</v>
      </c>
      <c r="J980" s="3">
        <f t="shared" ca="1" si="117"/>
        <v>4.4949697641203237</v>
      </c>
      <c r="P980" s="3">
        <f t="shared" ca="1" si="118"/>
        <v>-2.4328752043086208</v>
      </c>
      <c r="Q980" s="3">
        <f t="shared" ca="1" si="119"/>
        <v>-5.5120307300062477</v>
      </c>
      <c r="R980" s="3">
        <f t="shared" ca="1" si="120"/>
        <v>6.0250613713283387</v>
      </c>
    </row>
    <row r="981" spans="7:18" x14ac:dyDescent="0.25">
      <c r="G981" s="2">
        <f t="shared" ca="1" si="114"/>
        <v>8.9399160501968278E-2</v>
      </c>
      <c r="H981" s="3">
        <f t="shared" ca="1" si="115"/>
        <v>0</v>
      </c>
      <c r="I981" s="3">
        <f t="shared" ca="1" si="116"/>
        <v>2.6092316079666595</v>
      </c>
      <c r="J981" s="3">
        <f t="shared" ca="1" si="117"/>
        <v>8.0765580663526766</v>
      </c>
      <c r="P981" s="3">
        <f t="shared" ca="1" si="118"/>
        <v>-0.23655714040274578</v>
      </c>
      <c r="Q981" s="3">
        <f t="shared" ca="1" si="119"/>
        <v>0.37293922394961115</v>
      </c>
      <c r="R981" s="3">
        <f t="shared" ca="1" si="120"/>
        <v>0.44163666676993951</v>
      </c>
    </row>
    <row r="982" spans="7:18" x14ac:dyDescent="0.25">
      <c r="G982" s="2">
        <f t="shared" ca="1" si="114"/>
        <v>0.98706343316960854</v>
      </c>
      <c r="H982" s="3">
        <f t="shared" ca="1" si="115"/>
        <v>3</v>
      </c>
      <c r="I982" s="3">
        <f t="shared" ca="1" si="116"/>
        <v>5.207702371384884</v>
      </c>
      <c r="J982" s="3">
        <f t="shared" ca="1" si="117"/>
        <v>11.410195409572182</v>
      </c>
      <c r="P982" s="3">
        <f t="shared" ca="1" si="118"/>
        <v>-9.8013446924087457</v>
      </c>
      <c r="Q982" s="3">
        <f t="shared" ca="1" si="119"/>
        <v>-2.2457213042030499</v>
      </c>
      <c r="R982" s="3">
        <f t="shared" ca="1" si="120"/>
        <v>10.055328038187543</v>
      </c>
    </row>
    <row r="983" spans="7:18" x14ac:dyDescent="0.25">
      <c r="G983" s="2">
        <f t="shared" ca="1" si="114"/>
        <v>0.53550689051229272</v>
      </c>
      <c r="H983" s="3">
        <f t="shared" ca="1" si="115"/>
        <v>0</v>
      </c>
      <c r="I983" s="3">
        <f t="shared" ca="1" si="116"/>
        <v>0.75682597674215535</v>
      </c>
      <c r="J983" s="3">
        <f t="shared" ca="1" si="117"/>
        <v>4.3497872842880358</v>
      </c>
      <c r="P983" s="3">
        <f t="shared" ca="1" si="118"/>
        <v>-4.1856822821129063</v>
      </c>
      <c r="Q983" s="3">
        <f t="shared" ca="1" si="119"/>
        <v>1.1142920631483224</v>
      </c>
      <c r="R983" s="3">
        <f t="shared" ca="1" si="120"/>
        <v>4.3314642984548835</v>
      </c>
    </row>
    <row r="984" spans="7:18" x14ac:dyDescent="0.25">
      <c r="G984" s="2">
        <f t="shared" ca="1" si="114"/>
        <v>0.73913474933999757</v>
      </c>
      <c r="H984" s="3">
        <f t="shared" ca="1" si="115"/>
        <v>1</v>
      </c>
      <c r="I984" s="3">
        <f t="shared" ca="1" si="116"/>
        <v>0.88859016233835875</v>
      </c>
      <c r="J984" s="3">
        <f t="shared" ca="1" si="117"/>
        <v>4.7132530229618448</v>
      </c>
      <c r="P984" s="3">
        <f t="shared" ca="1" si="118"/>
        <v>-6.0962011127250673</v>
      </c>
      <c r="Q984" s="3">
        <f t="shared" ca="1" si="119"/>
        <v>-0.55695467482565497</v>
      </c>
      <c r="R984" s="3">
        <f t="shared" ca="1" si="120"/>
        <v>6.1215901950882419</v>
      </c>
    </row>
    <row r="985" spans="7:18" x14ac:dyDescent="0.25">
      <c r="G985" s="2">
        <f t="shared" ca="1" si="114"/>
        <v>0.82915675148540879</v>
      </c>
      <c r="H985" s="3">
        <f t="shared" ca="1" si="115"/>
        <v>1</v>
      </c>
      <c r="I985" s="3">
        <f t="shared" ca="1" si="116"/>
        <v>8.8956843085105621</v>
      </c>
      <c r="J985" s="3">
        <f t="shared" ca="1" si="117"/>
        <v>14.912816893959507</v>
      </c>
      <c r="P985" s="3">
        <f t="shared" ca="1" si="118"/>
        <v>-3.0250940744381332</v>
      </c>
      <c r="Q985" s="3">
        <f t="shared" ca="1" si="119"/>
        <v>-9.5042706202240641</v>
      </c>
      <c r="R985" s="3">
        <f t="shared" ca="1" si="120"/>
        <v>9.9740841274602765</v>
      </c>
    </row>
    <row r="986" spans="7:18" x14ac:dyDescent="0.25">
      <c r="G986" s="2">
        <f t="shared" ca="1" si="114"/>
        <v>0.4968053724232202</v>
      </c>
      <c r="H986" s="3">
        <f t="shared" ca="1" si="115"/>
        <v>0</v>
      </c>
      <c r="I986" s="3">
        <f t="shared" ca="1" si="116"/>
        <v>1.9598516245217863</v>
      </c>
      <c r="J986" s="3">
        <f t="shared" ca="1" si="117"/>
        <v>6.9997350387743005</v>
      </c>
      <c r="P986" s="3">
        <f t="shared" ca="1" si="118"/>
        <v>-2.0478792602388634</v>
      </c>
      <c r="Q986" s="3">
        <f t="shared" ca="1" si="119"/>
        <v>1.1117610022632627</v>
      </c>
      <c r="R986" s="3">
        <f t="shared" ca="1" si="120"/>
        <v>2.3301978436754869</v>
      </c>
    </row>
    <row r="987" spans="7:18" x14ac:dyDescent="0.25">
      <c r="G987" s="2">
        <f t="shared" ca="1" si="114"/>
        <v>0.57280011085880533</v>
      </c>
      <c r="H987" s="3">
        <f t="shared" ca="1" si="115"/>
        <v>0</v>
      </c>
      <c r="I987" s="3">
        <f t="shared" ca="1" si="116"/>
        <v>1.6229626729090165</v>
      </c>
      <c r="J987" s="3">
        <f t="shared" ca="1" si="117"/>
        <v>6.3697776117165521</v>
      </c>
      <c r="P987" s="3">
        <f t="shared" ca="1" si="118"/>
        <v>-2.7847397609828817</v>
      </c>
      <c r="Q987" s="3">
        <f t="shared" ca="1" si="119"/>
        <v>4.9365373754093946</v>
      </c>
      <c r="R987" s="3">
        <f t="shared" ca="1" si="120"/>
        <v>5.6678194038988989</v>
      </c>
    </row>
    <row r="988" spans="7:18" x14ac:dyDescent="0.25">
      <c r="G988" s="2">
        <f t="shared" ca="1" si="114"/>
        <v>0.94558861367506142</v>
      </c>
      <c r="H988" s="3">
        <f t="shared" ca="1" si="115"/>
        <v>2</v>
      </c>
      <c r="I988" s="3">
        <f t="shared" ca="1" si="116"/>
        <v>2.1303744927761237</v>
      </c>
      <c r="J988" s="3">
        <f t="shared" ca="1" si="117"/>
        <v>7.2979012270243215</v>
      </c>
      <c r="P988" s="3">
        <f t="shared" ca="1" si="118"/>
        <v>-14.80047750056068</v>
      </c>
      <c r="Q988" s="3">
        <f t="shared" ca="1" si="119"/>
        <v>-3.7371802008509127</v>
      </c>
      <c r="R988" s="3">
        <f t="shared" ca="1" si="120"/>
        <v>15.265013923945009</v>
      </c>
    </row>
    <row r="989" spans="7:18" x14ac:dyDescent="0.25">
      <c r="G989" s="2">
        <f t="shared" ca="1" si="114"/>
        <v>0.85384817459421081</v>
      </c>
      <c r="H989" s="3">
        <f t="shared" ca="1" si="115"/>
        <v>1</v>
      </c>
      <c r="I989" s="3">
        <f t="shared" ca="1" si="116"/>
        <v>5.375088728703183</v>
      </c>
      <c r="J989" s="3">
        <f t="shared" ca="1" si="117"/>
        <v>11.592118797596045</v>
      </c>
      <c r="P989" s="3">
        <f t="shared" ca="1" si="118"/>
        <v>12.260927755360761</v>
      </c>
      <c r="Q989" s="3">
        <f t="shared" ca="1" si="119"/>
        <v>-2.7983607460837101</v>
      </c>
      <c r="R989" s="3">
        <f t="shared" ca="1" si="120"/>
        <v>12.5762145452198</v>
      </c>
    </row>
    <row r="990" spans="7:18" x14ac:dyDescent="0.25">
      <c r="G990" s="2">
        <f t="shared" ca="1" si="114"/>
        <v>0.98003583209954281</v>
      </c>
      <c r="H990" s="3">
        <f t="shared" ca="1" si="115"/>
        <v>2</v>
      </c>
      <c r="I990" s="3">
        <f t="shared" ca="1" si="116"/>
        <v>6.0683873550788743</v>
      </c>
      <c r="J990" s="3">
        <f t="shared" ca="1" si="117"/>
        <v>12.31704850509942</v>
      </c>
      <c r="P990" s="3">
        <f t="shared" ca="1" si="118"/>
        <v>-13.686675911839917</v>
      </c>
      <c r="Q990" s="3">
        <f t="shared" ca="1" si="119"/>
        <v>-4.061978187529947</v>
      </c>
      <c r="R990" s="3">
        <f t="shared" ca="1" si="120"/>
        <v>14.27672106303503</v>
      </c>
    </row>
    <row r="991" spans="7:18" x14ac:dyDescent="0.25">
      <c r="G991" s="2">
        <f t="shared" ca="1" si="114"/>
        <v>0.48459636376076609</v>
      </c>
      <c r="H991" s="3">
        <f t="shared" ca="1" si="115"/>
        <v>0</v>
      </c>
      <c r="I991" s="3">
        <f t="shared" ca="1" si="116"/>
        <v>4.0026893346406932E-2</v>
      </c>
      <c r="J991" s="3">
        <f t="shared" ca="1" si="117"/>
        <v>1.0003361103450046</v>
      </c>
      <c r="P991" s="3">
        <f t="shared" ca="1" si="118"/>
        <v>-7.7449822113416369</v>
      </c>
      <c r="Q991" s="3">
        <f t="shared" ca="1" si="119"/>
        <v>-5.5835413412974946</v>
      </c>
      <c r="R991" s="3">
        <f t="shared" ca="1" si="120"/>
        <v>9.5478103963147802</v>
      </c>
    </row>
    <row r="992" spans="7:18" x14ac:dyDescent="0.25">
      <c r="G992" s="2">
        <f t="shared" ca="1" si="114"/>
        <v>0.75594813677846284</v>
      </c>
      <c r="H992" s="3">
        <f t="shared" ca="1" si="115"/>
        <v>1</v>
      </c>
      <c r="I992" s="3">
        <f t="shared" ca="1" si="116"/>
        <v>0.9927813927475424</v>
      </c>
      <c r="J992" s="3">
        <f t="shared" ca="1" si="117"/>
        <v>4.9819207961075174</v>
      </c>
      <c r="P992" s="3">
        <f t="shared" ca="1" si="118"/>
        <v>-8.7600011841775611</v>
      </c>
      <c r="Q992" s="3">
        <f t="shared" ca="1" si="119"/>
        <v>4.7777005977299076</v>
      </c>
      <c r="R992" s="3">
        <f t="shared" ca="1" si="120"/>
        <v>9.9781783782582778</v>
      </c>
    </row>
    <row r="993" spans="7:18" x14ac:dyDescent="0.25">
      <c r="G993" s="2">
        <f t="shared" ca="1" si="114"/>
        <v>0.97975599530185731</v>
      </c>
      <c r="H993" s="3">
        <f t="shared" ca="1" si="115"/>
        <v>2</v>
      </c>
      <c r="I993" s="3">
        <f t="shared" ca="1" si="116"/>
        <v>2.8856235734865359</v>
      </c>
      <c r="J993" s="3">
        <f t="shared" ca="1" si="117"/>
        <v>8.4935616402757326</v>
      </c>
      <c r="P993" s="3">
        <f t="shared" ca="1" si="118"/>
        <v>-2.7956850671682689</v>
      </c>
      <c r="Q993" s="3">
        <f t="shared" ca="1" si="119"/>
        <v>-1.8212827340995268E-2</v>
      </c>
      <c r="R993" s="3">
        <f t="shared" ca="1" si="120"/>
        <v>2.7957443913683169</v>
      </c>
    </row>
    <row r="994" spans="7:18" x14ac:dyDescent="0.25">
      <c r="G994" s="2">
        <f t="shared" ca="1" si="114"/>
        <v>6.6201251225017188E-2</v>
      </c>
      <c r="H994" s="3">
        <f t="shared" ca="1" si="115"/>
        <v>0</v>
      </c>
      <c r="I994" s="3">
        <f t="shared" ca="1" si="116"/>
        <v>0.14568222916444537</v>
      </c>
      <c r="J994" s="3">
        <f t="shared" ca="1" si="117"/>
        <v>1.9084170742034179</v>
      </c>
      <c r="P994" s="3">
        <f t="shared" ca="1" si="118"/>
        <v>-1.6270654490547636</v>
      </c>
      <c r="Q994" s="3">
        <f t="shared" ca="1" si="119"/>
        <v>-1.9281171346537425</v>
      </c>
      <c r="R994" s="3">
        <f t="shared" ca="1" si="120"/>
        <v>2.522890734941396</v>
      </c>
    </row>
    <row r="995" spans="7:18" x14ac:dyDescent="0.25">
      <c r="G995" s="2">
        <f t="shared" ca="1" si="114"/>
        <v>0.65085225103332589</v>
      </c>
      <c r="H995" s="3">
        <f t="shared" ca="1" si="115"/>
        <v>1</v>
      </c>
      <c r="I995" s="3">
        <f t="shared" ca="1" si="116"/>
        <v>3.5650647997783702</v>
      </c>
      <c r="J995" s="3">
        <f t="shared" ca="1" si="117"/>
        <v>9.4406895931631638</v>
      </c>
      <c r="P995" s="3">
        <f t="shared" ca="1" si="118"/>
        <v>-4.1652985474625162</v>
      </c>
      <c r="Q995" s="3">
        <f t="shared" ca="1" si="119"/>
        <v>1.5571778034473869</v>
      </c>
      <c r="R995" s="3">
        <f t="shared" ca="1" si="120"/>
        <v>4.4468544726629604</v>
      </c>
    </row>
    <row r="996" spans="7:18" x14ac:dyDescent="0.25">
      <c r="G996" s="2">
        <f t="shared" ca="1" si="114"/>
        <v>0.97381625988698917</v>
      </c>
      <c r="H996" s="3">
        <f t="shared" ca="1" si="115"/>
        <v>2</v>
      </c>
      <c r="I996" s="3">
        <f t="shared" ca="1" si="116"/>
        <v>4.0929166322763821</v>
      </c>
      <c r="J996" s="3">
        <f t="shared" ca="1" si="117"/>
        <v>10.115479020140842</v>
      </c>
      <c r="P996" s="3">
        <f t="shared" ca="1" si="118"/>
        <v>-7.0601128521409651</v>
      </c>
      <c r="Q996" s="3">
        <f t="shared" ca="1" si="119"/>
        <v>-3.4786913055677666</v>
      </c>
      <c r="R996" s="3">
        <f t="shared" ca="1" si="120"/>
        <v>7.8706090415163432</v>
      </c>
    </row>
    <row r="997" spans="7:18" x14ac:dyDescent="0.25">
      <c r="G997" s="2">
        <f t="shared" ca="1" si="114"/>
        <v>7.3432505697908379E-2</v>
      </c>
      <c r="H997" s="3">
        <f t="shared" ca="1" si="115"/>
        <v>0</v>
      </c>
      <c r="I997" s="3">
        <f t="shared" ca="1" si="116"/>
        <v>1.548069854788453</v>
      </c>
      <c r="J997" s="3">
        <f t="shared" ca="1" si="117"/>
        <v>6.2210727667912167</v>
      </c>
      <c r="P997" s="3">
        <f t="shared" ca="1" si="118"/>
        <v>-3.9828777848744039</v>
      </c>
      <c r="Q997" s="3">
        <f t="shared" ca="1" si="119"/>
        <v>4.5645968971221818</v>
      </c>
      <c r="R997" s="3">
        <f t="shared" ca="1" si="120"/>
        <v>6.0579584252835117</v>
      </c>
    </row>
    <row r="998" spans="7:18" x14ac:dyDescent="0.25">
      <c r="G998" s="2">
        <f t="shared" ca="1" si="114"/>
        <v>0.3942520256984462</v>
      </c>
      <c r="H998" s="3">
        <f t="shared" ca="1" si="115"/>
        <v>0</v>
      </c>
      <c r="I998" s="3">
        <f t="shared" ca="1" si="116"/>
        <v>1.2813800229966148</v>
      </c>
      <c r="J998" s="3">
        <f t="shared" ca="1" si="117"/>
        <v>5.6599028768094044</v>
      </c>
      <c r="P998" s="3">
        <f t="shared" ca="1" si="118"/>
        <v>-0.9964998261180229</v>
      </c>
      <c r="Q998" s="3">
        <f t="shared" ca="1" si="119"/>
        <v>0.88014514187424564</v>
      </c>
      <c r="R998" s="3">
        <f t="shared" ca="1" si="120"/>
        <v>1.329536526093994</v>
      </c>
    </row>
    <row r="999" spans="7:18" x14ac:dyDescent="0.25">
      <c r="G999" s="2">
        <f t="shared" ca="1" si="114"/>
        <v>0.69993994149348948</v>
      </c>
      <c r="H999" s="3">
        <f t="shared" ca="1" si="115"/>
        <v>1</v>
      </c>
      <c r="I999" s="3">
        <f t="shared" ca="1" si="116"/>
        <v>1.6110789986105507</v>
      </c>
      <c r="J999" s="3">
        <f t="shared" ca="1" si="117"/>
        <v>6.3464143392362713</v>
      </c>
      <c r="P999" s="3">
        <f t="shared" ca="1" si="118"/>
        <v>-4.6165876188913382</v>
      </c>
      <c r="Q999" s="3">
        <f t="shared" ca="1" si="119"/>
        <v>5.5484281348979536</v>
      </c>
      <c r="R999" s="3">
        <f t="shared" ca="1" si="120"/>
        <v>7.2178899971548462</v>
      </c>
    </row>
    <row r="1000" spans="7:18" x14ac:dyDescent="0.25">
      <c r="G1000" s="2">
        <f t="shared" ca="1" si="114"/>
        <v>6.3308183481610159E-2</v>
      </c>
      <c r="H1000" s="3">
        <f t="shared" ca="1" si="115"/>
        <v>0</v>
      </c>
      <c r="I1000" s="3">
        <f t="shared" ca="1" si="116"/>
        <v>5.4992546328138827</v>
      </c>
      <c r="J1000" s="3">
        <f t="shared" ca="1" si="117"/>
        <v>11.725244808546517</v>
      </c>
      <c r="P1000" s="3">
        <f t="shared" ca="1" si="118"/>
        <v>5.2197360534924329</v>
      </c>
      <c r="Q1000" s="3">
        <f t="shared" ca="1" si="119"/>
        <v>-3.3462132531109541</v>
      </c>
      <c r="R1000" s="3">
        <f t="shared" ca="1" si="120"/>
        <v>6.2002248026522517</v>
      </c>
    </row>
    <row r="1001" spans="7:18" x14ac:dyDescent="0.25">
      <c r="G1001" s="2">
        <f t="shared" ca="1" si="114"/>
        <v>0.13839309033748948</v>
      </c>
      <c r="H1001" s="3">
        <f t="shared" ca="1" si="115"/>
        <v>0</v>
      </c>
      <c r="I1001" s="3">
        <f t="shared" ca="1" si="116"/>
        <v>0.29940272484767866</v>
      </c>
      <c r="J1001" s="3">
        <f t="shared" ca="1" si="117"/>
        <v>2.7358852536595841</v>
      </c>
      <c r="P1001" s="3">
        <f t="shared" ca="1" si="118"/>
        <v>2.7138593468506791</v>
      </c>
      <c r="Q1001" s="3">
        <f t="shared" ca="1" si="119"/>
        <v>-0.56542043655117402</v>
      </c>
      <c r="R1001" s="3">
        <f t="shared" ca="1" si="120"/>
        <v>2.772135066074255</v>
      </c>
    </row>
    <row r="1002" spans="7:18" x14ac:dyDescent="0.25">
      <c r="G1002" s="2">
        <f t="shared" ca="1" si="114"/>
        <v>0.40980317719969661</v>
      </c>
      <c r="H1002" s="3">
        <f t="shared" ca="1" si="115"/>
        <v>0</v>
      </c>
      <c r="I1002" s="3">
        <f t="shared" ca="1" si="116"/>
        <v>1.2282068143392557</v>
      </c>
      <c r="J1002" s="3">
        <f t="shared" ca="1" si="117"/>
        <v>5.5412246262429568</v>
      </c>
      <c r="P1002" s="3">
        <f t="shared" ca="1" si="118"/>
        <v>-5.3213404404319693</v>
      </c>
      <c r="Q1002" s="3">
        <f t="shared" ca="1" si="119"/>
        <v>8.5124301457097769</v>
      </c>
      <c r="R1002" s="3">
        <f t="shared" ca="1" si="120"/>
        <v>10.038831160477065</v>
      </c>
    </row>
    <row r="1003" spans="7:18" x14ac:dyDescent="0.25">
      <c r="G1003" s="2">
        <f t="shared" ca="1" si="114"/>
        <v>0.17073671730293938</v>
      </c>
      <c r="H1003" s="3">
        <f t="shared" ca="1" si="115"/>
        <v>0</v>
      </c>
      <c r="I1003" s="3">
        <f t="shared" ca="1" si="116"/>
        <v>0.68457315751955328</v>
      </c>
      <c r="J1003" s="3">
        <f t="shared" ca="1" si="117"/>
        <v>4.1369468135315488</v>
      </c>
      <c r="P1003" s="3">
        <f t="shared" ca="1" si="118"/>
        <v>-5.7198854567798563</v>
      </c>
      <c r="Q1003" s="3">
        <f t="shared" ca="1" si="119"/>
        <v>7.2552032489098499</v>
      </c>
      <c r="R1003" s="3">
        <f t="shared" ca="1" si="120"/>
        <v>9.2387804293463844</v>
      </c>
    </row>
    <row r="1004" spans="7:18" x14ac:dyDescent="0.25">
      <c r="G1004" s="2">
        <f t="shared" ca="1" si="114"/>
        <v>0.45925147003631483</v>
      </c>
      <c r="H1004" s="3">
        <f t="shared" ca="1" si="115"/>
        <v>0</v>
      </c>
      <c r="I1004" s="3">
        <f t="shared" ca="1" si="116"/>
        <v>3.0664793645582669</v>
      </c>
      <c r="J1004" s="3">
        <f t="shared" ca="1" si="117"/>
        <v>8.7556829610234672</v>
      </c>
      <c r="P1004" s="3">
        <f t="shared" ca="1" si="118"/>
        <v>-14.939267904869313</v>
      </c>
      <c r="Q1004" s="3">
        <f t="shared" ca="1" si="119"/>
        <v>3.4678217110676823</v>
      </c>
      <c r="R1004" s="3">
        <f t="shared" ca="1" si="120"/>
        <v>15.336476549495021</v>
      </c>
    </row>
    <row r="1005" spans="7:18" x14ac:dyDescent="0.25">
      <c r="G1005" s="2">
        <f t="shared" ca="1" si="114"/>
        <v>0.79845098143673643</v>
      </c>
      <c r="H1005" s="3">
        <f t="shared" ca="1" si="115"/>
        <v>1</v>
      </c>
      <c r="I1005" s="3">
        <f t="shared" ca="1" si="116"/>
        <v>2.0385192551085329</v>
      </c>
      <c r="J1005" s="3">
        <f t="shared" ca="1" si="117"/>
        <v>7.1388361360738148</v>
      </c>
      <c r="P1005" s="3">
        <f t="shared" ca="1" si="118"/>
        <v>-8.3101954375328191</v>
      </c>
      <c r="Q1005" s="3">
        <f t="shared" ca="1" si="119"/>
        <v>-1.0376640066328779</v>
      </c>
      <c r="R1005" s="3">
        <f t="shared" ca="1" si="120"/>
        <v>8.3747295359702623</v>
      </c>
    </row>
    <row r="1006" spans="7:18" x14ac:dyDescent="0.25">
      <c r="G1006" s="2">
        <f t="shared" ca="1" si="114"/>
        <v>0.56087758684252897</v>
      </c>
      <c r="H1006" s="3">
        <f t="shared" ca="1" si="115"/>
        <v>0</v>
      </c>
      <c r="I1006" s="3">
        <f t="shared" ca="1" si="116"/>
        <v>0.22603948174557234</v>
      </c>
      <c r="J1006" s="3">
        <f t="shared" ca="1" si="117"/>
        <v>2.3771804819237659</v>
      </c>
      <c r="P1006" s="3">
        <f t="shared" ca="1" si="118"/>
        <v>-0.59538811988220441</v>
      </c>
      <c r="Q1006" s="3">
        <f t="shared" ca="1" si="119"/>
        <v>-8.055402076266752</v>
      </c>
      <c r="R1006" s="3">
        <f t="shared" ca="1" si="120"/>
        <v>8.0773751691759088</v>
      </c>
    </row>
    <row r="1007" spans="7:18" x14ac:dyDescent="0.25">
      <c r="G1007" s="2">
        <f t="shared" ca="1" si="114"/>
        <v>0.49742754453512217</v>
      </c>
      <c r="H1007" s="3">
        <f t="shared" ca="1" si="115"/>
        <v>0</v>
      </c>
      <c r="I1007" s="3">
        <f t="shared" ca="1" si="116"/>
        <v>2.8145426982892792</v>
      </c>
      <c r="J1007" s="3">
        <f t="shared" ca="1" si="117"/>
        <v>8.3882994377425497</v>
      </c>
      <c r="P1007" s="3">
        <f t="shared" ca="1" si="118"/>
        <v>-3.785608697419149</v>
      </c>
      <c r="Q1007" s="3">
        <f t="shared" ca="1" si="119"/>
        <v>-3.5856669952100564</v>
      </c>
      <c r="R1007" s="3">
        <f t="shared" ca="1" si="120"/>
        <v>5.2141961039564118</v>
      </c>
    </row>
    <row r="1008" spans="7:18" x14ac:dyDescent="0.25">
      <c r="G1008" s="2">
        <f t="shared" ca="1" si="114"/>
        <v>0.89435204840158344</v>
      </c>
      <c r="H1008" s="3">
        <f t="shared" ca="1" si="115"/>
        <v>1</v>
      </c>
      <c r="I1008" s="3">
        <f t="shared" ca="1" si="116"/>
        <v>2.7507363804411868</v>
      </c>
      <c r="J1008" s="3">
        <f t="shared" ca="1" si="117"/>
        <v>8.2926720368666267</v>
      </c>
      <c r="P1008" s="3">
        <f t="shared" ca="1" si="118"/>
        <v>-4.7895474384098797</v>
      </c>
      <c r="Q1008" s="3">
        <f t="shared" ca="1" si="119"/>
        <v>8.6329625749105272</v>
      </c>
      <c r="R1008" s="3">
        <f t="shared" ca="1" si="120"/>
        <v>9.8725785631001415</v>
      </c>
    </row>
    <row r="1009" spans="7:18" x14ac:dyDescent="0.25">
      <c r="G1009" s="2">
        <f t="shared" ca="1" si="114"/>
        <v>0.61455812827750522</v>
      </c>
      <c r="H1009" s="3">
        <f t="shared" ca="1" si="115"/>
        <v>1</v>
      </c>
      <c r="I1009" s="3">
        <f t="shared" ca="1" si="116"/>
        <v>2.2255278560125502</v>
      </c>
      <c r="J1009" s="3">
        <f t="shared" ca="1" si="117"/>
        <v>7.4591015813108319</v>
      </c>
      <c r="P1009" s="3">
        <f t="shared" ca="1" si="118"/>
        <v>-7.3563651246233128</v>
      </c>
      <c r="Q1009" s="3">
        <f t="shared" ca="1" si="119"/>
        <v>3.8629479599387126</v>
      </c>
      <c r="R1009" s="3">
        <f t="shared" ca="1" si="120"/>
        <v>8.3089394502528933</v>
      </c>
    </row>
    <row r="1010" spans="7:18" x14ac:dyDescent="0.25">
      <c r="G1010" s="2">
        <f t="shared" ca="1" si="114"/>
        <v>0.47135386714795346</v>
      </c>
      <c r="H1010" s="3">
        <f t="shared" ca="1" si="115"/>
        <v>0</v>
      </c>
      <c r="I1010" s="3">
        <f t="shared" ca="1" si="116"/>
        <v>0.90951118149672616</v>
      </c>
      <c r="J1010" s="3">
        <f t="shared" ca="1" si="117"/>
        <v>4.7684147824427097</v>
      </c>
      <c r="P1010" s="3">
        <f t="shared" ca="1" si="118"/>
        <v>-14.994165106631236</v>
      </c>
      <c r="Q1010" s="3">
        <f t="shared" ca="1" si="119"/>
        <v>6.6320086771214726</v>
      </c>
      <c r="R1010" s="3">
        <f t="shared" ca="1" si="120"/>
        <v>16.395381250167141</v>
      </c>
    </row>
    <row r="1011" spans="7:18" x14ac:dyDescent="0.25">
      <c r="G1011" s="2">
        <f t="shared" ca="1" si="114"/>
        <v>0.36859339332557817</v>
      </c>
      <c r="H1011" s="3">
        <f t="shared" ca="1" si="115"/>
        <v>0</v>
      </c>
      <c r="I1011" s="3">
        <f t="shared" ca="1" si="116"/>
        <v>3.5928446839255268</v>
      </c>
      <c r="J1011" s="3">
        <f t="shared" ca="1" si="117"/>
        <v>9.4774003343816897</v>
      </c>
      <c r="P1011" s="3">
        <f t="shared" ca="1" si="118"/>
        <v>-10.171810104185575</v>
      </c>
      <c r="Q1011" s="3">
        <f t="shared" ca="1" si="119"/>
        <v>-5.0035863481218668</v>
      </c>
      <c r="R1011" s="3">
        <f t="shared" ca="1" si="120"/>
        <v>11.335854495304854</v>
      </c>
    </row>
    <row r="1012" spans="7:18" x14ac:dyDescent="0.25">
      <c r="G1012" s="2">
        <f t="shared" ca="1" si="114"/>
        <v>1.7730324688062349E-2</v>
      </c>
      <c r="H1012" s="3">
        <f t="shared" ca="1" si="115"/>
        <v>0</v>
      </c>
      <c r="I1012" s="3">
        <f t="shared" ca="1" si="116"/>
        <v>0.13700449413263713</v>
      </c>
      <c r="J1012" s="3">
        <f t="shared" ca="1" si="117"/>
        <v>1.850705906759885</v>
      </c>
      <c r="P1012" s="3">
        <f t="shared" ca="1" si="118"/>
        <v>-7.4939698322743169</v>
      </c>
      <c r="Q1012" s="3">
        <f t="shared" ca="1" si="119"/>
        <v>4.2109413151432022</v>
      </c>
      <c r="R1012" s="3">
        <f t="shared" ca="1" si="120"/>
        <v>8.5960229528903369</v>
      </c>
    </row>
    <row r="1013" spans="7:18" x14ac:dyDescent="0.25">
      <c r="G1013" s="2">
        <f t="shared" ca="1" si="114"/>
        <v>0.68109725926639952</v>
      </c>
      <c r="H1013" s="3">
        <f t="shared" ca="1" si="115"/>
        <v>1</v>
      </c>
      <c r="I1013" s="3">
        <f t="shared" ca="1" si="116"/>
        <v>4.2075433220165435</v>
      </c>
      <c r="J1013" s="3">
        <f t="shared" ca="1" si="117"/>
        <v>10.256148548573856</v>
      </c>
      <c r="P1013" s="3">
        <f t="shared" ca="1" si="118"/>
        <v>-0.34865772059289402</v>
      </c>
      <c r="Q1013" s="3">
        <f t="shared" ca="1" si="119"/>
        <v>-9.969097529661191</v>
      </c>
      <c r="R1013" s="3">
        <f t="shared" ca="1" si="120"/>
        <v>9.9751926177906896</v>
      </c>
    </row>
    <row r="1014" spans="7:18" x14ac:dyDescent="0.25">
      <c r="G1014" s="2">
        <f t="shared" ca="1" si="114"/>
        <v>0.96135353480836494</v>
      </c>
      <c r="H1014" s="3">
        <f t="shared" ca="1" si="115"/>
        <v>2</v>
      </c>
      <c r="I1014" s="3">
        <f t="shared" ca="1" si="116"/>
        <v>8.1364620358986635</v>
      </c>
      <c r="J1014" s="3">
        <f t="shared" ca="1" si="117"/>
        <v>14.262242141313777</v>
      </c>
      <c r="P1014" s="3">
        <f t="shared" ca="1" si="118"/>
        <v>5.1982810326238198</v>
      </c>
      <c r="Q1014" s="3">
        <f t="shared" ca="1" si="119"/>
        <v>3.5109290681663103</v>
      </c>
      <c r="R1014" s="3">
        <f t="shared" ca="1" si="120"/>
        <v>6.272858089884684</v>
      </c>
    </row>
    <row r="1015" spans="7:18" x14ac:dyDescent="0.25">
      <c r="G1015" s="2">
        <f t="shared" ca="1" si="114"/>
        <v>0.36977265349787614</v>
      </c>
      <c r="H1015" s="3">
        <f t="shared" ca="1" si="115"/>
        <v>0</v>
      </c>
      <c r="I1015" s="3">
        <f t="shared" ca="1" si="116"/>
        <v>2.3381183527296781</v>
      </c>
      <c r="J1015" s="3">
        <f t="shared" ca="1" si="117"/>
        <v>7.6454534736823785</v>
      </c>
      <c r="P1015" s="3">
        <f t="shared" ca="1" si="118"/>
        <v>-5.4164454244700737</v>
      </c>
      <c r="Q1015" s="3">
        <f t="shared" ca="1" si="119"/>
        <v>4.1461342806379351</v>
      </c>
      <c r="R1015" s="3">
        <f t="shared" ca="1" si="120"/>
        <v>6.8211663598935806</v>
      </c>
    </row>
    <row r="1016" spans="7:18" x14ac:dyDescent="0.25">
      <c r="G1016" s="2">
        <f t="shared" ca="1" si="114"/>
        <v>0.7806789143570021</v>
      </c>
      <c r="H1016" s="3">
        <f t="shared" ca="1" si="115"/>
        <v>1</v>
      </c>
      <c r="I1016" s="3">
        <f t="shared" ca="1" si="116"/>
        <v>5.0867087886635476</v>
      </c>
      <c r="J1016" s="3">
        <f t="shared" ca="1" si="117"/>
        <v>11.276866573502973</v>
      </c>
      <c r="P1016" s="3">
        <f t="shared" ca="1" si="118"/>
        <v>-1.9827208889035597</v>
      </c>
      <c r="Q1016" s="3">
        <f t="shared" ca="1" si="119"/>
        <v>4.1303474175055888</v>
      </c>
      <c r="R1016" s="3">
        <f t="shared" ca="1" si="120"/>
        <v>4.5815883613207342</v>
      </c>
    </row>
    <row r="1017" spans="7:18" x14ac:dyDescent="0.25">
      <c r="G1017" s="2">
        <f t="shared" ca="1" si="114"/>
        <v>0.56593515280789963</v>
      </c>
      <c r="H1017" s="3">
        <f t="shared" ca="1" si="115"/>
        <v>0</v>
      </c>
      <c r="I1017" s="3">
        <f t="shared" ca="1" si="116"/>
        <v>0.74311892797774226</v>
      </c>
      <c r="J1017" s="3">
        <f t="shared" ca="1" si="117"/>
        <v>4.3102173030421049</v>
      </c>
      <c r="P1017" s="3">
        <f t="shared" ca="1" si="118"/>
        <v>-4.0794844416343983</v>
      </c>
      <c r="Q1017" s="3">
        <f t="shared" ca="1" si="119"/>
        <v>5.5178755573761027</v>
      </c>
      <c r="R1017" s="3">
        <f t="shared" ca="1" si="120"/>
        <v>6.8621530131749289</v>
      </c>
    </row>
    <row r="1018" spans="7:18" x14ac:dyDescent="0.25">
      <c r="G1018" s="2">
        <f t="shared" ca="1" si="114"/>
        <v>0.37828167478664099</v>
      </c>
      <c r="H1018" s="3">
        <f t="shared" ca="1" si="115"/>
        <v>0</v>
      </c>
      <c r="I1018" s="3">
        <f t="shared" ca="1" si="116"/>
        <v>2.6877269962130304</v>
      </c>
      <c r="J1018" s="3">
        <f t="shared" ca="1" si="117"/>
        <v>8.1971443140477742</v>
      </c>
      <c r="P1018" s="3">
        <f t="shared" ca="1" si="118"/>
        <v>-1.6358982841122311</v>
      </c>
      <c r="Q1018" s="3">
        <f t="shared" ca="1" si="119"/>
        <v>5.3770950326144922</v>
      </c>
      <c r="R1018" s="3">
        <f t="shared" ca="1" si="120"/>
        <v>5.6204371881312571</v>
      </c>
    </row>
    <row r="1019" spans="7:18" x14ac:dyDescent="0.25">
      <c r="G1019" s="2">
        <f t="shared" ca="1" si="114"/>
        <v>0.54048941488679092</v>
      </c>
      <c r="H1019" s="3">
        <f t="shared" ca="1" si="115"/>
        <v>0</v>
      </c>
      <c r="I1019" s="3">
        <f t="shared" ca="1" si="116"/>
        <v>0.38014981326022157</v>
      </c>
      <c r="J1019" s="3">
        <f t="shared" ca="1" si="117"/>
        <v>3.0828145146125059</v>
      </c>
      <c r="P1019" s="3">
        <f t="shared" ca="1" si="118"/>
        <v>-11.071863569928686</v>
      </c>
      <c r="Q1019" s="3">
        <f t="shared" ca="1" si="119"/>
        <v>-5.5440810734116308</v>
      </c>
      <c r="R1019" s="3">
        <f t="shared" ca="1" si="120"/>
        <v>12.382366407907458</v>
      </c>
    </row>
    <row r="1020" spans="7:18" x14ac:dyDescent="0.25">
      <c r="G1020" s="2">
        <f t="shared" ca="1" si="114"/>
        <v>0.66871524278743422</v>
      </c>
      <c r="H1020" s="3">
        <f t="shared" ca="1" si="115"/>
        <v>1</v>
      </c>
      <c r="I1020" s="3">
        <f t="shared" ca="1" si="116"/>
        <v>0.94215410063348393</v>
      </c>
      <c r="J1020" s="3">
        <f t="shared" ca="1" si="117"/>
        <v>4.8532311418102783</v>
      </c>
      <c r="P1020" s="3">
        <f t="shared" ca="1" si="118"/>
        <v>-8.8639670301630886</v>
      </c>
      <c r="Q1020" s="3">
        <f t="shared" ca="1" si="119"/>
        <v>-4.2736680985023749</v>
      </c>
      <c r="R1020" s="3">
        <f t="shared" ca="1" si="120"/>
        <v>9.8404344684559106</v>
      </c>
    </row>
    <row r="1021" spans="7:18" x14ac:dyDescent="0.25">
      <c r="G1021" s="2">
        <f t="shared" ca="1" si="114"/>
        <v>0.43554150553443138</v>
      </c>
      <c r="H1021" s="3">
        <f t="shared" ca="1" si="115"/>
        <v>0</v>
      </c>
      <c r="I1021" s="3">
        <f t="shared" ca="1" si="116"/>
        <v>4.8247865687876432</v>
      </c>
      <c r="J1021" s="3">
        <f t="shared" ca="1" si="117"/>
        <v>10.982698403383893</v>
      </c>
      <c r="P1021" s="3">
        <f t="shared" ca="1" si="118"/>
        <v>-3.8076589976530766</v>
      </c>
      <c r="Q1021" s="3">
        <f t="shared" ca="1" si="119"/>
        <v>-5.7694163842300492</v>
      </c>
      <c r="R1021" s="3">
        <f t="shared" ca="1" si="120"/>
        <v>6.9126284767106183</v>
      </c>
    </row>
    <row r="1022" spans="7:18" x14ac:dyDescent="0.25">
      <c r="G1022" s="2">
        <f t="shared" ca="1" si="114"/>
        <v>0.59573857820175502</v>
      </c>
      <c r="H1022" s="3">
        <f t="shared" ca="1" si="115"/>
        <v>0</v>
      </c>
      <c r="I1022" s="3">
        <f t="shared" ca="1" si="116"/>
        <v>6.3145097519697453</v>
      </c>
      <c r="J1022" s="3">
        <f t="shared" ca="1" si="117"/>
        <v>12.564344145208839</v>
      </c>
      <c r="P1022" s="3">
        <f t="shared" ca="1" si="118"/>
        <v>-10.763736157378663</v>
      </c>
      <c r="Q1022" s="3">
        <f t="shared" ca="1" si="119"/>
        <v>-2.5530650636876606</v>
      </c>
      <c r="R1022" s="3">
        <f t="shared" ca="1" si="120"/>
        <v>11.062375752300373</v>
      </c>
    </row>
    <row r="1023" spans="7:18" x14ac:dyDescent="0.25">
      <c r="G1023" s="2">
        <f t="shared" ca="1" si="114"/>
        <v>0.47558699683637207</v>
      </c>
      <c r="H1023" s="3">
        <f t="shared" ca="1" si="115"/>
        <v>0</v>
      </c>
      <c r="I1023" s="3">
        <f t="shared" ca="1" si="116"/>
        <v>0.26379216563652463</v>
      </c>
      <c r="J1023" s="3">
        <f t="shared" ca="1" si="117"/>
        <v>2.5680350739258051</v>
      </c>
      <c r="P1023" s="3">
        <f t="shared" ca="1" si="118"/>
        <v>-11.360730616580685</v>
      </c>
      <c r="Q1023" s="3">
        <f t="shared" ca="1" si="119"/>
        <v>1.8546352313759205</v>
      </c>
      <c r="R1023" s="3">
        <f t="shared" ca="1" si="120"/>
        <v>11.511119493080356</v>
      </c>
    </row>
    <row r="1024" spans="7:18" x14ac:dyDescent="0.25">
      <c r="G1024" s="2">
        <f t="shared" ca="1" si="114"/>
        <v>0.50082474877171312</v>
      </c>
      <c r="H1024" s="3">
        <f t="shared" ca="1" si="115"/>
        <v>0</v>
      </c>
      <c r="I1024" s="3">
        <f t="shared" ca="1" si="116"/>
        <v>0.84123601162989403</v>
      </c>
      <c r="J1024" s="3">
        <f t="shared" ca="1" si="117"/>
        <v>4.5859459537534182</v>
      </c>
      <c r="P1024" s="3">
        <f t="shared" ca="1" si="118"/>
        <v>-8.8567816198368021</v>
      </c>
      <c r="Q1024" s="3">
        <f t="shared" ca="1" si="119"/>
        <v>-5.7468810468887499</v>
      </c>
      <c r="R1024" s="3">
        <f t="shared" ca="1" si="120"/>
        <v>10.557898580142174</v>
      </c>
    </row>
    <row r="1025" spans="7:18" x14ac:dyDescent="0.25">
      <c r="G1025" s="2">
        <f t="shared" ca="1" si="114"/>
        <v>0.42561406025536097</v>
      </c>
      <c r="H1025" s="3">
        <f t="shared" ca="1" si="115"/>
        <v>0</v>
      </c>
      <c r="I1025" s="3">
        <f t="shared" ca="1" si="116"/>
        <v>2.940025015393974</v>
      </c>
      <c r="J1025" s="3">
        <f t="shared" ca="1" si="117"/>
        <v>8.5732505728486288</v>
      </c>
      <c r="P1025" s="3">
        <f t="shared" ca="1" si="118"/>
        <v>-4.8303943053494409</v>
      </c>
      <c r="Q1025" s="3">
        <f t="shared" ca="1" si="119"/>
        <v>-2.0798933427471695</v>
      </c>
      <c r="R1025" s="3">
        <f t="shared" ca="1" si="120"/>
        <v>5.2591506407742594</v>
      </c>
    </row>
    <row r="1026" spans="7:18" x14ac:dyDescent="0.25">
      <c r="G1026" s="2">
        <f t="shared" ca="1" si="114"/>
        <v>0.4028807790911062</v>
      </c>
      <c r="H1026" s="3">
        <f t="shared" ca="1" si="115"/>
        <v>0</v>
      </c>
      <c r="I1026" s="3">
        <f t="shared" ca="1" si="116"/>
        <v>6.5360779502917401</v>
      </c>
      <c r="J1026" s="3">
        <f t="shared" ca="1" si="117"/>
        <v>12.782877170547071</v>
      </c>
      <c r="P1026" s="3">
        <f t="shared" ca="1" si="118"/>
        <v>0.39145796471227001</v>
      </c>
      <c r="Q1026" s="3">
        <f t="shared" ca="1" si="119"/>
        <v>-8.9409416458462445</v>
      </c>
      <c r="R1026" s="3">
        <f t="shared" ca="1" si="120"/>
        <v>8.9495070731613158</v>
      </c>
    </row>
    <row r="1027" spans="7:18" x14ac:dyDescent="0.25">
      <c r="G1027" s="2">
        <f t="shared" ca="1" si="114"/>
        <v>0.55134642904849773</v>
      </c>
      <c r="H1027" s="3">
        <f t="shared" ca="1" si="115"/>
        <v>0</v>
      </c>
      <c r="I1027" s="3">
        <f t="shared" ca="1" si="116"/>
        <v>0.21948522872755416</v>
      </c>
      <c r="J1027" s="3">
        <f t="shared" ca="1" si="117"/>
        <v>2.3424625329317124</v>
      </c>
      <c r="P1027" s="3">
        <f t="shared" ca="1" si="118"/>
        <v>3.15350802953418E-4</v>
      </c>
      <c r="Q1027" s="3">
        <f t="shared" ca="1" si="119"/>
        <v>-7.9028188238881798</v>
      </c>
      <c r="R1027" s="3">
        <f t="shared" ca="1" si="120"/>
        <v>7.9028188301799931</v>
      </c>
    </row>
    <row r="1028" spans="7:18" x14ac:dyDescent="0.25">
      <c r="G1028" s="2">
        <f t="shared" ref="G1028:G1091" ca="1" si="121">RAND()</f>
        <v>0.7155792647458783</v>
      </c>
      <c r="H1028" s="3">
        <f t="shared" ref="H1028:H1091" ca="1" si="122">VLOOKUP(G1028,$B$9:$C$169,2,TRUE)</f>
        <v>1</v>
      </c>
      <c r="I1028" s="3">
        <f t="shared" ref="I1028:I1091" ca="1" si="123">_xlfn.CHISQ.INV(RAND(),2*H1028+2)</f>
        <v>3.9757776199310406</v>
      </c>
      <c r="J1028" s="3">
        <f t="shared" ref="J1028:J1091" ca="1" si="124">$C$4*SQRT(I1028)</f>
        <v>9.9696760478099797</v>
      </c>
      <c r="P1028" s="3">
        <f t="shared" ref="P1028:P1091" ca="1" si="125">_xlfn.NORM.INV(RAND(),$C$3*COS($O$2),$C$4)</f>
        <v>-7.7953061257384704</v>
      </c>
      <c r="Q1028" s="3">
        <f t="shared" ref="Q1028:Q1091" ca="1" si="126">_xlfn.NORM.INV(RAND(),$C$3*SIN($O$2),$C$4)</f>
        <v>-7.0101840861447933</v>
      </c>
      <c r="R1028" s="3">
        <f t="shared" ref="R1028:R1091" ca="1" si="127">SQRT(P1028^2+Q1028^2)</f>
        <v>10.483772151072984</v>
      </c>
    </row>
    <row r="1029" spans="7:18" x14ac:dyDescent="0.25">
      <c r="G1029" s="2">
        <f t="shared" ca="1" si="121"/>
        <v>0.4362048990526719</v>
      </c>
      <c r="H1029" s="3">
        <f t="shared" ca="1" si="122"/>
        <v>0</v>
      </c>
      <c r="I1029" s="3">
        <f t="shared" ca="1" si="123"/>
        <v>4.7677517431801499</v>
      </c>
      <c r="J1029" s="3">
        <f t="shared" ca="1" si="124"/>
        <v>10.917591015398212</v>
      </c>
      <c r="P1029" s="3">
        <f t="shared" ca="1" si="125"/>
        <v>2.5461307102748698</v>
      </c>
      <c r="Q1029" s="3">
        <f t="shared" ca="1" si="126"/>
        <v>-3.49164058029519</v>
      </c>
      <c r="R1029" s="3">
        <f t="shared" ca="1" si="127"/>
        <v>4.3213812069486464</v>
      </c>
    </row>
    <row r="1030" spans="7:18" x14ac:dyDescent="0.25">
      <c r="G1030" s="2">
        <f t="shared" ca="1" si="121"/>
        <v>0.27927058486054235</v>
      </c>
      <c r="H1030" s="3">
        <f t="shared" ca="1" si="122"/>
        <v>0</v>
      </c>
      <c r="I1030" s="3">
        <f t="shared" ca="1" si="123"/>
        <v>0.27257364497875031</v>
      </c>
      <c r="J1030" s="3">
        <f t="shared" ca="1" si="124"/>
        <v>2.6104292988833766</v>
      </c>
      <c r="P1030" s="3">
        <f t="shared" ca="1" si="125"/>
        <v>-8.5998760163115193</v>
      </c>
      <c r="Q1030" s="3">
        <f t="shared" ca="1" si="126"/>
        <v>-2.0636118360345792</v>
      </c>
      <c r="R1030" s="3">
        <f t="shared" ca="1" si="127"/>
        <v>8.844001430673341</v>
      </c>
    </row>
    <row r="1031" spans="7:18" x14ac:dyDescent="0.25">
      <c r="G1031" s="2">
        <f t="shared" ca="1" si="121"/>
        <v>0.28187101525119451</v>
      </c>
      <c r="H1031" s="3">
        <f t="shared" ca="1" si="122"/>
        <v>0</v>
      </c>
      <c r="I1031" s="3">
        <f t="shared" ca="1" si="123"/>
        <v>0.45152426219039848</v>
      </c>
      <c r="J1031" s="3">
        <f t="shared" ca="1" si="124"/>
        <v>3.3597777537747882</v>
      </c>
      <c r="P1031" s="3">
        <f t="shared" ca="1" si="125"/>
        <v>-2.9540299164443904</v>
      </c>
      <c r="Q1031" s="3">
        <f t="shared" ca="1" si="126"/>
        <v>-2.6131926519570832</v>
      </c>
      <c r="R1031" s="3">
        <f t="shared" ca="1" si="127"/>
        <v>3.9439914532730604</v>
      </c>
    </row>
    <row r="1032" spans="7:18" x14ac:dyDescent="0.25">
      <c r="G1032" s="2">
        <f t="shared" ca="1" si="121"/>
        <v>0.19893630602777046</v>
      </c>
      <c r="H1032" s="3">
        <f t="shared" ca="1" si="122"/>
        <v>0</v>
      </c>
      <c r="I1032" s="3">
        <f t="shared" ca="1" si="123"/>
        <v>2.1088065109970411</v>
      </c>
      <c r="J1032" s="3">
        <f t="shared" ca="1" si="124"/>
        <v>7.2608651533357937</v>
      </c>
      <c r="P1032" s="3">
        <f t="shared" ca="1" si="125"/>
        <v>-8.0497752490655934</v>
      </c>
      <c r="Q1032" s="3">
        <f t="shared" ca="1" si="126"/>
        <v>4.0636873998893215</v>
      </c>
      <c r="R1032" s="3">
        <f t="shared" ca="1" si="127"/>
        <v>9.0173408965441837</v>
      </c>
    </row>
    <row r="1033" spans="7:18" x14ac:dyDescent="0.25">
      <c r="G1033" s="2">
        <f t="shared" ca="1" si="121"/>
        <v>0.82295367346989012</v>
      </c>
      <c r="H1033" s="3">
        <f t="shared" ca="1" si="122"/>
        <v>1</v>
      </c>
      <c r="I1033" s="3">
        <f t="shared" ca="1" si="123"/>
        <v>3.6130804439889497</v>
      </c>
      <c r="J1033" s="3">
        <f t="shared" ca="1" si="124"/>
        <v>9.5040523514826951</v>
      </c>
      <c r="P1033" s="3">
        <f t="shared" ca="1" si="125"/>
        <v>3.06620245518112</v>
      </c>
      <c r="Q1033" s="3">
        <f t="shared" ca="1" si="126"/>
        <v>-1.3975462220406139</v>
      </c>
      <c r="R1033" s="3">
        <f t="shared" ca="1" si="127"/>
        <v>3.3696784622421649</v>
      </c>
    </row>
    <row r="1034" spans="7:18" x14ac:dyDescent="0.25">
      <c r="G1034" s="2">
        <f t="shared" ca="1" si="121"/>
        <v>0.52042625977940393</v>
      </c>
      <c r="H1034" s="3">
        <f t="shared" ca="1" si="122"/>
        <v>0</v>
      </c>
      <c r="I1034" s="3">
        <f t="shared" ca="1" si="123"/>
        <v>0.2669085735566844</v>
      </c>
      <c r="J1034" s="3">
        <f t="shared" ca="1" si="124"/>
        <v>2.5831597586903348</v>
      </c>
      <c r="P1034" s="3">
        <f t="shared" ca="1" si="125"/>
        <v>-11.835056143386376</v>
      </c>
      <c r="Q1034" s="3">
        <f t="shared" ca="1" si="126"/>
        <v>-14.262614404938292</v>
      </c>
      <c r="R1034" s="3">
        <f t="shared" ca="1" si="127"/>
        <v>18.533502733726856</v>
      </c>
    </row>
    <row r="1035" spans="7:18" x14ac:dyDescent="0.25">
      <c r="G1035" s="2">
        <f t="shared" ca="1" si="121"/>
        <v>0.14667038511696051</v>
      </c>
      <c r="H1035" s="3">
        <f t="shared" ca="1" si="122"/>
        <v>0</v>
      </c>
      <c r="I1035" s="3">
        <f t="shared" ca="1" si="123"/>
        <v>0.62154510959509668</v>
      </c>
      <c r="J1035" s="3">
        <f t="shared" ca="1" si="124"/>
        <v>3.9419066122724695</v>
      </c>
      <c r="P1035" s="3">
        <f t="shared" ca="1" si="125"/>
        <v>-4.8879832165161208</v>
      </c>
      <c r="Q1035" s="3">
        <f t="shared" ca="1" si="126"/>
        <v>3.0030739414552459</v>
      </c>
      <c r="R1035" s="3">
        <f t="shared" ca="1" si="127"/>
        <v>5.7367964076469393</v>
      </c>
    </row>
    <row r="1036" spans="7:18" x14ac:dyDescent="0.25">
      <c r="G1036" s="2">
        <f t="shared" ca="1" si="121"/>
        <v>0.15192507759033536</v>
      </c>
      <c r="H1036" s="3">
        <f t="shared" ca="1" si="122"/>
        <v>0</v>
      </c>
      <c r="I1036" s="3">
        <f t="shared" ca="1" si="123"/>
        <v>3.1478832420489655</v>
      </c>
      <c r="J1036" s="3">
        <f t="shared" ca="1" si="124"/>
        <v>8.8711375285937333</v>
      </c>
      <c r="P1036" s="3">
        <f t="shared" ca="1" si="125"/>
        <v>-5.1292484945103816</v>
      </c>
      <c r="Q1036" s="3">
        <f t="shared" ca="1" si="126"/>
        <v>-5.4319152573929665</v>
      </c>
      <c r="R1036" s="3">
        <f t="shared" ca="1" si="127"/>
        <v>7.4709365866627131</v>
      </c>
    </row>
    <row r="1037" spans="7:18" x14ac:dyDescent="0.25">
      <c r="G1037" s="2">
        <f t="shared" ca="1" si="121"/>
        <v>0.91152149986195397</v>
      </c>
      <c r="H1037" s="3">
        <f t="shared" ca="1" si="122"/>
        <v>2</v>
      </c>
      <c r="I1037" s="3">
        <f t="shared" ca="1" si="123"/>
        <v>5.706740884888835</v>
      </c>
      <c r="J1037" s="3">
        <f t="shared" ca="1" si="124"/>
        <v>11.944392915599389</v>
      </c>
      <c r="P1037" s="3">
        <f t="shared" ca="1" si="125"/>
        <v>3.3228616786877634</v>
      </c>
      <c r="Q1037" s="3">
        <f t="shared" ca="1" si="126"/>
        <v>1.1659406298395596</v>
      </c>
      <c r="R1037" s="3">
        <f t="shared" ca="1" si="127"/>
        <v>3.5214808373754258</v>
      </c>
    </row>
    <row r="1038" spans="7:18" x14ac:dyDescent="0.25">
      <c r="G1038" s="2">
        <f t="shared" ca="1" si="121"/>
        <v>0.49653242058641134</v>
      </c>
      <c r="H1038" s="3">
        <f t="shared" ca="1" si="122"/>
        <v>0</v>
      </c>
      <c r="I1038" s="3">
        <f t="shared" ca="1" si="123"/>
        <v>0.65769162227334166</v>
      </c>
      <c r="J1038" s="3">
        <f t="shared" ca="1" si="124"/>
        <v>4.0549094387955869</v>
      </c>
      <c r="P1038" s="3">
        <f t="shared" ca="1" si="125"/>
        <v>-0.23557894521543155</v>
      </c>
      <c r="Q1038" s="3">
        <f t="shared" ca="1" si="126"/>
        <v>4.3274601095509704</v>
      </c>
      <c r="R1038" s="3">
        <f t="shared" ca="1" si="127"/>
        <v>4.333867607482226</v>
      </c>
    </row>
    <row r="1039" spans="7:18" x14ac:dyDescent="0.25">
      <c r="G1039" s="2">
        <f t="shared" ca="1" si="121"/>
        <v>0.46403895391103755</v>
      </c>
      <c r="H1039" s="3">
        <f t="shared" ca="1" si="122"/>
        <v>0</v>
      </c>
      <c r="I1039" s="3">
        <f t="shared" ca="1" si="123"/>
        <v>2.6491914076867844</v>
      </c>
      <c r="J1039" s="3">
        <f t="shared" ca="1" si="124"/>
        <v>8.1381684175353382</v>
      </c>
      <c r="P1039" s="3">
        <f t="shared" ca="1" si="125"/>
        <v>-2.0923022121770396</v>
      </c>
      <c r="Q1039" s="3">
        <f t="shared" ca="1" si="126"/>
        <v>2.2934534678812786</v>
      </c>
      <c r="R1039" s="3">
        <f t="shared" ca="1" si="127"/>
        <v>3.1044576589829016</v>
      </c>
    </row>
    <row r="1040" spans="7:18" x14ac:dyDescent="0.25">
      <c r="G1040" s="2">
        <f t="shared" ca="1" si="121"/>
        <v>0.81591515838404627</v>
      </c>
      <c r="H1040" s="3">
        <f t="shared" ca="1" si="122"/>
        <v>1</v>
      </c>
      <c r="I1040" s="3">
        <f t="shared" ca="1" si="123"/>
        <v>2.82169167025965</v>
      </c>
      <c r="J1040" s="3">
        <f t="shared" ca="1" si="124"/>
        <v>8.3989458717443384</v>
      </c>
      <c r="P1040" s="3">
        <f t="shared" ca="1" si="125"/>
        <v>5.0227612233498871</v>
      </c>
      <c r="Q1040" s="3">
        <f t="shared" ca="1" si="126"/>
        <v>-9.0919661454409084</v>
      </c>
      <c r="R1040" s="3">
        <f t="shared" ca="1" si="127"/>
        <v>10.387106367830786</v>
      </c>
    </row>
    <row r="1041" spans="7:18" x14ac:dyDescent="0.25">
      <c r="G1041" s="2">
        <f t="shared" ca="1" si="121"/>
        <v>1.2182328746155324E-2</v>
      </c>
      <c r="H1041" s="3">
        <f t="shared" ca="1" si="122"/>
        <v>0</v>
      </c>
      <c r="I1041" s="3">
        <f t="shared" ca="1" si="123"/>
        <v>2.1032659094204749</v>
      </c>
      <c r="J1041" s="3">
        <f t="shared" ca="1" si="124"/>
        <v>7.2513204132428104</v>
      </c>
      <c r="P1041" s="3">
        <f t="shared" ca="1" si="125"/>
        <v>-1.3741721453485178</v>
      </c>
      <c r="Q1041" s="3">
        <f t="shared" ca="1" si="126"/>
        <v>2.1627632866969893</v>
      </c>
      <c r="R1041" s="3">
        <f t="shared" ca="1" si="127"/>
        <v>2.5624000701170986</v>
      </c>
    </row>
    <row r="1042" spans="7:18" x14ac:dyDescent="0.25">
      <c r="G1042" s="2">
        <f t="shared" ca="1" si="121"/>
        <v>0.67987871572060421</v>
      </c>
      <c r="H1042" s="3">
        <f t="shared" ca="1" si="122"/>
        <v>1</v>
      </c>
      <c r="I1042" s="3">
        <f t="shared" ca="1" si="123"/>
        <v>4.904606002648066</v>
      </c>
      <c r="J1042" s="3">
        <f t="shared" ca="1" si="124"/>
        <v>11.073172538446316</v>
      </c>
      <c r="P1042" s="3">
        <f t="shared" ca="1" si="125"/>
        <v>8.5743450147419065</v>
      </c>
      <c r="Q1042" s="3">
        <f t="shared" ca="1" si="126"/>
        <v>-1.4618850799239931</v>
      </c>
      <c r="R1042" s="3">
        <f t="shared" ca="1" si="127"/>
        <v>8.6980745236364676</v>
      </c>
    </row>
    <row r="1043" spans="7:18" x14ac:dyDescent="0.25">
      <c r="G1043" s="2">
        <f t="shared" ca="1" si="121"/>
        <v>0.58085451816225042</v>
      </c>
      <c r="H1043" s="3">
        <f t="shared" ca="1" si="122"/>
        <v>0</v>
      </c>
      <c r="I1043" s="3">
        <f t="shared" ca="1" si="123"/>
        <v>8.7207207297681846E-2</v>
      </c>
      <c r="J1043" s="3">
        <f t="shared" ca="1" si="124"/>
        <v>1.4765433222367863</v>
      </c>
      <c r="P1043" s="3">
        <f t="shared" ca="1" si="125"/>
        <v>-6.5361248148155777</v>
      </c>
      <c r="Q1043" s="3">
        <f t="shared" ca="1" si="126"/>
        <v>2.6291202406281222</v>
      </c>
      <c r="R1043" s="3">
        <f t="shared" ca="1" si="127"/>
        <v>7.045083451211096</v>
      </c>
    </row>
    <row r="1044" spans="7:18" x14ac:dyDescent="0.25">
      <c r="G1044" s="2">
        <f t="shared" ca="1" si="121"/>
        <v>0.21846833930257292</v>
      </c>
      <c r="H1044" s="3">
        <f t="shared" ca="1" si="122"/>
        <v>0</v>
      </c>
      <c r="I1044" s="3">
        <f t="shared" ca="1" si="123"/>
        <v>5.1188322659055441</v>
      </c>
      <c r="J1044" s="3">
        <f t="shared" ca="1" si="124"/>
        <v>11.312418249323997</v>
      </c>
      <c r="P1044" s="3">
        <f t="shared" ca="1" si="125"/>
        <v>-5.4696585810703215</v>
      </c>
      <c r="Q1044" s="3">
        <f t="shared" ca="1" si="126"/>
        <v>7.9912076461141703</v>
      </c>
      <c r="R1044" s="3">
        <f t="shared" ca="1" si="127"/>
        <v>9.6838300603010268</v>
      </c>
    </row>
    <row r="1045" spans="7:18" x14ac:dyDescent="0.25">
      <c r="G1045" s="2">
        <f t="shared" ca="1" si="121"/>
        <v>0.92248915446580348</v>
      </c>
      <c r="H1045" s="3">
        <f t="shared" ca="1" si="122"/>
        <v>2</v>
      </c>
      <c r="I1045" s="3">
        <f t="shared" ca="1" si="123"/>
        <v>2.0437384546659225</v>
      </c>
      <c r="J1045" s="3">
        <f t="shared" ca="1" si="124"/>
        <v>7.1479690378909773</v>
      </c>
      <c r="P1045" s="3">
        <f t="shared" ca="1" si="125"/>
        <v>-2.8681622220351417</v>
      </c>
      <c r="Q1045" s="3">
        <f t="shared" ca="1" si="126"/>
        <v>-6.4608995314078035</v>
      </c>
      <c r="R1045" s="3">
        <f t="shared" ca="1" si="127"/>
        <v>7.0689162738608768</v>
      </c>
    </row>
    <row r="1046" spans="7:18" x14ac:dyDescent="0.25">
      <c r="G1046" s="2">
        <f t="shared" ca="1" si="121"/>
        <v>0.63305451224618126</v>
      </c>
      <c r="H1046" s="3">
        <f t="shared" ca="1" si="122"/>
        <v>1</v>
      </c>
      <c r="I1046" s="3">
        <f t="shared" ca="1" si="123"/>
        <v>1.6486313906224765</v>
      </c>
      <c r="J1046" s="3">
        <f t="shared" ca="1" si="124"/>
        <v>6.4199520843665114</v>
      </c>
      <c r="P1046" s="3">
        <f t="shared" ca="1" si="125"/>
        <v>-2.3777619117515627</v>
      </c>
      <c r="Q1046" s="3">
        <f t="shared" ca="1" si="126"/>
        <v>8.4608046665222876E-3</v>
      </c>
      <c r="R1046" s="3">
        <f t="shared" ca="1" si="127"/>
        <v>2.377776964770256</v>
      </c>
    </row>
    <row r="1047" spans="7:18" x14ac:dyDescent="0.25">
      <c r="G1047" s="2">
        <f t="shared" ca="1" si="121"/>
        <v>0.33951110128100248</v>
      </c>
      <c r="H1047" s="3">
        <f t="shared" ca="1" si="122"/>
        <v>0</v>
      </c>
      <c r="I1047" s="3">
        <f t="shared" ca="1" si="123"/>
        <v>2.549268576897199</v>
      </c>
      <c r="J1047" s="3">
        <f t="shared" ca="1" si="124"/>
        <v>7.9832145419267029</v>
      </c>
      <c r="P1047" s="3">
        <f t="shared" ca="1" si="125"/>
        <v>6.1724519640238285E-2</v>
      </c>
      <c r="Q1047" s="3">
        <f t="shared" ca="1" si="126"/>
        <v>-3.1824182134843539</v>
      </c>
      <c r="R1047" s="3">
        <f t="shared" ca="1" si="127"/>
        <v>3.1830167454541871</v>
      </c>
    </row>
    <row r="1048" spans="7:18" x14ac:dyDescent="0.25">
      <c r="G1048" s="2">
        <f t="shared" ca="1" si="121"/>
        <v>0.80228701749988462</v>
      </c>
      <c r="H1048" s="3">
        <f t="shared" ca="1" si="122"/>
        <v>1</v>
      </c>
      <c r="I1048" s="3">
        <f t="shared" ca="1" si="123"/>
        <v>5.9067400638607488</v>
      </c>
      <c r="J1048" s="3">
        <f t="shared" ca="1" si="124"/>
        <v>12.151892922360645</v>
      </c>
      <c r="P1048" s="3">
        <f t="shared" ca="1" si="125"/>
        <v>-5.518182811254011</v>
      </c>
      <c r="Q1048" s="3">
        <f t="shared" ca="1" si="126"/>
        <v>-1.0220753936799716</v>
      </c>
      <c r="R1048" s="3">
        <f t="shared" ca="1" si="127"/>
        <v>5.6120388139058059</v>
      </c>
    </row>
    <row r="1049" spans="7:18" x14ac:dyDescent="0.25">
      <c r="G1049" s="2">
        <f t="shared" ca="1" si="121"/>
        <v>0.6398640714860967</v>
      </c>
      <c r="H1049" s="3">
        <f t="shared" ca="1" si="122"/>
        <v>1</v>
      </c>
      <c r="I1049" s="3">
        <f t="shared" ca="1" si="123"/>
        <v>2.7554777877746406</v>
      </c>
      <c r="J1049" s="3">
        <f t="shared" ca="1" si="124"/>
        <v>8.2998159434029635</v>
      </c>
      <c r="P1049" s="3">
        <f t="shared" ca="1" si="125"/>
        <v>-7.0663031576503128</v>
      </c>
      <c r="Q1049" s="3">
        <f t="shared" ca="1" si="126"/>
        <v>2.176889350239072</v>
      </c>
      <c r="R1049" s="3">
        <f t="shared" ca="1" si="127"/>
        <v>7.3940170110030898</v>
      </c>
    </row>
    <row r="1050" spans="7:18" x14ac:dyDescent="0.25">
      <c r="G1050" s="2">
        <f t="shared" ca="1" si="121"/>
        <v>5.1979975383090182E-2</v>
      </c>
      <c r="H1050" s="3">
        <f t="shared" ca="1" si="122"/>
        <v>0</v>
      </c>
      <c r="I1050" s="3">
        <f t="shared" ca="1" si="123"/>
        <v>1.3649994876331344</v>
      </c>
      <c r="J1050" s="3">
        <f t="shared" ca="1" si="124"/>
        <v>5.8416596264099772</v>
      </c>
      <c r="P1050" s="3">
        <f t="shared" ca="1" si="125"/>
        <v>-2.9073099293484366</v>
      </c>
      <c r="Q1050" s="3">
        <f t="shared" ca="1" si="126"/>
        <v>-0.84240619332709055</v>
      </c>
      <c r="R1050" s="3">
        <f t="shared" ca="1" si="127"/>
        <v>3.0268959710970993</v>
      </c>
    </row>
    <row r="1051" spans="7:18" x14ac:dyDescent="0.25">
      <c r="G1051" s="2">
        <f t="shared" ca="1" si="121"/>
        <v>0.76095639368441992</v>
      </c>
      <c r="H1051" s="3">
        <f t="shared" ca="1" si="122"/>
        <v>1</v>
      </c>
      <c r="I1051" s="3">
        <f t="shared" ca="1" si="123"/>
        <v>0.84095009609066418</v>
      </c>
      <c r="J1051" s="3">
        <f t="shared" ca="1" si="124"/>
        <v>4.5851665621072701</v>
      </c>
      <c r="P1051" s="3">
        <f t="shared" ca="1" si="125"/>
        <v>1.3114434285768599</v>
      </c>
      <c r="Q1051" s="3">
        <f t="shared" ca="1" si="126"/>
        <v>-2.9437823189533692</v>
      </c>
      <c r="R1051" s="3">
        <f t="shared" ca="1" si="127"/>
        <v>3.2226911437089196</v>
      </c>
    </row>
    <row r="1052" spans="7:18" x14ac:dyDescent="0.25">
      <c r="G1052" s="2">
        <f t="shared" ca="1" si="121"/>
        <v>0.47089131659082151</v>
      </c>
      <c r="H1052" s="3">
        <f t="shared" ca="1" si="122"/>
        <v>0</v>
      </c>
      <c r="I1052" s="3">
        <f t="shared" ca="1" si="123"/>
        <v>2.2004570462677744E-2</v>
      </c>
      <c r="J1052" s="3">
        <f t="shared" ca="1" si="124"/>
        <v>0.7416968798417205</v>
      </c>
      <c r="P1052" s="3">
        <f t="shared" ca="1" si="125"/>
        <v>-1.6616501384073907</v>
      </c>
      <c r="Q1052" s="3">
        <f t="shared" ca="1" si="126"/>
        <v>5.3586779906807509</v>
      </c>
      <c r="R1052" s="3">
        <f t="shared" ca="1" si="127"/>
        <v>5.6103931226141004</v>
      </c>
    </row>
    <row r="1053" spans="7:18" x14ac:dyDescent="0.25">
      <c r="G1053" s="2">
        <f t="shared" ca="1" si="121"/>
        <v>0.64708349172903135</v>
      </c>
      <c r="H1053" s="3">
        <f t="shared" ca="1" si="122"/>
        <v>1</v>
      </c>
      <c r="I1053" s="3">
        <f t="shared" ca="1" si="123"/>
        <v>9.6889114927202851</v>
      </c>
      <c r="J1053" s="3">
        <f t="shared" ca="1" si="124"/>
        <v>15.563508194427344</v>
      </c>
      <c r="P1053" s="3">
        <f t="shared" ca="1" si="125"/>
        <v>0.29842659200908095</v>
      </c>
      <c r="Q1053" s="3">
        <f t="shared" ca="1" si="126"/>
        <v>0.81941438343722472</v>
      </c>
      <c r="R1053" s="3">
        <f t="shared" ca="1" si="127"/>
        <v>0.87206557242099725</v>
      </c>
    </row>
    <row r="1054" spans="7:18" x14ac:dyDescent="0.25">
      <c r="G1054" s="2">
        <f t="shared" ca="1" si="121"/>
        <v>0.38800351583205295</v>
      </c>
      <c r="H1054" s="3">
        <f t="shared" ca="1" si="122"/>
        <v>0</v>
      </c>
      <c r="I1054" s="3">
        <f t="shared" ca="1" si="123"/>
        <v>0.40848347922942863</v>
      </c>
      <c r="J1054" s="3">
        <f t="shared" ca="1" si="124"/>
        <v>3.1956356145117226</v>
      </c>
      <c r="P1054" s="3">
        <f t="shared" ca="1" si="125"/>
        <v>-2.0998261863697554</v>
      </c>
      <c r="Q1054" s="3">
        <f t="shared" ca="1" si="126"/>
        <v>2.6314006463757522</v>
      </c>
      <c r="R1054" s="3">
        <f t="shared" ca="1" si="127"/>
        <v>3.3665322476861674</v>
      </c>
    </row>
    <row r="1055" spans="7:18" x14ac:dyDescent="0.25">
      <c r="G1055" s="2">
        <f t="shared" ca="1" si="121"/>
        <v>0.55451044254382031</v>
      </c>
      <c r="H1055" s="3">
        <f t="shared" ca="1" si="122"/>
        <v>0</v>
      </c>
      <c r="I1055" s="3">
        <f t="shared" ca="1" si="123"/>
        <v>0.13847933123177855</v>
      </c>
      <c r="J1055" s="3">
        <f t="shared" ca="1" si="124"/>
        <v>1.8606405565811102</v>
      </c>
      <c r="P1055" s="3">
        <f t="shared" ca="1" si="125"/>
        <v>-0.56032293394294364</v>
      </c>
      <c r="Q1055" s="3">
        <f t="shared" ca="1" si="126"/>
        <v>-2.9493951958346467</v>
      </c>
      <c r="R1055" s="3">
        <f t="shared" ca="1" si="127"/>
        <v>3.0021481994590014</v>
      </c>
    </row>
    <row r="1056" spans="7:18" x14ac:dyDescent="0.25">
      <c r="G1056" s="2">
        <f t="shared" ca="1" si="121"/>
        <v>0.67307735939924496</v>
      </c>
      <c r="H1056" s="3">
        <f t="shared" ca="1" si="122"/>
        <v>1</v>
      </c>
      <c r="I1056" s="3">
        <f t="shared" ca="1" si="123"/>
        <v>5.0617930345679341</v>
      </c>
      <c r="J1056" s="3">
        <f t="shared" ca="1" si="124"/>
        <v>11.24921445542747</v>
      </c>
      <c r="P1056" s="3">
        <f t="shared" ca="1" si="125"/>
        <v>-11.100233517339078</v>
      </c>
      <c r="Q1056" s="3">
        <f t="shared" ca="1" si="126"/>
        <v>1.2465553077803555</v>
      </c>
      <c r="R1056" s="3">
        <f t="shared" ca="1" si="127"/>
        <v>11.170008248645713</v>
      </c>
    </row>
    <row r="1057" spans="7:18" x14ac:dyDescent="0.25">
      <c r="G1057" s="2">
        <f t="shared" ca="1" si="121"/>
        <v>0.23487808603727445</v>
      </c>
      <c r="H1057" s="3">
        <f t="shared" ca="1" si="122"/>
        <v>0</v>
      </c>
      <c r="I1057" s="3">
        <f t="shared" ca="1" si="123"/>
        <v>1.1070574533330659</v>
      </c>
      <c r="J1057" s="3">
        <f t="shared" ca="1" si="124"/>
        <v>5.2608398885849628</v>
      </c>
      <c r="P1057" s="3">
        <f t="shared" ca="1" si="125"/>
        <v>3.5011122854975216</v>
      </c>
      <c r="Q1057" s="3">
        <f t="shared" ca="1" si="126"/>
        <v>-4.1452883061487071</v>
      </c>
      <c r="R1057" s="3">
        <f t="shared" ca="1" si="127"/>
        <v>5.4259747858569058</v>
      </c>
    </row>
    <row r="1058" spans="7:18" x14ac:dyDescent="0.25">
      <c r="G1058" s="2">
        <f t="shared" ca="1" si="121"/>
        <v>0.68305305066217492</v>
      </c>
      <c r="H1058" s="3">
        <f t="shared" ca="1" si="122"/>
        <v>1</v>
      </c>
      <c r="I1058" s="3">
        <f t="shared" ca="1" si="123"/>
        <v>2.5898017104058226</v>
      </c>
      <c r="J1058" s="3">
        <f t="shared" ca="1" si="124"/>
        <v>8.0464304359228489</v>
      </c>
      <c r="P1058" s="3">
        <f t="shared" ca="1" si="125"/>
        <v>-5.9053865730249573</v>
      </c>
      <c r="Q1058" s="3">
        <f t="shared" ca="1" si="126"/>
        <v>-4.4785587195975207</v>
      </c>
      <c r="R1058" s="3">
        <f t="shared" ca="1" si="127"/>
        <v>7.4115503628961754</v>
      </c>
    </row>
    <row r="1059" spans="7:18" x14ac:dyDescent="0.25">
      <c r="G1059" s="2">
        <f t="shared" ca="1" si="121"/>
        <v>0.3888347757204309</v>
      </c>
      <c r="H1059" s="3">
        <f t="shared" ca="1" si="122"/>
        <v>0</v>
      </c>
      <c r="I1059" s="3">
        <f t="shared" ca="1" si="123"/>
        <v>1.8906311882843305</v>
      </c>
      <c r="J1059" s="3">
        <f t="shared" ca="1" si="124"/>
        <v>6.875011251416848</v>
      </c>
      <c r="P1059" s="3">
        <f t="shared" ca="1" si="125"/>
        <v>-11.368231623625526</v>
      </c>
      <c r="Q1059" s="3">
        <f t="shared" ca="1" si="126"/>
        <v>2.749811717091355</v>
      </c>
      <c r="R1059" s="3">
        <f t="shared" ca="1" si="127"/>
        <v>11.69607432978486</v>
      </c>
    </row>
    <row r="1060" spans="7:18" x14ac:dyDescent="0.25">
      <c r="G1060" s="2">
        <f t="shared" ca="1" si="121"/>
        <v>0.82009418752651253</v>
      </c>
      <c r="H1060" s="3">
        <f t="shared" ca="1" si="122"/>
        <v>1</v>
      </c>
      <c r="I1060" s="3">
        <f t="shared" ca="1" si="123"/>
        <v>3.7194591825818821</v>
      </c>
      <c r="J1060" s="3">
        <f t="shared" ca="1" si="124"/>
        <v>9.6429497335901875</v>
      </c>
      <c r="P1060" s="3">
        <f t="shared" ca="1" si="125"/>
        <v>-2.3815912405714186</v>
      </c>
      <c r="Q1060" s="3">
        <f t="shared" ca="1" si="126"/>
        <v>3.6057484187841515</v>
      </c>
      <c r="R1060" s="3">
        <f t="shared" ca="1" si="127"/>
        <v>4.3212727866603053</v>
      </c>
    </row>
    <row r="1061" spans="7:18" x14ac:dyDescent="0.25">
      <c r="G1061" s="2">
        <f t="shared" ca="1" si="121"/>
        <v>0.26584151254791499</v>
      </c>
      <c r="H1061" s="3">
        <f t="shared" ca="1" si="122"/>
        <v>0</v>
      </c>
      <c r="I1061" s="3">
        <f t="shared" ca="1" si="123"/>
        <v>0.92127352921486549</v>
      </c>
      <c r="J1061" s="3">
        <f t="shared" ca="1" si="124"/>
        <v>4.7991497403573105</v>
      </c>
      <c r="P1061" s="3">
        <f t="shared" ca="1" si="125"/>
        <v>-13.408512524187252</v>
      </c>
      <c r="Q1061" s="3">
        <f t="shared" ca="1" si="126"/>
        <v>-7.2101665543935827</v>
      </c>
      <c r="R1061" s="3">
        <f t="shared" ca="1" si="127"/>
        <v>15.224148904072837</v>
      </c>
    </row>
    <row r="1062" spans="7:18" x14ac:dyDescent="0.25">
      <c r="G1062" s="2">
        <f t="shared" ca="1" si="121"/>
        <v>0.220733749477102</v>
      </c>
      <c r="H1062" s="3">
        <f t="shared" ca="1" si="122"/>
        <v>0</v>
      </c>
      <c r="I1062" s="3">
        <f t="shared" ca="1" si="123"/>
        <v>1.2095005358849638</v>
      </c>
      <c r="J1062" s="3">
        <f t="shared" ca="1" si="124"/>
        <v>5.4988647371183896</v>
      </c>
      <c r="P1062" s="3">
        <f t="shared" ca="1" si="125"/>
        <v>-6.1837058822744497</v>
      </c>
      <c r="Q1062" s="3">
        <f t="shared" ca="1" si="126"/>
        <v>-3.3569761992606972</v>
      </c>
      <c r="R1062" s="3">
        <f t="shared" ca="1" si="127"/>
        <v>7.0361571643105316</v>
      </c>
    </row>
    <row r="1063" spans="7:18" x14ac:dyDescent="0.25">
      <c r="G1063" s="2">
        <f t="shared" ca="1" si="121"/>
        <v>0.84616027458266652</v>
      </c>
      <c r="H1063" s="3">
        <f t="shared" ca="1" si="122"/>
        <v>1</v>
      </c>
      <c r="I1063" s="3">
        <f t="shared" ca="1" si="123"/>
        <v>3.3691167364253403</v>
      </c>
      <c r="J1063" s="3">
        <f t="shared" ca="1" si="124"/>
        <v>9.1775769356967807</v>
      </c>
      <c r="P1063" s="3">
        <f t="shared" ca="1" si="125"/>
        <v>0.84675864647419807</v>
      </c>
      <c r="Q1063" s="3">
        <f t="shared" ca="1" si="126"/>
        <v>-6.7236934529498003</v>
      </c>
      <c r="R1063" s="3">
        <f t="shared" ca="1" si="127"/>
        <v>6.7768026276865125</v>
      </c>
    </row>
    <row r="1064" spans="7:18" x14ac:dyDescent="0.25">
      <c r="G1064" s="2">
        <f t="shared" ca="1" si="121"/>
        <v>0.26760768608052898</v>
      </c>
      <c r="H1064" s="3">
        <f t="shared" ca="1" si="122"/>
        <v>0</v>
      </c>
      <c r="I1064" s="3">
        <f t="shared" ca="1" si="123"/>
        <v>1.6509294717979586</v>
      </c>
      <c r="J1064" s="3">
        <f t="shared" ca="1" si="124"/>
        <v>6.4244250166804004</v>
      </c>
      <c r="P1064" s="3">
        <f t="shared" ca="1" si="125"/>
        <v>-3.820802928466382</v>
      </c>
      <c r="Q1064" s="3">
        <f t="shared" ca="1" si="126"/>
        <v>-1.0255131753228599</v>
      </c>
      <c r="R1064" s="3">
        <f t="shared" ca="1" si="127"/>
        <v>3.9560349203385523</v>
      </c>
    </row>
    <row r="1065" spans="7:18" x14ac:dyDescent="0.25">
      <c r="G1065" s="2">
        <f t="shared" ca="1" si="121"/>
        <v>0.37964563326524281</v>
      </c>
      <c r="H1065" s="3">
        <f t="shared" ca="1" si="122"/>
        <v>0</v>
      </c>
      <c r="I1065" s="3">
        <f t="shared" ca="1" si="123"/>
        <v>2.8129927206689822</v>
      </c>
      <c r="J1065" s="3">
        <f t="shared" ca="1" si="124"/>
        <v>8.3859893880641518</v>
      </c>
      <c r="P1065" s="3">
        <f t="shared" ca="1" si="125"/>
        <v>-3.0732495506176862</v>
      </c>
      <c r="Q1065" s="3">
        <f t="shared" ca="1" si="126"/>
        <v>0.66130365401831159</v>
      </c>
      <c r="R1065" s="3">
        <f t="shared" ca="1" si="127"/>
        <v>3.1435943318421002</v>
      </c>
    </row>
    <row r="1066" spans="7:18" x14ac:dyDescent="0.25">
      <c r="G1066" s="2">
        <f t="shared" ca="1" si="121"/>
        <v>0.71415461511126144</v>
      </c>
      <c r="H1066" s="3">
        <f t="shared" ca="1" si="122"/>
        <v>1</v>
      </c>
      <c r="I1066" s="3">
        <f t="shared" ca="1" si="123"/>
        <v>1.6864302898460697</v>
      </c>
      <c r="J1066" s="3">
        <f t="shared" ca="1" si="124"/>
        <v>6.4931315438817148</v>
      </c>
      <c r="P1066" s="3">
        <f t="shared" ca="1" si="125"/>
        <v>-3.0686460657426249</v>
      </c>
      <c r="Q1066" s="3">
        <f t="shared" ca="1" si="126"/>
        <v>-0.86266669341963165</v>
      </c>
      <c r="R1066" s="3">
        <f t="shared" ca="1" si="127"/>
        <v>3.1875982338954278</v>
      </c>
    </row>
    <row r="1067" spans="7:18" x14ac:dyDescent="0.25">
      <c r="G1067" s="2">
        <f t="shared" ca="1" si="121"/>
        <v>0.28031018870497371</v>
      </c>
      <c r="H1067" s="3">
        <f t="shared" ca="1" si="122"/>
        <v>0</v>
      </c>
      <c r="I1067" s="3">
        <f t="shared" ca="1" si="123"/>
        <v>0.59053238153129295</v>
      </c>
      <c r="J1067" s="3">
        <f t="shared" ca="1" si="124"/>
        <v>3.8423052375211322</v>
      </c>
      <c r="P1067" s="3">
        <f t="shared" ca="1" si="125"/>
        <v>-0.38101382949148732</v>
      </c>
      <c r="Q1067" s="3">
        <f t="shared" ca="1" si="126"/>
        <v>0.59130128794391501</v>
      </c>
      <c r="R1067" s="3">
        <f t="shared" ca="1" si="127"/>
        <v>0.70342643637263225</v>
      </c>
    </row>
    <row r="1068" spans="7:18" x14ac:dyDescent="0.25">
      <c r="G1068" s="2">
        <f t="shared" ca="1" si="121"/>
        <v>0.43921331870402691</v>
      </c>
      <c r="H1068" s="3">
        <f t="shared" ca="1" si="122"/>
        <v>0</v>
      </c>
      <c r="I1068" s="3">
        <f t="shared" ca="1" si="123"/>
        <v>0.52943566637553774</v>
      </c>
      <c r="J1068" s="3">
        <f t="shared" ca="1" si="124"/>
        <v>3.6381164988752692</v>
      </c>
      <c r="P1068" s="3">
        <f t="shared" ca="1" si="125"/>
        <v>-1.9729804026213564</v>
      </c>
      <c r="Q1068" s="3">
        <f t="shared" ca="1" si="126"/>
        <v>3.5490091649820239</v>
      </c>
      <c r="R1068" s="3">
        <f t="shared" ca="1" si="127"/>
        <v>4.0605563316193916</v>
      </c>
    </row>
    <row r="1069" spans="7:18" x14ac:dyDescent="0.25">
      <c r="G1069" s="2">
        <f t="shared" ca="1" si="121"/>
        <v>0.21849809825380562</v>
      </c>
      <c r="H1069" s="3">
        <f t="shared" ca="1" si="122"/>
        <v>0</v>
      </c>
      <c r="I1069" s="3">
        <f t="shared" ca="1" si="123"/>
        <v>0.88440400105388228</v>
      </c>
      <c r="J1069" s="3">
        <f t="shared" ca="1" si="124"/>
        <v>4.7021378144783306</v>
      </c>
      <c r="P1069" s="3">
        <f t="shared" ca="1" si="125"/>
        <v>6.7609685869713516</v>
      </c>
      <c r="Q1069" s="3">
        <f t="shared" ca="1" si="126"/>
        <v>-3.1939865088499109</v>
      </c>
      <c r="R1069" s="3">
        <f t="shared" ca="1" si="127"/>
        <v>7.4774491675121828</v>
      </c>
    </row>
    <row r="1070" spans="7:18" x14ac:dyDescent="0.25">
      <c r="G1070" s="2">
        <f t="shared" ca="1" si="121"/>
        <v>0.68982535113900489</v>
      </c>
      <c r="H1070" s="3">
        <f t="shared" ca="1" si="122"/>
        <v>1</v>
      </c>
      <c r="I1070" s="3">
        <f t="shared" ca="1" si="123"/>
        <v>4.085995099467123</v>
      </c>
      <c r="J1070" s="3">
        <f t="shared" ca="1" si="124"/>
        <v>10.106922255893636</v>
      </c>
      <c r="P1070" s="3">
        <f t="shared" ca="1" si="125"/>
        <v>-6.1846449667240435</v>
      </c>
      <c r="Q1070" s="3">
        <f t="shared" ca="1" si="126"/>
        <v>-8.1572079020577188</v>
      </c>
      <c r="R1070" s="3">
        <f t="shared" ca="1" si="127"/>
        <v>10.236692538208713</v>
      </c>
    </row>
    <row r="1071" spans="7:18" x14ac:dyDescent="0.25">
      <c r="G1071" s="2">
        <f t="shared" ca="1" si="121"/>
        <v>0.37484936578878947</v>
      </c>
      <c r="H1071" s="3">
        <f t="shared" ca="1" si="122"/>
        <v>0</v>
      </c>
      <c r="I1071" s="3">
        <f t="shared" ca="1" si="123"/>
        <v>1.0565045833185083</v>
      </c>
      <c r="J1071" s="3">
        <f t="shared" ca="1" si="124"/>
        <v>5.1393204398016188</v>
      </c>
      <c r="P1071" s="3">
        <f t="shared" ca="1" si="125"/>
        <v>-6.6433637480268386</v>
      </c>
      <c r="Q1071" s="3">
        <f t="shared" ca="1" si="126"/>
        <v>4.7995599556037627</v>
      </c>
      <c r="R1071" s="3">
        <f t="shared" ca="1" si="127"/>
        <v>8.1957341133075072</v>
      </c>
    </row>
    <row r="1072" spans="7:18" x14ac:dyDescent="0.25">
      <c r="G1072" s="2">
        <f t="shared" ca="1" si="121"/>
        <v>0.24364612587486989</v>
      </c>
      <c r="H1072" s="3">
        <f t="shared" ca="1" si="122"/>
        <v>0</v>
      </c>
      <c r="I1072" s="3">
        <f t="shared" ca="1" si="123"/>
        <v>0.69512433042610533</v>
      </c>
      <c r="J1072" s="3">
        <f t="shared" ca="1" si="124"/>
        <v>4.168705825631335</v>
      </c>
      <c r="P1072" s="3">
        <f t="shared" ca="1" si="125"/>
        <v>-12.812869048877523</v>
      </c>
      <c r="Q1072" s="3">
        <f t="shared" ca="1" si="126"/>
        <v>4.1648181811706504</v>
      </c>
      <c r="R1072" s="3">
        <f t="shared" ca="1" si="127"/>
        <v>13.472762290855323</v>
      </c>
    </row>
    <row r="1073" spans="7:18" x14ac:dyDescent="0.25">
      <c r="G1073" s="2">
        <f t="shared" ca="1" si="121"/>
        <v>0.6103309393099674</v>
      </c>
      <c r="H1073" s="3">
        <f t="shared" ca="1" si="122"/>
        <v>1</v>
      </c>
      <c r="I1073" s="3">
        <f t="shared" ca="1" si="123"/>
        <v>1.4636066172109783</v>
      </c>
      <c r="J1073" s="3">
        <f t="shared" ca="1" si="124"/>
        <v>6.0489805281778235</v>
      </c>
      <c r="P1073" s="3">
        <f t="shared" ca="1" si="125"/>
        <v>-9.0362713228168232</v>
      </c>
      <c r="Q1073" s="3">
        <f t="shared" ca="1" si="126"/>
        <v>9.4797902853607372</v>
      </c>
      <c r="R1073" s="3">
        <f t="shared" ca="1" si="127"/>
        <v>13.096588230298055</v>
      </c>
    </row>
    <row r="1074" spans="7:18" x14ac:dyDescent="0.25">
      <c r="G1074" s="2">
        <f t="shared" ca="1" si="121"/>
        <v>0.20916822960771508</v>
      </c>
      <c r="H1074" s="3">
        <f t="shared" ca="1" si="122"/>
        <v>0</v>
      </c>
      <c r="I1074" s="3">
        <f t="shared" ca="1" si="123"/>
        <v>0.21968225378640338</v>
      </c>
      <c r="J1074" s="3">
        <f t="shared" ca="1" si="124"/>
        <v>2.3435136749462515</v>
      </c>
      <c r="P1074" s="3">
        <f t="shared" ca="1" si="125"/>
        <v>1.4255716291809701</v>
      </c>
      <c r="Q1074" s="3">
        <f t="shared" ca="1" si="126"/>
        <v>-4.0896177290332654</v>
      </c>
      <c r="R1074" s="3">
        <f t="shared" ca="1" si="127"/>
        <v>4.3309615144386688</v>
      </c>
    </row>
    <row r="1075" spans="7:18" x14ac:dyDescent="0.25">
      <c r="G1075" s="2">
        <f t="shared" ca="1" si="121"/>
        <v>0.27680249519339206</v>
      </c>
      <c r="H1075" s="3">
        <f t="shared" ca="1" si="122"/>
        <v>0</v>
      </c>
      <c r="I1075" s="3">
        <f t="shared" ca="1" si="123"/>
        <v>2.5489552714855569E-2</v>
      </c>
      <c r="J1075" s="3">
        <f t="shared" ca="1" si="124"/>
        <v>0.79827239578441467</v>
      </c>
      <c r="P1075" s="3">
        <f t="shared" ca="1" si="125"/>
        <v>-2.8156143015571846</v>
      </c>
      <c r="Q1075" s="3">
        <f t="shared" ca="1" si="126"/>
        <v>-1.1290464273888066</v>
      </c>
      <c r="R1075" s="3">
        <f t="shared" ca="1" si="127"/>
        <v>3.033550680363323</v>
      </c>
    </row>
    <row r="1076" spans="7:18" x14ac:dyDescent="0.25">
      <c r="G1076" s="2">
        <f t="shared" ca="1" si="121"/>
        <v>0.64340066656878536</v>
      </c>
      <c r="H1076" s="3">
        <f t="shared" ca="1" si="122"/>
        <v>1</v>
      </c>
      <c r="I1076" s="3">
        <f t="shared" ca="1" si="123"/>
        <v>1.667723729530753</v>
      </c>
      <c r="J1076" s="3">
        <f t="shared" ca="1" si="124"/>
        <v>6.4570189126460527</v>
      </c>
      <c r="P1076" s="3">
        <f t="shared" ca="1" si="125"/>
        <v>-4.3178996368027365</v>
      </c>
      <c r="Q1076" s="3">
        <f t="shared" ca="1" si="126"/>
        <v>-0.71603162294880618</v>
      </c>
      <c r="R1076" s="3">
        <f t="shared" ca="1" si="127"/>
        <v>4.3768662943439232</v>
      </c>
    </row>
    <row r="1077" spans="7:18" x14ac:dyDescent="0.25">
      <c r="G1077" s="2">
        <f t="shared" ca="1" si="121"/>
        <v>0.43486965012582801</v>
      </c>
      <c r="H1077" s="3">
        <f t="shared" ca="1" si="122"/>
        <v>0</v>
      </c>
      <c r="I1077" s="3">
        <f t="shared" ca="1" si="123"/>
        <v>2.6051086334339977</v>
      </c>
      <c r="J1077" s="3">
        <f t="shared" ca="1" si="124"/>
        <v>8.0701744613019333</v>
      </c>
      <c r="P1077" s="3">
        <f t="shared" ca="1" si="125"/>
        <v>-5.04373330872785</v>
      </c>
      <c r="Q1077" s="3">
        <f t="shared" ca="1" si="126"/>
        <v>-5.9458653490152837</v>
      </c>
      <c r="R1077" s="3">
        <f t="shared" ca="1" si="127"/>
        <v>7.7969584094178304</v>
      </c>
    </row>
    <row r="1078" spans="7:18" x14ac:dyDescent="0.25">
      <c r="G1078" s="2">
        <f t="shared" ca="1" si="121"/>
        <v>0.72954480595749338</v>
      </c>
      <c r="H1078" s="3">
        <f t="shared" ca="1" si="122"/>
        <v>1</v>
      </c>
      <c r="I1078" s="3">
        <f t="shared" ca="1" si="123"/>
        <v>2.9605579538675126</v>
      </c>
      <c r="J1078" s="3">
        <f t="shared" ca="1" si="124"/>
        <v>8.6031359890849011</v>
      </c>
      <c r="P1078" s="3">
        <f t="shared" ca="1" si="125"/>
        <v>-1.8720221011395761</v>
      </c>
      <c r="Q1078" s="3">
        <f t="shared" ca="1" si="126"/>
        <v>-4.3113481052305156</v>
      </c>
      <c r="R1078" s="3">
        <f t="shared" ca="1" si="127"/>
        <v>4.7002328912118587</v>
      </c>
    </row>
    <row r="1079" spans="7:18" x14ac:dyDescent="0.25">
      <c r="G1079" s="2">
        <f t="shared" ca="1" si="121"/>
        <v>0.31154695951978395</v>
      </c>
      <c r="H1079" s="3">
        <f t="shared" ca="1" si="122"/>
        <v>0</v>
      </c>
      <c r="I1079" s="3">
        <f t="shared" ca="1" si="123"/>
        <v>4.1413573143428799</v>
      </c>
      <c r="J1079" s="3">
        <f t="shared" ca="1" si="124"/>
        <v>10.17516254703442</v>
      </c>
      <c r="P1079" s="3">
        <f t="shared" ca="1" si="125"/>
        <v>3.7651026982244531</v>
      </c>
      <c r="Q1079" s="3">
        <f t="shared" ca="1" si="126"/>
        <v>0.97468041534026717</v>
      </c>
      <c r="R1079" s="3">
        <f t="shared" ca="1" si="127"/>
        <v>3.8892158901538152</v>
      </c>
    </row>
    <row r="1080" spans="7:18" x14ac:dyDescent="0.25">
      <c r="G1080" s="2">
        <f t="shared" ca="1" si="121"/>
        <v>1.5098959242447973E-2</v>
      </c>
      <c r="H1080" s="3">
        <f t="shared" ca="1" si="122"/>
        <v>0</v>
      </c>
      <c r="I1080" s="3">
        <f t="shared" ca="1" si="123"/>
        <v>2.5425907437705657</v>
      </c>
      <c r="J1080" s="3">
        <f t="shared" ca="1" si="124"/>
        <v>7.9727516325459522</v>
      </c>
      <c r="P1080" s="3">
        <f t="shared" ca="1" si="125"/>
        <v>1.5737604647106709</v>
      </c>
      <c r="Q1080" s="3">
        <f t="shared" ca="1" si="126"/>
        <v>1.9313350192886858</v>
      </c>
      <c r="R1080" s="3">
        <f t="shared" ca="1" si="127"/>
        <v>2.4913403936469969</v>
      </c>
    </row>
    <row r="1081" spans="7:18" x14ac:dyDescent="0.25">
      <c r="G1081" s="2">
        <f t="shared" ca="1" si="121"/>
        <v>0.57285394188718475</v>
      </c>
      <c r="H1081" s="3">
        <f t="shared" ca="1" si="122"/>
        <v>0</v>
      </c>
      <c r="I1081" s="3">
        <f t="shared" ca="1" si="123"/>
        <v>2.2938378754070659</v>
      </c>
      <c r="J1081" s="3">
        <f t="shared" ca="1" si="124"/>
        <v>7.5727106695803883</v>
      </c>
      <c r="P1081" s="3">
        <f t="shared" ca="1" si="125"/>
        <v>-9.3550116092617461</v>
      </c>
      <c r="Q1081" s="3">
        <f t="shared" ca="1" si="126"/>
        <v>-0.54948091033384971</v>
      </c>
      <c r="R1081" s="3">
        <f t="shared" ca="1" si="127"/>
        <v>9.3711350155807356</v>
      </c>
    </row>
    <row r="1082" spans="7:18" x14ac:dyDescent="0.25">
      <c r="G1082" s="2">
        <f t="shared" ca="1" si="121"/>
        <v>0.37095760322074867</v>
      </c>
      <c r="H1082" s="3">
        <f t="shared" ca="1" si="122"/>
        <v>0</v>
      </c>
      <c r="I1082" s="3">
        <f t="shared" ca="1" si="123"/>
        <v>5.1296139169298867</v>
      </c>
      <c r="J1082" s="3">
        <f t="shared" ca="1" si="124"/>
        <v>11.324325495288768</v>
      </c>
      <c r="P1082" s="3">
        <f t="shared" ca="1" si="125"/>
        <v>-6.6179882775031942</v>
      </c>
      <c r="Q1082" s="3">
        <f t="shared" ca="1" si="126"/>
        <v>2.6371577399614607</v>
      </c>
      <c r="R1082" s="3">
        <f t="shared" ca="1" si="127"/>
        <v>7.1240697488590277</v>
      </c>
    </row>
    <row r="1083" spans="7:18" x14ac:dyDescent="0.25">
      <c r="G1083" s="2">
        <f t="shared" ca="1" si="121"/>
        <v>0.42909486483008075</v>
      </c>
      <c r="H1083" s="3">
        <f t="shared" ca="1" si="122"/>
        <v>0</v>
      </c>
      <c r="I1083" s="3">
        <f t="shared" ca="1" si="123"/>
        <v>0.73036847459657983</v>
      </c>
      <c r="J1083" s="3">
        <f t="shared" ca="1" si="124"/>
        <v>4.2730799038766518</v>
      </c>
      <c r="P1083" s="3">
        <f t="shared" ca="1" si="125"/>
        <v>-1.3986758831708315</v>
      </c>
      <c r="Q1083" s="3">
        <f t="shared" ca="1" si="126"/>
        <v>-4.2039903148294071</v>
      </c>
      <c r="R1083" s="3">
        <f t="shared" ca="1" si="127"/>
        <v>4.4305562622929378</v>
      </c>
    </row>
    <row r="1084" spans="7:18" x14ac:dyDescent="0.25">
      <c r="G1084" s="2">
        <f t="shared" ca="1" si="121"/>
        <v>0.47053931447215036</v>
      </c>
      <c r="H1084" s="3">
        <f t="shared" ca="1" si="122"/>
        <v>0</v>
      </c>
      <c r="I1084" s="3">
        <f t="shared" ca="1" si="123"/>
        <v>6.9662723796442725</v>
      </c>
      <c r="J1084" s="3">
        <f t="shared" ca="1" si="124"/>
        <v>13.196848468142189</v>
      </c>
      <c r="P1084" s="3">
        <f t="shared" ca="1" si="125"/>
        <v>-8.4755343167983455</v>
      </c>
      <c r="Q1084" s="3">
        <f t="shared" ca="1" si="126"/>
        <v>0.16979726221383301</v>
      </c>
      <c r="R1084" s="3">
        <f t="shared" ca="1" si="127"/>
        <v>8.4772349893984718</v>
      </c>
    </row>
    <row r="1085" spans="7:18" x14ac:dyDescent="0.25">
      <c r="G1085" s="2">
        <f t="shared" ca="1" si="121"/>
        <v>0.37210660411938723</v>
      </c>
      <c r="H1085" s="3">
        <f t="shared" ca="1" si="122"/>
        <v>0</v>
      </c>
      <c r="I1085" s="3">
        <f t="shared" ca="1" si="123"/>
        <v>1.8125927942663784</v>
      </c>
      <c r="J1085" s="3">
        <f t="shared" ca="1" si="124"/>
        <v>6.7316283213394552</v>
      </c>
      <c r="P1085" s="3">
        <f t="shared" ca="1" si="125"/>
        <v>-14.20306791037371</v>
      </c>
      <c r="Q1085" s="3">
        <f t="shared" ca="1" si="126"/>
        <v>8.5270233715566555</v>
      </c>
      <c r="R1085" s="3">
        <f t="shared" ca="1" si="127"/>
        <v>16.566148183743884</v>
      </c>
    </row>
    <row r="1086" spans="7:18" x14ac:dyDescent="0.25">
      <c r="G1086" s="2">
        <f t="shared" ca="1" si="121"/>
        <v>0.37266030831819674</v>
      </c>
      <c r="H1086" s="3">
        <f t="shared" ca="1" si="122"/>
        <v>0</v>
      </c>
      <c r="I1086" s="3">
        <f t="shared" ca="1" si="123"/>
        <v>4.4437992097790273</v>
      </c>
      <c r="J1086" s="3">
        <f t="shared" ca="1" si="124"/>
        <v>10.540160351933725</v>
      </c>
      <c r="P1086" s="3">
        <f t="shared" ca="1" si="125"/>
        <v>1.5728661348591384</v>
      </c>
      <c r="Q1086" s="3">
        <f t="shared" ca="1" si="126"/>
        <v>-10.198113131567712</v>
      </c>
      <c r="R1086" s="3">
        <f t="shared" ca="1" si="127"/>
        <v>10.318692713829623</v>
      </c>
    </row>
    <row r="1087" spans="7:18" x14ac:dyDescent="0.25">
      <c r="G1087" s="2">
        <f t="shared" ca="1" si="121"/>
        <v>0.26751726571444989</v>
      </c>
      <c r="H1087" s="3">
        <f t="shared" ca="1" si="122"/>
        <v>0</v>
      </c>
      <c r="I1087" s="3">
        <f t="shared" ca="1" si="123"/>
        <v>1.2970068316576704</v>
      </c>
      <c r="J1087" s="3">
        <f t="shared" ca="1" si="124"/>
        <v>5.6943103876976853</v>
      </c>
      <c r="P1087" s="3">
        <f t="shared" ca="1" si="125"/>
        <v>-1.4522292835126427</v>
      </c>
      <c r="Q1087" s="3">
        <f t="shared" ca="1" si="126"/>
        <v>3.1854481269192263</v>
      </c>
      <c r="R1087" s="3">
        <f t="shared" ca="1" si="127"/>
        <v>3.5008641306375843</v>
      </c>
    </row>
    <row r="1088" spans="7:18" x14ac:dyDescent="0.25">
      <c r="G1088" s="2">
        <f t="shared" ca="1" si="121"/>
        <v>0.22222500571680104</v>
      </c>
      <c r="H1088" s="3">
        <f t="shared" ca="1" si="122"/>
        <v>0</v>
      </c>
      <c r="I1088" s="3">
        <f t="shared" ca="1" si="123"/>
        <v>8.4178206393325461E-2</v>
      </c>
      <c r="J1088" s="3">
        <f t="shared" ca="1" si="124"/>
        <v>1.4506740363821007</v>
      </c>
      <c r="P1088" s="3">
        <f t="shared" ca="1" si="125"/>
        <v>-7.7691924696176669</v>
      </c>
      <c r="Q1088" s="3">
        <f t="shared" ca="1" si="126"/>
        <v>9.115995742449222</v>
      </c>
      <c r="R1088" s="3">
        <f t="shared" ca="1" si="127"/>
        <v>11.977551085523125</v>
      </c>
    </row>
    <row r="1089" spans="7:18" x14ac:dyDescent="0.25">
      <c r="G1089" s="2">
        <f t="shared" ca="1" si="121"/>
        <v>0.1427133459204889</v>
      </c>
      <c r="H1089" s="3">
        <f t="shared" ca="1" si="122"/>
        <v>0</v>
      </c>
      <c r="I1089" s="3">
        <f t="shared" ca="1" si="123"/>
        <v>2.0002390945377426</v>
      </c>
      <c r="J1089" s="3">
        <f t="shared" ca="1" si="124"/>
        <v>7.0714904626566222</v>
      </c>
      <c r="P1089" s="3">
        <f t="shared" ca="1" si="125"/>
        <v>-7.9060132850100544</v>
      </c>
      <c r="Q1089" s="3">
        <f t="shared" ca="1" si="126"/>
        <v>6.1330839606822014</v>
      </c>
      <c r="R1089" s="3">
        <f t="shared" ca="1" si="127"/>
        <v>10.005986454694646</v>
      </c>
    </row>
    <row r="1090" spans="7:18" x14ac:dyDescent="0.25">
      <c r="G1090" s="2">
        <f t="shared" ca="1" si="121"/>
        <v>0.38655372758038931</v>
      </c>
      <c r="H1090" s="3">
        <f t="shared" ca="1" si="122"/>
        <v>0</v>
      </c>
      <c r="I1090" s="3">
        <f t="shared" ca="1" si="123"/>
        <v>3.4688307315559137</v>
      </c>
      <c r="J1090" s="3">
        <f t="shared" ca="1" si="124"/>
        <v>9.3123986324092591</v>
      </c>
      <c r="P1090" s="3">
        <f t="shared" ca="1" si="125"/>
        <v>-11.629609405841816</v>
      </c>
      <c r="Q1090" s="3">
        <f t="shared" ca="1" si="126"/>
        <v>3.9216055670972416E-2</v>
      </c>
      <c r="R1090" s="3">
        <f t="shared" ca="1" si="127"/>
        <v>11.629675525631264</v>
      </c>
    </row>
    <row r="1091" spans="7:18" x14ac:dyDescent="0.25">
      <c r="G1091" s="2">
        <f t="shared" ca="1" si="121"/>
        <v>0.25668345396132741</v>
      </c>
      <c r="H1091" s="3">
        <f t="shared" ca="1" si="122"/>
        <v>0</v>
      </c>
      <c r="I1091" s="3">
        <f t="shared" ca="1" si="123"/>
        <v>2.8103296347285496</v>
      </c>
      <c r="J1091" s="3">
        <f t="shared" ca="1" si="124"/>
        <v>8.3820189016855444</v>
      </c>
      <c r="P1091" s="3">
        <f t="shared" ca="1" si="125"/>
        <v>-8.4263954301393564</v>
      </c>
      <c r="Q1091" s="3">
        <f t="shared" ca="1" si="126"/>
        <v>2.5780973099144382</v>
      </c>
      <c r="R1091" s="3">
        <f t="shared" ca="1" si="127"/>
        <v>8.8119649162069127</v>
      </c>
    </row>
    <row r="1092" spans="7:18" x14ac:dyDescent="0.25">
      <c r="G1092" s="2">
        <f t="shared" ref="G1092:G1155" ca="1" si="128">RAND()</f>
        <v>0.80778702748403253</v>
      </c>
      <c r="H1092" s="3">
        <f t="shared" ref="H1092:H1155" ca="1" si="129">VLOOKUP(G1092,$B$9:$C$169,2,TRUE)</f>
        <v>1</v>
      </c>
      <c r="I1092" s="3">
        <f t="shared" ref="I1092:I1155" ca="1" si="130">_xlfn.CHISQ.INV(RAND(),2*H1092+2)</f>
        <v>2.260151740834329</v>
      </c>
      <c r="J1092" s="3">
        <f t="shared" ref="J1092:J1155" ca="1" si="131">$C$4*SQRT(I1092)</f>
        <v>7.5169005262048145</v>
      </c>
      <c r="P1092" s="3">
        <f t="shared" ref="P1092:P1155" ca="1" si="132">_xlfn.NORM.INV(RAND(),$C$3*COS($O$2),$C$4)</f>
        <v>-7.0593986782518172</v>
      </c>
      <c r="Q1092" s="3">
        <f t="shared" ref="Q1092:Q1155" ca="1" si="133">_xlfn.NORM.INV(RAND(),$C$3*SIN($O$2),$C$4)</f>
        <v>-4.7151809820378334</v>
      </c>
      <c r="R1092" s="3">
        <f t="shared" ref="R1092:R1155" ca="1" si="134">SQRT(P1092^2+Q1092^2)</f>
        <v>8.4892898049174157</v>
      </c>
    </row>
    <row r="1093" spans="7:18" x14ac:dyDescent="0.25">
      <c r="G1093" s="2">
        <f t="shared" ca="1" si="128"/>
        <v>0.13809534996747086</v>
      </c>
      <c r="H1093" s="3">
        <f t="shared" ca="1" si="129"/>
        <v>0</v>
      </c>
      <c r="I1093" s="3">
        <f t="shared" ca="1" si="130"/>
        <v>3.1661434349587423</v>
      </c>
      <c r="J1093" s="3">
        <f t="shared" ca="1" si="131"/>
        <v>8.8968301025684742</v>
      </c>
      <c r="P1093" s="3">
        <f t="shared" ca="1" si="132"/>
        <v>-4.2593548110064052</v>
      </c>
      <c r="Q1093" s="3">
        <f t="shared" ca="1" si="133"/>
        <v>-4.0346081221969152</v>
      </c>
      <c r="R1093" s="3">
        <f t="shared" ca="1" si="134"/>
        <v>5.8668702138142388</v>
      </c>
    </row>
    <row r="1094" spans="7:18" x14ac:dyDescent="0.25">
      <c r="G1094" s="2">
        <f t="shared" ca="1" si="128"/>
        <v>0.7900879438109909</v>
      </c>
      <c r="H1094" s="3">
        <f t="shared" ca="1" si="129"/>
        <v>1</v>
      </c>
      <c r="I1094" s="3">
        <f t="shared" ca="1" si="130"/>
        <v>9.1534114953438195</v>
      </c>
      <c r="J1094" s="3">
        <f t="shared" ca="1" si="131"/>
        <v>15.127302713425003</v>
      </c>
      <c r="P1094" s="3">
        <f t="shared" ca="1" si="132"/>
        <v>-4.7536167431765639</v>
      </c>
      <c r="Q1094" s="3">
        <f t="shared" ca="1" si="133"/>
        <v>3.7937055666435153</v>
      </c>
      <c r="R1094" s="3">
        <f t="shared" ca="1" si="134"/>
        <v>6.0818643578585796</v>
      </c>
    </row>
    <row r="1095" spans="7:18" x14ac:dyDescent="0.25">
      <c r="G1095" s="2">
        <f t="shared" ca="1" si="128"/>
        <v>0.25136297648469597</v>
      </c>
      <c r="H1095" s="3">
        <f t="shared" ca="1" si="129"/>
        <v>0</v>
      </c>
      <c r="I1095" s="3">
        <f t="shared" ca="1" si="130"/>
        <v>0.48454969554682314</v>
      </c>
      <c r="J1095" s="3">
        <f t="shared" ca="1" si="131"/>
        <v>3.4804801951268995</v>
      </c>
      <c r="P1095" s="3">
        <f t="shared" ca="1" si="132"/>
        <v>-7.1146775750286029</v>
      </c>
      <c r="Q1095" s="3">
        <f t="shared" ca="1" si="133"/>
        <v>-3.3602792075482255</v>
      </c>
      <c r="R1095" s="3">
        <f t="shared" ca="1" si="134"/>
        <v>7.8682979957101153</v>
      </c>
    </row>
    <row r="1096" spans="7:18" x14ac:dyDescent="0.25">
      <c r="G1096" s="2">
        <f t="shared" ca="1" si="128"/>
        <v>0.57670972861605574</v>
      </c>
      <c r="H1096" s="3">
        <f t="shared" ca="1" si="129"/>
        <v>0</v>
      </c>
      <c r="I1096" s="3">
        <f t="shared" ca="1" si="130"/>
        <v>0.25353054134808345</v>
      </c>
      <c r="J1096" s="3">
        <f t="shared" ca="1" si="131"/>
        <v>2.5175908193552994</v>
      </c>
      <c r="P1096" s="3">
        <f t="shared" ca="1" si="132"/>
        <v>-10.874955062179438</v>
      </c>
      <c r="Q1096" s="3">
        <f t="shared" ca="1" si="133"/>
        <v>0.86979138349883001</v>
      </c>
      <c r="R1096" s="3">
        <f t="shared" ca="1" si="134"/>
        <v>10.90968306850529</v>
      </c>
    </row>
    <row r="1097" spans="7:18" x14ac:dyDescent="0.25">
      <c r="G1097" s="2">
        <f t="shared" ca="1" si="128"/>
        <v>0.30705869311969114</v>
      </c>
      <c r="H1097" s="3">
        <f t="shared" ca="1" si="129"/>
        <v>0</v>
      </c>
      <c r="I1097" s="3">
        <f t="shared" ca="1" si="130"/>
        <v>5.2796378194795164</v>
      </c>
      <c r="J1097" s="3">
        <f t="shared" ca="1" si="131"/>
        <v>11.488731239218188</v>
      </c>
      <c r="P1097" s="3">
        <f t="shared" ca="1" si="132"/>
        <v>-3.2566687847379052</v>
      </c>
      <c r="Q1097" s="3">
        <f t="shared" ca="1" si="133"/>
        <v>3.2263974280084908</v>
      </c>
      <c r="R1097" s="3">
        <f t="shared" ca="1" si="134"/>
        <v>4.5842700549756081</v>
      </c>
    </row>
    <row r="1098" spans="7:18" x14ac:dyDescent="0.25">
      <c r="G1098" s="2">
        <f t="shared" ca="1" si="128"/>
        <v>2.9979400040304527E-2</v>
      </c>
      <c r="H1098" s="3">
        <f t="shared" ca="1" si="129"/>
        <v>0</v>
      </c>
      <c r="I1098" s="3">
        <f t="shared" ca="1" si="130"/>
        <v>0.66229067622565074</v>
      </c>
      <c r="J1098" s="3">
        <f t="shared" ca="1" si="131"/>
        <v>4.069062165369469</v>
      </c>
      <c r="P1098" s="3">
        <f t="shared" ca="1" si="132"/>
        <v>-1.3694310273163621</v>
      </c>
      <c r="Q1098" s="3">
        <f t="shared" ca="1" si="133"/>
        <v>-15.240920651797961</v>
      </c>
      <c r="R1098" s="3">
        <f t="shared" ca="1" si="134"/>
        <v>15.30232020488979</v>
      </c>
    </row>
    <row r="1099" spans="7:18" x14ac:dyDescent="0.25">
      <c r="G1099" s="2">
        <f t="shared" ca="1" si="128"/>
        <v>0.70749216799015513</v>
      </c>
      <c r="H1099" s="3">
        <f t="shared" ca="1" si="129"/>
        <v>1</v>
      </c>
      <c r="I1099" s="3">
        <f t="shared" ca="1" si="130"/>
        <v>2.4512536409599774</v>
      </c>
      <c r="J1099" s="3">
        <f t="shared" ca="1" si="131"/>
        <v>7.8282399697505074</v>
      </c>
      <c r="P1099" s="3">
        <f t="shared" ca="1" si="132"/>
        <v>0.56265269691313957</v>
      </c>
      <c r="Q1099" s="3">
        <f t="shared" ca="1" si="133"/>
        <v>1.285684906287619</v>
      </c>
      <c r="R1099" s="3">
        <f t="shared" ca="1" si="134"/>
        <v>1.4034114633988968</v>
      </c>
    </row>
    <row r="1100" spans="7:18" x14ac:dyDescent="0.25">
      <c r="G1100" s="2">
        <f t="shared" ca="1" si="128"/>
        <v>0.44162470092855288</v>
      </c>
      <c r="H1100" s="3">
        <f t="shared" ca="1" si="129"/>
        <v>0</v>
      </c>
      <c r="I1100" s="3">
        <f t="shared" ca="1" si="130"/>
        <v>6.8541473876877932</v>
      </c>
      <c r="J1100" s="3">
        <f t="shared" ca="1" si="131"/>
        <v>13.090213317291466</v>
      </c>
      <c r="P1100" s="3">
        <f t="shared" ca="1" si="132"/>
        <v>-4.3715940808702927</v>
      </c>
      <c r="Q1100" s="3">
        <f t="shared" ca="1" si="133"/>
        <v>4.703506475968231</v>
      </c>
      <c r="R1100" s="3">
        <f t="shared" ca="1" si="134"/>
        <v>6.421355618354684</v>
      </c>
    </row>
    <row r="1101" spans="7:18" x14ac:dyDescent="0.25">
      <c r="G1101" s="2">
        <f t="shared" ca="1" si="128"/>
        <v>0.13288168176663295</v>
      </c>
      <c r="H1101" s="3">
        <f t="shared" ca="1" si="129"/>
        <v>0</v>
      </c>
      <c r="I1101" s="3">
        <f t="shared" ca="1" si="130"/>
        <v>0.88242127072366383</v>
      </c>
      <c r="J1101" s="3">
        <f t="shared" ca="1" si="131"/>
        <v>4.6968640355125881</v>
      </c>
      <c r="P1101" s="3">
        <f t="shared" ca="1" si="132"/>
        <v>-11.896495356521287</v>
      </c>
      <c r="Q1101" s="3">
        <f t="shared" ca="1" si="133"/>
        <v>0.72723283597137722</v>
      </c>
      <c r="R1101" s="3">
        <f t="shared" ca="1" si="134"/>
        <v>11.918702503437506</v>
      </c>
    </row>
    <row r="1102" spans="7:18" x14ac:dyDescent="0.25">
      <c r="G1102" s="2">
        <f t="shared" ca="1" si="128"/>
        <v>0.70712633362938504</v>
      </c>
      <c r="H1102" s="3">
        <f t="shared" ca="1" si="129"/>
        <v>1</v>
      </c>
      <c r="I1102" s="3">
        <f t="shared" ca="1" si="130"/>
        <v>6.1156134152616461</v>
      </c>
      <c r="J1102" s="3">
        <f t="shared" ca="1" si="131"/>
        <v>12.36488315276538</v>
      </c>
      <c r="P1102" s="3">
        <f t="shared" ca="1" si="132"/>
        <v>-9.528721841017564</v>
      </c>
      <c r="Q1102" s="3">
        <f t="shared" ca="1" si="133"/>
        <v>-2.8657441186575605</v>
      </c>
      <c r="R1102" s="3">
        <f t="shared" ca="1" si="134"/>
        <v>9.9503280989676686</v>
      </c>
    </row>
    <row r="1103" spans="7:18" x14ac:dyDescent="0.25">
      <c r="G1103" s="2">
        <f t="shared" ca="1" si="128"/>
        <v>0.24066561637697814</v>
      </c>
      <c r="H1103" s="3">
        <f t="shared" ca="1" si="129"/>
        <v>0</v>
      </c>
      <c r="I1103" s="3">
        <f t="shared" ca="1" si="130"/>
        <v>2.1084903417814735</v>
      </c>
      <c r="J1103" s="3">
        <f t="shared" ca="1" si="131"/>
        <v>7.2603208293116666</v>
      </c>
      <c r="P1103" s="3">
        <f t="shared" ca="1" si="132"/>
        <v>-10.118383731676257</v>
      </c>
      <c r="Q1103" s="3">
        <f t="shared" ca="1" si="133"/>
        <v>-0.93317100559744137</v>
      </c>
      <c r="R1103" s="3">
        <f t="shared" ca="1" si="134"/>
        <v>10.161323608031509</v>
      </c>
    </row>
    <row r="1104" spans="7:18" x14ac:dyDescent="0.25">
      <c r="G1104" s="2">
        <f t="shared" ca="1" si="128"/>
        <v>0.18232014538303021</v>
      </c>
      <c r="H1104" s="3">
        <f t="shared" ca="1" si="129"/>
        <v>0</v>
      </c>
      <c r="I1104" s="3">
        <f t="shared" ca="1" si="130"/>
        <v>4.3332421565142791</v>
      </c>
      <c r="J1104" s="3">
        <f t="shared" ca="1" si="131"/>
        <v>10.408220496936879</v>
      </c>
      <c r="P1104" s="3">
        <f t="shared" ca="1" si="132"/>
        <v>-10.786063581608007</v>
      </c>
      <c r="Q1104" s="3">
        <f t="shared" ca="1" si="133"/>
        <v>-1.6316121927232314</v>
      </c>
      <c r="R1104" s="3">
        <f t="shared" ca="1" si="134"/>
        <v>10.908772888548631</v>
      </c>
    </row>
    <row r="1105" spans="7:18" x14ac:dyDescent="0.25">
      <c r="G1105" s="2">
        <f t="shared" ca="1" si="128"/>
        <v>0.5689317383987208</v>
      </c>
      <c r="H1105" s="3">
        <f t="shared" ca="1" si="129"/>
        <v>0</v>
      </c>
      <c r="I1105" s="3">
        <f t="shared" ca="1" si="130"/>
        <v>2.1010721640799064</v>
      </c>
      <c r="J1105" s="3">
        <f t="shared" ca="1" si="131"/>
        <v>7.2475377958309162</v>
      </c>
      <c r="P1105" s="3">
        <f t="shared" ca="1" si="132"/>
        <v>-8.5500417994172331</v>
      </c>
      <c r="Q1105" s="3">
        <f t="shared" ca="1" si="133"/>
        <v>-3.0198939297333389</v>
      </c>
      <c r="R1105" s="3">
        <f t="shared" ca="1" si="134"/>
        <v>9.0676884661209076</v>
      </c>
    </row>
    <row r="1106" spans="7:18" x14ac:dyDescent="0.25">
      <c r="G1106" s="2">
        <f t="shared" ca="1" si="128"/>
        <v>0.96337707665289618</v>
      </c>
      <c r="H1106" s="3">
        <f t="shared" ca="1" si="129"/>
        <v>2</v>
      </c>
      <c r="I1106" s="3">
        <f t="shared" ca="1" si="130"/>
        <v>3.0807261214388499</v>
      </c>
      <c r="J1106" s="3">
        <f t="shared" ca="1" si="131"/>
        <v>8.7759986916573336</v>
      </c>
      <c r="P1106" s="3">
        <f t="shared" ca="1" si="132"/>
        <v>-5.8594448929903962</v>
      </c>
      <c r="Q1106" s="3">
        <f t="shared" ca="1" si="133"/>
        <v>3.5382442749436605</v>
      </c>
      <c r="R1106" s="3">
        <f t="shared" ca="1" si="134"/>
        <v>6.8448715841250687</v>
      </c>
    </row>
    <row r="1107" spans="7:18" x14ac:dyDescent="0.25">
      <c r="G1107" s="2">
        <f t="shared" ca="1" si="128"/>
        <v>3.3220885531422883E-2</v>
      </c>
      <c r="H1107" s="3">
        <f t="shared" ca="1" si="129"/>
        <v>0</v>
      </c>
      <c r="I1107" s="3">
        <f t="shared" ca="1" si="130"/>
        <v>0.17800209401606956</v>
      </c>
      <c r="J1107" s="3">
        <f t="shared" ca="1" si="131"/>
        <v>2.1095147191716248</v>
      </c>
      <c r="P1107" s="3">
        <f t="shared" ca="1" si="132"/>
        <v>2.8517410133560475</v>
      </c>
      <c r="Q1107" s="3">
        <f t="shared" ca="1" si="133"/>
        <v>3.8686581573213235</v>
      </c>
      <c r="R1107" s="3">
        <f t="shared" ca="1" si="134"/>
        <v>4.8061359474598504</v>
      </c>
    </row>
    <row r="1108" spans="7:18" x14ac:dyDescent="0.25">
      <c r="G1108" s="2">
        <f t="shared" ca="1" si="128"/>
        <v>4.6808839631698462E-2</v>
      </c>
      <c r="H1108" s="3">
        <f t="shared" ca="1" si="129"/>
        <v>0</v>
      </c>
      <c r="I1108" s="3">
        <f t="shared" ca="1" si="130"/>
        <v>3.8715457397682236E-2</v>
      </c>
      <c r="J1108" s="3">
        <f t="shared" ca="1" si="131"/>
        <v>0.98381219495493955</v>
      </c>
      <c r="P1108" s="3">
        <f t="shared" ca="1" si="132"/>
        <v>-11.213437889545213</v>
      </c>
      <c r="Q1108" s="3">
        <f t="shared" ca="1" si="133"/>
        <v>5.2974584859184697</v>
      </c>
      <c r="R1108" s="3">
        <f t="shared" ca="1" si="134"/>
        <v>12.401784376158046</v>
      </c>
    </row>
    <row r="1109" spans="7:18" x14ac:dyDescent="0.25">
      <c r="G1109" s="2">
        <f t="shared" ca="1" si="128"/>
        <v>0.15710531553859519</v>
      </c>
      <c r="H1109" s="3">
        <f t="shared" ca="1" si="129"/>
        <v>0</v>
      </c>
      <c r="I1109" s="3">
        <f t="shared" ca="1" si="130"/>
        <v>2.3275480859990854</v>
      </c>
      <c r="J1109" s="3">
        <f t="shared" ca="1" si="131"/>
        <v>7.6281519485375444</v>
      </c>
      <c r="P1109" s="3">
        <f t="shared" ca="1" si="132"/>
        <v>-2.286165607417904</v>
      </c>
      <c r="Q1109" s="3">
        <f t="shared" ca="1" si="133"/>
        <v>-2.7157398479022423</v>
      </c>
      <c r="R1109" s="3">
        <f t="shared" ca="1" si="134"/>
        <v>3.5499008586190923</v>
      </c>
    </row>
    <row r="1110" spans="7:18" x14ac:dyDescent="0.25">
      <c r="G1110" s="2">
        <f t="shared" ca="1" si="128"/>
        <v>0.1060199787662317</v>
      </c>
      <c r="H1110" s="3">
        <f t="shared" ca="1" si="129"/>
        <v>0</v>
      </c>
      <c r="I1110" s="3">
        <f t="shared" ca="1" si="130"/>
        <v>1.2207805810087737</v>
      </c>
      <c r="J1110" s="3">
        <f t="shared" ca="1" si="131"/>
        <v>5.524446988180749</v>
      </c>
      <c r="P1110" s="3">
        <f t="shared" ca="1" si="132"/>
        <v>-1.0071802553603288</v>
      </c>
      <c r="Q1110" s="3">
        <f t="shared" ca="1" si="133"/>
        <v>-1.8848742249931401</v>
      </c>
      <c r="R1110" s="3">
        <f t="shared" ca="1" si="134"/>
        <v>2.1370921624560761</v>
      </c>
    </row>
    <row r="1111" spans="7:18" x14ac:dyDescent="0.25">
      <c r="G1111" s="2">
        <f t="shared" ca="1" si="128"/>
        <v>0.39724115708027374</v>
      </c>
      <c r="H1111" s="3">
        <f t="shared" ca="1" si="129"/>
        <v>0</v>
      </c>
      <c r="I1111" s="3">
        <f t="shared" ca="1" si="130"/>
        <v>2.3013593670744945</v>
      </c>
      <c r="J1111" s="3">
        <f t="shared" ca="1" si="131"/>
        <v>7.5851159633101428</v>
      </c>
      <c r="P1111" s="3">
        <f t="shared" ca="1" si="132"/>
        <v>-3.506690067447388</v>
      </c>
      <c r="Q1111" s="3">
        <f t="shared" ca="1" si="133"/>
        <v>-2.3556344232308257</v>
      </c>
      <c r="R1111" s="3">
        <f t="shared" ca="1" si="134"/>
        <v>4.2244394616379806</v>
      </c>
    </row>
    <row r="1112" spans="7:18" x14ac:dyDescent="0.25">
      <c r="G1112" s="2">
        <f t="shared" ca="1" si="128"/>
        <v>0.1950255771563818</v>
      </c>
      <c r="H1112" s="3">
        <f t="shared" ca="1" si="129"/>
        <v>0</v>
      </c>
      <c r="I1112" s="3">
        <f t="shared" ca="1" si="130"/>
        <v>7.0236570119066283E-2</v>
      </c>
      <c r="J1112" s="3">
        <f t="shared" ca="1" si="131"/>
        <v>1.3251091475711188</v>
      </c>
      <c r="P1112" s="3">
        <f t="shared" ca="1" si="132"/>
        <v>-7.8253722905887662</v>
      </c>
      <c r="Q1112" s="3">
        <f t="shared" ca="1" si="133"/>
        <v>-8.7095418584222077</v>
      </c>
      <c r="R1112" s="3">
        <f t="shared" ca="1" si="134"/>
        <v>11.70865367452309</v>
      </c>
    </row>
    <row r="1113" spans="7:18" x14ac:dyDescent="0.25">
      <c r="G1113" s="2">
        <f t="shared" ca="1" si="128"/>
        <v>0.70026055292784617</v>
      </c>
      <c r="H1113" s="3">
        <f t="shared" ca="1" si="129"/>
        <v>1</v>
      </c>
      <c r="I1113" s="3">
        <f t="shared" ca="1" si="130"/>
        <v>3.5197212258717214</v>
      </c>
      <c r="J1113" s="3">
        <f t="shared" ca="1" si="131"/>
        <v>9.3804600445177009</v>
      </c>
      <c r="P1113" s="3">
        <f t="shared" ca="1" si="132"/>
        <v>0.44522869165399026</v>
      </c>
      <c r="Q1113" s="3">
        <f t="shared" ca="1" si="133"/>
        <v>3.788207549022871</v>
      </c>
      <c r="R1113" s="3">
        <f t="shared" ca="1" si="134"/>
        <v>3.8142817177478894</v>
      </c>
    </row>
    <row r="1114" spans="7:18" x14ac:dyDescent="0.25">
      <c r="G1114" s="2">
        <f t="shared" ca="1" si="128"/>
        <v>0.91888236206620544</v>
      </c>
      <c r="H1114" s="3">
        <f t="shared" ca="1" si="129"/>
        <v>2</v>
      </c>
      <c r="I1114" s="3">
        <f t="shared" ca="1" si="130"/>
        <v>6.5921771109111198</v>
      </c>
      <c r="J1114" s="3">
        <f t="shared" ca="1" si="131"/>
        <v>12.837617682918355</v>
      </c>
      <c r="P1114" s="3">
        <f t="shared" ca="1" si="132"/>
        <v>-3.2255657241603917</v>
      </c>
      <c r="Q1114" s="3">
        <f t="shared" ca="1" si="133"/>
        <v>-4.1897537232155209</v>
      </c>
      <c r="R1114" s="3">
        <f t="shared" ca="1" si="134"/>
        <v>5.2875618674467226</v>
      </c>
    </row>
    <row r="1115" spans="7:18" x14ac:dyDescent="0.25">
      <c r="G1115" s="2">
        <f t="shared" ca="1" si="128"/>
        <v>0.65086002685130739</v>
      </c>
      <c r="H1115" s="3">
        <f t="shared" ca="1" si="129"/>
        <v>1</v>
      </c>
      <c r="I1115" s="3">
        <f t="shared" ca="1" si="130"/>
        <v>3.4839715958781556</v>
      </c>
      <c r="J1115" s="3">
        <f t="shared" ca="1" si="131"/>
        <v>9.3327000325175931</v>
      </c>
      <c r="P1115" s="3">
        <f t="shared" ca="1" si="132"/>
        <v>-7.9961455660333609</v>
      </c>
      <c r="Q1115" s="3">
        <f t="shared" ca="1" si="133"/>
        <v>-8.5146717861211041</v>
      </c>
      <c r="R1115" s="3">
        <f t="shared" ca="1" si="134"/>
        <v>11.680666913261492</v>
      </c>
    </row>
    <row r="1116" spans="7:18" x14ac:dyDescent="0.25">
      <c r="G1116" s="2">
        <f t="shared" ca="1" si="128"/>
        <v>0.29073875797400905</v>
      </c>
      <c r="H1116" s="3">
        <f t="shared" ca="1" si="129"/>
        <v>0</v>
      </c>
      <c r="I1116" s="3">
        <f t="shared" ca="1" si="130"/>
        <v>3.6228655256146913</v>
      </c>
      <c r="J1116" s="3">
        <f t="shared" ca="1" si="131"/>
        <v>9.5169132674605841</v>
      </c>
      <c r="P1116" s="3">
        <f t="shared" ca="1" si="132"/>
        <v>-11.127167735107552</v>
      </c>
      <c r="Q1116" s="3">
        <f t="shared" ca="1" si="133"/>
        <v>3.0327616380255313</v>
      </c>
      <c r="R1116" s="3">
        <f t="shared" ca="1" si="134"/>
        <v>11.533061387086164</v>
      </c>
    </row>
    <row r="1117" spans="7:18" x14ac:dyDescent="0.25">
      <c r="G1117" s="2">
        <f t="shared" ca="1" si="128"/>
        <v>0.2489702006143677</v>
      </c>
      <c r="H1117" s="3">
        <f t="shared" ca="1" si="129"/>
        <v>0</v>
      </c>
      <c r="I1117" s="3">
        <f t="shared" ca="1" si="130"/>
        <v>2.2371258053872696</v>
      </c>
      <c r="J1117" s="3">
        <f t="shared" ca="1" si="131"/>
        <v>7.478512227353896</v>
      </c>
      <c r="P1117" s="3">
        <f t="shared" ca="1" si="132"/>
        <v>-3.6890470927911707</v>
      </c>
      <c r="Q1117" s="3">
        <f t="shared" ca="1" si="133"/>
        <v>3.5097529377025349</v>
      </c>
      <c r="R1117" s="3">
        <f t="shared" ca="1" si="134"/>
        <v>5.0918988733617407</v>
      </c>
    </row>
    <row r="1118" spans="7:18" x14ac:dyDescent="0.25">
      <c r="G1118" s="2">
        <f t="shared" ca="1" si="128"/>
        <v>0.94174167015267984</v>
      </c>
      <c r="H1118" s="3">
        <f t="shared" ca="1" si="129"/>
        <v>2</v>
      </c>
      <c r="I1118" s="3">
        <f t="shared" ca="1" si="130"/>
        <v>5.3672353147721301</v>
      </c>
      <c r="J1118" s="3">
        <f t="shared" ca="1" si="131"/>
        <v>11.583647217923346</v>
      </c>
      <c r="P1118" s="3">
        <f t="shared" ca="1" si="132"/>
        <v>-2.1733641678875144</v>
      </c>
      <c r="Q1118" s="3">
        <f t="shared" ca="1" si="133"/>
        <v>5.9000435423255055</v>
      </c>
      <c r="R1118" s="3">
        <f t="shared" ca="1" si="134"/>
        <v>6.2876088942931467</v>
      </c>
    </row>
    <row r="1119" spans="7:18" x14ac:dyDescent="0.25">
      <c r="G1119" s="2">
        <f t="shared" ca="1" si="128"/>
        <v>0.24943656043842977</v>
      </c>
      <c r="H1119" s="3">
        <f t="shared" ca="1" si="129"/>
        <v>0</v>
      </c>
      <c r="I1119" s="3">
        <f t="shared" ca="1" si="130"/>
        <v>0.64358417452189887</v>
      </c>
      <c r="J1119" s="3">
        <f t="shared" ca="1" si="131"/>
        <v>4.0111849076111499</v>
      </c>
      <c r="P1119" s="3">
        <f t="shared" ca="1" si="132"/>
        <v>-11.559533883414817</v>
      </c>
      <c r="Q1119" s="3">
        <f t="shared" ca="1" si="133"/>
        <v>11.633178822300358</v>
      </c>
      <c r="R1119" s="3">
        <f t="shared" ca="1" si="134"/>
        <v>16.399807105982461</v>
      </c>
    </row>
    <row r="1120" spans="7:18" x14ac:dyDescent="0.25">
      <c r="G1120" s="2">
        <f t="shared" ca="1" si="128"/>
        <v>0.49727547393939198</v>
      </c>
      <c r="H1120" s="3">
        <f t="shared" ca="1" si="129"/>
        <v>0</v>
      </c>
      <c r="I1120" s="3">
        <f t="shared" ca="1" si="130"/>
        <v>0.9616309142422137</v>
      </c>
      <c r="J1120" s="3">
        <f t="shared" ca="1" si="131"/>
        <v>4.9031390818592264</v>
      </c>
      <c r="P1120" s="3">
        <f t="shared" ca="1" si="132"/>
        <v>-5.9997745112368372</v>
      </c>
      <c r="Q1120" s="3">
        <f t="shared" ca="1" si="133"/>
        <v>2.6478055150884141</v>
      </c>
      <c r="R1120" s="3">
        <f t="shared" ca="1" si="134"/>
        <v>6.5580613165340145</v>
      </c>
    </row>
    <row r="1121" spans="7:18" x14ac:dyDescent="0.25">
      <c r="G1121" s="2">
        <f t="shared" ca="1" si="128"/>
        <v>5.4359052694190613E-3</v>
      </c>
      <c r="H1121" s="3">
        <f t="shared" ca="1" si="129"/>
        <v>0</v>
      </c>
      <c r="I1121" s="3">
        <f t="shared" ca="1" si="130"/>
        <v>1.21705447950582</v>
      </c>
      <c r="J1121" s="3">
        <f t="shared" ca="1" si="131"/>
        <v>5.5160096072836478</v>
      </c>
      <c r="P1121" s="3">
        <f t="shared" ca="1" si="132"/>
        <v>6.1594297186346161</v>
      </c>
      <c r="Q1121" s="3">
        <f t="shared" ca="1" si="133"/>
        <v>4.662401713801434</v>
      </c>
      <c r="R1121" s="3">
        <f t="shared" ca="1" si="134"/>
        <v>7.7250607893826873</v>
      </c>
    </row>
    <row r="1122" spans="7:18" x14ac:dyDescent="0.25">
      <c r="G1122" s="2">
        <f t="shared" ca="1" si="128"/>
        <v>0.21342036127177078</v>
      </c>
      <c r="H1122" s="3">
        <f t="shared" ca="1" si="129"/>
        <v>0</v>
      </c>
      <c r="I1122" s="3">
        <f t="shared" ca="1" si="130"/>
        <v>0.76700353276073552</v>
      </c>
      <c r="J1122" s="3">
        <f t="shared" ca="1" si="131"/>
        <v>4.3789368937012991</v>
      </c>
      <c r="P1122" s="3">
        <f t="shared" ca="1" si="132"/>
        <v>-4.1586894880725946</v>
      </c>
      <c r="Q1122" s="3">
        <f t="shared" ca="1" si="133"/>
        <v>2.5199122574485071</v>
      </c>
      <c r="R1122" s="3">
        <f t="shared" ca="1" si="134"/>
        <v>4.8625770989717712</v>
      </c>
    </row>
    <row r="1123" spans="7:18" x14ac:dyDescent="0.25">
      <c r="G1123" s="2">
        <f t="shared" ca="1" si="128"/>
        <v>0.30844377012633239</v>
      </c>
      <c r="H1123" s="3">
        <f t="shared" ca="1" si="129"/>
        <v>0</v>
      </c>
      <c r="I1123" s="3">
        <f t="shared" ca="1" si="130"/>
        <v>6.8722333801662305</v>
      </c>
      <c r="J1123" s="3">
        <f t="shared" ca="1" si="131"/>
        <v>13.107472468182253</v>
      </c>
      <c r="P1123" s="3">
        <f t="shared" ca="1" si="132"/>
        <v>6.5855868616048348</v>
      </c>
      <c r="Q1123" s="3">
        <f t="shared" ca="1" si="133"/>
        <v>4.2671930052608539E-2</v>
      </c>
      <c r="R1123" s="3">
        <f t="shared" ca="1" si="134"/>
        <v>6.585725108547777</v>
      </c>
    </row>
    <row r="1124" spans="7:18" x14ac:dyDescent="0.25">
      <c r="G1124" s="2">
        <f t="shared" ca="1" si="128"/>
        <v>0.27146777343490314</v>
      </c>
      <c r="H1124" s="3">
        <f t="shared" ca="1" si="129"/>
        <v>0</v>
      </c>
      <c r="I1124" s="3">
        <f t="shared" ca="1" si="130"/>
        <v>1.090684181032765</v>
      </c>
      <c r="J1124" s="3">
        <f t="shared" ca="1" si="131"/>
        <v>5.2217913138901988</v>
      </c>
      <c r="P1124" s="3">
        <f t="shared" ca="1" si="132"/>
        <v>-12.966620496964053</v>
      </c>
      <c r="Q1124" s="3">
        <f t="shared" ca="1" si="133"/>
        <v>-0.50724513217919154</v>
      </c>
      <c r="R1124" s="3">
        <f t="shared" ca="1" si="134"/>
        <v>12.976538241626994</v>
      </c>
    </row>
    <row r="1125" spans="7:18" x14ac:dyDescent="0.25">
      <c r="G1125" s="2">
        <f t="shared" ca="1" si="128"/>
        <v>0.74529163329008263</v>
      </c>
      <c r="H1125" s="3">
        <f t="shared" ca="1" si="129"/>
        <v>1</v>
      </c>
      <c r="I1125" s="3">
        <f t="shared" ca="1" si="130"/>
        <v>2.7608169119279364</v>
      </c>
      <c r="J1125" s="3">
        <f t="shared" ca="1" si="131"/>
        <v>8.3078530799598518</v>
      </c>
      <c r="P1125" s="3">
        <f t="shared" ca="1" si="132"/>
        <v>-2.2368000416819687</v>
      </c>
      <c r="Q1125" s="3">
        <f t="shared" ca="1" si="133"/>
        <v>-5.0129515882701874</v>
      </c>
      <c r="R1125" s="3">
        <f t="shared" ca="1" si="134"/>
        <v>5.4893495108991788</v>
      </c>
    </row>
    <row r="1126" spans="7:18" x14ac:dyDescent="0.25">
      <c r="G1126" s="2">
        <f t="shared" ca="1" si="128"/>
        <v>0.87989152465359033</v>
      </c>
      <c r="H1126" s="3">
        <f t="shared" ca="1" si="129"/>
        <v>1</v>
      </c>
      <c r="I1126" s="3">
        <f t="shared" ca="1" si="130"/>
        <v>6.1639865222014354</v>
      </c>
      <c r="J1126" s="3">
        <f t="shared" ca="1" si="131"/>
        <v>12.413688535444889</v>
      </c>
      <c r="P1126" s="3">
        <f t="shared" ca="1" si="132"/>
        <v>-2.9416981326884351</v>
      </c>
      <c r="Q1126" s="3">
        <f t="shared" ca="1" si="133"/>
        <v>2.4811863818809807</v>
      </c>
      <c r="R1126" s="3">
        <f t="shared" ca="1" si="134"/>
        <v>3.8483598799351211</v>
      </c>
    </row>
    <row r="1127" spans="7:18" x14ac:dyDescent="0.25">
      <c r="G1127" s="2">
        <f t="shared" ca="1" si="128"/>
        <v>0.77896559844423618</v>
      </c>
      <c r="H1127" s="3">
        <f t="shared" ca="1" si="129"/>
        <v>1</v>
      </c>
      <c r="I1127" s="3">
        <f t="shared" ca="1" si="130"/>
        <v>3.3737457812849785</v>
      </c>
      <c r="J1127" s="3">
        <f t="shared" ca="1" si="131"/>
        <v>9.1838796013517339</v>
      </c>
      <c r="P1127" s="3">
        <f t="shared" ca="1" si="132"/>
        <v>-3.8768084185153655</v>
      </c>
      <c r="Q1127" s="3">
        <f t="shared" ca="1" si="133"/>
        <v>1.3062670308728646</v>
      </c>
      <c r="R1127" s="3">
        <f t="shared" ca="1" si="134"/>
        <v>4.090962853634462</v>
      </c>
    </row>
    <row r="1128" spans="7:18" x14ac:dyDescent="0.25">
      <c r="G1128" s="2">
        <f t="shared" ca="1" si="128"/>
        <v>0.51621663232971682</v>
      </c>
      <c r="H1128" s="3">
        <f t="shared" ca="1" si="129"/>
        <v>0</v>
      </c>
      <c r="I1128" s="3">
        <f t="shared" ca="1" si="130"/>
        <v>4.3726638531034936E-2</v>
      </c>
      <c r="J1128" s="3">
        <f t="shared" ca="1" si="131"/>
        <v>1.0455457729223878</v>
      </c>
      <c r="P1128" s="3">
        <f t="shared" ca="1" si="132"/>
        <v>-2.6090129569661737</v>
      </c>
      <c r="Q1128" s="3">
        <f t="shared" ca="1" si="133"/>
        <v>-2.0845539249776062</v>
      </c>
      <c r="R1128" s="3">
        <f t="shared" ca="1" si="134"/>
        <v>3.3395079990556873</v>
      </c>
    </row>
    <row r="1129" spans="7:18" x14ac:dyDescent="0.25">
      <c r="G1129" s="2">
        <f t="shared" ca="1" si="128"/>
        <v>0.72699626594470923</v>
      </c>
      <c r="H1129" s="3">
        <f t="shared" ca="1" si="129"/>
        <v>1</v>
      </c>
      <c r="I1129" s="3">
        <f t="shared" ca="1" si="130"/>
        <v>1.7295628624334474</v>
      </c>
      <c r="J1129" s="3">
        <f t="shared" ca="1" si="131"/>
        <v>6.5756422926461102</v>
      </c>
      <c r="P1129" s="3">
        <f t="shared" ca="1" si="132"/>
        <v>-6.7000298534094158</v>
      </c>
      <c r="Q1129" s="3">
        <f t="shared" ca="1" si="133"/>
        <v>7.4801889572855114</v>
      </c>
      <c r="R1129" s="3">
        <f t="shared" ca="1" si="134"/>
        <v>10.042092753668108</v>
      </c>
    </row>
    <row r="1130" spans="7:18" x14ac:dyDescent="0.25">
      <c r="G1130" s="2">
        <f t="shared" ca="1" si="128"/>
        <v>0.59335040414574214</v>
      </c>
      <c r="H1130" s="3">
        <f t="shared" ca="1" si="129"/>
        <v>0</v>
      </c>
      <c r="I1130" s="3">
        <f t="shared" ca="1" si="130"/>
        <v>5.5771563493958185</v>
      </c>
      <c r="J1130" s="3">
        <f t="shared" ca="1" si="131"/>
        <v>11.808001894262022</v>
      </c>
      <c r="P1130" s="3">
        <f t="shared" ca="1" si="132"/>
        <v>1.1945010064848081</v>
      </c>
      <c r="Q1130" s="3">
        <f t="shared" ca="1" si="133"/>
        <v>-1.8846415853157932</v>
      </c>
      <c r="R1130" s="3">
        <f t="shared" ca="1" si="134"/>
        <v>2.2313015393699809</v>
      </c>
    </row>
    <row r="1131" spans="7:18" x14ac:dyDescent="0.25">
      <c r="G1131" s="2">
        <f t="shared" ca="1" si="128"/>
        <v>0.15482197799724606</v>
      </c>
      <c r="H1131" s="3">
        <f t="shared" ca="1" si="129"/>
        <v>0</v>
      </c>
      <c r="I1131" s="3">
        <f t="shared" ca="1" si="130"/>
        <v>2.2223201402098969</v>
      </c>
      <c r="J1131" s="3">
        <f t="shared" ca="1" si="131"/>
        <v>7.4537241366478959</v>
      </c>
      <c r="P1131" s="3">
        <f t="shared" ca="1" si="132"/>
        <v>-4.3435650877700311</v>
      </c>
      <c r="Q1131" s="3">
        <f t="shared" ca="1" si="133"/>
        <v>-5.3906535951360732</v>
      </c>
      <c r="R1131" s="3">
        <f t="shared" ca="1" si="134"/>
        <v>6.922839291392525</v>
      </c>
    </row>
    <row r="1132" spans="7:18" x14ac:dyDescent="0.25">
      <c r="G1132" s="2">
        <f t="shared" ca="1" si="128"/>
        <v>0.63331931356996374</v>
      </c>
      <c r="H1132" s="3">
        <f t="shared" ca="1" si="129"/>
        <v>1</v>
      </c>
      <c r="I1132" s="3">
        <f t="shared" ca="1" si="130"/>
        <v>2.4034673237976141</v>
      </c>
      <c r="J1132" s="3">
        <f t="shared" ca="1" si="131"/>
        <v>7.7515600426585332</v>
      </c>
      <c r="P1132" s="3">
        <f t="shared" ca="1" si="132"/>
        <v>-10.912101479985598</v>
      </c>
      <c r="Q1132" s="3">
        <f t="shared" ca="1" si="133"/>
        <v>-3.2749855283203639</v>
      </c>
      <c r="R1132" s="3">
        <f t="shared" ca="1" si="134"/>
        <v>11.392957865287297</v>
      </c>
    </row>
    <row r="1133" spans="7:18" x14ac:dyDescent="0.25">
      <c r="G1133" s="2">
        <f t="shared" ca="1" si="128"/>
        <v>0.65028551311065341</v>
      </c>
      <c r="H1133" s="3">
        <f t="shared" ca="1" si="129"/>
        <v>1</v>
      </c>
      <c r="I1133" s="3">
        <f t="shared" ca="1" si="130"/>
        <v>1.682894183012501</v>
      </c>
      <c r="J1133" s="3">
        <f t="shared" ca="1" si="131"/>
        <v>6.4863205729683546</v>
      </c>
      <c r="P1133" s="3">
        <f t="shared" ca="1" si="132"/>
        <v>-3.1830148636369877</v>
      </c>
      <c r="Q1133" s="3">
        <f t="shared" ca="1" si="133"/>
        <v>3.6209556312923263</v>
      </c>
      <c r="R1133" s="3">
        <f t="shared" ca="1" si="134"/>
        <v>4.8210894314378363</v>
      </c>
    </row>
    <row r="1134" spans="7:18" x14ac:dyDescent="0.25">
      <c r="G1134" s="2">
        <f t="shared" ca="1" si="128"/>
        <v>0.99613591605867924</v>
      </c>
      <c r="H1134" s="3">
        <f t="shared" ca="1" si="129"/>
        <v>3</v>
      </c>
      <c r="I1134" s="3">
        <f t="shared" ca="1" si="130"/>
        <v>8.5134960625307432</v>
      </c>
      <c r="J1134" s="3">
        <f t="shared" ca="1" si="131"/>
        <v>14.588947925168167</v>
      </c>
      <c r="P1134" s="3">
        <f t="shared" ca="1" si="132"/>
        <v>-1.8368074434220487</v>
      </c>
      <c r="Q1134" s="3">
        <f t="shared" ca="1" si="133"/>
        <v>9.379791720517721</v>
      </c>
      <c r="R1134" s="3">
        <f t="shared" ca="1" si="134"/>
        <v>9.5579471804621008</v>
      </c>
    </row>
    <row r="1135" spans="7:18" x14ac:dyDescent="0.25">
      <c r="G1135" s="2">
        <f t="shared" ca="1" si="128"/>
        <v>0.39108358838696855</v>
      </c>
      <c r="H1135" s="3">
        <f t="shared" ca="1" si="129"/>
        <v>0</v>
      </c>
      <c r="I1135" s="3">
        <f t="shared" ca="1" si="130"/>
        <v>3.9950665553065776</v>
      </c>
      <c r="J1135" s="3">
        <f t="shared" ca="1" si="131"/>
        <v>9.9938312914849838</v>
      </c>
      <c r="P1135" s="3">
        <f t="shared" ca="1" si="132"/>
        <v>-6.0813063271676748</v>
      </c>
      <c r="Q1135" s="3">
        <f t="shared" ca="1" si="133"/>
        <v>-1.8630508148883111</v>
      </c>
      <c r="R1135" s="3">
        <f t="shared" ca="1" si="134"/>
        <v>6.360286548867558</v>
      </c>
    </row>
    <row r="1136" spans="7:18" x14ac:dyDescent="0.25">
      <c r="G1136" s="2">
        <f t="shared" ca="1" si="128"/>
        <v>0.34620421073685914</v>
      </c>
      <c r="H1136" s="3">
        <f t="shared" ca="1" si="129"/>
        <v>0</v>
      </c>
      <c r="I1136" s="3">
        <f t="shared" ca="1" si="130"/>
        <v>1.2385788659456385</v>
      </c>
      <c r="J1136" s="3">
        <f t="shared" ca="1" si="131"/>
        <v>5.5645729080173769</v>
      </c>
      <c r="P1136" s="3">
        <f t="shared" ca="1" si="132"/>
        <v>-4.8968394611664303</v>
      </c>
      <c r="Q1136" s="3">
        <f t="shared" ca="1" si="133"/>
        <v>5.8985134022459826</v>
      </c>
      <c r="R1136" s="3">
        <f t="shared" ca="1" si="134"/>
        <v>7.6662570440151701</v>
      </c>
    </row>
    <row r="1137" spans="7:18" x14ac:dyDescent="0.25">
      <c r="G1137" s="2">
        <f t="shared" ca="1" si="128"/>
        <v>0.76462131305758563</v>
      </c>
      <c r="H1137" s="3">
        <f t="shared" ca="1" si="129"/>
        <v>1</v>
      </c>
      <c r="I1137" s="3">
        <f t="shared" ca="1" si="130"/>
        <v>5.8305045934363173</v>
      </c>
      <c r="J1137" s="3">
        <f t="shared" ca="1" si="131"/>
        <v>12.073218909466853</v>
      </c>
      <c r="P1137" s="3">
        <f t="shared" ca="1" si="132"/>
        <v>-0.55244622320985748</v>
      </c>
      <c r="Q1137" s="3">
        <f t="shared" ca="1" si="133"/>
        <v>4.3352100808538543</v>
      </c>
      <c r="R1137" s="3">
        <f t="shared" ca="1" si="134"/>
        <v>4.3702681010065865</v>
      </c>
    </row>
    <row r="1138" spans="7:18" x14ac:dyDescent="0.25">
      <c r="G1138" s="2">
        <f t="shared" ca="1" si="128"/>
        <v>4.5210992953457652E-2</v>
      </c>
      <c r="H1138" s="3">
        <f t="shared" ca="1" si="129"/>
        <v>0</v>
      </c>
      <c r="I1138" s="3">
        <f t="shared" ca="1" si="130"/>
        <v>0.93198028336312599</v>
      </c>
      <c r="J1138" s="3">
        <f t="shared" ca="1" si="131"/>
        <v>4.826956296060505</v>
      </c>
      <c r="P1138" s="3">
        <f t="shared" ca="1" si="132"/>
        <v>-4.7660317413788924</v>
      </c>
      <c r="Q1138" s="3">
        <f t="shared" ca="1" si="133"/>
        <v>-3.4765393226627905</v>
      </c>
      <c r="R1138" s="3">
        <f t="shared" ca="1" si="134"/>
        <v>5.8992698041242164</v>
      </c>
    </row>
    <row r="1139" spans="7:18" x14ac:dyDescent="0.25">
      <c r="G1139" s="2">
        <f t="shared" ca="1" si="128"/>
        <v>0.82338894896408155</v>
      </c>
      <c r="H1139" s="3">
        <f t="shared" ca="1" si="129"/>
        <v>1</v>
      </c>
      <c r="I1139" s="3">
        <f t="shared" ca="1" si="130"/>
        <v>3.0114241614186898</v>
      </c>
      <c r="J1139" s="3">
        <f t="shared" ca="1" si="131"/>
        <v>8.6767277262495242</v>
      </c>
      <c r="P1139" s="3">
        <f t="shared" ca="1" si="132"/>
        <v>-8.1959875379895326</v>
      </c>
      <c r="Q1139" s="3">
        <f t="shared" ca="1" si="133"/>
        <v>9.5392993126210541</v>
      </c>
      <c r="R1139" s="3">
        <f t="shared" ca="1" si="134"/>
        <v>12.576662637546269</v>
      </c>
    </row>
    <row r="1140" spans="7:18" x14ac:dyDescent="0.25">
      <c r="G1140" s="2">
        <f t="shared" ca="1" si="128"/>
        <v>0.98801955043454415</v>
      </c>
      <c r="H1140" s="3">
        <f t="shared" ca="1" si="129"/>
        <v>3</v>
      </c>
      <c r="I1140" s="3">
        <f t="shared" ca="1" si="130"/>
        <v>10.963589141943325</v>
      </c>
      <c r="J1140" s="3">
        <f t="shared" ca="1" si="131"/>
        <v>16.555655485319303</v>
      </c>
      <c r="P1140" s="3">
        <f t="shared" ca="1" si="132"/>
        <v>4.7238055808892394</v>
      </c>
      <c r="Q1140" s="3">
        <f t="shared" ca="1" si="133"/>
        <v>-5.9476117870770304</v>
      </c>
      <c r="R1140" s="3">
        <f t="shared" ca="1" si="134"/>
        <v>7.5952896676702171</v>
      </c>
    </row>
    <row r="1141" spans="7:18" x14ac:dyDescent="0.25">
      <c r="G1141" s="2">
        <f t="shared" ca="1" si="128"/>
        <v>0.87110071843815506</v>
      </c>
      <c r="H1141" s="3">
        <f t="shared" ca="1" si="129"/>
        <v>1</v>
      </c>
      <c r="I1141" s="3">
        <f t="shared" ca="1" si="130"/>
        <v>6.750561084271987</v>
      </c>
      <c r="J1141" s="3">
        <f t="shared" ca="1" si="131"/>
        <v>12.990920949139813</v>
      </c>
      <c r="P1141" s="3">
        <f t="shared" ca="1" si="132"/>
        <v>-4.592943272696365</v>
      </c>
      <c r="Q1141" s="3">
        <f t="shared" ca="1" si="133"/>
        <v>2.1307338159420413</v>
      </c>
      <c r="R1141" s="3">
        <f t="shared" ca="1" si="134"/>
        <v>5.0631170735630562</v>
      </c>
    </row>
    <row r="1142" spans="7:18" x14ac:dyDescent="0.25">
      <c r="G1142" s="2">
        <f t="shared" ca="1" si="128"/>
        <v>2.1861410248049662E-3</v>
      </c>
      <c r="H1142" s="3">
        <f t="shared" ca="1" si="129"/>
        <v>0</v>
      </c>
      <c r="I1142" s="3">
        <f t="shared" ca="1" si="130"/>
        <v>1.0184979763325681</v>
      </c>
      <c r="J1142" s="3">
        <f t="shared" ca="1" si="131"/>
        <v>5.0460330367838662</v>
      </c>
      <c r="P1142" s="3">
        <f t="shared" ca="1" si="132"/>
        <v>-10.194631749787977</v>
      </c>
      <c r="Q1142" s="3">
        <f t="shared" ca="1" si="133"/>
        <v>4.1994944347715224</v>
      </c>
      <c r="R1142" s="3">
        <f t="shared" ca="1" si="134"/>
        <v>11.025709501953244</v>
      </c>
    </row>
    <row r="1143" spans="7:18" x14ac:dyDescent="0.25">
      <c r="G1143" s="2">
        <f t="shared" ca="1" si="128"/>
        <v>0.891408486462543</v>
      </c>
      <c r="H1143" s="3">
        <f t="shared" ca="1" si="129"/>
        <v>1</v>
      </c>
      <c r="I1143" s="3">
        <f t="shared" ca="1" si="130"/>
        <v>4.8242874485747036</v>
      </c>
      <c r="J1143" s="3">
        <f t="shared" ca="1" si="131"/>
        <v>10.982130313120837</v>
      </c>
      <c r="P1143" s="3">
        <f t="shared" ca="1" si="132"/>
        <v>-3.4685846307683859</v>
      </c>
      <c r="Q1143" s="3">
        <f t="shared" ca="1" si="133"/>
        <v>5.8038297800156089</v>
      </c>
      <c r="R1143" s="3">
        <f t="shared" ca="1" si="134"/>
        <v>6.7613252736574276</v>
      </c>
    </row>
    <row r="1144" spans="7:18" x14ac:dyDescent="0.25">
      <c r="G1144" s="2">
        <f t="shared" ca="1" si="128"/>
        <v>0.37235120936338195</v>
      </c>
      <c r="H1144" s="3">
        <f t="shared" ca="1" si="129"/>
        <v>0</v>
      </c>
      <c r="I1144" s="3">
        <f t="shared" ca="1" si="130"/>
        <v>0.97906368575766334</v>
      </c>
      <c r="J1144" s="3">
        <f t="shared" ca="1" si="131"/>
        <v>4.9473823527135625</v>
      </c>
      <c r="P1144" s="3">
        <f t="shared" ca="1" si="132"/>
        <v>0.9934817985858384</v>
      </c>
      <c r="Q1144" s="3">
        <f t="shared" ca="1" si="133"/>
        <v>9.319636602779692</v>
      </c>
      <c r="R1144" s="3">
        <f t="shared" ca="1" si="134"/>
        <v>9.372440050061261</v>
      </c>
    </row>
    <row r="1145" spans="7:18" x14ac:dyDescent="0.25">
      <c r="G1145" s="2">
        <f t="shared" ca="1" si="128"/>
        <v>0.66679195381379819</v>
      </c>
      <c r="H1145" s="3">
        <f t="shared" ca="1" si="129"/>
        <v>1</v>
      </c>
      <c r="I1145" s="3">
        <f t="shared" ca="1" si="130"/>
        <v>3.6208039596270747</v>
      </c>
      <c r="J1145" s="3">
        <f t="shared" ca="1" si="131"/>
        <v>9.5142051160712775</v>
      </c>
      <c r="P1145" s="3">
        <f t="shared" ca="1" si="132"/>
        <v>4.0061702070406078</v>
      </c>
      <c r="Q1145" s="3">
        <f t="shared" ca="1" si="133"/>
        <v>2.7073974542845134</v>
      </c>
      <c r="R1145" s="3">
        <f t="shared" ca="1" si="134"/>
        <v>4.8352249899302562</v>
      </c>
    </row>
    <row r="1146" spans="7:18" x14ac:dyDescent="0.25">
      <c r="G1146" s="2">
        <f t="shared" ca="1" si="128"/>
        <v>0.95462491543252004</v>
      </c>
      <c r="H1146" s="3">
        <f t="shared" ca="1" si="129"/>
        <v>2</v>
      </c>
      <c r="I1146" s="3">
        <f t="shared" ca="1" si="130"/>
        <v>6.8086210190331826</v>
      </c>
      <c r="J1146" s="3">
        <f t="shared" ca="1" si="131"/>
        <v>13.046667217179627</v>
      </c>
      <c r="P1146" s="3">
        <f t="shared" ca="1" si="132"/>
        <v>1.280906693372347</v>
      </c>
      <c r="Q1146" s="3">
        <f t="shared" ca="1" si="133"/>
        <v>-3.2246322761666932</v>
      </c>
      <c r="R1146" s="3">
        <f t="shared" ca="1" si="134"/>
        <v>3.4697226508212538</v>
      </c>
    </row>
    <row r="1147" spans="7:18" x14ac:dyDescent="0.25">
      <c r="G1147" s="2">
        <f t="shared" ca="1" si="128"/>
        <v>0.90634541622841891</v>
      </c>
      <c r="H1147" s="3">
        <f t="shared" ca="1" si="129"/>
        <v>1</v>
      </c>
      <c r="I1147" s="3">
        <f t="shared" ca="1" si="130"/>
        <v>2.8022291855153476</v>
      </c>
      <c r="J1147" s="3">
        <f t="shared" ca="1" si="131"/>
        <v>8.3699300856030874</v>
      </c>
      <c r="P1147" s="3">
        <f t="shared" ca="1" si="132"/>
        <v>3.7363041632564471</v>
      </c>
      <c r="Q1147" s="3">
        <f t="shared" ca="1" si="133"/>
        <v>5.2785729619679946</v>
      </c>
      <c r="R1147" s="3">
        <f t="shared" ca="1" si="134"/>
        <v>6.4670937301996032</v>
      </c>
    </row>
    <row r="1148" spans="7:18" x14ac:dyDescent="0.25">
      <c r="G1148" s="2">
        <f t="shared" ca="1" si="128"/>
        <v>0.35966334844799885</v>
      </c>
      <c r="H1148" s="3">
        <f t="shared" ca="1" si="129"/>
        <v>0</v>
      </c>
      <c r="I1148" s="3">
        <f t="shared" ca="1" si="130"/>
        <v>0.71555422004957514</v>
      </c>
      <c r="J1148" s="3">
        <f t="shared" ca="1" si="131"/>
        <v>4.2295218998415622</v>
      </c>
      <c r="P1148" s="3">
        <f t="shared" ca="1" si="132"/>
        <v>3.2504882136019191</v>
      </c>
      <c r="Q1148" s="3">
        <f t="shared" ca="1" si="133"/>
        <v>-2.4235632864143133</v>
      </c>
      <c r="R1148" s="3">
        <f t="shared" ca="1" si="134"/>
        <v>4.0545446883738183</v>
      </c>
    </row>
    <row r="1149" spans="7:18" x14ac:dyDescent="0.25">
      <c r="G1149" s="2">
        <f t="shared" ca="1" si="128"/>
        <v>0.74316825726136182</v>
      </c>
      <c r="H1149" s="3">
        <f t="shared" ca="1" si="129"/>
        <v>1</v>
      </c>
      <c r="I1149" s="3">
        <f t="shared" ca="1" si="130"/>
        <v>3.0023007172288714</v>
      </c>
      <c r="J1149" s="3">
        <f t="shared" ca="1" si="131"/>
        <v>8.6635742006819445</v>
      </c>
      <c r="P1149" s="3">
        <f t="shared" ca="1" si="132"/>
        <v>-11.390290768935841</v>
      </c>
      <c r="Q1149" s="3">
        <f t="shared" ca="1" si="133"/>
        <v>-4.117820244790269</v>
      </c>
      <c r="R1149" s="3">
        <f t="shared" ca="1" si="134"/>
        <v>12.11177804326473</v>
      </c>
    </row>
    <row r="1150" spans="7:18" x14ac:dyDescent="0.25">
      <c r="G1150" s="2">
        <f t="shared" ca="1" si="128"/>
        <v>0.87159114456745712</v>
      </c>
      <c r="H1150" s="3">
        <f t="shared" ca="1" si="129"/>
        <v>1</v>
      </c>
      <c r="I1150" s="3">
        <f t="shared" ca="1" si="130"/>
        <v>11.979120694819191</v>
      </c>
      <c r="J1150" s="3">
        <f t="shared" ca="1" si="131"/>
        <v>17.305433174887007</v>
      </c>
      <c r="P1150" s="3">
        <f t="shared" ca="1" si="132"/>
        <v>1.4123988307146647</v>
      </c>
      <c r="Q1150" s="3">
        <f t="shared" ca="1" si="133"/>
        <v>-0.31788136391204636</v>
      </c>
      <c r="R1150" s="3">
        <f t="shared" ca="1" si="134"/>
        <v>1.4477289174865351</v>
      </c>
    </row>
    <row r="1151" spans="7:18" x14ac:dyDescent="0.25">
      <c r="G1151" s="2">
        <f t="shared" ca="1" si="128"/>
        <v>0.16729474686785606</v>
      </c>
      <c r="H1151" s="3">
        <f t="shared" ca="1" si="129"/>
        <v>0</v>
      </c>
      <c r="I1151" s="3">
        <f t="shared" ca="1" si="130"/>
        <v>0.95634810378112434</v>
      </c>
      <c r="J1151" s="3">
        <f t="shared" ca="1" si="131"/>
        <v>4.8896526046875879</v>
      </c>
      <c r="P1151" s="3">
        <f t="shared" ca="1" si="132"/>
        <v>-7.4663129309629888</v>
      </c>
      <c r="Q1151" s="3">
        <f t="shared" ca="1" si="133"/>
        <v>8.067404975347042</v>
      </c>
      <c r="R1151" s="3">
        <f t="shared" ca="1" si="134"/>
        <v>10.992217784383611</v>
      </c>
    </row>
    <row r="1152" spans="7:18" x14ac:dyDescent="0.25">
      <c r="G1152" s="2">
        <f t="shared" ca="1" si="128"/>
        <v>0.5570093454867735</v>
      </c>
      <c r="H1152" s="3">
        <f t="shared" ca="1" si="129"/>
        <v>0</v>
      </c>
      <c r="I1152" s="3">
        <f t="shared" ca="1" si="130"/>
        <v>3.333079558461491</v>
      </c>
      <c r="J1152" s="3">
        <f t="shared" ca="1" si="131"/>
        <v>9.1283617895840035</v>
      </c>
      <c r="P1152" s="3">
        <f t="shared" ca="1" si="132"/>
        <v>-5.5314184279524561</v>
      </c>
      <c r="Q1152" s="3">
        <f t="shared" ca="1" si="133"/>
        <v>0.33719165785655075</v>
      </c>
      <c r="R1152" s="3">
        <f t="shared" ca="1" si="134"/>
        <v>5.5416863894684685</v>
      </c>
    </row>
    <row r="1153" spans="7:18" x14ac:dyDescent="0.25">
      <c r="G1153" s="2">
        <f t="shared" ca="1" si="128"/>
        <v>0.8038290402809547</v>
      </c>
      <c r="H1153" s="3">
        <f t="shared" ca="1" si="129"/>
        <v>1</v>
      </c>
      <c r="I1153" s="3">
        <f t="shared" ca="1" si="130"/>
        <v>1.4330101943224285</v>
      </c>
      <c r="J1153" s="3">
        <f t="shared" ca="1" si="131"/>
        <v>5.9854201906015518</v>
      </c>
      <c r="P1153" s="3">
        <f t="shared" ca="1" si="132"/>
        <v>-2.9826009347744105</v>
      </c>
      <c r="Q1153" s="3">
        <f t="shared" ca="1" si="133"/>
        <v>-0.78502138040907687</v>
      </c>
      <c r="R1153" s="3">
        <f t="shared" ca="1" si="134"/>
        <v>3.0841801023637645</v>
      </c>
    </row>
    <row r="1154" spans="7:18" x14ac:dyDescent="0.25">
      <c r="G1154" s="2">
        <f t="shared" ca="1" si="128"/>
        <v>7.8642428866104619E-2</v>
      </c>
      <c r="H1154" s="3">
        <f t="shared" ca="1" si="129"/>
        <v>0</v>
      </c>
      <c r="I1154" s="3">
        <f t="shared" ca="1" si="130"/>
        <v>0.8659544497263354</v>
      </c>
      <c r="J1154" s="3">
        <f t="shared" ca="1" si="131"/>
        <v>4.652833678862633</v>
      </c>
      <c r="P1154" s="3">
        <f t="shared" ca="1" si="132"/>
        <v>-2.5545664231696383</v>
      </c>
      <c r="Q1154" s="3">
        <f t="shared" ca="1" si="133"/>
        <v>2.4214918908514793</v>
      </c>
      <c r="R1154" s="3">
        <f t="shared" ca="1" si="134"/>
        <v>3.5198625808183466</v>
      </c>
    </row>
    <row r="1155" spans="7:18" x14ac:dyDescent="0.25">
      <c r="G1155" s="2">
        <f t="shared" ca="1" si="128"/>
        <v>0.86673223145063383</v>
      </c>
      <c r="H1155" s="3">
        <f t="shared" ca="1" si="129"/>
        <v>1</v>
      </c>
      <c r="I1155" s="3">
        <f t="shared" ca="1" si="130"/>
        <v>6.7332853617581785</v>
      </c>
      <c r="J1155" s="3">
        <f t="shared" ca="1" si="131"/>
        <v>12.974287419506108</v>
      </c>
      <c r="P1155" s="3">
        <f t="shared" ca="1" si="132"/>
        <v>-5.747087542450779</v>
      </c>
      <c r="Q1155" s="3">
        <f t="shared" ca="1" si="133"/>
        <v>3.0237233777041927</v>
      </c>
      <c r="R1155" s="3">
        <f t="shared" ca="1" si="134"/>
        <v>6.4939909366635078</v>
      </c>
    </row>
    <row r="1156" spans="7:18" x14ac:dyDescent="0.25">
      <c r="G1156" s="2">
        <f t="shared" ref="G1156:G1219" ca="1" si="135">RAND()</f>
        <v>0.41860960721455542</v>
      </c>
      <c r="H1156" s="3">
        <f t="shared" ref="H1156:H1219" ca="1" si="136">VLOOKUP(G1156,$B$9:$C$169,2,TRUE)</f>
        <v>0</v>
      </c>
      <c r="I1156" s="3">
        <f t="shared" ref="I1156:I1219" ca="1" si="137">_xlfn.CHISQ.INV(RAND(),2*H1156+2)</f>
        <v>2.1478854017119962</v>
      </c>
      <c r="J1156" s="3">
        <f t="shared" ref="J1156:J1219" ca="1" si="138">$C$4*SQRT(I1156)</f>
        <v>7.3278329022160369</v>
      </c>
      <c r="P1156" s="3">
        <f t="shared" ref="P1156:P1219" ca="1" si="139">_xlfn.NORM.INV(RAND(),$C$3*COS($O$2),$C$4)</f>
        <v>-9.5666825169639242</v>
      </c>
      <c r="Q1156" s="3">
        <f t="shared" ref="Q1156:Q1219" ca="1" si="140">_xlfn.NORM.INV(RAND(),$C$3*SIN($O$2),$C$4)</f>
        <v>-2.3430273024226089</v>
      </c>
      <c r="R1156" s="3">
        <f t="shared" ref="R1156:R1219" ca="1" si="141">SQRT(P1156^2+Q1156^2)</f>
        <v>9.8494259386159637</v>
      </c>
    </row>
    <row r="1157" spans="7:18" x14ac:dyDescent="0.25">
      <c r="G1157" s="2">
        <f t="shared" ca="1" si="135"/>
        <v>0.81382313708299669</v>
      </c>
      <c r="H1157" s="3">
        <f t="shared" ca="1" si="136"/>
        <v>1</v>
      </c>
      <c r="I1157" s="3">
        <f t="shared" ca="1" si="137"/>
        <v>0.82991925487415141</v>
      </c>
      <c r="J1157" s="3">
        <f t="shared" ca="1" si="138"/>
        <v>4.5549952109583804</v>
      </c>
      <c r="P1157" s="3">
        <f t="shared" ca="1" si="139"/>
        <v>-12.610300564774583</v>
      </c>
      <c r="Q1157" s="3">
        <f t="shared" ca="1" si="140"/>
        <v>-0.30000472393671612</v>
      </c>
      <c r="R1157" s="3">
        <f t="shared" ca="1" si="141"/>
        <v>12.613868683648903</v>
      </c>
    </row>
    <row r="1158" spans="7:18" x14ac:dyDescent="0.25">
      <c r="G1158" s="2">
        <f t="shared" ca="1" si="135"/>
        <v>0.23481091539313825</v>
      </c>
      <c r="H1158" s="3">
        <f t="shared" ca="1" si="136"/>
        <v>0</v>
      </c>
      <c r="I1158" s="3">
        <f t="shared" ca="1" si="137"/>
        <v>0.4436067925702965</v>
      </c>
      <c r="J1158" s="3">
        <f t="shared" ca="1" si="138"/>
        <v>3.3301906573434219</v>
      </c>
      <c r="P1158" s="3">
        <f t="shared" ca="1" si="139"/>
        <v>0.63006373478145949</v>
      </c>
      <c r="Q1158" s="3">
        <f t="shared" ca="1" si="140"/>
        <v>-3.3003471534854385</v>
      </c>
      <c r="R1158" s="3">
        <f t="shared" ca="1" si="141"/>
        <v>3.3599511370563406</v>
      </c>
    </row>
    <row r="1159" spans="7:18" x14ac:dyDescent="0.25">
      <c r="G1159" s="2">
        <f t="shared" ca="1" si="135"/>
        <v>0.35861240178205367</v>
      </c>
      <c r="H1159" s="3">
        <f t="shared" ca="1" si="136"/>
        <v>0</v>
      </c>
      <c r="I1159" s="3">
        <f t="shared" ca="1" si="137"/>
        <v>1.1068876604606905</v>
      </c>
      <c r="J1159" s="3">
        <f t="shared" ca="1" si="138"/>
        <v>5.2604364373611876</v>
      </c>
      <c r="P1159" s="3">
        <f t="shared" ca="1" si="139"/>
        <v>-0.35191426266088133</v>
      </c>
      <c r="Q1159" s="3">
        <f t="shared" ca="1" si="140"/>
        <v>3.6672833300994543</v>
      </c>
      <c r="R1159" s="3">
        <f t="shared" ca="1" si="141"/>
        <v>3.6841295676848143</v>
      </c>
    </row>
    <row r="1160" spans="7:18" x14ac:dyDescent="0.25">
      <c r="G1160" s="2">
        <f t="shared" ca="1" si="135"/>
        <v>0.71081700841698559</v>
      </c>
      <c r="H1160" s="3">
        <f t="shared" ca="1" si="136"/>
        <v>1</v>
      </c>
      <c r="I1160" s="3">
        <f t="shared" ca="1" si="137"/>
        <v>2.797109074823648</v>
      </c>
      <c r="J1160" s="3">
        <f t="shared" ca="1" si="138"/>
        <v>8.362280004316478</v>
      </c>
      <c r="P1160" s="3">
        <f t="shared" ca="1" si="139"/>
        <v>-14.647922646088972</v>
      </c>
      <c r="Q1160" s="3">
        <f t="shared" ca="1" si="140"/>
        <v>-5.7162435081088026</v>
      </c>
      <c r="R1160" s="3">
        <f t="shared" ca="1" si="141"/>
        <v>15.72377428258884</v>
      </c>
    </row>
    <row r="1161" spans="7:18" x14ac:dyDescent="0.25">
      <c r="G1161" s="2">
        <f t="shared" ca="1" si="135"/>
        <v>0.17409955451890835</v>
      </c>
      <c r="H1161" s="3">
        <f t="shared" ca="1" si="136"/>
        <v>0</v>
      </c>
      <c r="I1161" s="3">
        <f t="shared" ca="1" si="137"/>
        <v>1.7178477443461053</v>
      </c>
      <c r="J1161" s="3">
        <f t="shared" ca="1" si="138"/>
        <v>6.5533345411822701</v>
      </c>
      <c r="P1161" s="3">
        <f t="shared" ca="1" si="139"/>
        <v>-8.83963429115291</v>
      </c>
      <c r="Q1161" s="3">
        <f t="shared" ca="1" si="140"/>
        <v>-11.615743624007496</v>
      </c>
      <c r="R1161" s="3">
        <f t="shared" ca="1" si="141"/>
        <v>14.596733687369829</v>
      </c>
    </row>
    <row r="1162" spans="7:18" x14ac:dyDescent="0.25">
      <c r="G1162" s="2">
        <f t="shared" ca="1" si="135"/>
        <v>0.28935145038688903</v>
      </c>
      <c r="H1162" s="3">
        <f t="shared" ca="1" si="136"/>
        <v>0</v>
      </c>
      <c r="I1162" s="3">
        <f t="shared" ca="1" si="137"/>
        <v>2.2817023809024004</v>
      </c>
      <c r="J1162" s="3">
        <f t="shared" ca="1" si="138"/>
        <v>7.5526524825759065</v>
      </c>
      <c r="P1162" s="3">
        <f t="shared" ca="1" si="139"/>
        <v>-7.0339345035584744</v>
      </c>
      <c r="Q1162" s="3">
        <f t="shared" ca="1" si="140"/>
        <v>-1.10981198059049</v>
      </c>
      <c r="R1162" s="3">
        <f t="shared" ca="1" si="141"/>
        <v>7.1209491805947183</v>
      </c>
    </row>
    <row r="1163" spans="7:18" x14ac:dyDescent="0.25">
      <c r="G1163" s="2">
        <f t="shared" ca="1" si="135"/>
        <v>0.73573052231131242</v>
      </c>
      <c r="H1163" s="3">
        <f t="shared" ca="1" si="136"/>
        <v>1</v>
      </c>
      <c r="I1163" s="3">
        <f t="shared" ca="1" si="137"/>
        <v>4.6324414950725785</v>
      </c>
      <c r="J1163" s="3">
        <f t="shared" ca="1" si="138"/>
        <v>10.761553669280959</v>
      </c>
      <c r="P1163" s="3">
        <f t="shared" ca="1" si="139"/>
        <v>-5.0827760956170458</v>
      </c>
      <c r="Q1163" s="3">
        <f t="shared" ca="1" si="140"/>
        <v>-6.6743001219461098</v>
      </c>
      <c r="R1163" s="3">
        <f t="shared" ca="1" si="141"/>
        <v>8.389332211564037</v>
      </c>
    </row>
    <row r="1164" spans="7:18" x14ac:dyDescent="0.25">
      <c r="G1164" s="2">
        <f t="shared" ca="1" si="135"/>
        <v>0.54338992766211736</v>
      </c>
      <c r="H1164" s="3">
        <f t="shared" ca="1" si="136"/>
        <v>0</v>
      </c>
      <c r="I1164" s="3">
        <f t="shared" ca="1" si="137"/>
        <v>2.6070975873909727</v>
      </c>
      <c r="J1164" s="3">
        <f t="shared" ca="1" si="138"/>
        <v>8.073254590608073</v>
      </c>
      <c r="P1164" s="3">
        <f t="shared" ca="1" si="139"/>
        <v>-7.6143499059318831</v>
      </c>
      <c r="Q1164" s="3">
        <f t="shared" ca="1" si="140"/>
        <v>10.007239245493986</v>
      </c>
      <c r="R1164" s="3">
        <f t="shared" ca="1" si="141"/>
        <v>12.5747032492429</v>
      </c>
    </row>
    <row r="1165" spans="7:18" x14ac:dyDescent="0.25">
      <c r="G1165" s="2">
        <f t="shared" ca="1" si="135"/>
        <v>0.66453329762201252</v>
      </c>
      <c r="H1165" s="3">
        <f t="shared" ca="1" si="136"/>
        <v>1</v>
      </c>
      <c r="I1165" s="3">
        <f t="shared" ca="1" si="137"/>
        <v>1.4110114671906819</v>
      </c>
      <c r="J1165" s="3">
        <f t="shared" ca="1" si="138"/>
        <v>5.9393001843455471</v>
      </c>
      <c r="P1165" s="3">
        <f t="shared" ca="1" si="139"/>
        <v>-6.5007148886447457</v>
      </c>
      <c r="Q1165" s="3">
        <f t="shared" ca="1" si="140"/>
        <v>2.4936726168610952</v>
      </c>
      <c r="R1165" s="3">
        <f t="shared" ca="1" si="141"/>
        <v>6.962592705560934</v>
      </c>
    </row>
    <row r="1166" spans="7:18" x14ac:dyDescent="0.25">
      <c r="G1166" s="2">
        <f t="shared" ca="1" si="135"/>
        <v>0.13813975220602637</v>
      </c>
      <c r="H1166" s="3">
        <f t="shared" ca="1" si="136"/>
        <v>0</v>
      </c>
      <c r="I1166" s="3">
        <f t="shared" ca="1" si="137"/>
        <v>1.3664424776933108</v>
      </c>
      <c r="J1166" s="3">
        <f t="shared" ca="1" si="138"/>
        <v>5.8447465250712769</v>
      </c>
      <c r="P1166" s="3">
        <f t="shared" ca="1" si="139"/>
        <v>-6.3701457007633966</v>
      </c>
      <c r="Q1166" s="3">
        <f t="shared" ca="1" si="140"/>
        <v>6.2409062289582833</v>
      </c>
      <c r="R1166" s="3">
        <f t="shared" ca="1" si="141"/>
        <v>8.9178285926342333</v>
      </c>
    </row>
    <row r="1167" spans="7:18" x14ac:dyDescent="0.25">
      <c r="G1167" s="2">
        <f t="shared" ca="1" si="135"/>
        <v>0.60473665071426486</v>
      </c>
      <c r="H1167" s="3">
        <f t="shared" ca="1" si="136"/>
        <v>0</v>
      </c>
      <c r="I1167" s="3">
        <f t="shared" ca="1" si="137"/>
        <v>0.92261324787614651</v>
      </c>
      <c r="J1167" s="3">
        <f t="shared" ca="1" si="138"/>
        <v>4.8026379414758784</v>
      </c>
      <c r="P1167" s="3">
        <f t="shared" ca="1" si="139"/>
        <v>-11.957582959314777</v>
      </c>
      <c r="Q1167" s="3">
        <f t="shared" ca="1" si="140"/>
        <v>2.961252795608158</v>
      </c>
      <c r="R1167" s="3">
        <f t="shared" ca="1" si="141"/>
        <v>12.318798981572526</v>
      </c>
    </row>
    <row r="1168" spans="7:18" x14ac:dyDescent="0.25">
      <c r="G1168" s="2">
        <f t="shared" ca="1" si="135"/>
        <v>0.25831378861509269</v>
      </c>
      <c r="H1168" s="3">
        <f t="shared" ca="1" si="136"/>
        <v>0</v>
      </c>
      <c r="I1168" s="3">
        <f t="shared" ca="1" si="137"/>
        <v>2.4845693296943803</v>
      </c>
      <c r="J1168" s="3">
        <f t="shared" ca="1" si="138"/>
        <v>7.8812583539914174</v>
      </c>
      <c r="P1168" s="3">
        <f t="shared" ca="1" si="139"/>
        <v>12.885473478673607</v>
      </c>
      <c r="Q1168" s="3">
        <f t="shared" ca="1" si="140"/>
        <v>-3.5709620269267135</v>
      </c>
      <c r="R1168" s="3">
        <f t="shared" ca="1" si="141"/>
        <v>13.37113295750788</v>
      </c>
    </row>
    <row r="1169" spans="7:18" x14ac:dyDescent="0.25">
      <c r="G1169" s="2">
        <f t="shared" ca="1" si="135"/>
        <v>0.36804794763852111</v>
      </c>
      <c r="H1169" s="3">
        <f t="shared" ca="1" si="136"/>
        <v>0</v>
      </c>
      <c r="I1169" s="3">
        <f t="shared" ca="1" si="137"/>
        <v>1.6486001557570094</v>
      </c>
      <c r="J1169" s="3">
        <f t="shared" ca="1" si="138"/>
        <v>6.4198912680765261</v>
      </c>
      <c r="P1169" s="3">
        <f t="shared" ca="1" si="139"/>
        <v>-2.331839071103865</v>
      </c>
      <c r="Q1169" s="3">
        <f t="shared" ca="1" si="140"/>
        <v>-5.4156160349206237</v>
      </c>
      <c r="R1169" s="3">
        <f t="shared" ca="1" si="141"/>
        <v>5.8963014247251566</v>
      </c>
    </row>
    <row r="1170" spans="7:18" x14ac:dyDescent="0.25">
      <c r="G1170" s="2">
        <f t="shared" ca="1" si="135"/>
        <v>0.49042832467648079</v>
      </c>
      <c r="H1170" s="3">
        <f t="shared" ca="1" si="136"/>
        <v>0</v>
      </c>
      <c r="I1170" s="3">
        <f t="shared" ca="1" si="137"/>
        <v>0.16388819610428865</v>
      </c>
      <c r="J1170" s="3">
        <f t="shared" ca="1" si="138"/>
        <v>2.0241553553537379</v>
      </c>
      <c r="P1170" s="3">
        <f t="shared" ca="1" si="139"/>
        <v>-7.4549658443464466</v>
      </c>
      <c r="Q1170" s="3">
        <f t="shared" ca="1" si="140"/>
        <v>-3.998251062548265</v>
      </c>
      <c r="R1170" s="3">
        <f t="shared" ca="1" si="141"/>
        <v>8.4594637713947609</v>
      </c>
    </row>
    <row r="1171" spans="7:18" x14ac:dyDescent="0.25">
      <c r="G1171" s="2">
        <f t="shared" ca="1" si="135"/>
        <v>0.23942683366143613</v>
      </c>
      <c r="H1171" s="3">
        <f t="shared" ca="1" si="136"/>
        <v>0</v>
      </c>
      <c r="I1171" s="3">
        <f t="shared" ca="1" si="137"/>
        <v>0.13069344698743615</v>
      </c>
      <c r="J1171" s="3">
        <f t="shared" ca="1" si="138"/>
        <v>1.807577432556045</v>
      </c>
      <c r="P1171" s="3">
        <f t="shared" ca="1" si="139"/>
        <v>-1.09897596374207</v>
      </c>
      <c r="Q1171" s="3">
        <f t="shared" ca="1" si="140"/>
        <v>3.6228089929996319</v>
      </c>
      <c r="R1171" s="3">
        <f t="shared" ca="1" si="141"/>
        <v>3.785827937009528</v>
      </c>
    </row>
    <row r="1172" spans="7:18" x14ac:dyDescent="0.25">
      <c r="G1172" s="2">
        <f t="shared" ca="1" si="135"/>
        <v>7.0145746272176623E-5</v>
      </c>
      <c r="H1172" s="3">
        <f t="shared" ca="1" si="136"/>
        <v>0</v>
      </c>
      <c r="I1172" s="3">
        <f t="shared" ca="1" si="137"/>
        <v>5.9557523365575147</v>
      </c>
      <c r="J1172" s="3">
        <f t="shared" ca="1" si="138"/>
        <v>12.202205063591494</v>
      </c>
      <c r="P1172" s="3">
        <f t="shared" ca="1" si="139"/>
        <v>-8.4561747583156901</v>
      </c>
      <c r="Q1172" s="3">
        <f t="shared" ca="1" si="140"/>
        <v>8.2626797835693946</v>
      </c>
      <c r="R1172" s="3">
        <f t="shared" ca="1" si="141"/>
        <v>11.822807143355668</v>
      </c>
    </row>
    <row r="1173" spans="7:18" x14ac:dyDescent="0.25">
      <c r="G1173" s="2">
        <f t="shared" ca="1" si="135"/>
        <v>0.94927835625215862</v>
      </c>
      <c r="H1173" s="3">
        <f t="shared" ca="1" si="136"/>
        <v>2</v>
      </c>
      <c r="I1173" s="3">
        <f t="shared" ca="1" si="137"/>
        <v>4.0194338678917578</v>
      </c>
      <c r="J1173" s="3">
        <f t="shared" ca="1" si="138"/>
        <v>10.024262900447791</v>
      </c>
      <c r="P1173" s="3">
        <f t="shared" ca="1" si="139"/>
        <v>-8.577708720078574</v>
      </c>
      <c r="Q1173" s="3">
        <f t="shared" ca="1" si="140"/>
        <v>4.3734040410711001</v>
      </c>
      <c r="R1173" s="3">
        <f t="shared" ca="1" si="141"/>
        <v>9.6282786516058536</v>
      </c>
    </row>
    <row r="1174" spans="7:18" x14ac:dyDescent="0.25">
      <c r="G1174" s="2">
        <f t="shared" ca="1" si="135"/>
        <v>0.1903095366027393</v>
      </c>
      <c r="H1174" s="3">
        <f t="shared" ca="1" si="136"/>
        <v>0</v>
      </c>
      <c r="I1174" s="3">
        <f t="shared" ca="1" si="137"/>
        <v>0.32600647983342562</v>
      </c>
      <c r="J1174" s="3">
        <f t="shared" ca="1" si="138"/>
        <v>2.8548488569161834</v>
      </c>
      <c r="P1174" s="3">
        <f t="shared" ca="1" si="139"/>
        <v>-9.4705632360976537</v>
      </c>
      <c r="Q1174" s="3">
        <f t="shared" ca="1" si="140"/>
        <v>-7.135887656004698</v>
      </c>
      <c r="R1174" s="3">
        <f t="shared" ca="1" si="141"/>
        <v>11.858012508344082</v>
      </c>
    </row>
    <row r="1175" spans="7:18" x14ac:dyDescent="0.25">
      <c r="G1175" s="2">
        <f t="shared" ca="1" si="135"/>
        <v>0.57399639910506428</v>
      </c>
      <c r="H1175" s="3">
        <f t="shared" ca="1" si="136"/>
        <v>0</v>
      </c>
      <c r="I1175" s="3">
        <f t="shared" ca="1" si="137"/>
        <v>7.7810413819140978</v>
      </c>
      <c r="J1175" s="3">
        <f t="shared" ca="1" si="138"/>
        <v>13.947259033510937</v>
      </c>
      <c r="P1175" s="3">
        <f t="shared" ca="1" si="139"/>
        <v>-3.0403879535746396</v>
      </c>
      <c r="Q1175" s="3">
        <f t="shared" ca="1" si="140"/>
        <v>10.388300698418593</v>
      </c>
      <c r="R1175" s="3">
        <f t="shared" ca="1" si="141"/>
        <v>10.824081961487821</v>
      </c>
    </row>
    <row r="1176" spans="7:18" x14ac:dyDescent="0.25">
      <c r="G1176" s="2">
        <f t="shared" ca="1" si="135"/>
        <v>0.81719875466174285</v>
      </c>
      <c r="H1176" s="3">
        <f t="shared" ca="1" si="136"/>
        <v>1</v>
      </c>
      <c r="I1176" s="3">
        <f t="shared" ca="1" si="137"/>
        <v>0.90365399811221747</v>
      </c>
      <c r="J1176" s="3">
        <f t="shared" ca="1" si="138"/>
        <v>4.7530358669807491</v>
      </c>
      <c r="P1176" s="3">
        <f t="shared" ca="1" si="139"/>
        <v>-8.1744651420539469</v>
      </c>
      <c r="Q1176" s="3">
        <f t="shared" ca="1" si="140"/>
        <v>4.9680003440964313</v>
      </c>
      <c r="R1176" s="3">
        <f t="shared" ca="1" si="141"/>
        <v>9.5657152256168132</v>
      </c>
    </row>
    <row r="1177" spans="7:18" x14ac:dyDescent="0.25">
      <c r="G1177" s="2">
        <f t="shared" ca="1" si="135"/>
        <v>0.97327423706577687</v>
      </c>
      <c r="H1177" s="3">
        <f t="shared" ca="1" si="136"/>
        <v>2</v>
      </c>
      <c r="I1177" s="3">
        <f t="shared" ca="1" si="137"/>
        <v>3.6975145590359979</v>
      </c>
      <c r="J1177" s="3">
        <f t="shared" ca="1" si="138"/>
        <v>9.6144611900979644</v>
      </c>
      <c r="P1177" s="3">
        <f t="shared" ca="1" si="139"/>
        <v>2.8566364920826581</v>
      </c>
      <c r="Q1177" s="3">
        <f t="shared" ca="1" si="140"/>
        <v>-6.3944298752424427</v>
      </c>
      <c r="R1177" s="3">
        <f t="shared" ca="1" si="141"/>
        <v>7.0035066557611971</v>
      </c>
    </row>
    <row r="1178" spans="7:18" x14ac:dyDescent="0.25">
      <c r="G1178" s="2">
        <f t="shared" ca="1" si="135"/>
        <v>4.8767621854864718E-2</v>
      </c>
      <c r="H1178" s="3">
        <f t="shared" ca="1" si="136"/>
        <v>0</v>
      </c>
      <c r="I1178" s="3">
        <f t="shared" ca="1" si="137"/>
        <v>4.5356958056235559</v>
      </c>
      <c r="J1178" s="3">
        <f t="shared" ca="1" si="138"/>
        <v>10.64858653252106</v>
      </c>
      <c r="P1178" s="3">
        <f t="shared" ca="1" si="139"/>
        <v>-8.7077148114676888</v>
      </c>
      <c r="Q1178" s="3">
        <f t="shared" ca="1" si="140"/>
        <v>3.2460098691587631</v>
      </c>
      <c r="R1178" s="3">
        <f t="shared" ca="1" si="141"/>
        <v>9.2930553268841489</v>
      </c>
    </row>
    <row r="1179" spans="7:18" x14ac:dyDescent="0.25">
      <c r="G1179" s="2">
        <f t="shared" ca="1" si="135"/>
        <v>0.5192350301489087</v>
      </c>
      <c r="H1179" s="3">
        <f t="shared" ca="1" si="136"/>
        <v>0</v>
      </c>
      <c r="I1179" s="3">
        <f t="shared" ca="1" si="137"/>
        <v>2.9298024629404271E-2</v>
      </c>
      <c r="J1179" s="3">
        <f t="shared" ca="1" si="138"/>
        <v>0.85583328734929842</v>
      </c>
      <c r="P1179" s="3">
        <f t="shared" ca="1" si="139"/>
        <v>-9.9518218094247803</v>
      </c>
      <c r="Q1179" s="3">
        <f t="shared" ca="1" si="140"/>
        <v>2.2348723008148887</v>
      </c>
      <c r="R1179" s="3">
        <f t="shared" ca="1" si="141"/>
        <v>10.199677030548191</v>
      </c>
    </row>
    <row r="1180" spans="7:18" x14ac:dyDescent="0.25">
      <c r="G1180" s="2">
        <f t="shared" ca="1" si="135"/>
        <v>0.29516594937454121</v>
      </c>
      <c r="H1180" s="3">
        <f t="shared" ca="1" si="136"/>
        <v>0</v>
      </c>
      <c r="I1180" s="3">
        <f t="shared" ca="1" si="137"/>
        <v>1.7518358046108113</v>
      </c>
      <c r="J1180" s="3">
        <f t="shared" ca="1" si="138"/>
        <v>6.6178467128870766</v>
      </c>
      <c r="P1180" s="3">
        <f t="shared" ca="1" si="139"/>
        <v>-3.4634119074171696</v>
      </c>
      <c r="Q1180" s="3">
        <f t="shared" ca="1" si="140"/>
        <v>6.0105813362532947</v>
      </c>
      <c r="R1180" s="3">
        <f t="shared" ca="1" si="141"/>
        <v>6.9370245811987346</v>
      </c>
    </row>
    <row r="1181" spans="7:18" x14ac:dyDescent="0.25">
      <c r="G1181" s="2">
        <f t="shared" ca="1" si="135"/>
        <v>0.7391343242282119</v>
      </c>
      <c r="H1181" s="3">
        <f t="shared" ca="1" si="136"/>
        <v>1</v>
      </c>
      <c r="I1181" s="3">
        <f t="shared" ca="1" si="137"/>
        <v>1.8628707217424112</v>
      </c>
      <c r="J1181" s="3">
        <f t="shared" ca="1" si="138"/>
        <v>6.8243511078754064</v>
      </c>
      <c r="P1181" s="3">
        <f t="shared" ca="1" si="139"/>
        <v>-3.5108715930584085</v>
      </c>
      <c r="Q1181" s="3">
        <f t="shared" ca="1" si="140"/>
        <v>-1.5143828455429227</v>
      </c>
      <c r="R1181" s="3">
        <f t="shared" ca="1" si="141"/>
        <v>3.8235552494790981</v>
      </c>
    </row>
    <row r="1182" spans="7:18" x14ac:dyDescent="0.25">
      <c r="G1182" s="2">
        <f t="shared" ca="1" si="135"/>
        <v>0.5704206669672639</v>
      </c>
      <c r="H1182" s="3">
        <f t="shared" ca="1" si="136"/>
        <v>0</v>
      </c>
      <c r="I1182" s="3">
        <f t="shared" ca="1" si="137"/>
        <v>1.6132345032244471</v>
      </c>
      <c r="J1182" s="3">
        <f t="shared" ca="1" si="138"/>
        <v>6.350658436777338</v>
      </c>
      <c r="P1182" s="3">
        <f t="shared" ca="1" si="139"/>
        <v>-10.272495107078594</v>
      </c>
      <c r="Q1182" s="3">
        <f t="shared" ca="1" si="140"/>
        <v>1.5169022155145251</v>
      </c>
      <c r="R1182" s="3">
        <f t="shared" ca="1" si="141"/>
        <v>10.38388886960885</v>
      </c>
    </row>
    <row r="1183" spans="7:18" x14ac:dyDescent="0.25">
      <c r="G1183" s="2">
        <f t="shared" ca="1" si="135"/>
        <v>0.3002767089011591</v>
      </c>
      <c r="H1183" s="3">
        <f t="shared" ca="1" si="136"/>
        <v>0</v>
      </c>
      <c r="I1183" s="3">
        <f t="shared" ca="1" si="137"/>
        <v>0.79631681702806101</v>
      </c>
      <c r="J1183" s="3">
        <f t="shared" ca="1" si="138"/>
        <v>4.4618292689996029</v>
      </c>
      <c r="P1183" s="3">
        <f t="shared" ca="1" si="139"/>
        <v>-1.7566743201776314</v>
      </c>
      <c r="Q1183" s="3">
        <f t="shared" ca="1" si="140"/>
        <v>-6.7147048211152986</v>
      </c>
      <c r="R1183" s="3">
        <f t="shared" ca="1" si="141"/>
        <v>6.9406891229819951</v>
      </c>
    </row>
    <row r="1184" spans="7:18" x14ac:dyDescent="0.25">
      <c r="G1184" s="2">
        <f t="shared" ca="1" si="135"/>
        <v>0.36690396252847035</v>
      </c>
      <c r="H1184" s="3">
        <f t="shared" ca="1" si="136"/>
        <v>0</v>
      </c>
      <c r="I1184" s="3">
        <f t="shared" ca="1" si="137"/>
        <v>0.14647984399760011</v>
      </c>
      <c r="J1184" s="3">
        <f t="shared" ca="1" si="138"/>
        <v>1.9136342649367466</v>
      </c>
      <c r="P1184" s="3">
        <f t="shared" ca="1" si="139"/>
        <v>-3.7108357928362379</v>
      </c>
      <c r="Q1184" s="3">
        <f t="shared" ca="1" si="140"/>
        <v>3.3507136918445344</v>
      </c>
      <c r="R1184" s="3">
        <f t="shared" ca="1" si="141"/>
        <v>4.9997584467761023</v>
      </c>
    </row>
    <row r="1185" spans="7:18" x14ac:dyDescent="0.25">
      <c r="G1185" s="2">
        <f t="shared" ca="1" si="135"/>
        <v>0.57744115216510117</v>
      </c>
      <c r="H1185" s="3">
        <f t="shared" ca="1" si="136"/>
        <v>0</v>
      </c>
      <c r="I1185" s="3">
        <f t="shared" ca="1" si="137"/>
        <v>1.1825507595737987</v>
      </c>
      <c r="J1185" s="3">
        <f t="shared" ca="1" si="138"/>
        <v>5.4372574878650877</v>
      </c>
      <c r="P1185" s="3">
        <f t="shared" ca="1" si="139"/>
        <v>-2.911216945189397</v>
      </c>
      <c r="Q1185" s="3">
        <f t="shared" ca="1" si="140"/>
        <v>2.0481218233228393</v>
      </c>
      <c r="R1185" s="3">
        <f t="shared" ca="1" si="141"/>
        <v>3.559492534776433</v>
      </c>
    </row>
    <row r="1186" spans="7:18" x14ac:dyDescent="0.25">
      <c r="G1186" s="2">
        <f t="shared" ca="1" si="135"/>
        <v>0.40305213427344044</v>
      </c>
      <c r="H1186" s="3">
        <f t="shared" ca="1" si="136"/>
        <v>0</v>
      </c>
      <c r="I1186" s="3">
        <f t="shared" ca="1" si="137"/>
        <v>2.1389765787102495</v>
      </c>
      <c r="J1186" s="3">
        <f t="shared" ca="1" si="138"/>
        <v>7.3126202190293075</v>
      </c>
      <c r="P1186" s="3">
        <f t="shared" ca="1" si="139"/>
        <v>-6.4359020305317163</v>
      </c>
      <c r="Q1186" s="3">
        <f t="shared" ca="1" si="140"/>
        <v>-5.5388117002903572</v>
      </c>
      <c r="R1186" s="3">
        <f t="shared" ca="1" si="141"/>
        <v>8.4911289000859966</v>
      </c>
    </row>
    <row r="1187" spans="7:18" x14ac:dyDescent="0.25">
      <c r="G1187" s="2">
        <f t="shared" ca="1" si="135"/>
        <v>0.54272472645892211</v>
      </c>
      <c r="H1187" s="3">
        <f t="shared" ca="1" si="136"/>
        <v>0</v>
      </c>
      <c r="I1187" s="3">
        <f t="shared" ca="1" si="137"/>
        <v>8.2249700195953249E-2</v>
      </c>
      <c r="J1187" s="3">
        <f t="shared" ca="1" si="138"/>
        <v>1.4339604265455972</v>
      </c>
      <c r="P1187" s="3">
        <f t="shared" ca="1" si="139"/>
        <v>-6.6650044346874848</v>
      </c>
      <c r="Q1187" s="3">
        <f t="shared" ca="1" si="140"/>
        <v>7.112404077277148</v>
      </c>
      <c r="R1187" s="3">
        <f t="shared" ca="1" si="141"/>
        <v>9.7472342678768342</v>
      </c>
    </row>
    <row r="1188" spans="7:18" x14ac:dyDescent="0.25">
      <c r="G1188" s="2">
        <f t="shared" ca="1" si="135"/>
        <v>0.17221229578371422</v>
      </c>
      <c r="H1188" s="3">
        <f t="shared" ca="1" si="136"/>
        <v>0</v>
      </c>
      <c r="I1188" s="3">
        <f t="shared" ca="1" si="137"/>
        <v>2.6131439431390149</v>
      </c>
      <c r="J1188" s="3">
        <f t="shared" ca="1" si="138"/>
        <v>8.0826108763490137</v>
      </c>
      <c r="P1188" s="3">
        <f t="shared" ca="1" si="139"/>
        <v>1.9951669029189247</v>
      </c>
      <c r="Q1188" s="3">
        <f t="shared" ca="1" si="140"/>
        <v>-1.6593951145756811</v>
      </c>
      <c r="R1188" s="3">
        <f t="shared" ca="1" si="141"/>
        <v>2.5950497330071984</v>
      </c>
    </row>
    <row r="1189" spans="7:18" x14ac:dyDescent="0.25">
      <c r="G1189" s="2">
        <f t="shared" ca="1" si="135"/>
        <v>0.2023875191429203</v>
      </c>
      <c r="H1189" s="3">
        <f t="shared" ca="1" si="136"/>
        <v>0</v>
      </c>
      <c r="I1189" s="3">
        <f t="shared" ca="1" si="137"/>
        <v>3.5727728755424413</v>
      </c>
      <c r="J1189" s="3">
        <f t="shared" ca="1" si="138"/>
        <v>9.4508900051032771</v>
      </c>
      <c r="P1189" s="3">
        <f t="shared" ca="1" si="139"/>
        <v>7.2810543058047017E-2</v>
      </c>
      <c r="Q1189" s="3">
        <f t="shared" ca="1" si="140"/>
        <v>-8.0156385478965593</v>
      </c>
      <c r="R1189" s="3">
        <f t="shared" ca="1" si="141"/>
        <v>8.0159692305862595</v>
      </c>
    </row>
    <row r="1190" spans="7:18" x14ac:dyDescent="0.25">
      <c r="G1190" s="2">
        <f t="shared" ca="1" si="135"/>
        <v>0.55663222658580624</v>
      </c>
      <c r="H1190" s="3">
        <f t="shared" ca="1" si="136"/>
        <v>0</v>
      </c>
      <c r="I1190" s="3">
        <f t="shared" ca="1" si="137"/>
        <v>2.3414891997296405</v>
      </c>
      <c r="J1190" s="3">
        <f t="shared" ca="1" si="138"/>
        <v>7.6509626840836837</v>
      </c>
      <c r="P1190" s="3">
        <f t="shared" ca="1" si="139"/>
        <v>-17.265784554699479</v>
      </c>
      <c r="Q1190" s="3">
        <f t="shared" ca="1" si="140"/>
        <v>-3.6966050356518201</v>
      </c>
      <c r="R1190" s="3">
        <f t="shared" ca="1" si="141"/>
        <v>17.65707238131241</v>
      </c>
    </row>
    <row r="1191" spans="7:18" x14ac:dyDescent="0.25">
      <c r="G1191" s="2">
        <f t="shared" ca="1" si="135"/>
        <v>0.48760103871895055</v>
      </c>
      <c r="H1191" s="3">
        <f t="shared" ca="1" si="136"/>
        <v>0</v>
      </c>
      <c r="I1191" s="3">
        <f t="shared" ca="1" si="137"/>
        <v>0.77900656982604322</v>
      </c>
      <c r="J1191" s="3">
        <f t="shared" ca="1" si="138"/>
        <v>4.4130674417746079</v>
      </c>
      <c r="P1191" s="3">
        <f t="shared" ca="1" si="139"/>
        <v>-10.423298936171458</v>
      </c>
      <c r="Q1191" s="3">
        <f t="shared" ca="1" si="140"/>
        <v>-2.9726809706357522</v>
      </c>
      <c r="R1191" s="3">
        <f t="shared" ca="1" si="141"/>
        <v>10.838911055358512</v>
      </c>
    </row>
    <row r="1192" spans="7:18" x14ac:dyDescent="0.25">
      <c r="G1192" s="2">
        <f t="shared" ca="1" si="135"/>
        <v>3.6886054511580113E-2</v>
      </c>
      <c r="H1192" s="3">
        <f t="shared" ca="1" si="136"/>
        <v>0</v>
      </c>
      <c r="I1192" s="3">
        <f t="shared" ca="1" si="137"/>
        <v>1.6885441599562101</v>
      </c>
      <c r="J1192" s="3">
        <f t="shared" ca="1" si="138"/>
        <v>6.4971997044038332</v>
      </c>
      <c r="P1192" s="3">
        <f t="shared" ca="1" si="139"/>
        <v>-10.787372576181223</v>
      </c>
      <c r="Q1192" s="3">
        <f t="shared" ca="1" si="140"/>
        <v>2.7478252115037969</v>
      </c>
      <c r="R1192" s="3">
        <f t="shared" ca="1" si="141"/>
        <v>11.131843984278731</v>
      </c>
    </row>
    <row r="1193" spans="7:18" x14ac:dyDescent="0.25">
      <c r="G1193" s="2">
        <f t="shared" ca="1" si="135"/>
        <v>3.9243817380995694E-2</v>
      </c>
      <c r="H1193" s="3">
        <f t="shared" ca="1" si="136"/>
        <v>0</v>
      </c>
      <c r="I1193" s="3">
        <f t="shared" ca="1" si="137"/>
        <v>1.6655584492240241</v>
      </c>
      <c r="J1193" s="3">
        <f t="shared" ca="1" si="138"/>
        <v>6.4528258329665622</v>
      </c>
      <c r="P1193" s="3">
        <f t="shared" ca="1" si="139"/>
        <v>0.280685112404365</v>
      </c>
      <c r="Q1193" s="3">
        <f t="shared" ca="1" si="140"/>
        <v>1.094417779896957</v>
      </c>
      <c r="R1193" s="3">
        <f t="shared" ca="1" si="141"/>
        <v>1.1298382226142092</v>
      </c>
    </row>
    <row r="1194" spans="7:18" x14ac:dyDescent="0.25">
      <c r="G1194" s="2">
        <f t="shared" ca="1" si="135"/>
        <v>0.42749197473796008</v>
      </c>
      <c r="H1194" s="3">
        <f t="shared" ca="1" si="136"/>
        <v>0</v>
      </c>
      <c r="I1194" s="3">
        <f t="shared" ca="1" si="137"/>
        <v>7.8041573161720737E-2</v>
      </c>
      <c r="J1194" s="3">
        <f t="shared" ca="1" si="138"/>
        <v>1.3967960942968798</v>
      </c>
      <c r="P1194" s="3">
        <f t="shared" ca="1" si="139"/>
        <v>-1.6148567871597534</v>
      </c>
      <c r="Q1194" s="3">
        <f t="shared" ca="1" si="140"/>
        <v>-0.5348794508216701</v>
      </c>
      <c r="R1194" s="3">
        <f t="shared" ca="1" si="141"/>
        <v>1.7011344655691427</v>
      </c>
    </row>
    <row r="1195" spans="7:18" x14ac:dyDescent="0.25">
      <c r="G1195" s="2">
        <f t="shared" ca="1" si="135"/>
        <v>0.89154547879838875</v>
      </c>
      <c r="H1195" s="3">
        <f t="shared" ca="1" si="136"/>
        <v>1</v>
      </c>
      <c r="I1195" s="3">
        <f t="shared" ca="1" si="137"/>
        <v>4.0954010805037031</v>
      </c>
      <c r="J1195" s="3">
        <f t="shared" ca="1" si="138"/>
        <v>10.118548661373952</v>
      </c>
      <c r="P1195" s="3">
        <f t="shared" ca="1" si="139"/>
        <v>2.0808038733618819</v>
      </c>
      <c r="Q1195" s="3">
        <f t="shared" ca="1" si="140"/>
        <v>-0.74994000691243345</v>
      </c>
      <c r="R1195" s="3">
        <f t="shared" ca="1" si="141"/>
        <v>2.211821596188452</v>
      </c>
    </row>
    <row r="1196" spans="7:18" x14ac:dyDescent="0.25">
      <c r="G1196" s="2">
        <f t="shared" ca="1" si="135"/>
        <v>0.66424543871925057</v>
      </c>
      <c r="H1196" s="3">
        <f t="shared" ca="1" si="136"/>
        <v>1</v>
      </c>
      <c r="I1196" s="3">
        <f t="shared" ca="1" si="137"/>
        <v>2.574716148067842</v>
      </c>
      <c r="J1196" s="3">
        <f t="shared" ca="1" si="138"/>
        <v>8.0229610307975481</v>
      </c>
      <c r="P1196" s="3">
        <f t="shared" ca="1" si="139"/>
        <v>-2.164147156411687</v>
      </c>
      <c r="Q1196" s="3">
        <f t="shared" ca="1" si="140"/>
        <v>6.5648425042104286</v>
      </c>
      <c r="R1196" s="3">
        <f t="shared" ca="1" si="141"/>
        <v>6.9123577757298298</v>
      </c>
    </row>
    <row r="1197" spans="7:18" x14ac:dyDescent="0.25">
      <c r="G1197" s="2">
        <f t="shared" ca="1" si="135"/>
        <v>0.86788997190056583</v>
      </c>
      <c r="H1197" s="3">
        <f t="shared" ca="1" si="136"/>
        <v>1</v>
      </c>
      <c r="I1197" s="3">
        <f t="shared" ca="1" si="137"/>
        <v>2.5899330707361163</v>
      </c>
      <c r="J1197" s="3">
        <f t="shared" ca="1" si="138"/>
        <v>8.0466344994912564</v>
      </c>
      <c r="P1197" s="3">
        <f t="shared" ca="1" si="139"/>
        <v>-1.3997963931505257</v>
      </c>
      <c r="Q1197" s="3">
        <f t="shared" ca="1" si="140"/>
        <v>-3.6051064459243167</v>
      </c>
      <c r="R1197" s="3">
        <f t="shared" ca="1" si="141"/>
        <v>3.8673275564299283</v>
      </c>
    </row>
    <row r="1198" spans="7:18" x14ac:dyDescent="0.25">
      <c r="G1198" s="2">
        <f t="shared" ca="1" si="135"/>
        <v>0.54738032426276173</v>
      </c>
      <c r="H1198" s="3">
        <f t="shared" ca="1" si="136"/>
        <v>0</v>
      </c>
      <c r="I1198" s="3">
        <f t="shared" ca="1" si="137"/>
        <v>8.2045474019046463</v>
      </c>
      <c r="J1198" s="3">
        <f t="shared" ca="1" si="138"/>
        <v>14.321790567090979</v>
      </c>
      <c r="P1198" s="3">
        <f t="shared" ca="1" si="139"/>
        <v>-10.456045515805322</v>
      </c>
      <c r="Q1198" s="3">
        <f t="shared" ca="1" si="140"/>
        <v>-6.8345293327516945</v>
      </c>
      <c r="R1198" s="3">
        <f t="shared" ca="1" si="141"/>
        <v>12.49158432821217</v>
      </c>
    </row>
    <row r="1199" spans="7:18" x14ac:dyDescent="0.25">
      <c r="G1199" s="2">
        <f t="shared" ca="1" si="135"/>
        <v>0.64637085651317738</v>
      </c>
      <c r="H1199" s="3">
        <f t="shared" ca="1" si="136"/>
        <v>1</v>
      </c>
      <c r="I1199" s="3">
        <f t="shared" ca="1" si="137"/>
        <v>3.5181890178514617</v>
      </c>
      <c r="J1199" s="3">
        <f t="shared" ca="1" si="138"/>
        <v>9.3784180673654411</v>
      </c>
      <c r="P1199" s="3">
        <f t="shared" ca="1" si="139"/>
        <v>-0.39323941776435145</v>
      </c>
      <c r="Q1199" s="3">
        <f t="shared" ca="1" si="140"/>
        <v>9.4423545010332496E-2</v>
      </c>
      <c r="R1199" s="3">
        <f t="shared" ca="1" si="141"/>
        <v>0.40441692043726907</v>
      </c>
    </row>
    <row r="1200" spans="7:18" x14ac:dyDescent="0.25">
      <c r="G1200" s="2">
        <f t="shared" ca="1" si="135"/>
        <v>0.57220707583425279</v>
      </c>
      <c r="H1200" s="3">
        <f t="shared" ca="1" si="136"/>
        <v>0</v>
      </c>
      <c r="I1200" s="3">
        <f t="shared" ca="1" si="137"/>
        <v>0.31109195799079453</v>
      </c>
      <c r="J1200" s="3">
        <f t="shared" ca="1" si="138"/>
        <v>2.7887809074521908</v>
      </c>
      <c r="P1200" s="3">
        <f t="shared" ca="1" si="139"/>
        <v>0.27102215955788012</v>
      </c>
      <c r="Q1200" s="3">
        <f t="shared" ca="1" si="140"/>
        <v>0.25696563904593067</v>
      </c>
      <c r="R1200" s="3">
        <f t="shared" ca="1" si="141"/>
        <v>0.37347603754685593</v>
      </c>
    </row>
    <row r="1201" spans="7:18" x14ac:dyDescent="0.25">
      <c r="G1201" s="2">
        <f t="shared" ca="1" si="135"/>
        <v>0.9695387013738449</v>
      </c>
      <c r="H1201" s="3">
        <f t="shared" ca="1" si="136"/>
        <v>2</v>
      </c>
      <c r="I1201" s="3">
        <f t="shared" ca="1" si="137"/>
        <v>1.1066589234591644</v>
      </c>
      <c r="J1201" s="3">
        <f t="shared" ca="1" si="138"/>
        <v>5.2598928778520868</v>
      </c>
      <c r="P1201" s="3">
        <f t="shared" ca="1" si="139"/>
        <v>-0.32892266443333185</v>
      </c>
      <c r="Q1201" s="3">
        <f t="shared" ca="1" si="140"/>
        <v>-6.5564223517970897</v>
      </c>
      <c r="R1201" s="3">
        <f t="shared" ca="1" si="141"/>
        <v>6.5646678647378955</v>
      </c>
    </row>
    <row r="1202" spans="7:18" x14ac:dyDescent="0.25">
      <c r="G1202" s="2">
        <f t="shared" ca="1" si="135"/>
        <v>0.76129748526830088</v>
      </c>
      <c r="H1202" s="3">
        <f t="shared" ca="1" si="136"/>
        <v>1</v>
      </c>
      <c r="I1202" s="3">
        <f t="shared" ca="1" si="137"/>
        <v>3.2241507822683992</v>
      </c>
      <c r="J1202" s="3">
        <f t="shared" ca="1" si="138"/>
        <v>8.9779602113570309</v>
      </c>
      <c r="P1202" s="3">
        <f t="shared" ca="1" si="139"/>
        <v>-3.1579215001418248</v>
      </c>
      <c r="Q1202" s="3">
        <f t="shared" ca="1" si="140"/>
        <v>6.0372428597315881</v>
      </c>
      <c r="R1202" s="3">
        <f t="shared" ca="1" si="141"/>
        <v>6.8132789131546669</v>
      </c>
    </row>
    <row r="1203" spans="7:18" x14ac:dyDescent="0.25">
      <c r="G1203" s="2">
        <f t="shared" ca="1" si="135"/>
        <v>0.69592752576769434</v>
      </c>
      <c r="H1203" s="3">
        <f t="shared" ca="1" si="136"/>
        <v>1</v>
      </c>
      <c r="I1203" s="3">
        <f t="shared" ca="1" si="137"/>
        <v>4.4156203385074413</v>
      </c>
      <c r="J1203" s="3">
        <f t="shared" ca="1" si="138"/>
        <v>10.506688748729831</v>
      </c>
      <c r="P1203" s="3">
        <f t="shared" ca="1" si="139"/>
        <v>-8.3517422957063534</v>
      </c>
      <c r="Q1203" s="3">
        <f t="shared" ca="1" si="140"/>
        <v>10.891418785324101</v>
      </c>
      <c r="R1203" s="3">
        <f t="shared" ca="1" si="141"/>
        <v>13.724962751541483</v>
      </c>
    </row>
    <row r="1204" spans="7:18" x14ac:dyDescent="0.25">
      <c r="G1204" s="2">
        <f t="shared" ca="1" si="135"/>
        <v>0.62790358186683393</v>
      </c>
      <c r="H1204" s="3">
        <f t="shared" ca="1" si="136"/>
        <v>1</v>
      </c>
      <c r="I1204" s="3">
        <f t="shared" ca="1" si="137"/>
        <v>5.0859840561543326</v>
      </c>
      <c r="J1204" s="3">
        <f t="shared" ca="1" si="138"/>
        <v>11.276063205031193</v>
      </c>
      <c r="P1204" s="3">
        <f t="shared" ca="1" si="139"/>
        <v>-3.7938100695677641</v>
      </c>
      <c r="Q1204" s="3">
        <f t="shared" ca="1" si="140"/>
        <v>0.33267897899506954</v>
      </c>
      <c r="R1204" s="3">
        <f t="shared" ca="1" si="141"/>
        <v>3.8083684363542041</v>
      </c>
    </row>
    <row r="1205" spans="7:18" x14ac:dyDescent="0.25">
      <c r="G1205" s="2">
        <f t="shared" ca="1" si="135"/>
        <v>0.82821705887102937</v>
      </c>
      <c r="H1205" s="3">
        <f t="shared" ca="1" si="136"/>
        <v>1</v>
      </c>
      <c r="I1205" s="3">
        <f t="shared" ca="1" si="137"/>
        <v>2.2623213210328603</v>
      </c>
      <c r="J1205" s="3">
        <f t="shared" ca="1" si="138"/>
        <v>7.5205074978901196</v>
      </c>
      <c r="P1205" s="3">
        <f t="shared" ca="1" si="139"/>
        <v>3.0586492894050998</v>
      </c>
      <c r="Q1205" s="3">
        <f t="shared" ca="1" si="140"/>
        <v>-6.535480519217618</v>
      </c>
      <c r="R1205" s="3">
        <f t="shared" ca="1" si="141"/>
        <v>7.2158049511230073</v>
      </c>
    </row>
    <row r="1206" spans="7:18" x14ac:dyDescent="0.25">
      <c r="G1206" s="2">
        <f t="shared" ca="1" si="135"/>
        <v>0.33111255960937402</v>
      </c>
      <c r="H1206" s="3">
        <f t="shared" ca="1" si="136"/>
        <v>0</v>
      </c>
      <c r="I1206" s="3">
        <f t="shared" ca="1" si="137"/>
        <v>1.5052190260712324</v>
      </c>
      <c r="J1206" s="3">
        <f t="shared" ca="1" si="138"/>
        <v>6.1343683987661528</v>
      </c>
      <c r="P1206" s="3">
        <f t="shared" ca="1" si="139"/>
        <v>-10.147197193700407</v>
      </c>
      <c r="Q1206" s="3">
        <f t="shared" ca="1" si="140"/>
        <v>-3.0481803147586963</v>
      </c>
      <c r="R1206" s="3">
        <f t="shared" ca="1" si="141"/>
        <v>10.595141061785061</v>
      </c>
    </row>
    <row r="1207" spans="7:18" x14ac:dyDescent="0.25">
      <c r="G1207" s="2">
        <f t="shared" ca="1" si="135"/>
        <v>0.22806554801025458</v>
      </c>
      <c r="H1207" s="3">
        <f t="shared" ca="1" si="136"/>
        <v>0</v>
      </c>
      <c r="I1207" s="3">
        <f t="shared" ca="1" si="137"/>
        <v>0.29774189737251899</v>
      </c>
      <c r="J1207" s="3">
        <f t="shared" ca="1" si="138"/>
        <v>2.7282865381614476</v>
      </c>
      <c r="P1207" s="3">
        <f t="shared" ca="1" si="139"/>
        <v>0.76498572971958367</v>
      </c>
      <c r="Q1207" s="3">
        <f t="shared" ca="1" si="140"/>
        <v>-2.9798838617130818</v>
      </c>
      <c r="R1207" s="3">
        <f t="shared" ca="1" si="141"/>
        <v>3.0765095475185307</v>
      </c>
    </row>
    <row r="1208" spans="7:18" x14ac:dyDescent="0.25">
      <c r="G1208" s="2">
        <f t="shared" ca="1" si="135"/>
        <v>0.31153405406832435</v>
      </c>
      <c r="H1208" s="3">
        <f t="shared" ca="1" si="136"/>
        <v>0</v>
      </c>
      <c r="I1208" s="3">
        <f t="shared" ca="1" si="137"/>
        <v>1.8522687261421187</v>
      </c>
      <c r="J1208" s="3">
        <f t="shared" ca="1" si="138"/>
        <v>6.8049039782757381</v>
      </c>
      <c r="P1208" s="3">
        <f t="shared" ca="1" si="139"/>
        <v>-3.0915556558682376</v>
      </c>
      <c r="Q1208" s="3">
        <f t="shared" ca="1" si="140"/>
        <v>4.4370012934408054</v>
      </c>
      <c r="R1208" s="3">
        <f t="shared" ca="1" si="141"/>
        <v>5.4078366147033572</v>
      </c>
    </row>
    <row r="1209" spans="7:18" x14ac:dyDescent="0.25">
      <c r="G1209" s="2">
        <f t="shared" ca="1" si="135"/>
        <v>0.84709846650253562</v>
      </c>
      <c r="H1209" s="3">
        <f t="shared" ca="1" si="136"/>
        <v>1</v>
      </c>
      <c r="I1209" s="3">
        <f t="shared" ca="1" si="137"/>
        <v>1.876245199261487</v>
      </c>
      <c r="J1209" s="3">
        <f t="shared" ca="1" si="138"/>
        <v>6.8488050039066799</v>
      </c>
      <c r="P1209" s="3">
        <f t="shared" ca="1" si="139"/>
        <v>-3.6120052655561947</v>
      </c>
      <c r="Q1209" s="3">
        <f t="shared" ca="1" si="140"/>
        <v>-7.235998869955397</v>
      </c>
      <c r="R1209" s="3">
        <f t="shared" ca="1" si="141"/>
        <v>8.0874137821927636</v>
      </c>
    </row>
    <row r="1210" spans="7:18" x14ac:dyDescent="0.25">
      <c r="G1210" s="2">
        <f t="shared" ca="1" si="135"/>
        <v>0.51777293360470289</v>
      </c>
      <c r="H1210" s="3">
        <f t="shared" ca="1" si="136"/>
        <v>0</v>
      </c>
      <c r="I1210" s="3">
        <f t="shared" ca="1" si="137"/>
        <v>0.65166611996378676</v>
      </c>
      <c r="J1210" s="3">
        <f t="shared" ca="1" si="138"/>
        <v>4.0362919863526558</v>
      </c>
      <c r="P1210" s="3">
        <f t="shared" ca="1" si="139"/>
        <v>1.8994222280243598</v>
      </c>
      <c r="Q1210" s="3">
        <f t="shared" ca="1" si="140"/>
        <v>-6.3492216618633295</v>
      </c>
      <c r="R1210" s="3">
        <f t="shared" ca="1" si="141"/>
        <v>6.6272483363600889</v>
      </c>
    </row>
    <row r="1211" spans="7:18" x14ac:dyDescent="0.25">
      <c r="G1211" s="2">
        <f t="shared" ca="1" si="135"/>
        <v>0.80482904560165236</v>
      </c>
      <c r="H1211" s="3">
        <f t="shared" ca="1" si="136"/>
        <v>1</v>
      </c>
      <c r="I1211" s="3">
        <f t="shared" ca="1" si="137"/>
        <v>3.2480858500605541</v>
      </c>
      <c r="J1211" s="3">
        <f t="shared" ca="1" si="138"/>
        <v>9.011223349330205</v>
      </c>
      <c r="P1211" s="3">
        <f t="shared" ca="1" si="139"/>
        <v>2.9490506571437258</v>
      </c>
      <c r="Q1211" s="3">
        <f t="shared" ca="1" si="140"/>
        <v>8.4942018546118199</v>
      </c>
      <c r="R1211" s="3">
        <f t="shared" ca="1" si="141"/>
        <v>8.9915718828962667</v>
      </c>
    </row>
    <row r="1212" spans="7:18" x14ac:dyDescent="0.25">
      <c r="G1212" s="2">
        <f t="shared" ca="1" si="135"/>
        <v>0.88641876143618681</v>
      </c>
      <c r="H1212" s="3">
        <f t="shared" ca="1" si="136"/>
        <v>1</v>
      </c>
      <c r="I1212" s="3">
        <f t="shared" ca="1" si="137"/>
        <v>4.8639296382772015</v>
      </c>
      <c r="J1212" s="3">
        <f t="shared" ca="1" si="138"/>
        <v>11.027159242385594</v>
      </c>
      <c r="P1212" s="3">
        <f t="shared" ca="1" si="139"/>
        <v>-3.441074556144013</v>
      </c>
      <c r="Q1212" s="3">
        <f t="shared" ca="1" si="140"/>
        <v>-7.5524836674885973</v>
      </c>
      <c r="R1212" s="3">
        <f t="shared" ca="1" si="141"/>
        <v>8.2994580334274684</v>
      </c>
    </row>
    <row r="1213" spans="7:18" x14ac:dyDescent="0.25">
      <c r="G1213" s="2">
        <f t="shared" ca="1" si="135"/>
        <v>0.64411512598170328</v>
      </c>
      <c r="H1213" s="3">
        <f t="shared" ca="1" si="136"/>
        <v>1</v>
      </c>
      <c r="I1213" s="3">
        <f t="shared" ca="1" si="137"/>
        <v>2.5735746237914037</v>
      </c>
      <c r="J1213" s="3">
        <f t="shared" ca="1" si="138"/>
        <v>8.0211823065421655</v>
      </c>
      <c r="P1213" s="3">
        <f t="shared" ca="1" si="139"/>
        <v>-2.8178202980416405</v>
      </c>
      <c r="Q1213" s="3">
        <f t="shared" ca="1" si="140"/>
        <v>-5.3477959032273867</v>
      </c>
      <c r="R1213" s="3">
        <f t="shared" ca="1" si="141"/>
        <v>6.0447524560258961</v>
      </c>
    </row>
    <row r="1214" spans="7:18" x14ac:dyDescent="0.25">
      <c r="G1214" s="2">
        <f t="shared" ca="1" si="135"/>
        <v>8.9013739358598576E-2</v>
      </c>
      <c r="H1214" s="3">
        <f t="shared" ca="1" si="136"/>
        <v>0</v>
      </c>
      <c r="I1214" s="3">
        <f t="shared" ca="1" si="137"/>
        <v>1.6943468245978428</v>
      </c>
      <c r="J1214" s="3">
        <f t="shared" ca="1" si="138"/>
        <v>6.5083539097798049</v>
      </c>
      <c r="P1214" s="3">
        <f t="shared" ca="1" si="139"/>
        <v>-0.22245009595639331</v>
      </c>
      <c r="Q1214" s="3">
        <f t="shared" ca="1" si="140"/>
        <v>-7.8262046742733391</v>
      </c>
      <c r="R1214" s="3">
        <f t="shared" ca="1" si="141"/>
        <v>7.8293654691046877</v>
      </c>
    </row>
    <row r="1215" spans="7:18" x14ac:dyDescent="0.25">
      <c r="G1215" s="2">
        <f t="shared" ca="1" si="135"/>
        <v>0.97214139841486513</v>
      </c>
      <c r="H1215" s="3">
        <f t="shared" ca="1" si="136"/>
        <v>2</v>
      </c>
      <c r="I1215" s="3">
        <f t="shared" ca="1" si="137"/>
        <v>8.7340226277159534</v>
      </c>
      <c r="J1215" s="3">
        <f t="shared" ca="1" si="138"/>
        <v>14.776689943722134</v>
      </c>
      <c r="P1215" s="3">
        <f t="shared" ca="1" si="139"/>
        <v>-1.4584386074929547</v>
      </c>
      <c r="Q1215" s="3">
        <f t="shared" ca="1" si="140"/>
        <v>-10.629937441081118</v>
      </c>
      <c r="R1215" s="3">
        <f t="shared" ca="1" si="141"/>
        <v>10.729520640416522</v>
      </c>
    </row>
    <row r="1216" spans="7:18" x14ac:dyDescent="0.25">
      <c r="G1216" s="2">
        <f t="shared" ca="1" si="135"/>
        <v>0.8644723450659666</v>
      </c>
      <c r="H1216" s="3">
        <f t="shared" ca="1" si="136"/>
        <v>1</v>
      </c>
      <c r="I1216" s="3">
        <f t="shared" ca="1" si="137"/>
        <v>6.2064639031396531</v>
      </c>
      <c r="J1216" s="3">
        <f t="shared" ca="1" si="138"/>
        <v>12.456387822257756</v>
      </c>
      <c r="P1216" s="3">
        <f t="shared" ca="1" si="139"/>
        <v>1.2576142357498821</v>
      </c>
      <c r="Q1216" s="3">
        <f t="shared" ca="1" si="140"/>
        <v>0.31086550595382617</v>
      </c>
      <c r="R1216" s="3">
        <f t="shared" ca="1" si="141"/>
        <v>1.295465525883529</v>
      </c>
    </row>
    <row r="1217" spans="7:18" x14ac:dyDescent="0.25">
      <c r="G1217" s="2">
        <f t="shared" ca="1" si="135"/>
        <v>0.50080093605921649</v>
      </c>
      <c r="H1217" s="3">
        <f t="shared" ca="1" si="136"/>
        <v>0</v>
      </c>
      <c r="I1217" s="3">
        <f t="shared" ca="1" si="137"/>
        <v>2.1319366847444212</v>
      </c>
      <c r="J1217" s="3">
        <f t="shared" ca="1" si="138"/>
        <v>7.3005764922100873</v>
      </c>
      <c r="P1217" s="3">
        <f t="shared" ca="1" si="139"/>
        <v>-6.7692158057043601</v>
      </c>
      <c r="Q1217" s="3">
        <f t="shared" ca="1" si="140"/>
        <v>1.5251009383099323</v>
      </c>
      <c r="R1217" s="3">
        <f t="shared" ca="1" si="141"/>
        <v>6.9388915178313288</v>
      </c>
    </row>
    <row r="1218" spans="7:18" x14ac:dyDescent="0.25">
      <c r="G1218" s="2">
        <f t="shared" ca="1" si="135"/>
        <v>0.85316761088511583</v>
      </c>
      <c r="H1218" s="3">
        <f t="shared" ca="1" si="136"/>
        <v>1</v>
      </c>
      <c r="I1218" s="3">
        <f t="shared" ca="1" si="137"/>
        <v>2.8925212650937131</v>
      </c>
      <c r="J1218" s="3">
        <f t="shared" ca="1" si="138"/>
        <v>8.5037069344693919</v>
      </c>
      <c r="P1218" s="3">
        <f t="shared" ca="1" si="139"/>
        <v>3.6366753909694545</v>
      </c>
      <c r="Q1218" s="3">
        <f t="shared" ca="1" si="140"/>
        <v>-13.583254333688064</v>
      </c>
      <c r="R1218" s="3">
        <f t="shared" ca="1" si="141"/>
        <v>14.061657306055301</v>
      </c>
    </row>
    <row r="1219" spans="7:18" x14ac:dyDescent="0.25">
      <c r="G1219" s="2">
        <f t="shared" ca="1" si="135"/>
        <v>0.25005291881396718</v>
      </c>
      <c r="H1219" s="3">
        <f t="shared" ca="1" si="136"/>
        <v>0</v>
      </c>
      <c r="I1219" s="3">
        <f t="shared" ca="1" si="137"/>
        <v>0.85847282375064493</v>
      </c>
      <c r="J1219" s="3">
        <f t="shared" ca="1" si="138"/>
        <v>4.6326904271455618</v>
      </c>
      <c r="P1219" s="3">
        <f t="shared" ca="1" si="139"/>
        <v>-1.3034913887162198</v>
      </c>
      <c r="Q1219" s="3">
        <f t="shared" ca="1" si="140"/>
        <v>-1.9986960778426162</v>
      </c>
      <c r="R1219" s="3">
        <f t="shared" ca="1" si="141"/>
        <v>2.3861843625421728</v>
      </c>
    </row>
    <row r="1220" spans="7:18" x14ac:dyDescent="0.25">
      <c r="G1220" s="2">
        <f t="shared" ref="G1220:G1283" ca="1" si="142">RAND()</f>
        <v>0.66491298617016314</v>
      </c>
      <c r="H1220" s="3">
        <f t="shared" ref="H1220:H1283" ca="1" si="143">VLOOKUP(G1220,$B$9:$C$169,2,TRUE)</f>
        <v>1</v>
      </c>
      <c r="I1220" s="3">
        <f t="shared" ref="I1220:I1283" ca="1" si="144">_xlfn.CHISQ.INV(RAND(),2*H1220+2)</f>
        <v>2.571792406169628</v>
      </c>
      <c r="J1220" s="3">
        <f t="shared" ref="J1220:J1283" ca="1" si="145">$C$4*SQRT(I1220)</f>
        <v>8.0184044643707448</v>
      </c>
      <c r="P1220" s="3">
        <f t="shared" ref="P1220:P1283" ca="1" si="146">_xlfn.NORM.INV(RAND(),$C$3*COS($O$2),$C$4)</f>
        <v>-4.4378024660934958</v>
      </c>
      <c r="Q1220" s="3">
        <f t="shared" ref="Q1220:Q1283" ca="1" si="147">_xlfn.NORM.INV(RAND(),$C$3*SIN($O$2),$C$4)</f>
        <v>-6.2906050392401136</v>
      </c>
      <c r="R1220" s="3">
        <f t="shared" ref="R1220:R1283" ca="1" si="148">SQRT(P1220^2+Q1220^2)</f>
        <v>7.6984285726230279</v>
      </c>
    </row>
    <row r="1221" spans="7:18" x14ac:dyDescent="0.25">
      <c r="G1221" s="2">
        <f t="shared" ca="1" si="142"/>
        <v>0.42863247570080565</v>
      </c>
      <c r="H1221" s="3">
        <f t="shared" ca="1" si="143"/>
        <v>0</v>
      </c>
      <c r="I1221" s="3">
        <f t="shared" ca="1" si="144"/>
        <v>2.9914183298457848</v>
      </c>
      <c r="J1221" s="3">
        <f t="shared" ca="1" si="145"/>
        <v>8.6478585930937051</v>
      </c>
      <c r="P1221" s="3">
        <f t="shared" ca="1" si="146"/>
        <v>-2.7716288443340704</v>
      </c>
      <c r="Q1221" s="3">
        <f t="shared" ca="1" si="147"/>
        <v>5.7113347217178934</v>
      </c>
      <c r="R1221" s="3">
        <f t="shared" ca="1" si="148"/>
        <v>6.348328185770252</v>
      </c>
    </row>
    <row r="1222" spans="7:18" x14ac:dyDescent="0.25">
      <c r="G1222" s="2">
        <f t="shared" ca="1" si="142"/>
        <v>0.22255340668356016</v>
      </c>
      <c r="H1222" s="3">
        <f t="shared" ca="1" si="143"/>
        <v>0</v>
      </c>
      <c r="I1222" s="3">
        <f t="shared" ca="1" si="144"/>
        <v>4.0579341017384092</v>
      </c>
      <c r="J1222" s="3">
        <f t="shared" ca="1" si="145"/>
        <v>10.072157293423302</v>
      </c>
      <c r="P1222" s="3">
        <f t="shared" ca="1" si="146"/>
        <v>-2.8936287171659862</v>
      </c>
      <c r="Q1222" s="3">
        <f t="shared" ca="1" si="147"/>
        <v>-7.6730571005793786</v>
      </c>
      <c r="R1222" s="3">
        <f t="shared" ca="1" si="148"/>
        <v>8.2005422029009338</v>
      </c>
    </row>
    <row r="1223" spans="7:18" x14ac:dyDescent="0.25">
      <c r="G1223" s="2">
        <f t="shared" ca="1" si="142"/>
        <v>0.42591512864454462</v>
      </c>
      <c r="H1223" s="3">
        <f t="shared" ca="1" si="143"/>
        <v>0</v>
      </c>
      <c r="I1223" s="3">
        <f t="shared" ca="1" si="144"/>
        <v>3.9648399144307676</v>
      </c>
      <c r="J1223" s="3">
        <f t="shared" ca="1" si="145"/>
        <v>9.9559528856242174</v>
      </c>
      <c r="P1223" s="3">
        <f t="shared" ca="1" si="146"/>
        <v>-7.8170798532607995</v>
      </c>
      <c r="Q1223" s="3">
        <f t="shared" ca="1" si="147"/>
        <v>0.28781475062623191</v>
      </c>
      <c r="R1223" s="3">
        <f t="shared" ca="1" si="148"/>
        <v>7.8223765418786844</v>
      </c>
    </row>
    <row r="1224" spans="7:18" x14ac:dyDescent="0.25">
      <c r="G1224" s="2">
        <f t="shared" ca="1" si="142"/>
        <v>0.81288702473987995</v>
      </c>
      <c r="H1224" s="3">
        <f t="shared" ca="1" si="143"/>
        <v>1</v>
      </c>
      <c r="I1224" s="3">
        <f t="shared" ca="1" si="144"/>
        <v>2.9282936982963337</v>
      </c>
      <c r="J1224" s="3">
        <f t="shared" ca="1" si="145"/>
        <v>8.5561289411396988</v>
      </c>
      <c r="P1224" s="3">
        <f t="shared" ca="1" si="146"/>
        <v>-7.6497380053395201</v>
      </c>
      <c r="Q1224" s="3">
        <f t="shared" ca="1" si="147"/>
        <v>-0.5449127443726649</v>
      </c>
      <c r="R1224" s="3">
        <f t="shared" ca="1" si="148"/>
        <v>7.6691212957753905</v>
      </c>
    </row>
    <row r="1225" spans="7:18" x14ac:dyDescent="0.25">
      <c r="G1225" s="2">
        <f t="shared" ca="1" si="142"/>
        <v>0.25856228618528743</v>
      </c>
      <c r="H1225" s="3">
        <f t="shared" ca="1" si="143"/>
        <v>0</v>
      </c>
      <c r="I1225" s="3">
        <f t="shared" ca="1" si="144"/>
        <v>2.1372641225379869</v>
      </c>
      <c r="J1225" s="3">
        <f t="shared" ca="1" si="145"/>
        <v>7.3096924055290913</v>
      </c>
      <c r="P1225" s="3">
        <f t="shared" ca="1" si="146"/>
        <v>-7.5271353001225094</v>
      </c>
      <c r="Q1225" s="3">
        <f t="shared" ca="1" si="147"/>
        <v>-1.6999011825901407</v>
      </c>
      <c r="R1225" s="3">
        <f t="shared" ca="1" si="148"/>
        <v>7.7166981188149206</v>
      </c>
    </row>
    <row r="1226" spans="7:18" x14ac:dyDescent="0.25">
      <c r="G1226" s="2">
        <f t="shared" ca="1" si="142"/>
        <v>0.34090777157569097</v>
      </c>
      <c r="H1226" s="3">
        <f t="shared" ca="1" si="143"/>
        <v>0</v>
      </c>
      <c r="I1226" s="3">
        <f t="shared" ca="1" si="144"/>
        <v>3.330895986974074</v>
      </c>
      <c r="J1226" s="3">
        <f t="shared" ca="1" si="145"/>
        <v>9.1253712074825675</v>
      </c>
      <c r="P1226" s="3">
        <f t="shared" ca="1" si="146"/>
        <v>-3.6244432176219652</v>
      </c>
      <c r="Q1226" s="3">
        <f t="shared" ca="1" si="147"/>
        <v>-3.9061054812651497</v>
      </c>
      <c r="R1226" s="3">
        <f t="shared" ca="1" si="148"/>
        <v>5.3286254014084635</v>
      </c>
    </row>
    <row r="1227" spans="7:18" x14ac:dyDescent="0.25">
      <c r="G1227" s="2">
        <f t="shared" ca="1" si="142"/>
        <v>0.31600424334642319</v>
      </c>
      <c r="H1227" s="3">
        <f t="shared" ca="1" si="143"/>
        <v>0</v>
      </c>
      <c r="I1227" s="3">
        <f t="shared" ca="1" si="144"/>
        <v>2.3832300447119578E-2</v>
      </c>
      <c r="J1227" s="3">
        <f t="shared" ca="1" si="145"/>
        <v>0.77188568530449475</v>
      </c>
      <c r="P1227" s="3">
        <f t="shared" ca="1" si="146"/>
        <v>-21.37309049903768</v>
      </c>
      <c r="Q1227" s="3">
        <f t="shared" ca="1" si="147"/>
        <v>7.2042300994763631</v>
      </c>
      <c r="R1227" s="3">
        <f t="shared" ca="1" si="148"/>
        <v>22.554598839399826</v>
      </c>
    </row>
    <row r="1228" spans="7:18" x14ac:dyDescent="0.25">
      <c r="G1228" s="2">
        <f t="shared" ca="1" si="142"/>
        <v>0.86717181162920787</v>
      </c>
      <c r="H1228" s="3">
        <f t="shared" ca="1" si="143"/>
        <v>1</v>
      </c>
      <c r="I1228" s="3">
        <f t="shared" ca="1" si="144"/>
        <v>3.2497998058431117</v>
      </c>
      <c r="J1228" s="3">
        <f t="shared" ca="1" si="145"/>
        <v>9.013600565039356</v>
      </c>
      <c r="P1228" s="3">
        <f t="shared" ca="1" si="146"/>
        <v>-8.8112447459747898</v>
      </c>
      <c r="Q1228" s="3">
        <f t="shared" ca="1" si="147"/>
        <v>-0.74483775248155282</v>
      </c>
      <c r="R1228" s="3">
        <f t="shared" ca="1" si="148"/>
        <v>8.8426702556970938</v>
      </c>
    </row>
    <row r="1229" spans="7:18" x14ac:dyDescent="0.25">
      <c r="G1229" s="2">
        <f t="shared" ca="1" si="142"/>
        <v>0.69915754511787398</v>
      </c>
      <c r="H1229" s="3">
        <f t="shared" ca="1" si="143"/>
        <v>1</v>
      </c>
      <c r="I1229" s="3">
        <f t="shared" ca="1" si="144"/>
        <v>2.7634588767417494</v>
      </c>
      <c r="J1229" s="3">
        <f t="shared" ca="1" si="145"/>
        <v>8.3118272310331225</v>
      </c>
      <c r="P1229" s="3">
        <f t="shared" ca="1" si="146"/>
        <v>-9.5895038756679849</v>
      </c>
      <c r="Q1229" s="3">
        <f t="shared" ca="1" si="147"/>
        <v>3.6667031518450846</v>
      </c>
      <c r="R1229" s="3">
        <f t="shared" ca="1" si="148"/>
        <v>10.266610764278637</v>
      </c>
    </row>
    <row r="1230" spans="7:18" x14ac:dyDescent="0.25">
      <c r="G1230" s="2">
        <f t="shared" ca="1" si="142"/>
        <v>0.99110249059526667</v>
      </c>
      <c r="H1230" s="3">
        <f t="shared" ca="1" si="143"/>
        <v>3</v>
      </c>
      <c r="I1230" s="3">
        <f t="shared" ca="1" si="144"/>
        <v>6.2502500806112238</v>
      </c>
      <c r="J1230" s="3">
        <f t="shared" ca="1" si="145"/>
        <v>12.50025007810966</v>
      </c>
      <c r="P1230" s="3">
        <f t="shared" ca="1" si="146"/>
        <v>-9.3467962783982408</v>
      </c>
      <c r="Q1230" s="3">
        <f t="shared" ca="1" si="147"/>
        <v>1.2506362523363399</v>
      </c>
      <c r="R1230" s="3">
        <f t="shared" ca="1" si="148"/>
        <v>9.4300949998150649</v>
      </c>
    </row>
    <row r="1231" spans="7:18" x14ac:dyDescent="0.25">
      <c r="G1231" s="2">
        <f t="shared" ca="1" si="142"/>
        <v>0.10599222626115257</v>
      </c>
      <c r="H1231" s="3">
        <f t="shared" ca="1" si="143"/>
        <v>0</v>
      </c>
      <c r="I1231" s="3">
        <f t="shared" ca="1" si="144"/>
        <v>2.2022371717477327</v>
      </c>
      <c r="J1231" s="3">
        <f t="shared" ca="1" si="145"/>
        <v>7.4199682811783854</v>
      </c>
      <c r="P1231" s="3">
        <f t="shared" ca="1" si="146"/>
        <v>-5.8931990946225845</v>
      </c>
      <c r="Q1231" s="3">
        <f t="shared" ca="1" si="147"/>
        <v>1.9402028080600597</v>
      </c>
      <c r="R1231" s="3">
        <f t="shared" ca="1" si="148"/>
        <v>6.2043680182001291</v>
      </c>
    </row>
    <row r="1232" spans="7:18" x14ac:dyDescent="0.25">
      <c r="G1232" s="2">
        <f t="shared" ca="1" si="142"/>
        <v>0.95484261481312993</v>
      </c>
      <c r="H1232" s="3">
        <f t="shared" ca="1" si="143"/>
        <v>2</v>
      </c>
      <c r="I1232" s="3">
        <f t="shared" ca="1" si="144"/>
        <v>8.0880804117084661</v>
      </c>
      <c r="J1232" s="3">
        <f t="shared" ca="1" si="145"/>
        <v>14.219775324973023</v>
      </c>
      <c r="P1232" s="3">
        <f t="shared" ca="1" si="146"/>
        <v>2.2616923142544536</v>
      </c>
      <c r="Q1232" s="3">
        <f t="shared" ca="1" si="147"/>
        <v>0.33842464056643867</v>
      </c>
      <c r="R1232" s="3">
        <f t="shared" ca="1" si="148"/>
        <v>2.2868719600581464</v>
      </c>
    </row>
    <row r="1233" spans="7:18" x14ac:dyDescent="0.25">
      <c r="G1233" s="2">
        <f t="shared" ca="1" si="142"/>
        <v>0.18982542882254916</v>
      </c>
      <c r="H1233" s="3">
        <f t="shared" ca="1" si="143"/>
        <v>0</v>
      </c>
      <c r="I1233" s="3">
        <f t="shared" ca="1" si="144"/>
        <v>2.5681019788441524</v>
      </c>
      <c r="J1233" s="3">
        <f t="shared" ca="1" si="145"/>
        <v>8.0126493415788396</v>
      </c>
      <c r="P1233" s="3">
        <f t="shared" ca="1" si="146"/>
        <v>-0.98403432656352852</v>
      </c>
      <c r="Q1233" s="3">
        <f t="shared" ca="1" si="147"/>
        <v>1.7492772556834646</v>
      </c>
      <c r="R1233" s="3">
        <f t="shared" ca="1" si="148"/>
        <v>2.0070611533052025</v>
      </c>
    </row>
    <row r="1234" spans="7:18" x14ac:dyDescent="0.25">
      <c r="G1234" s="2">
        <f t="shared" ca="1" si="142"/>
        <v>6.7683674059143106E-2</v>
      </c>
      <c r="H1234" s="3">
        <f t="shared" ca="1" si="143"/>
        <v>0</v>
      </c>
      <c r="I1234" s="3">
        <f t="shared" ca="1" si="144"/>
        <v>0.97105157752569593</v>
      </c>
      <c r="J1234" s="3">
        <f t="shared" ca="1" si="145"/>
        <v>4.9270974658659226</v>
      </c>
      <c r="P1234" s="3">
        <f t="shared" ca="1" si="146"/>
        <v>3.2795905418857032</v>
      </c>
      <c r="Q1234" s="3">
        <f t="shared" ca="1" si="147"/>
        <v>4.2805112258932265</v>
      </c>
      <c r="R1234" s="3">
        <f t="shared" ca="1" si="148"/>
        <v>5.3924475405351968</v>
      </c>
    </row>
    <row r="1235" spans="7:18" x14ac:dyDescent="0.25">
      <c r="G1235" s="2">
        <f t="shared" ca="1" si="142"/>
        <v>0.98151846690834432</v>
      </c>
      <c r="H1235" s="3">
        <f t="shared" ca="1" si="143"/>
        <v>2</v>
      </c>
      <c r="I1235" s="3">
        <f t="shared" ca="1" si="144"/>
        <v>2.9858110824880351</v>
      </c>
      <c r="J1235" s="3">
        <f t="shared" ca="1" si="145"/>
        <v>8.6397498263665522</v>
      </c>
      <c r="P1235" s="3">
        <f t="shared" ca="1" si="146"/>
        <v>-15.294393724502163</v>
      </c>
      <c r="Q1235" s="3">
        <f t="shared" ca="1" si="147"/>
        <v>-6.0336184463440103</v>
      </c>
      <c r="R1235" s="3">
        <f t="shared" ca="1" si="148"/>
        <v>16.441503305846272</v>
      </c>
    </row>
    <row r="1236" spans="7:18" x14ac:dyDescent="0.25">
      <c r="G1236" s="2">
        <f t="shared" ca="1" si="142"/>
        <v>0.13901940569018179</v>
      </c>
      <c r="H1236" s="3">
        <f t="shared" ca="1" si="143"/>
        <v>0</v>
      </c>
      <c r="I1236" s="3">
        <f t="shared" ca="1" si="144"/>
        <v>0.5724499395671705</v>
      </c>
      <c r="J1236" s="3">
        <f t="shared" ca="1" si="145"/>
        <v>3.783021079663615</v>
      </c>
      <c r="P1236" s="3">
        <f t="shared" ca="1" si="146"/>
        <v>-2.2331693645545316</v>
      </c>
      <c r="Q1236" s="3">
        <f t="shared" ca="1" si="147"/>
        <v>1.0093281933991247</v>
      </c>
      <c r="R1236" s="3">
        <f t="shared" ca="1" si="148"/>
        <v>2.4506710943688939</v>
      </c>
    </row>
    <row r="1237" spans="7:18" x14ac:dyDescent="0.25">
      <c r="G1237" s="2">
        <f t="shared" ca="1" si="142"/>
        <v>3.2433441826645093E-2</v>
      </c>
      <c r="H1237" s="3">
        <f t="shared" ca="1" si="143"/>
        <v>0</v>
      </c>
      <c r="I1237" s="3">
        <f t="shared" ca="1" si="144"/>
        <v>3.3430715021206781</v>
      </c>
      <c r="J1237" s="3">
        <f t="shared" ca="1" si="145"/>
        <v>9.1420341036892303</v>
      </c>
      <c r="P1237" s="3">
        <f t="shared" ca="1" si="146"/>
        <v>-9.9467792880996484</v>
      </c>
      <c r="Q1237" s="3">
        <f t="shared" ca="1" si="147"/>
        <v>1.6312737461758366</v>
      </c>
      <c r="R1237" s="3">
        <f t="shared" ca="1" si="148"/>
        <v>10.079656355309476</v>
      </c>
    </row>
    <row r="1238" spans="7:18" x14ac:dyDescent="0.25">
      <c r="G1238" s="2">
        <f t="shared" ca="1" si="142"/>
        <v>0.44863686530724678</v>
      </c>
      <c r="H1238" s="3">
        <f t="shared" ca="1" si="143"/>
        <v>0</v>
      </c>
      <c r="I1238" s="3">
        <f t="shared" ca="1" si="144"/>
        <v>0.19703687527254904</v>
      </c>
      <c r="J1238" s="3">
        <f t="shared" ca="1" si="145"/>
        <v>2.2194417950948218</v>
      </c>
      <c r="P1238" s="3">
        <f t="shared" ca="1" si="146"/>
        <v>-4.608387385243395</v>
      </c>
      <c r="Q1238" s="3">
        <f t="shared" ca="1" si="147"/>
        <v>-4.1445944764474731</v>
      </c>
      <c r="R1238" s="3">
        <f t="shared" ca="1" si="148"/>
        <v>6.1979752876781751</v>
      </c>
    </row>
    <row r="1239" spans="7:18" x14ac:dyDescent="0.25">
      <c r="G1239" s="2">
        <f t="shared" ca="1" si="142"/>
        <v>0.4737995243459423</v>
      </c>
      <c r="H1239" s="3">
        <f t="shared" ca="1" si="143"/>
        <v>0</v>
      </c>
      <c r="I1239" s="3">
        <f t="shared" ca="1" si="144"/>
        <v>1.7797176732765669</v>
      </c>
      <c r="J1239" s="3">
        <f t="shared" ca="1" si="145"/>
        <v>6.6703029790193309</v>
      </c>
      <c r="P1239" s="3">
        <f t="shared" ca="1" si="146"/>
        <v>-11.138335661756457</v>
      </c>
      <c r="Q1239" s="3">
        <f t="shared" ca="1" si="147"/>
        <v>-2.6123075399472317</v>
      </c>
      <c r="R1239" s="3">
        <f t="shared" ca="1" si="148"/>
        <v>11.440571314284126</v>
      </c>
    </row>
    <row r="1240" spans="7:18" x14ac:dyDescent="0.25">
      <c r="G1240" s="2">
        <f t="shared" ca="1" si="142"/>
        <v>0.75864669885778357</v>
      </c>
      <c r="H1240" s="3">
        <f t="shared" ca="1" si="143"/>
        <v>1</v>
      </c>
      <c r="I1240" s="3">
        <f t="shared" ca="1" si="144"/>
        <v>1.931212726648891</v>
      </c>
      <c r="J1240" s="3">
        <f t="shared" ca="1" si="145"/>
        <v>6.9484040013676722</v>
      </c>
      <c r="P1240" s="3">
        <f t="shared" ca="1" si="146"/>
        <v>-4.2931800156874989</v>
      </c>
      <c r="Q1240" s="3">
        <f t="shared" ca="1" si="147"/>
        <v>-8.9988662111564359</v>
      </c>
      <c r="R1240" s="3">
        <f t="shared" ca="1" si="148"/>
        <v>9.9705058915479068</v>
      </c>
    </row>
    <row r="1241" spans="7:18" x14ac:dyDescent="0.25">
      <c r="G1241" s="2">
        <f t="shared" ca="1" si="142"/>
        <v>0.8455488506857336</v>
      </c>
      <c r="H1241" s="3">
        <f t="shared" ca="1" si="143"/>
        <v>1</v>
      </c>
      <c r="I1241" s="3">
        <f t="shared" ca="1" si="144"/>
        <v>3.6371006781067545</v>
      </c>
      <c r="J1241" s="3">
        <f t="shared" ca="1" si="145"/>
        <v>9.5355921133754897</v>
      </c>
      <c r="P1241" s="3">
        <f t="shared" ca="1" si="146"/>
        <v>1.7303783262386618</v>
      </c>
      <c r="Q1241" s="3">
        <f t="shared" ca="1" si="147"/>
        <v>5.0906907146694742</v>
      </c>
      <c r="R1241" s="3">
        <f t="shared" ca="1" si="148"/>
        <v>5.3767407510813197</v>
      </c>
    </row>
    <row r="1242" spans="7:18" x14ac:dyDescent="0.25">
      <c r="G1242" s="2">
        <f t="shared" ca="1" si="142"/>
        <v>0.95337349415193451</v>
      </c>
      <c r="H1242" s="3">
        <f t="shared" ca="1" si="143"/>
        <v>2</v>
      </c>
      <c r="I1242" s="3">
        <f t="shared" ca="1" si="144"/>
        <v>4.3982647900606588</v>
      </c>
      <c r="J1242" s="3">
        <f t="shared" ca="1" si="145"/>
        <v>10.486020205564955</v>
      </c>
      <c r="P1242" s="3">
        <f t="shared" ca="1" si="146"/>
        <v>-17.199580141780441</v>
      </c>
      <c r="Q1242" s="3">
        <f t="shared" ca="1" si="147"/>
        <v>-2.8285292977361061</v>
      </c>
      <c r="R1242" s="3">
        <f t="shared" ca="1" si="148"/>
        <v>17.430609141440801</v>
      </c>
    </row>
    <row r="1243" spans="7:18" x14ac:dyDescent="0.25">
      <c r="G1243" s="2">
        <f t="shared" ca="1" si="142"/>
        <v>0.75479046291332075</v>
      </c>
      <c r="H1243" s="3">
        <f t="shared" ca="1" si="143"/>
        <v>1</v>
      </c>
      <c r="I1243" s="3">
        <f t="shared" ca="1" si="144"/>
        <v>8.7780421249284952</v>
      </c>
      <c r="J1243" s="3">
        <f t="shared" ca="1" si="145"/>
        <v>14.813880420848967</v>
      </c>
      <c r="P1243" s="3">
        <f t="shared" ca="1" si="146"/>
        <v>-7.3823323150036089</v>
      </c>
      <c r="Q1243" s="3">
        <f t="shared" ca="1" si="147"/>
        <v>0.88104821331992511</v>
      </c>
      <c r="R1243" s="3">
        <f t="shared" ca="1" si="148"/>
        <v>7.4347210010423908</v>
      </c>
    </row>
    <row r="1244" spans="7:18" x14ac:dyDescent="0.25">
      <c r="G1244" s="2">
        <f t="shared" ca="1" si="142"/>
        <v>5.2669176921168681E-2</v>
      </c>
      <c r="H1244" s="3">
        <f t="shared" ca="1" si="143"/>
        <v>0</v>
      </c>
      <c r="I1244" s="3">
        <f t="shared" ca="1" si="144"/>
        <v>4.6118360227819295</v>
      </c>
      <c r="J1244" s="3">
        <f t="shared" ca="1" si="145"/>
        <v>10.737592866632085</v>
      </c>
      <c r="P1244" s="3">
        <f t="shared" ca="1" si="146"/>
        <v>-8.4253561663277345</v>
      </c>
      <c r="Q1244" s="3">
        <f t="shared" ca="1" si="147"/>
        <v>-4.9256178804383266</v>
      </c>
      <c r="R1244" s="3">
        <f t="shared" ca="1" si="148"/>
        <v>9.7595255024806686</v>
      </c>
    </row>
    <row r="1245" spans="7:18" x14ac:dyDescent="0.25">
      <c r="G1245" s="2">
        <f t="shared" ca="1" si="142"/>
        <v>0.92385901998691944</v>
      </c>
      <c r="H1245" s="3">
        <f t="shared" ca="1" si="143"/>
        <v>2</v>
      </c>
      <c r="I1245" s="3">
        <f t="shared" ca="1" si="144"/>
        <v>5.677912347098319</v>
      </c>
      <c r="J1245" s="3">
        <f t="shared" ca="1" si="145"/>
        <v>11.914185187307522</v>
      </c>
      <c r="P1245" s="3">
        <f t="shared" ca="1" si="146"/>
        <v>0.49535348614324715</v>
      </c>
      <c r="Q1245" s="3">
        <f t="shared" ca="1" si="147"/>
        <v>-7.5101422921633132</v>
      </c>
      <c r="R1245" s="3">
        <f t="shared" ca="1" si="148"/>
        <v>7.5264608100204899</v>
      </c>
    </row>
    <row r="1246" spans="7:18" x14ac:dyDescent="0.25">
      <c r="G1246" s="2">
        <f t="shared" ca="1" si="142"/>
        <v>0.14042018752834862</v>
      </c>
      <c r="H1246" s="3">
        <f t="shared" ca="1" si="143"/>
        <v>0</v>
      </c>
      <c r="I1246" s="3">
        <f t="shared" ca="1" si="144"/>
        <v>3.5588281767684622</v>
      </c>
      <c r="J1246" s="3">
        <f t="shared" ca="1" si="145"/>
        <v>9.4324283415890076</v>
      </c>
      <c r="P1246" s="3">
        <f t="shared" ca="1" si="146"/>
        <v>-1.7638715158957377</v>
      </c>
      <c r="Q1246" s="3">
        <f t="shared" ca="1" si="147"/>
        <v>7.4687309791394911</v>
      </c>
      <c r="R1246" s="3">
        <f t="shared" ca="1" si="148"/>
        <v>7.6741895443979145</v>
      </c>
    </row>
    <row r="1247" spans="7:18" x14ac:dyDescent="0.25">
      <c r="G1247" s="2">
        <f t="shared" ca="1" si="142"/>
        <v>0.43168964845385027</v>
      </c>
      <c r="H1247" s="3">
        <f t="shared" ca="1" si="143"/>
        <v>0</v>
      </c>
      <c r="I1247" s="3">
        <f t="shared" ca="1" si="144"/>
        <v>8.9099228359926119</v>
      </c>
      <c r="J1247" s="3">
        <f t="shared" ca="1" si="145"/>
        <v>14.92474692917154</v>
      </c>
      <c r="P1247" s="3">
        <f t="shared" ca="1" si="146"/>
        <v>-4.3592060998216429</v>
      </c>
      <c r="Q1247" s="3">
        <f t="shared" ca="1" si="147"/>
        <v>3.2853314026891098</v>
      </c>
      <c r="R1247" s="3">
        <f t="shared" ca="1" si="148"/>
        <v>5.4585785921077852</v>
      </c>
    </row>
    <row r="1248" spans="7:18" x14ac:dyDescent="0.25">
      <c r="G1248" s="2">
        <f t="shared" ca="1" si="142"/>
        <v>0.78215342206691418</v>
      </c>
      <c r="H1248" s="3">
        <f t="shared" ca="1" si="143"/>
        <v>1</v>
      </c>
      <c r="I1248" s="3">
        <f t="shared" ca="1" si="144"/>
        <v>2.9182975834154239</v>
      </c>
      <c r="J1248" s="3">
        <f t="shared" ca="1" si="145"/>
        <v>8.5415127223101166</v>
      </c>
      <c r="P1248" s="3">
        <f t="shared" ca="1" si="146"/>
        <v>4.7149414674750929</v>
      </c>
      <c r="Q1248" s="3">
        <f t="shared" ca="1" si="147"/>
        <v>-2.2373040292748563</v>
      </c>
      <c r="R1248" s="3">
        <f t="shared" ca="1" si="148"/>
        <v>5.2188315130041989</v>
      </c>
    </row>
    <row r="1249" spans="7:18" x14ac:dyDescent="0.25">
      <c r="G1249" s="2">
        <f t="shared" ca="1" si="142"/>
        <v>0.72566549087759091</v>
      </c>
      <c r="H1249" s="3">
        <f t="shared" ca="1" si="143"/>
        <v>1</v>
      </c>
      <c r="I1249" s="3">
        <f t="shared" ca="1" si="144"/>
        <v>5.2811709768659387</v>
      </c>
      <c r="J1249" s="3">
        <f t="shared" ca="1" si="145"/>
        <v>11.49039922812295</v>
      </c>
      <c r="P1249" s="3">
        <f t="shared" ca="1" si="146"/>
        <v>4.5679065805688133</v>
      </c>
      <c r="Q1249" s="3">
        <f t="shared" ca="1" si="147"/>
        <v>4.9541538510549081</v>
      </c>
      <c r="R1249" s="3">
        <f t="shared" ca="1" si="148"/>
        <v>6.7386505257897182</v>
      </c>
    </row>
    <row r="1250" spans="7:18" x14ac:dyDescent="0.25">
      <c r="G1250" s="2">
        <f t="shared" ca="1" si="142"/>
        <v>0.29550625517574292</v>
      </c>
      <c r="H1250" s="3">
        <f t="shared" ca="1" si="143"/>
        <v>0</v>
      </c>
      <c r="I1250" s="3">
        <f t="shared" ca="1" si="144"/>
        <v>2.1950534216696029</v>
      </c>
      <c r="J1250" s="3">
        <f t="shared" ca="1" si="145"/>
        <v>7.4078563391672265</v>
      </c>
      <c r="P1250" s="3">
        <f t="shared" ca="1" si="146"/>
        <v>-4.1619038092368053</v>
      </c>
      <c r="Q1250" s="3">
        <f t="shared" ca="1" si="147"/>
        <v>1.7438480157566703</v>
      </c>
      <c r="R1250" s="3">
        <f t="shared" ca="1" si="148"/>
        <v>4.5124770602628335</v>
      </c>
    </row>
    <row r="1251" spans="7:18" x14ac:dyDescent="0.25">
      <c r="G1251" s="2">
        <f t="shared" ca="1" si="142"/>
        <v>0.72657850826729253</v>
      </c>
      <c r="H1251" s="3">
        <f t="shared" ca="1" si="143"/>
        <v>1</v>
      </c>
      <c r="I1251" s="3">
        <f t="shared" ca="1" si="144"/>
        <v>7.4058954474646841</v>
      </c>
      <c r="J1251" s="3">
        <f t="shared" ca="1" si="145"/>
        <v>13.606887454029195</v>
      </c>
      <c r="P1251" s="3">
        <f t="shared" ca="1" si="146"/>
        <v>-2.1849272192349183</v>
      </c>
      <c r="Q1251" s="3">
        <f t="shared" ca="1" si="147"/>
        <v>-2.1201593577081828</v>
      </c>
      <c r="R1251" s="3">
        <f t="shared" ca="1" si="148"/>
        <v>3.0445003950453358</v>
      </c>
    </row>
    <row r="1252" spans="7:18" x14ac:dyDescent="0.25">
      <c r="G1252" s="2">
        <f t="shared" ca="1" si="142"/>
        <v>0.75045304911261546</v>
      </c>
      <c r="H1252" s="3">
        <f t="shared" ca="1" si="143"/>
        <v>1</v>
      </c>
      <c r="I1252" s="3">
        <f t="shared" ca="1" si="144"/>
        <v>3.8089521667745112</v>
      </c>
      <c r="J1252" s="3">
        <f t="shared" ca="1" si="145"/>
        <v>9.7582685026270291</v>
      </c>
      <c r="P1252" s="3">
        <f t="shared" ca="1" si="146"/>
        <v>1.5918086174049852</v>
      </c>
      <c r="Q1252" s="3">
        <f t="shared" ca="1" si="147"/>
        <v>-3.256207507853861</v>
      </c>
      <c r="R1252" s="3">
        <f t="shared" ca="1" si="148"/>
        <v>3.6244643754144725</v>
      </c>
    </row>
    <row r="1253" spans="7:18" x14ac:dyDescent="0.25">
      <c r="G1253" s="2">
        <f t="shared" ca="1" si="142"/>
        <v>0.79640930096783369</v>
      </c>
      <c r="H1253" s="3">
        <f t="shared" ca="1" si="143"/>
        <v>1</v>
      </c>
      <c r="I1253" s="3">
        <f t="shared" ca="1" si="144"/>
        <v>3.5480529794931464</v>
      </c>
      <c r="J1253" s="3">
        <f t="shared" ca="1" si="145"/>
        <v>9.4181380584130672</v>
      </c>
      <c r="P1253" s="3">
        <f t="shared" ca="1" si="146"/>
        <v>-5.4738316377777956</v>
      </c>
      <c r="Q1253" s="3">
        <f t="shared" ca="1" si="147"/>
        <v>-6.3923416117303615</v>
      </c>
      <c r="R1253" s="3">
        <f t="shared" ca="1" si="148"/>
        <v>8.4157509516261619</v>
      </c>
    </row>
    <row r="1254" spans="7:18" x14ac:dyDescent="0.25">
      <c r="G1254" s="2">
        <f t="shared" ca="1" si="142"/>
        <v>0.71661577629124518</v>
      </c>
      <c r="H1254" s="3">
        <f t="shared" ca="1" si="143"/>
        <v>1</v>
      </c>
      <c r="I1254" s="3">
        <f t="shared" ca="1" si="144"/>
        <v>1.4975867725667116</v>
      </c>
      <c r="J1254" s="3">
        <f t="shared" ca="1" si="145"/>
        <v>6.1187963942402748</v>
      </c>
      <c r="P1254" s="3">
        <f t="shared" ca="1" si="146"/>
        <v>-8.4801350267474067</v>
      </c>
      <c r="Q1254" s="3">
        <f t="shared" ca="1" si="147"/>
        <v>-3.4890817917396819</v>
      </c>
      <c r="R1254" s="3">
        <f t="shared" ca="1" si="148"/>
        <v>9.1698626937003596</v>
      </c>
    </row>
    <row r="1255" spans="7:18" x14ac:dyDescent="0.25">
      <c r="G1255" s="2">
        <f t="shared" ca="1" si="142"/>
        <v>0.73983542958576343</v>
      </c>
      <c r="H1255" s="3">
        <f t="shared" ca="1" si="143"/>
        <v>1</v>
      </c>
      <c r="I1255" s="3">
        <f t="shared" ca="1" si="144"/>
        <v>3.5066198160165416</v>
      </c>
      <c r="J1255" s="3">
        <f t="shared" ca="1" si="145"/>
        <v>9.3629853893089852</v>
      </c>
      <c r="P1255" s="3">
        <f t="shared" ca="1" si="146"/>
        <v>-2.7706872685114492</v>
      </c>
      <c r="Q1255" s="3">
        <f t="shared" ca="1" si="147"/>
        <v>6.1017133299008517</v>
      </c>
      <c r="R1255" s="3">
        <f t="shared" ca="1" si="148"/>
        <v>6.7013143114005018</v>
      </c>
    </row>
    <row r="1256" spans="7:18" x14ac:dyDescent="0.25">
      <c r="G1256" s="2">
        <f t="shared" ca="1" si="142"/>
        <v>0.10205562890755515</v>
      </c>
      <c r="H1256" s="3">
        <f t="shared" ca="1" si="143"/>
        <v>0</v>
      </c>
      <c r="I1256" s="3">
        <f t="shared" ca="1" si="144"/>
        <v>0.30868386193575981</v>
      </c>
      <c r="J1256" s="3">
        <f t="shared" ca="1" si="145"/>
        <v>2.7779662612051275</v>
      </c>
      <c r="P1256" s="3">
        <f t="shared" ca="1" si="146"/>
        <v>-4.3301159744264393</v>
      </c>
      <c r="Q1256" s="3">
        <f t="shared" ca="1" si="147"/>
        <v>-11.194577714324851</v>
      </c>
      <c r="R1256" s="3">
        <f t="shared" ca="1" si="148"/>
        <v>12.002852767323342</v>
      </c>
    </row>
    <row r="1257" spans="7:18" x14ac:dyDescent="0.25">
      <c r="G1257" s="2">
        <f t="shared" ca="1" si="142"/>
        <v>0.87072908052981846</v>
      </c>
      <c r="H1257" s="3">
        <f t="shared" ca="1" si="143"/>
        <v>1</v>
      </c>
      <c r="I1257" s="3">
        <f t="shared" ca="1" si="144"/>
        <v>2.6473973958050965</v>
      </c>
      <c r="J1257" s="3">
        <f t="shared" ca="1" si="145"/>
        <v>8.1354123985897235</v>
      </c>
      <c r="P1257" s="3">
        <f t="shared" ca="1" si="146"/>
        <v>-5.1719634301306376</v>
      </c>
      <c r="Q1257" s="3">
        <f t="shared" ca="1" si="147"/>
        <v>-1.3653910828430218</v>
      </c>
      <c r="R1257" s="3">
        <f t="shared" ca="1" si="148"/>
        <v>5.3491586751297548</v>
      </c>
    </row>
    <row r="1258" spans="7:18" x14ac:dyDescent="0.25">
      <c r="G1258" s="2">
        <f t="shared" ca="1" si="142"/>
        <v>0.53386010317694377</v>
      </c>
      <c r="H1258" s="3">
        <f t="shared" ca="1" si="143"/>
        <v>0</v>
      </c>
      <c r="I1258" s="3">
        <f t="shared" ca="1" si="144"/>
        <v>1.9875367400428872E-2</v>
      </c>
      <c r="J1258" s="3">
        <f t="shared" ca="1" si="145"/>
        <v>0.70490012413867664</v>
      </c>
      <c r="P1258" s="3">
        <f t="shared" ca="1" si="146"/>
        <v>-0.85474480974196876</v>
      </c>
      <c r="Q1258" s="3">
        <f t="shared" ca="1" si="147"/>
        <v>0.42790183359673456</v>
      </c>
      <c r="R1258" s="3">
        <f t="shared" ca="1" si="148"/>
        <v>0.95587063401711525</v>
      </c>
    </row>
    <row r="1259" spans="7:18" x14ac:dyDescent="0.25">
      <c r="G1259" s="2">
        <f t="shared" ca="1" si="142"/>
        <v>0.95550765483769129</v>
      </c>
      <c r="H1259" s="3">
        <f t="shared" ca="1" si="143"/>
        <v>2</v>
      </c>
      <c r="I1259" s="3">
        <f t="shared" ca="1" si="144"/>
        <v>8.4647536778783117</v>
      </c>
      <c r="J1259" s="3">
        <f t="shared" ca="1" si="145"/>
        <v>14.547124868748387</v>
      </c>
      <c r="P1259" s="3">
        <f t="shared" ca="1" si="146"/>
        <v>-5.4670865725144946</v>
      </c>
      <c r="Q1259" s="3">
        <f t="shared" ca="1" si="147"/>
        <v>-8.598036827812221</v>
      </c>
      <c r="R1259" s="3">
        <f t="shared" ca="1" si="148"/>
        <v>10.188978009780152</v>
      </c>
    </row>
    <row r="1260" spans="7:18" x14ac:dyDescent="0.25">
      <c r="G1260" s="2">
        <f t="shared" ca="1" si="142"/>
        <v>0.62881871291090186</v>
      </c>
      <c r="H1260" s="3">
        <f t="shared" ca="1" si="143"/>
        <v>1</v>
      </c>
      <c r="I1260" s="3">
        <f t="shared" ca="1" si="144"/>
        <v>4.1798922410099912</v>
      </c>
      <c r="J1260" s="3">
        <f t="shared" ca="1" si="145"/>
        <v>10.222392382669028</v>
      </c>
      <c r="P1260" s="3">
        <f t="shared" ca="1" si="146"/>
        <v>-12.629232362542096</v>
      </c>
      <c r="Q1260" s="3">
        <f t="shared" ca="1" si="147"/>
        <v>6.1719023924722336</v>
      </c>
      <c r="R1260" s="3">
        <f t="shared" ca="1" si="148"/>
        <v>14.056667073288928</v>
      </c>
    </row>
    <row r="1261" spans="7:18" x14ac:dyDescent="0.25">
      <c r="G1261" s="2">
        <f t="shared" ca="1" si="142"/>
        <v>0.60737286651895894</v>
      </c>
      <c r="H1261" s="3">
        <f t="shared" ca="1" si="143"/>
        <v>1</v>
      </c>
      <c r="I1261" s="3">
        <f t="shared" ca="1" si="144"/>
        <v>7.4149926271930919</v>
      </c>
      <c r="J1261" s="3">
        <f t="shared" ca="1" si="145"/>
        <v>13.615242035300998</v>
      </c>
      <c r="P1261" s="3">
        <f t="shared" ca="1" si="146"/>
        <v>-2.7417894865372854</v>
      </c>
      <c r="Q1261" s="3">
        <f t="shared" ca="1" si="147"/>
        <v>1.6496756519623792</v>
      </c>
      <c r="R1261" s="3">
        <f t="shared" ca="1" si="148"/>
        <v>3.1998186425427133</v>
      </c>
    </row>
    <row r="1262" spans="7:18" x14ac:dyDescent="0.25">
      <c r="G1262" s="2">
        <f t="shared" ca="1" si="142"/>
        <v>0.36926945080076112</v>
      </c>
      <c r="H1262" s="3">
        <f t="shared" ca="1" si="143"/>
        <v>0</v>
      </c>
      <c r="I1262" s="3">
        <f t="shared" ca="1" si="144"/>
        <v>9.3371850270118142E-3</v>
      </c>
      <c r="J1262" s="3">
        <f t="shared" ca="1" si="145"/>
        <v>0.4831455533017926</v>
      </c>
      <c r="P1262" s="3">
        <f t="shared" ca="1" si="146"/>
        <v>-10.621339240811674</v>
      </c>
      <c r="Q1262" s="3">
        <f t="shared" ca="1" si="147"/>
        <v>-1.175509721735432</v>
      </c>
      <c r="R1262" s="3">
        <f t="shared" ca="1" si="148"/>
        <v>10.686190639058449</v>
      </c>
    </row>
    <row r="1263" spans="7:18" x14ac:dyDescent="0.25">
      <c r="G1263" s="2">
        <f t="shared" ca="1" si="142"/>
        <v>0.84218393078381626</v>
      </c>
      <c r="H1263" s="3">
        <f t="shared" ca="1" si="143"/>
        <v>1</v>
      </c>
      <c r="I1263" s="3">
        <f t="shared" ca="1" si="144"/>
        <v>1.6950847698672125</v>
      </c>
      <c r="J1263" s="3">
        <f t="shared" ca="1" si="145"/>
        <v>6.509771059467476</v>
      </c>
      <c r="P1263" s="3">
        <f t="shared" ca="1" si="146"/>
        <v>1.9479056812009086</v>
      </c>
      <c r="Q1263" s="3">
        <f t="shared" ca="1" si="147"/>
        <v>-10.436978410549415</v>
      </c>
      <c r="R1263" s="3">
        <f t="shared" ca="1" si="148"/>
        <v>10.617196187559564</v>
      </c>
    </row>
    <row r="1264" spans="7:18" x14ac:dyDescent="0.25">
      <c r="G1264" s="2">
        <f t="shared" ca="1" si="142"/>
        <v>0.66124734553400899</v>
      </c>
      <c r="H1264" s="3">
        <f t="shared" ca="1" si="143"/>
        <v>1</v>
      </c>
      <c r="I1264" s="3">
        <f t="shared" ca="1" si="144"/>
        <v>0.93395172800163562</v>
      </c>
      <c r="J1264" s="3">
        <f t="shared" ca="1" si="145"/>
        <v>4.8320588986518871</v>
      </c>
      <c r="P1264" s="3">
        <f t="shared" ca="1" si="146"/>
        <v>-11.632319692632745</v>
      </c>
      <c r="Q1264" s="3">
        <f t="shared" ca="1" si="147"/>
        <v>-2.7023024516434848</v>
      </c>
      <c r="R1264" s="3">
        <f t="shared" ca="1" si="148"/>
        <v>11.942081056992116</v>
      </c>
    </row>
    <row r="1265" spans="7:18" x14ac:dyDescent="0.25">
      <c r="G1265" s="2">
        <f t="shared" ca="1" si="142"/>
        <v>0.27476347179450911</v>
      </c>
      <c r="H1265" s="3">
        <f t="shared" ca="1" si="143"/>
        <v>0</v>
      </c>
      <c r="I1265" s="3">
        <f t="shared" ca="1" si="144"/>
        <v>1.9227352514525939</v>
      </c>
      <c r="J1265" s="3">
        <f t="shared" ca="1" si="145"/>
        <v>6.9331364681733216</v>
      </c>
      <c r="P1265" s="3">
        <f t="shared" ca="1" si="146"/>
        <v>-9.0297583840199955</v>
      </c>
      <c r="Q1265" s="3">
        <f t="shared" ca="1" si="147"/>
        <v>7.3549775263987325</v>
      </c>
      <c r="R1265" s="3">
        <f t="shared" ca="1" si="148"/>
        <v>11.646125144768529</v>
      </c>
    </row>
    <row r="1266" spans="7:18" x14ac:dyDescent="0.25">
      <c r="G1266" s="2">
        <f t="shared" ca="1" si="142"/>
        <v>0.88765053188872822</v>
      </c>
      <c r="H1266" s="3">
        <f t="shared" ca="1" si="143"/>
        <v>1</v>
      </c>
      <c r="I1266" s="3">
        <f t="shared" ca="1" si="144"/>
        <v>9.2222374160620273</v>
      </c>
      <c r="J1266" s="3">
        <f t="shared" ca="1" si="145"/>
        <v>15.184068473289717</v>
      </c>
      <c r="P1266" s="3">
        <f t="shared" ca="1" si="146"/>
        <v>-1.8934729007003654</v>
      </c>
      <c r="Q1266" s="3">
        <f t="shared" ca="1" si="147"/>
        <v>8.2698195806689281</v>
      </c>
      <c r="R1266" s="3">
        <f t="shared" ca="1" si="148"/>
        <v>8.4838172730500201</v>
      </c>
    </row>
    <row r="1267" spans="7:18" x14ac:dyDescent="0.25">
      <c r="G1267" s="2">
        <f t="shared" ca="1" si="142"/>
        <v>0.24588381258152603</v>
      </c>
      <c r="H1267" s="3">
        <f t="shared" ca="1" si="143"/>
        <v>0</v>
      </c>
      <c r="I1267" s="3">
        <f t="shared" ca="1" si="144"/>
        <v>0.46814490045527463</v>
      </c>
      <c r="J1267" s="3">
        <f t="shared" ca="1" si="145"/>
        <v>3.4210557597592395</v>
      </c>
      <c r="P1267" s="3">
        <f t="shared" ca="1" si="146"/>
        <v>-2.2788581864855435</v>
      </c>
      <c r="Q1267" s="3">
        <f t="shared" ca="1" si="147"/>
        <v>1.4769325016135315</v>
      </c>
      <c r="R1267" s="3">
        <f t="shared" ca="1" si="148"/>
        <v>2.7156075284242722</v>
      </c>
    </row>
    <row r="1268" spans="7:18" x14ac:dyDescent="0.25">
      <c r="G1268" s="2">
        <f t="shared" ca="1" si="142"/>
        <v>0.50759326550311856</v>
      </c>
      <c r="H1268" s="3">
        <f t="shared" ca="1" si="143"/>
        <v>0</v>
      </c>
      <c r="I1268" s="3">
        <f t="shared" ca="1" si="144"/>
        <v>0.97160005238813163</v>
      </c>
      <c r="J1268" s="3">
        <f t="shared" ca="1" si="145"/>
        <v>4.9284887450113235</v>
      </c>
      <c r="P1268" s="3">
        <f t="shared" ca="1" si="146"/>
        <v>-4.8725165055563977</v>
      </c>
      <c r="Q1268" s="3">
        <f t="shared" ca="1" si="147"/>
        <v>3.7976988799009441</v>
      </c>
      <c r="R1268" s="3">
        <f t="shared" ca="1" si="148"/>
        <v>6.1776964865004835</v>
      </c>
    </row>
    <row r="1269" spans="7:18" x14ac:dyDescent="0.25">
      <c r="G1269" s="2">
        <f t="shared" ca="1" si="142"/>
        <v>0.9858719101909762</v>
      </c>
      <c r="H1269" s="3">
        <f t="shared" ca="1" si="143"/>
        <v>3</v>
      </c>
      <c r="I1269" s="3">
        <f t="shared" ca="1" si="144"/>
        <v>5.4284649633080226</v>
      </c>
      <c r="J1269" s="3">
        <f t="shared" ca="1" si="145"/>
        <v>11.649533213081998</v>
      </c>
      <c r="P1269" s="3">
        <f t="shared" ca="1" si="146"/>
        <v>-9.743781285816409</v>
      </c>
      <c r="Q1269" s="3">
        <f t="shared" ca="1" si="147"/>
        <v>6.2648634911990904</v>
      </c>
      <c r="R1269" s="3">
        <f t="shared" ca="1" si="148"/>
        <v>11.584031608606104</v>
      </c>
    </row>
    <row r="1270" spans="7:18" x14ac:dyDescent="0.25">
      <c r="G1270" s="2">
        <f t="shared" ca="1" si="142"/>
        <v>0.88978876848458777</v>
      </c>
      <c r="H1270" s="3">
        <f t="shared" ca="1" si="143"/>
        <v>1</v>
      </c>
      <c r="I1270" s="3">
        <f t="shared" ca="1" si="144"/>
        <v>2.4554568185964087</v>
      </c>
      <c r="J1270" s="3">
        <f t="shared" ca="1" si="145"/>
        <v>7.8349486574520846</v>
      </c>
      <c r="P1270" s="3">
        <f t="shared" ca="1" si="146"/>
        <v>-2.9736075179891226</v>
      </c>
      <c r="Q1270" s="3">
        <f t="shared" ca="1" si="147"/>
        <v>-0.90623703828440638</v>
      </c>
      <c r="R1270" s="3">
        <f t="shared" ca="1" si="148"/>
        <v>3.1086343047389673</v>
      </c>
    </row>
    <row r="1271" spans="7:18" x14ac:dyDescent="0.25">
      <c r="G1271" s="2">
        <f t="shared" ca="1" si="142"/>
        <v>6.7109903838828311E-2</v>
      </c>
      <c r="H1271" s="3">
        <f t="shared" ca="1" si="143"/>
        <v>0</v>
      </c>
      <c r="I1271" s="3">
        <f t="shared" ca="1" si="144"/>
        <v>0.91768612037044783</v>
      </c>
      <c r="J1271" s="3">
        <f t="shared" ca="1" si="145"/>
        <v>4.789796760746869</v>
      </c>
      <c r="P1271" s="3">
        <f t="shared" ca="1" si="146"/>
        <v>-3.640224742193273</v>
      </c>
      <c r="Q1271" s="3">
        <f t="shared" ca="1" si="147"/>
        <v>3.507482532275974</v>
      </c>
      <c r="R1271" s="3">
        <f t="shared" ca="1" si="148"/>
        <v>5.0550637867288239</v>
      </c>
    </row>
    <row r="1272" spans="7:18" x14ac:dyDescent="0.25">
      <c r="G1272" s="2">
        <f t="shared" ca="1" si="142"/>
        <v>0.76494534378835077</v>
      </c>
      <c r="H1272" s="3">
        <f t="shared" ca="1" si="143"/>
        <v>1</v>
      </c>
      <c r="I1272" s="3">
        <f t="shared" ca="1" si="144"/>
        <v>5.4285316184473844</v>
      </c>
      <c r="J1272" s="3">
        <f t="shared" ca="1" si="145"/>
        <v>11.649604734118004</v>
      </c>
      <c r="P1272" s="3">
        <f t="shared" ca="1" si="146"/>
        <v>-9.4176555122114536</v>
      </c>
      <c r="Q1272" s="3">
        <f t="shared" ca="1" si="147"/>
        <v>-2.1659939759278499</v>
      </c>
      <c r="R1272" s="3">
        <f t="shared" ca="1" si="148"/>
        <v>9.6635275779832348</v>
      </c>
    </row>
    <row r="1273" spans="7:18" x14ac:dyDescent="0.25">
      <c r="G1273" s="2">
        <f t="shared" ca="1" si="142"/>
        <v>0.41136932071271481</v>
      </c>
      <c r="H1273" s="3">
        <f t="shared" ca="1" si="143"/>
        <v>0</v>
      </c>
      <c r="I1273" s="3">
        <f t="shared" ca="1" si="144"/>
        <v>3.6481531962229023E-2</v>
      </c>
      <c r="J1273" s="3">
        <f t="shared" ca="1" si="145"/>
        <v>0.95500696283101816</v>
      </c>
      <c r="P1273" s="3">
        <f t="shared" ca="1" si="146"/>
        <v>-9.2000884182184777</v>
      </c>
      <c r="Q1273" s="3">
        <f t="shared" ca="1" si="147"/>
        <v>0.26066421786578514</v>
      </c>
      <c r="R1273" s="3">
        <f t="shared" ca="1" si="148"/>
        <v>9.2037803503513356</v>
      </c>
    </row>
    <row r="1274" spans="7:18" x14ac:dyDescent="0.25">
      <c r="G1274" s="2">
        <f t="shared" ca="1" si="142"/>
        <v>0.72058410403587525</v>
      </c>
      <c r="H1274" s="3">
        <f t="shared" ca="1" si="143"/>
        <v>1</v>
      </c>
      <c r="I1274" s="3">
        <f t="shared" ca="1" si="144"/>
        <v>9.1180412074459483</v>
      </c>
      <c r="J1274" s="3">
        <f t="shared" ca="1" si="145"/>
        <v>15.098047230888792</v>
      </c>
      <c r="P1274" s="3">
        <f t="shared" ca="1" si="146"/>
        <v>-4.933016159771654</v>
      </c>
      <c r="Q1274" s="3">
        <f t="shared" ca="1" si="147"/>
        <v>-1.3468462028292212</v>
      </c>
      <c r="R1274" s="3">
        <f t="shared" ca="1" si="148"/>
        <v>5.1135743982701349</v>
      </c>
    </row>
    <row r="1275" spans="7:18" x14ac:dyDescent="0.25">
      <c r="G1275" s="2">
        <f t="shared" ca="1" si="142"/>
        <v>0.50611244191737192</v>
      </c>
      <c r="H1275" s="3">
        <f t="shared" ca="1" si="143"/>
        <v>0</v>
      </c>
      <c r="I1275" s="3">
        <f t="shared" ca="1" si="144"/>
        <v>3.3423355758102034</v>
      </c>
      <c r="J1275" s="3">
        <f t="shared" ca="1" si="145"/>
        <v>9.1410278084718186</v>
      </c>
      <c r="P1275" s="3">
        <f t="shared" ca="1" si="146"/>
        <v>-3.6292369369224544</v>
      </c>
      <c r="Q1275" s="3">
        <f t="shared" ca="1" si="147"/>
        <v>-0.90190545296112079</v>
      </c>
      <c r="R1275" s="3">
        <f t="shared" ca="1" si="148"/>
        <v>3.7396248729522705</v>
      </c>
    </row>
    <row r="1276" spans="7:18" x14ac:dyDescent="0.25">
      <c r="G1276" s="2">
        <f t="shared" ca="1" si="142"/>
        <v>0.19108476859221857</v>
      </c>
      <c r="H1276" s="3">
        <f t="shared" ca="1" si="143"/>
        <v>0</v>
      </c>
      <c r="I1276" s="3">
        <f t="shared" ca="1" si="144"/>
        <v>3.8031959587372137</v>
      </c>
      <c r="J1276" s="3">
        <f t="shared" ca="1" si="145"/>
        <v>9.7508922139684397</v>
      </c>
      <c r="P1276" s="3">
        <f t="shared" ca="1" si="146"/>
        <v>-2.5477489656552694</v>
      </c>
      <c r="Q1276" s="3">
        <f t="shared" ca="1" si="147"/>
        <v>-7.7677750201898643</v>
      </c>
      <c r="R1276" s="3">
        <f t="shared" ca="1" si="148"/>
        <v>8.1749222354884292</v>
      </c>
    </row>
    <row r="1277" spans="7:18" x14ac:dyDescent="0.25">
      <c r="G1277" s="2">
        <f t="shared" ca="1" si="142"/>
        <v>0.524492177589028</v>
      </c>
      <c r="H1277" s="3">
        <f t="shared" ca="1" si="143"/>
        <v>0</v>
      </c>
      <c r="I1277" s="3">
        <f t="shared" ca="1" si="144"/>
        <v>0.72778384772606231</v>
      </c>
      <c r="J1277" s="3">
        <f t="shared" ca="1" si="145"/>
        <v>4.265512418590709</v>
      </c>
      <c r="P1277" s="3">
        <f t="shared" ca="1" si="146"/>
        <v>-2.6527992973625354</v>
      </c>
      <c r="Q1277" s="3">
        <f t="shared" ca="1" si="147"/>
        <v>2.3506338307901262</v>
      </c>
      <c r="R1277" s="3">
        <f t="shared" ca="1" si="148"/>
        <v>3.5444073578727129</v>
      </c>
    </row>
    <row r="1278" spans="7:18" x14ac:dyDescent="0.25">
      <c r="G1278" s="2">
        <f t="shared" ca="1" si="142"/>
        <v>0.60662123292319159</v>
      </c>
      <c r="H1278" s="3">
        <f t="shared" ca="1" si="143"/>
        <v>1</v>
      </c>
      <c r="I1278" s="3">
        <f t="shared" ca="1" si="144"/>
        <v>5.5082673719872348</v>
      </c>
      <c r="J1278" s="3">
        <f t="shared" ca="1" si="145"/>
        <v>11.734849138343487</v>
      </c>
      <c r="P1278" s="3">
        <f t="shared" ca="1" si="146"/>
        <v>-9.1127794297129547</v>
      </c>
      <c r="Q1278" s="3">
        <f t="shared" ca="1" si="147"/>
        <v>0.10154798371430206</v>
      </c>
      <c r="R1278" s="3">
        <f t="shared" ca="1" si="148"/>
        <v>9.113345210601647</v>
      </c>
    </row>
    <row r="1279" spans="7:18" x14ac:dyDescent="0.25">
      <c r="G1279" s="2">
        <f t="shared" ca="1" si="142"/>
        <v>0.88746768859714431</v>
      </c>
      <c r="H1279" s="3">
        <f t="shared" ca="1" si="143"/>
        <v>1</v>
      </c>
      <c r="I1279" s="3">
        <f t="shared" ca="1" si="144"/>
        <v>1.9158306495484738</v>
      </c>
      <c r="J1279" s="3">
        <f t="shared" ca="1" si="145"/>
        <v>6.9206767182633122</v>
      </c>
      <c r="P1279" s="3">
        <f t="shared" ca="1" si="146"/>
        <v>-4.1898006667585026</v>
      </c>
      <c r="Q1279" s="3">
        <f t="shared" ca="1" si="147"/>
        <v>6.5515827327998855</v>
      </c>
      <c r="R1279" s="3">
        <f t="shared" ca="1" si="148"/>
        <v>7.7767387722548333</v>
      </c>
    </row>
    <row r="1280" spans="7:18" x14ac:dyDescent="0.25">
      <c r="G1280" s="2">
        <f t="shared" ca="1" si="142"/>
        <v>0.94971898753203832</v>
      </c>
      <c r="H1280" s="3">
        <f t="shared" ca="1" si="143"/>
        <v>2</v>
      </c>
      <c r="I1280" s="3">
        <f t="shared" ca="1" si="144"/>
        <v>2.114548334756349</v>
      </c>
      <c r="J1280" s="3">
        <f t="shared" ca="1" si="145"/>
        <v>7.2707433161203481</v>
      </c>
      <c r="P1280" s="3">
        <f t="shared" ca="1" si="146"/>
        <v>-7.758321112715552</v>
      </c>
      <c r="Q1280" s="3">
        <f t="shared" ca="1" si="147"/>
        <v>5.9686271640884732</v>
      </c>
      <c r="R1280" s="3">
        <f t="shared" ca="1" si="148"/>
        <v>9.7885676537429465</v>
      </c>
    </row>
    <row r="1281" spans="7:18" x14ac:dyDescent="0.25">
      <c r="G1281" s="2">
        <f t="shared" ca="1" si="142"/>
        <v>0.74895145601894808</v>
      </c>
      <c r="H1281" s="3">
        <f t="shared" ca="1" si="143"/>
        <v>1</v>
      </c>
      <c r="I1281" s="3">
        <f t="shared" ca="1" si="144"/>
        <v>4.9904089390798028</v>
      </c>
      <c r="J1281" s="3">
        <f t="shared" ca="1" si="145"/>
        <v>11.169611608153396</v>
      </c>
      <c r="P1281" s="3">
        <f t="shared" ca="1" si="146"/>
        <v>3.8566721025563382</v>
      </c>
      <c r="Q1281" s="3">
        <f t="shared" ca="1" si="147"/>
        <v>8.9540168850147381</v>
      </c>
      <c r="R1281" s="3">
        <f t="shared" ca="1" si="148"/>
        <v>9.7492737208350739</v>
      </c>
    </row>
    <row r="1282" spans="7:18" x14ac:dyDescent="0.25">
      <c r="G1282" s="2">
        <f t="shared" ca="1" si="142"/>
        <v>0.85062137913615443</v>
      </c>
      <c r="H1282" s="3">
        <f t="shared" ca="1" si="143"/>
        <v>1</v>
      </c>
      <c r="I1282" s="3">
        <f t="shared" ca="1" si="144"/>
        <v>4.1802010366966371</v>
      </c>
      <c r="J1282" s="3">
        <f t="shared" ca="1" si="145"/>
        <v>10.222769972831038</v>
      </c>
      <c r="P1282" s="3">
        <f t="shared" ca="1" si="146"/>
        <v>0.71583751682981145</v>
      </c>
      <c r="Q1282" s="3">
        <f t="shared" ca="1" si="147"/>
        <v>-9.7099363256659892</v>
      </c>
      <c r="R1282" s="3">
        <f t="shared" ca="1" si="148"/>
        <v>9.7362871156816748</v>
      </c>
    </row>
    <row r="1283" spans="7:18" x14ac:dyDescent="0.25">
      <c r="G1283" s="2">
        <f t="shared" ca="1" si="142"/>
        <v>0.52211682719022556</v>
      </c>
      <c r="H1283" s="3">
        <f t="shared" ca="1" si="143"/>
        <v>0</v>
      </c>
      <c r="I1283" s="3">
        <f t="shared" ca="1" si="144"/>
        <v>0.88235861588546616</v>
      </c>
      <c r="J1283" s="3">
        <f t="shared" ca="1" si="145"/>
        <v>4.6966972860869642</v>
      </c>
      <c r="P1283" s="3">
        <f t="shared" ca="1" si="146"/>
        <v>7.7003970203463723E-2</v>
      </c>
      <c r="Q1283" s="3">
        <f t="shared" ca="1" si="147"/>
        <v>-5.8149196846081415</v>
      </c>
      <c r="R1283" s="3">
        <f t="shared" ca="1" si="148"/>
        <v>5.8154295241082874</v>
      </c>
    </row>
    <row r="1284" spans="7:18" x14ac:dyDescent="0.25">
      <c r="G1284" s="2">
        <f t="shared" ref="G1284:G1347" ca="1" si="149">RAND()</f>
        <v>0.11480463982982503</v>
      </c>
      <c r="H1284" s="3">
        <f t="shared" ref="H1284:H1347" ca="1" si="150">VLOOKUP(G1284,$B$9:$C$169,2,TRUE)</f>
        <v>0</v>
      </c>
      <c r="I1284" s="3">
        <f t="shared" ref="I1284:I1347" ca="1" si="151">_xlfn.CHISQ.INV(RAND(),2*H1284+2)</f>
        <v>0.93667253466495259</v>
      </c>
      <c r="J1284" s="3">
        <f t="shared" ref="J1284:J1347" ca="1" si="152">$C$4*SQRT(I1284)</f>
        <v>4.8390922048069935</v>
      </c>
      <c r="P1284" s="3">
        <f t="shared" ref="P1284:P1347" ca="1" si="153">_xlfn.NORM.INV(RAND(),$C$3*COS($O$2),$C$4)</f>
        <v>-3.4597933326689079</v>
      </c>
      <c r="Q1284" s="3">
        <f t="shared" ref="Q1284:Q1347" ca="1" si="154">_xlfn.NORM.INV(RAND(),$C$3*SIN($O$2),$C$4)</f>
        <v>-6.3665175414886805</v>
      </c>
      <c r="R1284" s="3">
        <f t="shared" ref="R1284:R1347" ca="1" si="155">SQRT(P1284^2+Q1284^2)</f>
        <v>7.2458757587239448</v>
      </c>
    </row>
    <row r="1285" spans="7:18" x14ac:dyDescent="0.25">
      <c r="G1285" s="2">
        <f t="shared" ca="1" si="149"/>
        <v>0.13491995135026824</v>
      </c>
      <c r="H1285" s="3">
        <f t="shared" ca="1" si="150"/>
        <v>0</v>
      </c>
      <c r="I1285" s="3">
        <f t="shared" ca="1" si="151"/>
        <v>0.9198583466432283</v>
      </c>
      <c r="J1285" s="3">
        <f t="shared" ca="1" si="152"/>
        <v>4.7954622995161484</v>
      </c>
      <c r="P1285" s="3">
        <f t="shared" ca="1" si="153"/>
        <v>-0.68344323626395553</v>
      </c>
      <c r="Q1285" s="3">
        <f t="shared" ca="1" si="154"/>
        <v>0.61231631400003317</v>
      </c>
      <c r="R1285" s="3">
        <f t="shared" ca="1" si="155"/>
        <v>0.91761970640649182</v>
      </c>
    </row>
    <row r="1286" spans="7:18" x14ac:dyDescent="0.25">
      <c r="G1286" s="2">
        <f t="shared" ca="1" si="149"/>
        <v>0.8602446465962108</v>
      </c>
      <c r="H1286" s="3">
        <f t="shared" ca="1" si="150"/>
        <v>1</v>
      </c>
      <c r="I1286" s="3">
        <f t="shared" ca="1" si="151"/>
        <v>3.0241784003433088</v>
      </c>
      <c r="J1286" s="3">
        <f t="shared" ca="1" si="152"/>
        <v>8.695082518790878</v>
      </c>
      <c r="P1286" s="3">
        <f t="shared" ca="1" si="153"/>
        <v>-2.7222659196202459</v>
      </c>
      <c r="Q1286" s="3">
        <f t="shared" ca="1" si="154"/>
        <v>-4.5212258705503663</v>
      </c>
      <c r="R1286" s="3">
        <f t="shared" ca="1" si="155"/>
        <v>5.2775197877089743</v>
      </c>
    </row>
    <row r="1287" spans="7:18" x14ac:dyDescent="0.25">
      <c r="G1287" s="2">
        <f t="shared" ca="1" si="149"/>
        <v>0.1829716595857418</v>
      </c>
      <c r="H1287" s="3">
        <f t="shared" ca="1" si="150"/>
        <v>0</v>
      </c>
      <c r="I1287" s="3">
        <f t="shared" ca="1" si="151"/>
        <v>9.5999797743067924E-2</v>
      </c>
      <c r="J1287" s="3">
        <f t="shared" ca="1" si="152"/>
        <v>1.5491917065285037</v>
      </c>
      <c r="P1287" s="3">
        <f t="shared" ca="1" si="153"/>
        <v>-6.581756433958085</v>
      </c>
      <c r="Q1287" s="3">
        <f t="shared" ca="1" si="154"/>
        <v>8.4521510985650927</v>
      </c>
      <c r="R1287" s="3">
        <f t="shared" ca="1" si="155"/>
        <v>10.712533591495699</v>
      </c>
    </row>
    <row r="1288" spans="7:18" x14ac:dyDescent="0.25">
      <c r="G1288" s="2">
        <f t="shared" ca="1" si="149"/>
        <v>0.92707425770716823</v>
      </c>
      <c r="H1288" s="3">
        <f t="shared" ca="1" si="150"/>
        <v>2</v>
      </c>
      <c r="I1288" s="3">
        <f t="shared" ca="1" si="151"/>
        <v>3.5382710004859654</v>
      </c>
      <c r="J1288" s="3">
        <f t="shared" ca="1" si="152"/>
        <v>9.4051461983399882</v>
      </c>
      <c r="P1288" s="3">
        <f t="shared" ca="1" si="153"/>
        <v>-9.5728183854163973</v>
      </c>
      <c r="Q1288" s="3">
        <f t="shared" ca="1" si="154"/>
        <v>-3.5399885653623913</v>
      </c>
      <c r="R1288" s="3">
        <f t="shared" ca="1" si="155"/>
        <v>10.206388728784667</v>
      </c>
    </row>
    <row r="1289" spans="7:18" x14ac:dyDescent="0.25">
      <c r="G1289" s="2">
        <f t="shared" ca="1" si="149"/>
        <v>0.90774183138174125</v>
      </c>
      <c r="H1289" s="3">
        <f t="shared" ca="1" si="150"/>
        <v>1</v>
      </c>
      <c r="I1289" s="3">
        <f t="shared" ca="1" si="151"/>
        <v>2.3837356554890525</v>
      </c>
      <c r="J1289" s="3">
        <f t="shared" ca="1" si="152"/>
        <v>7.7196756011652656</v>
      </c>
      <c r="P1289" s="3">
        <f t="shared" ca="1" si="153"/>
        <v>-3.4376943826379467</v>
      </c>
      <c r="Q1289" s="3">
        <f t="shared" ca="1" si="154"/>
        <v>-6.2046966258340923</v>
      </c>
      <c r="R1289" s="3">
        <f t="shared" ca="1" si="155"/>
        <v>7.0933773963505891</v>
      </c>
    </row>
    <row r="1290" spans="7:18" x14ac:dyDescent="0.25">
      <c r="G1290" s="2">
        <f t="shared" ca="1" si="149"/>
        <v>0.2852697113498337</v>
      </c>
      <c r="H1290" s="3">
        <f t="shared" ca="1" si="150"/>
        <v>0</v>
      </c>
      <c r="I1290" s="3">
        <f t="shared" ca="1" si="151"/>
        <v>1.9888024033999221</v>
      </c>
      <c r="J1290" s="3">
        <f t="shared" ca="1" si="152"/>
        <v>7.0512452861177692</v>
      </c>
      <c r="P1290" s="3">
        <f t="shared" ca="1" si="153"/>
        <v>3.4791931302620043</v>
      </c>
      <c r="Q1290" s="3">
        <f t="shared" ca="1" si="154"/>
        <v>-4.082671628101318</v>
      </c>
      <c r="R1290" s="3">
        <f t="shared" ca="1" si="155"/>
        <v>5.3640462768851824</v>
      </c>
    </row>
    <row r="1291" spans="7:18" x14ac:dyDescent="0.25">
      <c r="G1291" s="2">
        <f t="shared" ca="1" si="149"/>
        <v>9.5967831639509837E-2</v>
      </c>
      <c r="H1291" s="3">
        <f t="shared" ca="1" si="150"/>
        <v>0</v>
      </c>
      <c r="I1291" s="3">
        <f t="shared" ca="1" si="151"/>
        <v>2.6488202633138589</v>
      </c>
      <c r="J1291" s="3">
        <f t="shared" ca="1" si="152"/>
        <v>8.1375983301491654</v>
      </c>
      <c r="P1291" s="3">
        <f t="shared" ca="1" si="153"/>
        <v>-15.934916852947065</v>
      </c>
      <c r="Q1291" s="3">
        <f t="shared" ca="1" si="154"/>
        <v>4.2767723181679438</v>
      </c>
      <c r="R1291" s="3">
        <f t="shared" ca="1" si="155"/>
        <v>16.498859250620448</v>
      </c>
    </row>
    <row r="1292" spans="7:18" x14ac:dyDescent="0.25">
      <c r="G1292" s="2">
        <f t="shared" ca="1" si="149"/>
        <v>0.42328022816763744</v>
      </c>
      <c r="H1292" s="3">
        <f t="shared" ca="1" si="150"/>
        <v>0</v>
      </c>
      <c r="I1292" s="3">
        <f t="shared" ca="1" si="151"/>
        <v>4.8414878170879243</v>
      </c>
      <c r="J1292" s="3">
        <f t="shared" ca="1" si="152"/>
        <v>11.00169057132576</v>
      </c>
      <c r="P1292" s="3">
        <f t="shared" ca="1" si="153"/>
        <v>-5.6508280668242428</v>
      </c>
      <c r="Q1292" s="3">
        <f t="shared" ca="1" si="154"/>
        <v>9.498802074321155</v>
      </c>
      <c r="R1292" s="3">
        <f t="shared" ca="1" si="155"/>
        <v>11.052560729891352</v>
      </c>
    </row>
    <row r="1293" spans="7:18" x14ac:dyDescent="0.25">
      <c r="G1293" s="2">
        <f t="shared" ca="1" si="149"/>
        <v>0.85291944711331902</v>
      </c>
      <c r="H1293" s="3">
        <f t="shared" ca="1" si="150"/>
        <v>1</v>
      </c>
      <c r="I1293" s="3">
        <f t="shared" ca="1" si="151"/>
        <v>0.43542310671028472</v>
      </c>
      <c r="J1293" s="3">
        <f t="shared" ca="1" si="152"/>
        <v>3.2993298816209817</v>
      </c>
      <c r="P1293" s="3">
        <f t="shared" ca="1" si="153"/>
        <v>-3.6540248093321894</v>
      </c>
      <c r="Q1293" s="3">
        <f t="shared" ca="1" si="154"/>
        <v>4.6960051730863395</v>
      </c>
      <c r="R1293" s="3">
        <f t="shared" ca="1" si="155"/>
        <v>5.9501564595285057</v>
      </c>
    </row>
    <row r="1294" spans="7:18" x14ac:dyDescent="0.25">
      <c r="G1294" s="2">
        <f t="shared" ca="1" si="149"/>
        <v>0.88650411535146179</v>
      </c>
      <c r="H1294" s="3">
        <f t="shared" ca="1" si="150"/>
        <v>1</v>
      </c>
      <c r="I1294" s="3">
        <f t="shared" ca="1" si="151"/>
        <v>1.2853843437054788</v>
      </c>
      <c r="J1294" s="3">
        <f t="shared" ca="1" si="152"/>
        <v>5.6687395947103596</v>
      </c>
      <c r="P1294" s="3">
        <f t="shared" ca="1" si="153"/>
        <v>-4.4950322027172795</v>
      </c>
      <c r="Q1294" s="3">
        <f t="shared" ca="1" si="154"/>
        <v>-2.953408508122966</v>
      </c>
      <c r="R1294" s="3">
        <f t="shared" ca="1" si="155"/>
        <v>5.3784697005113342</v>
      </c>
    </row>
    <row r="1295" spans="7:18" x14ac:dyDescent="0.25">
      <c r="G1295" s="2">
        <f t="shared" ca="1" si="149"/>
        <v>0.17346901299602291</v>
      </c>
      <c r="H1295" s="3">
        <f t="shared" ca="1" si="150"/>
        <v>0</v>
      </c>
      <c r="I1295" s="3">
        <f t="shared" ca="1" si="151"/>
        <v>3.5936345552136157</v>
      </c>
      <c r="J1295" s="3">
        <f t="shared" ca="1" si="152"/>
        <v>9.4784420597659604</v>
      </c>
      <c r="P1295" s="3">
        <f t="shared" ca="1" si="153"/>
        <v>-3.7634620863229653</v>
      </c>
      <c r="Q1295" s="3">
        <f t="shared" ca="1" si="154"/>
        <v>3.0023172053876754</v>
      </c>
      <c r="R1295" s="3">
        <f t="shared" ca="1" si="155"/>
        <v>4.814307372505132</v>
      </c>
    </row>
    <row r="1296" spans="7:18" x14ac:dyDescent="0.25">
      <c r="G1296" s="2">
        <f t="shared" ca="1" si="149"/>
        <v>0.64170362256294089</v>
      </c>
      <c r="H1296" s="3">
        <f t="shared" ca="1" si="150"/>
        <v>1</v>
      </c>
      <c r="I1296" s="3">
        <f t="shared" ca="1" si="151"/>
        <v>9.5130176995898754</v>
      </c>
      <c r="J1296" s="3">
        <f t="shared" ca="1" si="152"/>
        <v>15.421590141413656</v>
      </c>
      <c r="P1296" s="3">
        <f t="shared" ca="1" si="153"/>
        <v>-6.6902070700019793</v>
      </c>
      <c r="Q1296" s="3">
        <f t="shared" ca="1" si="154"/>
        <v>1.6151062112029402</v>
      </c>
      <c r="R1296" s="3">
        <f t="shared" ca="1" si="155"/>
        <v>6.8824006504250237</v>
      </c>
    </row>
    <row r="1297" spans="7:18" x14ac:dyDescent="0.25">
      <c r="G1297" s="2">
        <f t="shared" ca="1" si="149"/>
        <v>0.10109024473642947</v>
      </c>
      <c r="H1297" s="3">
        <f t="shared" ca="1" si="150"/>
        <v>0</v>
      </c>
      <c r="I1297" s="3">
        <f t="shared" ca="1" si="151"/>
        <v>3.9738210093417794</v>
      </c>
      <c r="J1297" s="3">
        <f t="shared" ca="1" si="152"/>
        <v>9.9672225435948043</v>
      </c>
      <c r="P1297" s="3">
        <f t="shared" ca="1" si="153"/>
        <v>-5.9995216551081159</v>
      </c>
      <c r="Q1297" s="3">
        <f t="shared" ca="1" si="154"/>
        <v>-2.5397420341174333</v>
      </c>
      <c r="R1297" s="3">
        <f t="shared" ca="1" si="155"/>
        <v>6.514948172470306</v>
      </c>
    </row>
    <row r="1298" spans="7:18" x14ac:dyDescent="0.25">
      <c r="G1298" s="2">
        <f t="shared" ca="1" si="149"/>
        <v>0.5983176372363771</v>
      </c>
      <c r="H1298" s="3">
        <f t="shared" ca="1" si="150"/>
        <v>0</v>
      </c>
      <c r="I1298" s="3">
        <f t="shared" ca="1" si="151"/>
        <v>0.33218643906882278</v>
      </c>
      <c r="J1298" s="3">
        <f t="shared" ca="1" si="152"/>
        <v>2.8817808689629003</v>
      </c>
      <c r="P1298" s="3">
        <f t="shared" ca="1" si="153"/>
        <v>-2.1445422744744738</v>
      </c>
      <c r="Q1298" s="3">
        <f t="shared" ca="1" si="154"/>
        <v>8.0944211540737658</v>
      </c>
      <c r="R1298" s="3">
        <f t="shared" ca="1" si="155"/>
        <v>8.3736918612118174</v>
      </c>
    </row>
    <row r="1299" spans="7:18" x14ac:dyDescent="0.25">
      <c r="G1299" s="2">
        <f t="shared" ca="1" si="149"/>
        <v>0.41890619206949997</v>
      </c>
      <c r="H1299" s="3">
        <f t="shared" ca="1" si="150"/>
        <v>0</v>
      </c>
      <c r="I1299" s="3">
        <f t="shared" ca="1" si="151"/>
        <v>4.1193088182409259</v>
      </c>
      <c r="J1299" s="3">
        <f t="shared" ca="1" si="152"/>
        <v>10.148040227355386</v>
      </c>
      <c r="P1299" s="3">
        <f t="shared" ca="1" si="153"/>
        <v>-2.0305040666619325</v>
      </c>
      <c r="Q1299" s="3">
        <f t="shared" ca="1" si="154"/>
        <v>0.36649421657713099</v>
      </c>
      <c r="R1299" s="3">
        <f t="shared" ca="1" si="155"/>
        <v>2.0633140273635351</v>
      </c>
    </row>
    <row r="1300" spans="7:18" x14ac:dyDescent="0.25">
      <c r="G1300" s="2">
        <f t="shared" ca="1" si="149"/>
        <v>0.30385025046193814</v>
      </c>
      <c r="H1300" s="3">
        <f t="shared" ca="1" si="150"/>
        <v>0</v>
      </c>
      <c r="I1300" s="3">
        <f t="shared" ca="1" si="151"/>
        <v>0.67975240334406695</v>
      </c>
      <c r="J1300" s="3">
        <f t="shared" ca="1" si="152"/>
        <v>4.122354919654744</v>
      </c>
      <c r="P1300" s="3">
        <f t="shared" ca="1" si="153"/>
        <v>3.0710488963444078</v>
      </c>
      <c r="Q1300" s="3">
        <f t="shared" ca="1" si="154"/>
        <v>3.5755891241366924</v>
      </c>
      <c r="R1300" s="3">
        <f t="shared" ca="1" si="155"/>
        <v>4.7134041740957038</v>
      </c>
    </row>
    <row r="1301" spans="7:18" x14ac:dyDescent="0.25">
      <c r="G1301" s="2">
        <f t="shared" ca="1" si="149"/>
        <v>0.43237780729649566</v>
      </c>
      <c r="H1301" s="3">
        <f t="shared" ca="1" si="150"/>
        <v>0</v>
      </c>
      <c r="I1301" s="3">
        <f t="shared" ca="1" si="151"/>
        <v>1.9445822957297383</v>
      </c>
      <c r="J1301" s="3">
        <f t="shared" ca="1" si="152"/>
        <v>6.9724140291037981</v>
      </c>
      <c r="P1301" s="3">
        <f t="shared" ca="1" si="153"/>
        <v>-8.0597072377806338</v>
      </c>
      <c r="Q1301" s="3">
        <f t="shared" ca="1" si="154"/>
        <v>-3.0713009531451974</v>
      </c>
      <c r="R1301" s="3">
        <f t="shared" ca="1" si="155"/>
        <v>8.6250663941516486</v>
      </c>
    </row>
    <row r="1302" spans="7:18" x14ac:dyDescent="0.25">
      <c r="G1302" s="2">
        <f t="shared" ca="1" si="149"/>
        <v>0.21288756775863105</v>
      </c>
      <c r="H1302" s="3">
        <f t="shared" ca="1" si="150"/>
        <v>0</v>
      </c>
      <c r="I1302" s="3">
        <f t="shared" ca="1" si="151"/>
        <v>2.8592750673280944</v>
      </c>
      <c r="J1302" s="3">
        <f t="shared" ca="1" si="152"/>
        <v>8.4546955405385447</v>
      </c>
      <c r="P1302" s="3">
        <f t="shared" ca="1" si="153"/>
        <v>-3.5553532008796656</v>
      </c>
      <c r="Q1302" s="3">
        <f t="shared" ca="1" si="154"/>
        <v>-1.559164005159283</v>
      </c>
      <c r="R1302" s="3">
        <f t="shared" ca="1" si="155"/>
        <v>3.8822066892412646</v>
      </c>
    </row>
    <row r="1303" spans="7:18" x14ac:dyDescent="0.25">
      <c r="G1303" s="2">
        <f t="shared" ca="1" si="149"/>
        <v>0.47716693041339175</v>
      </c>
      <c r="H1303" s="3">
        <f t="shared" ca="1" si="150"/>
        <v>0</v>
      </c>
      <c r="I1303" s="3">
        <f t="shared" ca="1" si="151"/>
        <v>1.6300823736504393</v>
      </c>
      <c r="J1303" s="3">
        <f t="shared" ca="1" si="152"/>
        <v>6.3837339654203156</v>
      </c>
      <c r="P1303" s="3">
        <f t="shared" ca="1" si="153"/>
        <v>-3.7710441716620169</v>
      </c>
      <c r="Q1303" s="3">
        <f t="shared" ca="1" si="154"/>
        <v>-1.1076950418775739</v>
      </c>
      <c r="R1303" s="3">
        <f t="shared" ca="1" si="155"/>
        <v>3.930364162571482</v>
      </c>
    </row>
    <row r="1304" spans="7:18" x14ac:dyDescent="0.25">
      <c r="G1304" s="2">
        <f t="shared" ca="1" si="149"/>
        <v>0.74715260290320296</v>
      </c>
      <c r="H1304" s="3">
        <f t="shared" ca="1" si="150"/>
        <v>1</v>
      </c>
      <c r="I1304" s="3">
        <f t="shared" ca="1" si="151"/>
        <v>2.2944851644587754</v>
      </c>
      <c r="J1304" s="3">
        <f t="shared" ca="1" si="152"/>
        <v>7.5737790508747604</v>
      </c>
      <c r="P1304" s="3">
        <f t="shared" ca="1" si="153"/>
        <v>-1.6894915773753976</v>
      </c>
      <c r="Q1304" s="3">
        <f t="shared" ca="1" si="154"/>
        <v>-0.2248854948357559</v>
      </c>
      <c r="R1304" s="3">
        <f t="shared" ca="1" si="155"/>
        <v>1.7043929346866971</v>
      </c>
    </row>
    <row r="1305" spans="7:18" x14ac:dyDescent="0.25">
      <c r="G1305" s="2">
        <f t="shared" ca="1" si="149"/>
        <v>0.41267486183219459</v>
      </c>
      <c r="H1305" s="3">
        <f t="shared" ca="1" si="150"/>
        <v>0</v>
      </c>
      <c r="I1305" s="3">
        <f t="shared" ca="1" si="151"/>
        <v>0.68984884895824217</v>
      </c>
      <c r="J1305" s="3">
        <f t="shared" ca="1" si="152"/>
        <v>4.1528569953654868</v>
      </c>
      <c r="P1305" s="3">
        <f t="shared" ca="1" si="153"/>
        <v>-6.0007484081043421</v>
      </c>
      <c r="Q1305" s="3">
        <f t="shared" ca="1" si="154"/>
        <v>-4.7708451904840921</v>
      </c>
      <c r="R1305" s="3">
        <f t="shared" ca="1" si="155"/>
        <v>7.6661558351583219</v>
      </c>
    </row>
    <row r="1306" spans="7:18" x14ac:dyDescent="0.25">
      <c r="G1306" s="2">
        <f t="shared" ca="1" si="149"/>
        <v>0.14677259547745336</v>
      </c>
      <c r="H1306" s="3">
        <f t="shared" ca="1" si="150"/>
        <v>0</v>
      </c>
      <c r="I1306" s="3">
        <f t="shared" ca="1" si="151"/>
        <v>1.8056479340401277</v>
      </c>
      <c r="J1306" s="3">
        <f t="shared" ca="1" si="152"/>
        <v>6.7187199934960233</v>
      </c>
      <c r="P1306" s="3">
        <f t="shared" ca="1" si="153"/>
        <v>-7.7788021979311122</v>
      </c>
      <c r="Q1306" s="3">
        <f t="shared" ca="1" si="154"/>
        <v>-1.7356943235313718</v>
      </c>
      <c r="R1306" s="3">
        <f t="shared" ca="1" si="155"/>
        <v>7.9700940031643874</v>
      </c>
    </row>
    <row r="1307" spans="7:18" x14ac:dyDescent="0.25">
      <c r="G1307" s="2">
        <f t="shared" ca="1" si="149"/>
        <v>0.11929316975329685</v>
      </c>
      <c r="H1307" s="3">
        <f t="shared" ca="1" si="150"/>
        <v>0</v>
      </c>
      <c r="I1307" s="3">
        <f t="shared" ca="1" si="151"/>
        <v>2.2768502955301533</v>
      </c>
      <c r="J1307" s="3">
        <f t="shared" ca="1" si="152"/>
        <v>7.5446177761536628</v>
      </c>
      <c r="P1307" s="3">
        <f t="shared" ca="1" si="153"/>
        <v>-7.9535721762571736</v>
      </c>
      <c r="Q1307" s="3">
        <f t="shared" ca="1" si="154"/>
        <v>-3.7123474753797425</v>
      </c>
      <c r="R1307" s="3">
        <f t="shared" ca="1" si="155"/>
        <v>8.777290820115887</v>
      </c>
    </row>
    <row r="1308" spans="7:18" x14ac:dyDescent="0.25">
      <c r="G1308" s="2">
        <f t="shared" ca="1" si="149"/>
        <v>0.86068824407615319</v>
      </c>
      <c r="H1308" s="3">
        <f t="shared" ca="1" si="150"/>
        <v>1</v>
      </c>
      <c r="I1308" s="3">
        <f t="shared" ca="1" si="151"/>
        <v>1.8514637215972907</v>
      </c>
      <c r="J1308" s="3">
        <f t="shared" ca="1" si="152"/>
        <v>6.8034250962241272</v>
      </c>
      <c r="P1308" s="3">
        <f t="shared" ca="1" si="153"/>
        <v>-1.6507837507943215</v>
      </c>
      <c r="Q1308" s="3">
        <f t="shared" ca="1" si="154"/>
        <v>-0.58500133997416581</v>
      </c>
      <c r="R1308" s="3">
        <f t="shared" ca="1" si="155"/>
        <v>1.7513747627672775</v>
      </c>
    </row>
    <row r="1309" spans="7:18" x14ac:dyDescent="0.25">
      <c r="G1309" s="2">
        <f t="shared" ca="1" si="149"/>
        <v>0.49262317954131229</v>
      </c>
      <c r="H1309" s="3">
        <f t="shared" ca="1" si="150"/>
        <v>0</v>
      </c>
      <c r="I1309" s="3">
        <f t="shared" ca="1" si="151"/>
        <v>10.311586266060022</v>
      </c>
      <c r="J1309" s="3">
        <f t="shared" ca="1" si="152"/>
        <v>16.055829366666195</v>
      </c>
      <c r="P1309" s="3">
        <f t="shared" ca="1" si="153"/>
        <v>-5.0599600274640828</v>
      </c>
      <c r="Q1309" s="3">
        <f t="shared" ca="1" si="154"/>
        <v>9.0137513005844649</v>
      </c>
      <c r="R1309" s="3">
        <f t="shared" ca="1" si="155"/>
        <v>10.336871286241426</v>
      </c>
    </row>
    <row r="1310" spans="7:18" x14ac:dyDescent="0.25">
      <c r="G1310" s="2">
        <f t="shared" ca="1" si="149"/>
        <v>0.86392771926120049</v>
      </c>
      <c r="H1310" s="3">
        <f t="shared" ca="1" si="150"/>
        <v>1</v>
      </c>
      <c r="I1310" s="3">
        <f t="shared" ca="1" si="151"/>
        <v>0.50012714270338698</v>
      </c>
      <c r="J1310" s="3">
        <f t="shared" ca="1" si="152"/>
        <v>3.5359833946986621</v>
      </c>
      <c r="P1310" s="3">
        <f t="shared" ca="1" si="153"/>
        <v>-3.760902868957658</v>
      </c>
      <c r="Q1310" s="3">
        <f t="shared" ca="1" si="154"/>
        <v>-4.8331915855012912</v>
      </c>
      <c r="R1310" s="3">
        <f t="shared" ca="1" si="155"/>
        <v>6.124061666238708</v>
      </c>
    </row>
    <row r="1311" spans="7:18" x14ac:dyDescent="0.25">
      <c r="G1311" s="2">
        <f t="shared" ca="1" si="149"/>
        <v>0.2705393329771616</v>
      </c>
      <c r="H1311" s="3">
        <f t="shared" ca="1" si="150"/>
        <v>0</v>
      </c>
      <c r="I1311" s="3">
        <f t="shared" ca="1" si="151"/>
        <v>1.2190476607422733</v>
      </c>
      <c r="J1311" s="3">
        <f t="shared" ca="1" si="152"/>
        <v>5.5205245691471045</v>
      </c>
      <c r="P1311" s="3">
        <f t="shared" ca="1" si="153"/>
        <v>9.2314274879713665E-2</v>
      </c>
      <c r="Q1311" s="3">
        <f t="shared" ca="1" si="154"/>
        <v>0.97987866805382973</v>
      </c>
      <c r="R1311" s="3">
        <f t="shared" ca="1" si="155"/>
        <v>0.98421752141156016</v>
      </c>
    </row>
    <row r="1312" spans="7:18" x14ac:dyDescent="0.25">
      <c r="G1312" s="2">
        <f t="shared" ca="1" si="149"/>
        <v>0.89395862267188164</v>
      </c>
      <c r="H1312" s="3">
        <f t="shared" ca="1" si="150"/>
        <v>1</v>
      </c>
      <c r="I1312" s="3">
        <f t="shared" ca="1" si="151"/>
        <v>2.5122814227905113</v>
      </c>
      <c r="J1312" s="3">
        <f t="shared" ca="1" si="152"/>
        <v>7.9250889944380294</v>
      </c>
      <c r="P1312" s="3">
        <f t="shared" ca="1" si="153"/>
        <v>-10.13892819897794</v>
      </c>
      <c r="Q1312" s="3">
        <f t="shared" ca="1" si="154"/>
        <v>-4.9883793241939065</v>
      </c>
      <c r="R1312" s="3">
        <f t="shared" ca="1" si="155"/>
        <v>11.299636866115446</v>
      </c>
    </row>
    <row r="1313" spans="7:18" x14ac:dyDescent="0.25">
      <c r="G1313" s="2">
        <f t="shared" ca="1" si="149"/>
        <v>0.44085919126582529</v>
      </c>
      <c r="H1313" s="3">
        <f t="shared" ca="1" si="150"/>
        <v>0</v>
      </c>
      <c r="I1313" s="3">
        <f t="shared" ca="1" si="151"/>
        <v>5.8507931084640051E-2</v>
      </c>
      <c r="J1313" s="3">
        <f t="shared" ca="1" si="152"/>
        <v>1.209420636964659</v>
      </c>
      <c r="P1313" s="3">
        <f t="shared" ca="1" si="153"/>
        <v>-8.7851640688287169</v>
      </c>
      <c r="Q1313" s="3">
        <f t="shared" ca="1" si="154"/>
        <v>3.041899587814421</v>
      </c>
      <c r="R1313" s="3">
        <f t="shared" ca="1" si="155"/>
        <v>9.2968952246749925</v>
      </c>
    </row>
    <row r="1314" spans="7:18" x14ac:dyDescent="0.25">
      <c r="G1314" s="2">
        <f t="shared" ca="1" si="149"/>
        <v>0.95377892775666151</v>
      </c>
      <c r="H1314" s="3">
        <f t="shared" ca="1" si="150"/>
        <v>2</v>
      </c>
      <c r="I1314" s="3">
        <f t="shared" ca="1" si="151"/>
        <v>6.7460918927464411</v>
      </c>
      <c r="J1314" s="3">
        <f t="shared" ca="1" si="152"/>
        <v>12.986619934327061</v>
      </c>
      <c r="P1314" s="3">
        <f t="shared" ca="1" si="153"/>
        <v>-3.9387064730643031</v>
      </c>
      <c r="Q1314" s="3">
        <f t="shared" ca="1" si="154"/>
        <v>-0.22486713930684088</v>
      </c>
      <c r="R1314" s="3">
        <f t="shared" ca="1" si="155"/>
        <v>3.945120265758534</v>
      </c>
    </row>
    <row r="1315" spans="7:18" x14ac:dyDescent="0.25">
      <c r="G1315" s="2">
        <f t="shared" ca="1" si="149"/>
        <v>0.56214452340940668</v>
      </c>
      <c r="H1315" s="3">
        <f t="shared" ca="1" si="150"/>
        <v>0</v>
      </c>
      <c r="I1315" s="3">
        <f t="shared" ca="1" si="151"/>
        <v>3.0258668604550656</v>
      </c>
      <c r="J1315" s="3">
        <f t="shared" ca="1" si="152"/>
        <v>8.6975095005051095</v>
      </c>
      <c r="P1315" s="3">
        <f t="shared" ca="1" si="153"/>
        <v>-4.7711368508361396</v>
      </c>
      <c r="Q1315" s="3">
        <f t="shared" ca="1" si="154"/>
        <v>0.73193902932141686</v>
      </c>
      <c r="R1315" s="3">
        <f t="shared" ca="1" si="155"/>
        <v>4.8269536554695209</v>
      </c>
    </row>
    <row r="1316" spans="7:18" x14ac:dyDescent="0.25">
      <c r="G1316" s="2">
        <f t="shared" ca="1" si="149"/>
        <v>0.43597882524787646</v>
      </c>
      <c r="H1316" s="3">
        <f t="shared" ca="1" si="150"/>
        <v>0</v>
      </c>
      <c r="I1316" s="3">
        <f t="shared" ca="1" si="151"/>
        <v>1.6301978914665414</v>
      </c>
      <c r="J1316" s="3">
        <f t="shared" ca="1" si="152"/>
        <v>6.3839601570391658</v>
      </c>
      <c r="P1316" s="3">
        <f t="shared" ca="1" si="153"/>
        <v>-2.0518918080643682</v>
      </c>
      <c r="Q1316" s="3">
        <f t="shared" ca="1" si="154"/>
        <v>-2.8747055802319736</v>
      </c>
      <c r="R1316" s="3">
        <f t="shared" ca="1" si="155"/>
        <v>3.531882241102966</v>
      </c>
    </row>
    <row r="1317" spans="7:18" x14ac:dyDescent="0.25">
      <c r="G1317" s="2">
        <f t="shared" ca="1" si="149"/>
        <v>0.85908237873081472</v>
      </c>
      <c r="H1317" s="3">
        <f t="shared" ca="1" si="150"/>
        <v>1</v>
      </c>
      <c r="I1317" s="3">
        <f t="shared" ca="1" si="151"/>
        <v>3.4996703948602153</v>
      </c>
      <c r="J1317" s="3">
        <f t="shared" ca="1" si="152"/>
        <v>9.3537030031696737</v>
      </c>
      <c r="P1317" s="3">
        <f t="shared" ca="1" si="153"/>
        <v>-6.0794729024517915</v>
      </c>
      <c r="Q1317" s="3">
        <f t="shared" ca="1" si="154"/>
        <v>-1.5028813858489378</v>
      </c>
      <c r="R1317" s="3">
        <f t="shared" ca="1" si="155"/>
        <v>6.2624790004898889</v>
      </c>
    </row>
    <row r="1318" spans="7:18" x14ac:dyDescent="0.25">
      <c r="G1318" s="2">
        <f t="shared" ca="1" si="149"/>
        <v>0.54454404770687914</v>
      </c>
      <c r="H1318" s="3">
        <f t="shared" ca="1" si="150"/>
        <v>0</v>
      </c>
      <c r="I1318" s="3">
        <f t="shared" ca="1" si="151"/>
        <v>1.3777251852272225</v>
      </c>
      <c r="J1318" s="3">
        <f t="shared" ca="1" si="152"/>
        <v>5.8688269382118063</v>
      </c>
      <c r="P1318" s="3">
        <f t="shared" ca="1" si="153"/>
        <v>-1.0545222053090648</v>
      </c>
      <c r="Q1318" s="3">
        <f t="shared" ca="1" si="154"/>
        <v>-8.5824803203744544E-3</v>
      </c>
      <c r="R1318" s="3">
        <f t="shared" ca="1" si="155"/>
        <v>1.0545571300116192</v>
      </c>
    </row>
    <row r="1319" spans="7:18" x14ac:dyDescent="0.25">
      <c r="G1319" s="2">
        <f t="shared" ca="1" si="149"/>
        <v>0.94400421596402639</v>
      </c>
      <c r="H1319" s="3">
        <f t="shared" ca="1" si="150"/>
        <v>2</v>
      </c>
      <c r="I1319" s="3">
        <f t="shared" ca="1" si="151"/>
        <v>8.6220011108461438</v>
      </c>
      <c r="J1319" s="3">
        <f t="shared" ca="1" si="152"/>
        <v>14.681622109670089</v>
      </c>
      <c r="P1319" s="3">
        <f t="shared" ca="1" si="153"/>
        <v>-8.2346469541157319</v>
      </c>
      <c r="Q1319" s="3">
        <f t="shared" ca="1" si="154"/>
        <v>1.2103701072422316E-2</v>
      </c>
      <c r="R1319" s="3">
        <f t="shared" ca="1" si="155"/>
        <v>8.2346558494272948</v>
      </c>
    </row>
    <row r="1320" spans="7:18" x14ac:dyDescent="0.25">
      <c r="G1320" s="2">
        <f t="shared" ca="1" si="149"/>
        <v>0.97123314024971352</v>
      </c>
      <c r="H1320" s="3">
        <f t="shared" ca="1" si="150"/>
        <v>2</v>
      </c>
      <c r="I1320" s="3">
        <f t="shared" ca="1" si="151"/>
        <v>6.1734736257660678</v>
      </c>
      <c r="J1320" s="3">
        <f t="shared" ca="1" si="152"/>
        <v>12.42323792914519</v>
      </c>
      <c r="P1320" s="3">
        <f t="shared" ca="1" si="153"/>
        <v>-6.4049755015301262</v>
      </c>
      <c r="Q1320" s="3">
        <f t="shared" ca="1" si="154"/>
        <v>2.8667769215232659</v>
      </c>
      <c r="R1320" s="3">
        <f t="shared" ca="1" si="155"/>
        <v>7.0172730524741231</v>
      </c>
    </row>
    <row r="1321" spans="7:18" x14ac:dyDescent="0.25">
      <c r="G1321" s="2">
        <f t="shared" ca="1" si="149"/>
        <v>0.24752309659867211</v>
      </c>
      <c r="H1321" s="3">
        <f t="shared" ca="1" si="150"/>
        <v>0</v>
      </c>
      <c r="I1321" s="3">
        <f t="shared" ca="1" si="151"/>
        <v>1.1027861783403912</v>
      </c>
      <c r="J1321" s="3">
        <f t="shared" ca="1" si="152"/>
        <v>5.2506813327900392</v>
      </c>
      <c r="P1321" s="3">
        <f t="shared" ca="1" si="153"/>
        <v>0.56429665828933473</v>
      </c>
      <c r="Q1321" s="3">
        <f t="shared" ca="1" si="154"/>
        <v>1.2822082546946116</v>
      </c>
      <c r="R1321" s="3">
        <f t="shared" ca="1" si="155"/>
        <v>1.4008885490871543</v>
      </c>
    </row>
    <row r="1322" spans="7:18" x14ac:dyDescent="0.25">
      <c r="G1322" s="2">
        <f t="shared" ca="1" si="149"/>
        <v>0.46770717262272632</v>
      </c>
      <c r="H1322" s="3">
        <f t="shared" ca="1" si="150"/>
        <v>0</v>
      </c>
      <c r="I1322" s="3">
        <f t="shared" ca="1" si="151"/>
        <v>3.4826440994526502</v>
      </c>
      <c r="J1322" s="3">
        <f t="shared" ca="1" si="152"/>
        <v>9.3309218454725169</v>
      </c>
      <c r="P1322" s="3">
        <f t="shared" ca="1" si="153"/>
        <v>-1.4444646243629582</v>
      </c>
      <c r="Q1322" s="3">
        <f t="shared" ca="1" si="154"/>
        <v>-2.5396082737662034</v>
      </c>
      <c r="R1322" s="3">
        <f t="shared" ca="1" si="155"/>
        <v>2.9216584734047504</v>
      </c>
    </row>
    <row r="1323" spans="7:18" x14ac:dyDescent="0.25">
      <c r="G1323" s="2">
        <f t="shared" ca="1" si="149"/>
        <v>0.90162495771283535</v>
      </c>
      <c r="H1323" s="3">
        <f t="shared" ca="1" si="150"/>
        <v>1</v>
      </c>
      <c r="I1323" s="3">
        <f t="shared" ca="1" si="151"/>
        <v>3.9642504895239301</v>
      </c>
      <c r="J1323" s="3">
        <f t="shared" ca="1" si="152"/>
        <v>9.9552128173182837</v>
      </c>
      <c r="P1323" s="3">
        <f t="shared" ca="1" si="153"/>
        <v>1.4114151838356772</v>
      </c>
      <c r="Q1323" s="3">
        <f t="shared" ca="1" si="154"/>
        <v>7.5885426354827441</v>
      </c>
      <c r="R1323" s="3">
        <f t="shared" ca="1" si="155"/>
        <v>7.7186833172310738</v>
      </c>
    </row>
    <row r="1324" spans="7:18" x14ac:dyDescent="0.25">
      <c r="G1324" s="2">
        <f t="shared" ca="1" si="149"/>
        <v>8.7568380865015394E-2</v>
      </c>
      <c r="H1324" s="3">
        <f t="shared" ca="1" si="150"/>
        <v>0</v>
      </c>
      <c r="I1324" s="3">
        <f t="shared" ca="1" si="151"/>
        <v>0.41523411016083028</v>
      </c>
      <c r="J1324" s="3">
        <f t="shared" ca="1" si="152"/>
        <v>3.2219330772101329</v>
      </c>
      <c r="P1324" s="3">
        <f t="shared" ca="1" si="153"/>
        <v>-12.805835176747813</v>
      </c>
      <c r="Q1324" s="3">
        <f t="shared" ca="1" si="154"/>
        <v>2.6101815674522326</v>
      </c>
      <c r="R1324" s="3">
        <f t="shared" ca="1" si="155"/>
        <v>13.069141608732345</v>
      </c>
    </row>
    <row r="1325" spans="7:18" x14ac:dyDescent="0.25">
      <c r="G1325" s="2">
        <f t="shared" ca="1" si="149"/>
        <v>0.41743550989952372</v>
      </c>
      <c r="H1325" s="3">
        <f t="shared" ca="1" si="150"/>
        <v>0</v>
      </c>
      <c r="I1325" s="3">
        <f t="shared" ca="1" si="151"/>
        <v>1.4594187723255665</v>
      </c>
      <c r="J1325" s="3">
        <f t="shared" ca="1" si="152"/>
        <v>6.0403202984725208</v>
      </c>
      <c r="P1325" s="3">
        <f t="shared" ca="1" si="153"/>
        <v>-5.5813870905946033</v>
      </c>
      <c r="Q1325" s="3">
        <f t="shared" ca="1" si="154"/>
        <v>3.529608449201151</v>
      </c>
      <c r="R1325" s="3">
        <f t="shared" ca="1" si="155"/>
        <v>6.603788129530523</v>
      </c>
    </row>
    <row r="1326" spans="7:18" x14ac:dyDescent="0.25">
      <c r="G1326" s="2">
        <f t="shared" ca="1" si="149"/>
        <v>0.5811543666145158</v>
      </c>
      <c r="H1326" s="3">
        <f t="shared" ca="1" si="150"/>
        <v>0</v>
      </c>
      <c r="I1326" s="3">
        <f t="shared" ca="1" si="151"/>
        <v>0.86011826264703495</v>
      </c>
      <c r="J1326" s="3">
        <f t="shared" ca="1" si="152"/>
        <v>4.6371280515180811</v>
      </c>
      <c r="P1326" s="3">
        <f t="shared" ca="1" si="153"/>
        <v>-7.7141605194767218</v>
      </c>
      <c r="Q1326" s="3">
        <f t="shared" ca="1" si="154"/>
        <v>3.7454006244412299</v>
      </c>
      <c r="R1326" s="3">
        <f t="shared" ca="1" si="155"/>
        <v>8.5753308016552996</v>
      </c>
    </row>
    <row r="1327" spans="7:18" x14ac:dyDescent="0.25">
      <c r="G1327" s="2">
        <f t="shared" ca="1" si="149"/>
        <v>0.24082221091782929</v>
      </c>
      <c r="H1327" s="3">
        <f t="shared" ca="1" si="150"/>
        <v>0</v>
      </c>
      <c r="I1327" s="3">
        <f t="shared" ca="1" si="151"/>
        <v>0.87580051186701147</v>
      </c>
      <c r="J1327" s="3">
        <f t="shared" ca="1" si="152"/>
        <v>4.6792107023167153</v>
      </c>
      <c r="P1327" s="3">
        <f t="shared" ca="1" si="153"/>
        <v>1.0625051895536135</v>
      </c>
      <c r="Q1327" s="3">
        <f t="shared" ca="1" si="154"/>
        <v>5.2486823487381962</v>
      </c>
      <c r="R1327" s="3">
        <f t="shared" ca="1" si="155"/>
        <v>5.3551455326428119</v>
      </c>
    </row>
    <row r="1328" spans="7:18" x14ac:dyDescent="0.25">
      <c r="G1328" s="2">
        <f t="shared" ca="1" si="149"/>
        <v>0.87460074566683377</v>
      </c>
      <c r="H1328" s="3">
        <f t="shared" ca="1" si="150"/>
        <v>1</v>
      </c>
      <c r="I1328" s="3">
        <f t="shared" ca="1" si="151"/>
        <v>4.7486077544076641</v>
      </c>
      <c r="J1328" s="3">
        <f t="shared" ca="1" si="152"/>
        <v>10.895650226590041</v>
      </c>
      <c r="P1328" s="3">
        <f t="shared" ca="1" si="153"/>
        <v>-4.656698670467752</v>
      </c>
      <c r="Q1328" s="3">
        <f t="shared" ca="1" si="154"/>
        <v>-1.4457442580343358</v>
      </c>
      <c r="R1328" s="3">
        <f t="shared" ca="1" si="155"/>
        <v>4.8759633886213072</v>
      </c>
    </row>
    <row r="1329" spans="7:18" x14ac:dyDescent="0.25">
      <c r="G1329" s="2">
        <f t="shared" ca="1" si="149"/>
        <v>0.20737872070287766</v>
      </c>
      <c r="H1329" s="3">
        <f t="shared" ca="1" si="150"/>
        <v>0</v>
      </c>
      <c r="I1329" s="3">
        <f t="shared" ca="1" si="151"/>
        <v>4.0705418322190781</v>
      </c>
      <c r="J1329" s="3">
        <f t="shared" ca="1" si="152"/>
        <v>10.087791919219832</v>
      </c>
      <c r="P1329" s="3">
        <f t="shared" ca="1" si="153"/>
        <v>-9.592051056913439</v>
      </c>
      <c r="Q1329" s="3">
        <f t="shared" ca="1" si="154"/>
        <v>-1.8778161723877989</v>
      </c>
      <c r="R1329" s="3">
        <f t="shared" ca="1" si="155"/>
        <v>9.7741310128172199</v>
      </c>
    </row>
    <row r="1330" spans="7:18" x14ac:dyDescent="0.25">
      <c r="G1330" s="2">
        <f t="shared" ca="1" si="149"/>
        <v>9.1272515153220213E-2</v>
      </c>
      <c r="H1330" s="3">
        <f t="shared" ca="1" si="150"/>
        <v>0</v>
      </c>
      <c r="I1330" s="3">
        <f t="shared" ca="1" si="151"/>
        <v>7.2177344461343935</v>
      </c>
      <c r="J1330" s="3">
        <f t="shared" ca="1" si="152"/>
        <v>13.43292079755404</v>
      </c>
      <c r="P1330" s="3">
        <f t="shared" ca="1" si="153"/>
        <v>-7.1192187889856458</v>
      </c>
      <c r="Q1330" s="3">
        <f t="shared" ca="1" si="154"/>
        <v>-2.1888251943058061</v>
      </c>
      <c r="R1330" s="3">
        <f t="shared" ca="1" si="155"/>
        <v>7.4481025702304944</v>
      </c>
    </row>
    <row r="1331" spans="7:18" x14ac:dyDescent="0.25">
      <c r="G1331" s="2">
        <f t="shared" ca="1" si="149"/>
        <v>0.45198166747019464</v>
      </c>
      <c r="H1331" s="3">
        <f t="shared" ca="1" si="150"/>
        <v>0</v>
      </c>
      <c r="I1331" s="3">
        <f t="shared" ca="1" si="151"/>
        <v>0.62284606198620784</v>
      </c>
      <c r="J1331" s="3">
        <f t="shared" ca="1" si="152"/>
        <v>3.9460298465236168</v>
      </c>
      <c r="P1331" s="3">
        <f t="shared" ca="1" si="153"/>
        <v>-12.243306844701163</v>
      </c>
      <c r="Q1331" s="3">
        <f t="shared" ca="1" si="154"/>
        <v>1.7831317966615918</v>
      </c>
      <c r="R1331" s="3">
        <f t="shared" ca="1" si="155"/>
        <v>12.372474348236571</v>
      </c>
    </row>
    <row r="1332" spans="7:18" x14ac:dyDescent="0.25">
      <c r="G1332" s="2">
        <f t="shared" ca="1" si="149"/>
        <v>0.43504368234835322</v>
      </c>
      <c r="H1332" s="3">
        <f t="shared" ca="1" si="150"/>
        <v>0</v>
      </c>
      <c r="I1332" s="3">
        <f t="shared" ca="1" si="151"/>
        <v>5.5351578279594662</v>
      </c>
      <c r="J1332" s="3">
        <f t="shared" ca="1" si="152"/>
        <v>11.763458067209092</v>
      </c>
      <c r="P1332" s="3">
        <f t="shared" ca="1" si="153"/>
        <v>-3.2359682368854958</v>
      </c>
      <c r="Q1332" s="3">
        <f t="shared" ca="1" si="154"/>
        <v>-3.2539725461390563</v>
      </c>
      <c r="R1332" s="3">
        <f t="shared" ca="1" si="155"/>
        <v>4.5890987961862963</v>
      </c>
    </row>
    <row r="1333" spans="7:18" x14ac:dyDescent="0.25">
      <c r="G1333" s="2">
        <f t="shared" ca="1" si="149"/>
        <v>5.2647826845144574E-2</v>
      </c>
      <c r="H1333" s="3">
        <f t="shared" ca="1" si="150"/>
        <v>0</v>
      </c>
      <c r="I1333" s="3">
        <f t="shared" ca="1" si="151"/>
        <v>2.2247993829397443</v>
      </c>
      <c r="J1333" s="3">
        <f t="shared" ca="1" si="152"/>
        <v>7.457880702551738</v>
      </c>
      <c r="P1333" s="3">
        <f t="shared" ca="1" si="153"/>
        <v>-9.0068474723144689</v>
      </c>
      <c r="Q1333" s="3">
        <f t="shared" ca="1" si="154"/>
        <v>0.26316112294710181</v>
      </c>
      <c r="R1333" s="3">
        <f t="shared" ca="1" si="155"/>
        <v>9.010691159182425</v>
      </c>
    </row>
    <row r="1334" spans="7:18" x14ac:dyDescent="0.25">
      <c r="G1334" s="2">
        <f t="shared" ca="1" si="149"/>
        <v>0.51169855799669717</v>
      </c>
      <c r="H1334" s="3">
        <f t="shared" ca="1" si="150"/>
        <v>0</v>
      </c>
      <c r="I1334" s="3">
        <f t="shared" ca="1" si="151"/>
        <v>0.63570282717577575</v>
      </c>
      <c r="J1334" s="3">
        <f t="shared" ca="1" si="152"/>
        <v>3.986548717800197</v>
      </c>
      <c r="P1334" s="3">
        <f t="shared" ca="1" si="153"/>
        <v>-7.6412864007736001</v>
      </c>
      <c r="Q1334" s="3">
        <f t="shared" ca="1" si="154"/>
        <v>2.4524592171937143</v>
      </c>
      <c r="R1334" s="3">
        <f t="shared" ca="1" si="155"/>
        <v>8.0251986935306441</v>
      </c>
    </row>
    <row r="1335" spans="7:18" x14ac:dyDescent="0.25">
      <c r="G1335" s="2">
        <f t="shared" ca="1" si="149"/>
        <v>0.23799299651342631</v>
      </c>
      <c r="H1335" s="3">
        <f t="shared" ca="1" si="150"/>
        <v>0</v>
      </c>
      <c r="I1335" s="3">
        <f t="shared" ca="1" si="151"/>
        <v>6.0241072553053625</v>
      </c>
      <c r="J1335" s="3">
        <f t="shared" ca="1" si="152"/>
        <v>12.272028413535965</v>
      </c>
      <c r="P1335" s="3">
        <f t="shared" ca="1" si="153"/>
        <v>5.3360233609306604</v>
      </c>
      <c r="Q1335" s="3">
        <f t="shared" ca="1" si="154"/>
        <v>2.3541603621747962</v>
      </c>
      <c r="R1335" s="3">
        <f t="shared" ca="1" si="155"/>
        <v>5.8322565375018192</v>
      </c>
    </row>
    <row r="1336" spans="7:18" x14ac:dyDescent="0.25">
      <c r="G1336" s="2">
        <f t="shared" ca="1" si="149"/>
        <v>0.44898238689671521</v>
      </c>
      <c r="H1336" s="3">
        <f t="shared" ca="1" si="150"/>
        <v>0</v>
      </c>
      <c r="I1336" s="3">
        <f t="shared" ca="1" si="151"/>
        <v>0.91101268956888626</v>
      </c>
      <c r="J1336" s="3">
        <f t="shared" ca="1" si="152"/>
        <v>4.7723492369295597</v>
      </c>
      <c r="P1336" s="3">
        <f t="shared" ca="1" si="153"/>
        <v>-3.1255119730098069</v>
      </c>
      <c r="Q1336" s="3">
        <f t="shared" ca="1" si="154"/>
        <v>0.30547324872066384</v>
      </c>
      <c r="R1336" s="3">
        <f t="shared" ca="1" si="155"/>
        <v>3.1404042731966233</v>
      </c>
    </row>
    <row r="1337" spans="7:18" x14ac:dyDescent="0.25">
      <c r="G1337" s="2">
        <f t="shared" ca="1" si="149"/>
        <v>0.67888930696238681</v>
      </c>
      <c r="H1337" s="3">
        <f t="shared" ca="1" si="150"/>
        <v>1</v>
      </c>
      <c r="I1337" s="3">
        <f t="shared" ca="1" si="151"/>
        <v>0.65999070295528994</v>
      </c>
      <c r="J1337" s="3">
        <f t="shared" ca="1" si="152"/>
        <v>4.0619905925398507</v>
      </c>
      <c r="P1337" s="3">
        <f t="shared" ca="1" si="153"/>
        <v>3.3909658372851634</v>
      </c>
      <c r="Q1337" s="3">
        <f t="shared" ca="1" si="154"/>
        <v>0.73023619249029736</v>
      </c>
      <c r="R1337" s="3">
        <f t="shared" ca="1" si="155"/>
        <v>3.4687020924919159</v>
      </c>
    </row>
    <row r="1338" spans="7:18" x14ac:dyDescent="0.25">
      <c r="G1338" s="2">
        <f t="shared" ca="1" si="149"/>
        <v>0.90038892491667466</v>
      </c>
      <c r="H1338" s="3">
        <f t="shared" ca="1" si="150"/>
        <v>1</v>
      </c>
      <c r="I1338" s="3">
        <f t="shared" ca="1" si="151"/>
        <v>2.2425752119051228</v>
      </c>
      <c r="J1338" s="3">
        <f t="shared" ca="1" si="152"/>
        <v>7.4876151275040881</v>
      </c>
      <c r="P1338" s="3">
        <f t="shared" ca="1" si="153"/>
        <v>-0.29125480773269974</v>
      </c>
      <c r="Q1338" s="3">
        <f t="shared" ca="1" si="154"/>
        <v>-9.7238229914487881</v>
      </c>
      <c r="R1338" s="3">
        <f t="shared" ca="1" si="155"/>
        <v>9.7281839483048156</v>
      </c>
    </row>
    <row r="1339" spans="7:18" x14ac:dyDescent="0.25">
      <c r="G1339" s="2">
        <f t="shared" ca="1" si="149"/>
        <v>0.98476359273172787</v>
      </c>
      <c r="H1339" s="3">
        <f t="shared" ca="1" si="150"/>
        <v>2</v>
      </c>
      <c r="I1339" s="3">
        <f t="shared" ca="1" si="151"/>
        <v>4.2337367590303412</v>
      </c>
      <c r="J1339" s="3">
        <f t="shared" ca="1" si="152"/>
        <v>10.288023083943704</v>
      </c>
      <c r="P1339" s="3">
        <f t="shared" ca="1" si="153"/>
        <v>-8.2679047469737021</v>
      </c>
      <c r="Q1339" s="3">
        <f t="shared" ca="1" si="154"/>
        <v>3.600863132488072</v>
      </c>
      <c r="R1339" s="3">
        <f t="shared" ca="1" si="155"/>
        <v>9.0180077735574216</v>
      </c>
    </row>
    <row r="1340" spans="7:18" x14ac:dyDescent="0.25">
      <c r="G1340" s="2">
        <f t="shared" ca="1" si="149"/>
        <v>0.33208635028127254</v>
      </c>
      <c r="H1340" s="3">
        <f t="shared" ca="1" si="150"/>
        <v>0</v>
      </c>
      <c r="I1340" s="3">
        <f t="shared" ca="1" si="151"/>
        <v>2.0753245131463638</v>
      </c>
      <c r="J1340" s="3">
        <f t="shared" ca="1" si="152"/>
        <v>7.2029933242131428</v>
      </c>
      <c r="P1340" s="3">
        <f t="shared" ca="1" si="153"/>
        <v>-2.4038658726635553</v>
      </c>
      <c r="Q1340" s="3">
        <f t="shared" ca="1" si="154"/>
        <v>8.405630724125924</v>
      </c>
      <c r="R1340" s="3">
        <f t="shared" ca="1" si="155"/>
        <v>8.7426082494943245</v>
      </c>
    </row>
    <row r="1341" spans="7:18" x14ac:dyDescent="0.25">
      <c r="G1341" s="2">
        <f t="shared" ca="1" si="149"/>
        <v>0.60124502826462534</v>
      </c>
      <c r="H1341" s="3">
        <f t="shared" ca="1" si="150"/>
        <v>0</v>
      </c>
      <c r="I1341" s="3">
        <f t="shared" ca="1" si="151"/>
        <v>0.10102396822422977</v>
      </c>
      <c r="J1341" s="3">
        <f t="shared" ca="1" si="152"/>
        <v>1.5892133920923723</v>
      </c>
      <c r="P1341" s="3">
        <f t="shared" ca="1" si="153"/>
        <v>1.1928448318871041</v>
      </c>
      <c r="Q1341" s="3">
        <f t="shared" ca="1" si="154"/>
        <v>3.2202078715906848</v>
      </c>
      <c r="R1341" s="3">
        <f t="shared" ca="1" si="155"/>
        <v>3.4340380791736105</v>
      </c>
    </row>
    <row r="1342" spans="7:18" x14ac:dyDescent="0.25">
      <c r="G1342" s="2">
        <f t="shared" ca="1" si="149"/>
        <v>0.67477045212050146</v>
      </c>
      <c r="H1342" s="3">
        <f t="shared" ca="1" si="150"/>
        <v>1</v>
      </c>
      <c r="I1342" s="3">
        <f t="shared" ca="1" si="151"/>
        <v>4.7676370743693992</v>
      </c>
      <c r="J1342" s="3">
        <f t="shared" ca="1" si="152"/>
        <v>10.917459725560475</v>
      </c>
      <c r="P1342" s="3">
        <f t="shared" ca="1" si="153"/>
        <v>-9.793761010163017</v>
      </c>
      <c r="Q1342" s="3">
        <f t="shared" ca="1" si="154"/>
        <v>3.2297046429119098</v>
      </c>
      <c r="R1342" s="3">
        <f t="shared" ca="1" si="155"/>
        <v>10.31255287524074</v>
      </c>
    </row>
    <row r="1343" spans="7:18" x14ac:dyDescent="0.25">
      <c r="G1343" s="2">
        <f t="shared" ca="1" si="149"/>
        <v>0.49282883106787867</v>
      </c>
      <c r="H1343" s="3">
        <f t="shared" ca="1" si="150"/>
        <v>0</v>
      </c>
      <c r="I1343" s="3">
        <f t="shared" ca="1" si="151"/>
        <v>5.1536255921741088</v>
      </c>
      <c r="J1343" s="3">
        <f t="shared" ca="1" si="152"/>
        <v>11.35079908219473</v>
      </c>
      <c r="P1343" s="3">
        <f t="shared" ca="1" si="153"/>
        <v>-3.0849448966311286</v>
      </c>
      <c r="Q1343" s="3">
        <f t="shared" ca="1" si="154"/>
        <v>2.8057733950041639</v>
      </c>
      <c r="R1343" s="3">
        <f t="shared" ca="1" si="155"/>
        <v>4.1700418894015492</v>
      </c>
    </row>
    <row r="1344" spans="7:18" x14ac:dyDescent="0.25">
      <c r="G1344" s="2">
        <f t="shared" ca="1" si="149"/>
        <v>0.10559384732686272</v>
      </c>
      <c r="H1344" s="3">
        <f t="shared" ca="1" si="150"/>
        <v>0</v>
      </c>
      <c r="I1344" s="3">
        <f t="shared" ca="1" si="151"/>
        <v>0.40850791558742972</v>
      </c>
      <c r="J1344" s="3">
        <f t="shared" ca="1" si="152"/>
        <v>3.1957311979710905</v>
      </c>
      <c r="P1344" s="3">
        <f t="shared" ca="1" si="153"/>
        <v>-10.376608070109901</v>
      </c>
      <c r="Q1344" s="3">
        <f t="shared" ca="1" si="154"/>
        <v>7.5132506021832676E-2</v>
      </c>
      <c r="R1344" s="3">
        <f t="shared" ca="1" si="155"/>
        <v>10.376880067444697</v>
      </c>
    </row>
    <row r="1345" spans="7:18" x14ac:dyDescent="0.25">
      <c r="G1345" s="2">
        <f t="shared" ca="1" si="149"/>
        <v>0.53375791795629013</v>
      </c>
      <c r="H1345" s="3">
        <f t="shared" ca="1" si="150"/>
        <v>0</v>
      </c>
      <c r="I1345" s="3">
        <f t="shared" ca="1" si="151"/>
        <v>1.2662935410702636</v>
      </c>
      <c r="J1345" s="3">
        <f t="shared" ca="1" si="152"/>
        <v>5.6264854506838091</v>
      </c>
      <c r="P1345" s="3">
        <f t="shared" ca="1" si="153"/>
        <v>-6.2640233387760516</v>
      </c>
      <c r="Q1345" s="3">
        <f t="shared" ca="1" si="154"/>
        <v>-2.5697157753162361</v>
      </c>
      <c r="R1345" s="3">
        <f t="shared" ca="1" si="155"/>
        <v>6.7706297753340641</v>
      </c>
    </row>
    <row r="1346" spans="7:18" x14ac:dyDescent="0.25">
      <c r="G1346" s="2">
        <f t="shared" ca="1" si="149"/>
        <v>0.45916795236129004</v>
      </c>
      <c r="H1346" s="3">
        <f t="shared" ca="1" si="150"/>
        <v>0</v>
      </c>
      <c r="I1346" s="3">
        <f t="shared" ca="1" si="151"/>
        <v>2.4621583635771032</v>
      </c>
      <c r="J1346" s="3">
        <f t="shared" ca="1" si="152"/>
        <v>7.845633122280673</v>
      </c>
      <c r="P1346" s="3">
        <f t="shared" ca="1" si="153"/>
        <v>-3.3019679507055617</v>
      </c>
      <c r="Q1346" s="3">
        <f t="shared" ca="1" si="154"/>
        <v>3.5512701143973078</v>
      </c>
      <c r="R1346" s="3">
        <f t="shared" ca="1" si="155"/>
        <v>4.8491764015034713</v>
      </c>
    </row>
    <row r="1347" spans="7:18" x14ac:dyDescent="0.25">
      <c r="G1347" s="2">
        <f t="shared" ca="1" si="149"/>
        <v>2.0296670233640568E-2</v>
      </c>
      <c r="H1347" s="3">
        <f t="shared" ca="1" si="150"/>
        <v>0</v>
      </c>
      <c r="I1347" s="3">
        <f t="shared" ca="1" si="151"/>
        <v>0.43490145197714764</v>
      </c>
      <c r="J1347" s="3">
        <f t="shared" ca="1" si="152"/>
        <v>3.2973529230928089</v>
      </c>
      <c r="P1347" s="3">
        <f t="shared" ca="1" si="153"/>
        <v>-3.5160002915314985</v>
      </c>
      <c r="Q1347" s="3">
        <f t="shared" ca="1" si="154"/>
        <v>13.530680064706724</v>
      </c>
      <c r="R1347" s="3">
        <f t="shared" ca="1" si="155"/>
        <v>13.980041525814633</v>
      </c>
    </row>
    <row r="1348" spans="7:18" x14ac:dyDescent="0.25">
      <c r="G1348" s="2">
        <f t="shared" ref="G1348:G1411" ca="1" si="156">RAND()</f>
        <v>0.71702621676736333</v>
      </c>
      <c r="H1348" s="3">
        <f t="shared" ref="H1348:H1411" ca="1" si="157">VLOOKUP(G1348,$B$9:$C$169,2,TRUE)</f>
        <v>1</v>
      </c>
      <c r="I1348" s="3">
        <f t="shared" ref="I1348:I1411" ca="1" si="158">_xlfn.CHISQ.INV(RAND(),2*H1348+2)</f>
        <v>1.7451820271627974</v>
      </c>
      <c r="J1348" s="3">
        <f t="shared" ref="J1348:J1411" ca="1" si="159">$C$4*SQRT(I1348)</f>
        <v>6.6052668893141577</v>
      </c>
      <c r="P1348" s="3">
        <f t="shared" ref="P1348:P1411" ca="1" si="160">_xlfn.NORM.INV(RAND(),$C$3*COS($O$2),$C$4)</f>
        <v>-12.752745686817926</v>
      </c>
      <c r="Q1348" s="3">
        <f t="shared" ref="Q1348:Q1411" ca="1" si="161">_xlfn.NORM.INV(RAND(),$C$3*SIN($O$2),$C$4)</f>
        <v>3.8801049801756169</v>
      </c>
      <c r="R1348" s="3">
        <f t="shared" ref="R1348:R1411" ca="1" si="162">SQRT(P1348^2+Q1348^2)</f>
        <v>13.329956384393643</v>
      </c>
    </row>
    <row r="1349" spans="7:18" x14ac:dyDescent="0.25">
      <c r="G1349" s="2">
        <f t="shared" ca="1" si="156"/>
        <v>1.6578225869167018E-2</v>
      </c>
      <c r="H1349" s="3">
        <f t="shared" ca="1" si="157"/>
        <v>0</v>
      </c>
      <c r="I1349" s="3">
        <f t="shared" ca="1" si="158"/>
        <v>3.0070070385055541</v>
      </c>
      <c r="J1349" s="3">
        <f t="shared" ca="1" si="159"/>
        <v>8.6703619280073223</v>
      </c>
      <c r="P1349" s="3">
        <f t="shared" ca="1" si="160"/>
        <v>-5.0922073573405449</v>
      </c>
      <c r="Q1349" s="3">
        <f t="shared" ca="1" si="161"/>
        <v>3.0353752856681475</v>
      </c>
      <c r="R1349" s="3">
        <f t="shared" ca="1" si="162"/>
        <v>5.9282441662770742</v>
      </c>
    </row>
    <row r="1350" spans="7:18" x14ac:dyDescent="0.25">
      <c r="G1350" s="2">
        <f t="shared" ca="1" si="156"/>
        <v>0.66179872343245294</v>
      </c>
      <c r="H1350" s="3">
        <f t="shared" ca="1" si="157"/>
        <v>1</v>
      </c>
      <c r="I1350" s="3">
        <f t="shared" ca="1" si="158"/>
        <v>3.0951526928000841</v>
      </c>
      <c r="J1350" s="3">
        <f t="shared" ca="1" si="159"/>
        <v>8.7965230244683674</v>
      </c>
      <c r="P1350" s="3">
        <f t="shared" ca="1" si="160"/>
        <v>-1.4622512431746055</v>
      </c>
      <c r="Q1350" s="3">
        <f t="shared" ca="1" si="161"/>
        <v>14.651418220466937</v>
      </c>
      <c r="R1350" s="3">
        <f t="shared" ca="1" si="162"/>
        <v>14.724205736446235</v>
      </c>
    </row>
    <row r="1351" spans="7:18" x14ac:dyDescent="0.25">
      <c r="G1351" s="2">
        <f t="shared" ca="1" si="156"/>
        <v>0.33641042530279408</v>
      </c>
      <c r="H1351" s="3">
        <f t="shared" ca="1" si="157"/>
        <v>0</v>
      </c>
      <c r="I1351" s="3">
        <f t="shared" ca="1" si="158"/>
        <v>2.8932028608235427</v>
      </c>
      <c r="J1351" s="3">
        <f t="shared" ca="1" si="159"/>
        <v>8.5047087851723973</v>
      </c>
      <c r="P1351" s="3">
        <f t="shared" ca="1" si="160"/>
        <v>-4.7281126294817604</v>
      </c>
      <c r="Q1351" s="3">
        <f t="shared" ca="1" si="161"/>
        <v>-4.8991279313288505</v>
      </c>
      <c r="R1351" s="3">
        <f t="shared" ca="1" si="162"/>
        <v>6.8085610465495154</v>
      </c>
    </row>
    <row r="1352" spans="7:18" x14ac:dyDescent="0.25">
      <c r="G1352" s="2">
        <f t="shared" ca="1" si="156"/>
        <v>4.1879168275008039E-2</v>
      </c>
      <c r="H1352" s="3">
        <f t="shared" ca="1" si="157"/>
        <v>0</v>
      </c>
      <c r="I1352" s="3">
        <f t="shared" ca="1" si="158"/>
        <v>0.27975669320288232</v>
      </c>
      <c r="J1352" s="3">
        <f t="shared" ca="1" si="159"/>
        <v>2.6446015446702091</v>
      </c>
      <c r="P1352" s="3">
        <f t="shared" ca="1" si="160"/>
        <v>-9.7329584718737259</v>
      </c>
      <c r="Q1352" s="3">
        <f t="shared" ca="1" si="161"/>
        <v>-0.37018167406640146</v>
      </c>
      <c r="R1352" s="3">
        <f t="shared" ca="1" si="162"/>
        <v>9.7399956410171526</v>
      </c>
    </row>
    <row r="1353" spans="7:18" x14ac:dyDescent="0.25">
      <c r="G1353" s="2">
        <f t="shared" ca="1" si="156"/>
        <v>0.60301412662508991</v>
      </c>
      <c r="H1353" s="3">
        <f t="shared" ca="1" si="157"/>
        <v>0</v>
      </c>
      <c r="I1353" s="3">
        <f t="shared" ca="1" si="158"/>
        <v>0.18365367038288583</v>
      </c>
      <c r="J1353" s="3">
        <f t="shared" ca="1" si="159"/>
        <v>2.1427416455494921</v>
      </c>
      <c r="P1353" s="3">
        <f t="shared" ca="1" si="160"/>
        <v>-3.6084301899169033</v>
      </c>
      <c r="Q1353" s="3">
        <f t="shared" ca="1" si="161"/>
        <v>12.951819700434466</v>
      </c>
      <c r="R1353" s="3">
        <f t="shared" ca="1" si="162"/>
        <v>13.445088396439276</v>
      </c>
    </row>
    <row r="1354" spans="7:18" x14ac:dyDescent="0.25">
      <c r="G1354" s="2">
        <f t="shared" ca="1" si="156"/>
        <v>0.85610062063549985</v>
      </c>
      <c r="H1354" s="3">
        <f t="shared" ca="1" si="157"/>
        <v>1</v>
      </c>
      <c r="I1354" s="3">
        <f t="shared" ca="1" si="158"/>
        <v>2.7352858371562299</v>
      </c>
      <c r="J1354" s="3">
        <f t="shared" ca="1" si="159"/>
        <v>8.2693497887624599</v>
      </c>
      <c r="P1354" s="3">
        <f t="shared" ca="1" si="160"/>
        <v>-6.5057398562232498</v>
      </c>
      <c r="Q1354" s="3">
        <f t="shared" ca="1" si="161"/>
        <v>1.1306629404288813</v>
      </c>
      <c r="R1354" s="3">
        <f t="shared" ca="1" si="162"/>
        <v>6.603260540196108</v>
      </c>
    </row>
    <row r="1355" spans="7:18" x14ac:dyDescent="0.25">
      <c r="G1355" s="2">
        <f t="shared" ca="1" si="156"/>
        <v>0.25367399719925632</v>
      </c>
      <c r="H1355" s="3">
        <f t="shared" ca="1" si="157"/>
        <v>0</v>
      </c>
      <c r="I1355" s="3">
        <f t="shared" ca="1" si="158"/>
        <v>1.7146705580919079</v>
      </c>
      <c r="J1355" s="3">
        <f t="shared" ca="1" si="159"/>
        <v>6.5472714891241299</v>
      </c>
      <c r="P1355" s="3">
        <f t="shared" ca="1" si="160"/>
        <v>-2.5827709103890037</v>
      </c>
      <c r="Q1355" s="3">
        <f t="shared" ca="1" si="161"/>
        <v>1.57790757183189</v>
      </c>
      <c r="R1355" s="3">
        <f t="shared" ca="1" si="162"/>
        <v>3.0266314411893718</v>
      </c>
    </row>
    <row r="1356" spans="7:18" x14ac:dyDescent="0.25">
      <c r="G1356" s="2">
        <f t="shared" ca="1" si="156"/>
        <v>0.58721264768496273</v>
      </c>
      <c r="H1356" s="3">
        <f t="shared" ca="1" si="157"/>
        <v>0</v>
      </c>
      <c r="I1356" s="3">
        <f t="shared" ca="1" si="158"/>
        <v>2.5352665223952169</v>
      </c>
      <c r="J1356" s="3">
        <f t="shared" ca="1" si="159"/>
        <v>7.9612601427085918</v>
      </c>
      <c r="P1356" s="3">
        <f t="shared" ca="1" si="160"/>
        <v>-4.475327514529317</v>
      </c>
      <c r="Q1356" s="3">
        <f t="shared" ca="1" si="161"/>
        <v>-5.6446957302115441</v>
      </c>
      <c r="R1356" s="3">
        <f t="shared" ca="1" si="162"/>
        <v>7.203550947204552</v>
      </c>
    </row>
    <row r="1357" spans="7:18" x14ac:dyDescent="0.25">
      <c r="G1357" s="2">
        <f t="shared" ca="1" si="156"/>
        <v>0.66468238883674757</v>
      </c>
      <c r="H1357" s="3">
        <f t="shared" ca="1" si="157"/>
        <v>1</v>
      </c>
      <c r="I1357" s="3">
        <f t="shared" ca="1" si="158"/>
        <v>0.72690404705483436</v>
      </c>
      <c r="J1357" s="3">
        <f t="shared" ca="1" si="159"/>
        <v>4.2629334004146555</v>
      </c>
      <c r="P1357" s="3">
        <f t="shared" ca="1" si="160"/>
        <v>-11.396494706816881</v>
      </c>
      <c r="Q1357" s="3">
        <f t="shared" ca="1" si="161"/>
        <v>-2.1519694977907031</v>
      </c>
      <c r="R1357" s="3">
        <f t="shared" ca="1" si="162"/>
        <v>11.597890511723534</v>
      </c>
    </row>
    <row r="1358" spans="7:18" x14ac:dyDescent="0.25">
      <c r="G1358" s="2">
        <f t="shared" ca="1" si="156"/>
        <v>6.0947914695752892E-2</v>
      </c>
      <c r="H1358" s="3">
        <f t="shared" ca="1" si="157"/>
        <v>0</v>
      </c>
      <c r="I1358" s="3">
        <f t="shared" ca="1" si="158"/>
        <v>0.39205428577731077</v>
      </c>
      <c r="J1358" s="3">
        <f t="shared" ca="1" si="159"/>
        <v>3.1307119229390574</v>
      </c>
      <c r="P1358" s="3">
        <f t="shared" ca="1" si="160"/>
        <v>-0.47635334514826866</v>
      </c>
      <c r="Q1358" s="3">
        <f t="shared" ca="1" si="161"/>
        <v>1.296682724432747</v>
      </c>
      <c r="R1358" s="3">
        <f t="shared" ca="1" si="162"/>
        <v>1.3814118130652702</v>
      </c>
    </row>
    <row r="1359" spans="7:18" x14ac:dyDescent="0.25">
      <c r="G1359" s="2">
        <f t="shared" ca="1" si="156"/>
        <v>0.43970685537804388</v>
      </c>
      <c r="H1359" s="3">
        <f t="shared" ca="1" si="157"/>
        <v>0</v>
      </c>
      <c r="I1359" s="3">
        <f t="shared" ca="1" si="158"/>
        <v>4.6645540225025721</v>
      </c>
      <c r="J1359" s="3">
        <f t="shared" ca="1" si="159"/>
        <v>10.798789310036765</v>
      </c>
      <c r="P1359" s="3">
        <f t="shared" ca="1" si="160"/>
        <v>-8.4096503180364888</v>
      </c>
      <c r="Q1359" s="3">
        <f t="shared" ca="1" si="161"/>
        <v>3.7630031936548347</v>
      </c>
      <c r="R1359" s="3">
        <f t="shared" ca="1" si="162"/>
        <v>9.2131651188452981</v>
      </c>
    </row>
    <row r="1360" spans="7:18" x14ac:dyDescent="0.25">
      <c r="G1360" s="2">
        <f t="shared" ca="1" si="156"/>
        <v>0.66204850794993209</v>
      </c>
      <c r="H1360" s="3">
        <f t="shared" ca="1" si="157"/>
        <v>1</v>
      </c>
      <c r="I1360" s="3">
        <f t="shared" ca="1" si="158"/>
        <v>3.5317812501142156</v>
      </c>
      <c r="J1360" s="3">
        <f t="shared" ca="1" si="159"/>
        <v>9.3965169745419708</v>
      </c>
      <c r="P1360" s="3">
        <f t="shared" ca="1" si="160"/>
        <v>8.6573107570984931</v>
      </c>
      <c r="Q1360" s="3">
        <f t="shared" ca="1" si="161"/>
        <v>0.55313764235690699</v>
      </c>
      <c r="R1360" s="3">
        <f t="shared" ca="1" si="162"/>
        <v>8.6749634463993814</v>
      </c>
    </row>
    <row r="1361" spans="7:18" x14ac:dyDescent="0.25">
      <c r="G1361" s="2">
        <f t="shared" ca="1" si="156"/>
        <v>0.35358730636785285</v>
      </c>
      <c r="H1361" s="3">
        <f t="shared" ca="1" si="157"/>
        <v>0</v>
      </c>
      <c r="I1361" s="3">
        <f t="shared" ca="1" si="158"/>
        <v>0.61183997014111946</v>
      </c>
      <c r="J1361" s="3">
        <f t="shared" ca="1" si="159"/>
        <v>3.9110100042735745</v>
      </c>
      <c r="P1361" s="3">
        <f t="shared" ca="1" si="160"/>
        <v>1.3116881991658422</v>
      </c>
      <c r="Q1361" s="3">
        <f t="shared" ca="1" si="161"/>
        <v>-1.2679910006675046</v>
      </c>
      <c r="R1361" s="3">
        <f t="shared" ca="1" si="162"/>
        <v>1.8243703323625688</v>
      </c>
    </row>
    <row r="1362" spans="7:18" x14ac:dyDescent="0.25">
      <c r="G1362" s="2">
        <f t="shared" ca="1" si="156"/>
        <v>0.6908658320637433</v>
      </c>
      <c r="H1362" s="3">
        <f t="shared" ca="1" si="157"/>
        <v>1</v>
      </c>
      <c r="I1362" s="3">
        <f t="shared" ca="1" si="158"/>
        <v>5.1262025776466595</v>
      </c>
      <c r="J1362" s="3">
        <f t="shared" ca="1" si="159"/>
        <v>11.320559369623327</v>
      </c>
      <c r="P1362" s="3">
        <f t="shared" ca="1" si="160"/>
        <v>-7.8877890967883468</v>
      </c>
      <c r="Q1362" s="3">
        <f t="shared" ca="1" si="161"/>
        <v>-4.3273176311453554</v>
      </c>
      <c r="R1362" s="3">
        <f t="shared" ca="1" si="162"/>
        <v>8.9968269248793806</v>
      </c>
    </row>
    <row r="1363" spans="7:18" x14ac:dyDescent="0.25">
      <c r="G1363" s="2">
        <f t="shared" ca="1" si="156"/>
        <v>0.19361772885766593</v>
      </c>
      <c r="H1363" s="3">
        <f t="shared" ca="1" si="157"/>
        <v>0</v>
      </c>
      <c r="I1363" s="3">
        <f t="shared" ca="1" si="158"/>
        <v>4.8995748930408736</v>
      </c>
      <c r="J1363" s="3">
        <f t="shared" ca="1" si="159"/>
        <v>11.067491690804284</v>
      </c>
      <c r="P1363" s="3">
        <f t="shared" ca="1" si="160"/>
        <v>-10.507440065701633</v>
      </c>
      <c r="Q1363" s="3">
        <f t="shared" ca="1" si="161"/>
        <v>4.7955943269058556</v>
      </c>
      <c r="R1363" s="3">
        <f t="shared" ca="1" si="162"/>
        <v>11.550065873516202</v>
      </c>
    </row>
    <row r="1364" spans="7:18" x14ac:dyDescent="0.25">
      <c r="G1364" s="2">
        <f t="shared" ca="1" si="156"/>
        <v>0.56805958309646964</v>
      </c>
      <c r="H1364" s="3">
        <f t="shared" ca="1" si="157"/>
        <v>0</v>
      </c>
      <c r="I1364" s="3">
        <f t="shared" ca="1" si="158"/>
        <v>0.11420657092379462</v>
      </c>
      <c r="J1364" s="3">
        <f t="shared" ca="1" si="159"/>
        <v>1.6897231350416155</v>
      </c>
      <c r="P1364" s="3">
        <f t="shared" ca="1" si="160"/>
        <v>6.3961339173267735</v>
      </c>
      <c r="Q1364" s="3">
        <f t="shared" ca="1" si="161"/>
        <v>-3.5951835776085477</v>
      </c>
      <c r="R1364" s="3">
        <f t="shared" ca="1" si="162"/>
        <v>7.3372933732463048</v>
      </c>
    </row>
    <row r="1365" spans="7:18" x14ac:dyDescent="0.25">
      <c r="G1365" s="2">
        <f t="shared" ca="1" si="156"/>
        <v>0.57751862166985457</v>
      </c>
      <c r="H1365" s="3">
        <f t="shared" ca="1" si="157"/>
        <v>0</v>
      </c>
      <c r="I1365" s="3">
        <f t="shared" ca="1" si="158"/>
        <v>0.77801908498424521</v>
      </c>
      <c r="J1365" s="3">
        <f t="shared" ca="1" si="159"/>
        <v>4.4102695070263138</v>
      </c>
      <c r="P1365" s="3">
        <f t="shared" ca="1" si="160"/>
        <v>-15.008375507392913</v>
      </c>
      <c r="Q1365" s="3">
        <f t="shared" ca="1" si="161"/>
        <v>-4.929140780536426</v>
      </c>
      <c r="R1365" s="3">
        <f t="shared" ca="1" si="162"/>
        <v>15.797080876075134</v>
      </c>
    </row>
    <row r="1366" spans="7:18" x14ac:dyDescent="0.25">
      <c r="G1366" s="2">
        <f t="shared" ca="1" si="156"/>
        <v>0.31780007478027361</v>
      </c>
      <c r="H1366" s="3">
        <f t="shared" ca="1" si="157"/>
        <v>0</v>
      </c>
      <c r="I1366" s="3">
        <f t="shared" ca="1" si="158"/>
        <v>0.81716153351093923</v>
      </c>
      <c r="J1366" s="3">
        <f t="shared" ca="1" si="159"/>
        <v>4.5198493711376582</v>
      </c>
      <c r="P1366" s="3">
        <f t="shared" ca="1" si="160"/>
        <v>-6.843487013516655</v>
      </c>
      <c r="Q1366" s="3">
        <f t="shared" ca="1" si="161"/>
        <v>-4.9386996842400457</v>
      </c>
      <c r="R1366" s="3">
        <f t="shared" ca="1" si="162"/>
        <v>8.4394353528707029</v>
      </c>
    </row>
    <row r="1367" spans="7:18" x14ac:dyDescent="0.25">
      <c r="G1367" s="2">
        <f t="shared" ca="1" si="156"/>
        <v>0.79977648019913539</v>
      </c>
      <c r="H1367" s="3">
        <f t="shared" ca="1" si="157"/>
        <v>1</v>
      </c>
      <c r="I1367" s="3">
        <f t="shared" ca="1" si="158"/>
        <v>3.8810977924828607</v>
      </c>
      <c r="J1367" s="3">
        <f t="shared" ca="1" si="159"/>
        <v>9.8502510024908254</v>
      </c>
      <c r="P1367" s="3">
        <f t="shared" ca="1" si="160"/>
        <v>-9.0602076059099996</v>
      </c>
      <c r="Q1367" s="3">
        <f t="shared" ca="1" si="161"/>
        <v>3.7329884925614398</v>
      </c>
      <c r="R1367" s="3">
        <f t="shared" ca="1" si="162"/>
        <v>9.7991104161441882</v>
      </c>
    </row>
    <row r="1368" spans="7:18" x14ac:dyDescent="0.25">
      <c r="G1368" s="2">
        <f t="shared" ca="1" si="156"/>
        <v>0.60513642646237298</v>
      </c>
      <c r="H1368" s="3">
        <f t="shared" ca="1" si="157"/>
        <v>0</v>
      </c>
      <c r="I1368" s="3">
        <f t="shared" ca="1" si="158"/>
        <v>0.89260068244225266</v>
      </c>
      <c r="J1368" s="3">
        <f t="shared" ca="1" si="159"/>
        <v>4.7238773334048716</v>
      </c>
      <c r="P1368" s="3">
        <f t="shared" ca="1" si="160"/>
        <v>-7.165078837646468</v>
      </c>
      <c r="Q1368" s="3">
        <f t="shared" ca="1" si="161"/>
        <v>-8.6622768584342875</v>
      </c>
      <c r="R1368" s="3">
        <f t="shared" ca="1" si="162"/>
        <v>11.241592196920125</v>
      </c>
    </row>
    <row r="1369" spans="7:18" x14ac:dyDescent="0.25">
      <c r="G1369" s="2">
        <f t="shared" ca="1" si="156"/>
        <v>0.3267668196078396</v>
      </c>
      <c r="H1369" s="3">
        <f t="shared" ca="1" si="157"/>
        <v>0</v>
      </c>
      <c r="I1369" s="3">
        <f t="shared" ca="1" si="158"/>
        <v>4.9214215813742817</v>
      </c>
      <c r="J1369" s="3">
        <f t="shared" ca="1" si="159"/>
        <v>11.092138636636175</v>
      </c>
      <c r="P1369" s="3">
        <f t="shared" ca="1" si="160"/>
        <v>-4.3471276337616809</v>
      </c>
      <c r="Q1369" s="3">
        <f t="shared" ca="1" si="161"/>
        <v>4.889300622105436</v>
      </c>
      <c r="R1369" s="3">
        <f t="shared" ca="1" si="162"/>
        <v>6.5423832994968301</v>
      </c>
    </row>
    <row r="1370" spans="7:18" x14ac:dyDescent="0.25">
      <c r="G1370" s="2">
        <f t="shared" ca="1" si="156"/>
        <v>0.93353257041905713</v>
      </c>
      <c r="H1370" s="3">
        <f t="shared" ca="1" si="157"/>
        <v>2</v>
      </c>
      <c r="I1370" s="3">
        <f t="shared" ca="1" si="158"/>
        <v>5.3148117827909118</v>
      </c>
      <c r="J1370" s="3">
        <f t="shared" ca="1" si="159"/>
        <v>11.526937779383248</v>
      </c>
      <c r="P1370" s="3">
        <f t="shared" ca="1" si="160"/>
        <v>-2.9509598478670496</v>
      </c>
      <c r="Q1370" s="3">
        <f t="shared" ca="1" si="161"/>
        <v>-16.678686835304369</v>
      </c>
      <c r="R1370" s="3">
        <f t="shared" ca="1" si="162"/>
        <v>16.937731801332749</v>
      </c>
    </row>
    <row r="1371" spans="7:18" x14ac:dyDescent="0.25">
      <c r="G1371" s="2">
        <f t="shared" ca="1" si="156"/>
        <v>0.57316994180829528</v>
      </c>
      <c r="H1371" s="3">
        <f t="shared" ca="1" si="157"/>
        <v>0</v>
      </c>
      <c r="I1371" s="3">
        <f t="shared" ca="1" si="158"/>
        <v>4.3394695056607109</v>
      </c>
      <c r="J1371" s="3">
        <f t="shared" ca="1" si="159"/>
        <v>10.415696694965622</v>
      </c>
      <c r="P1371" s="3">
        <f t="shared" ca="1" si="160"/>
        <v>-2.4786117080115986</v>
      </c>
      <c r="Q1371" s="3">
        <f t="shared" ca="1" si="161"/>
        <v>0.93051375414635096</v>
      </c>
      <c r="R1371" s="3">
        <f t="shared" ca="1" si="162"/>
        <v>2.647521831023818</v>
      </c>
    </row>
    <row r="1372" spans="7:18" x14ac:dyDescent="0.25">
      <c r="G1372" s="2">
        <f t="shared" ca="1" si="156"/>
        <v>0.5703528493462543</v>
      </c>
      <c r="H1372" s="3">
        <f t="shared" ca="1" si="157"/>
        <v>0</v>
      </c>
      <c r="I1372" s="3">
        <f t="shared" ca="1" si="158"/>
        <v>1.9517118756721716</v>
      </c>
      <c r="J1372" s="3">
        <f t="shared" ca="1" si="159"/>
        <v>6.985184098633642</v>
      </c>
      <c r="P1372" s="3">
        <f t="shared" ca="1" si="160"/>
        <v>0.16103441177921773</v>
      </c>
      <c r="Q1372" s="3">
        <f t="shared" ca="1" si="161"/>
        <v>-9.7580610787628679</v>
      </c>
      <c r="R1372" s="3">
        <f t="shared" ca="1" si="162"/>
        <v>9.759389740073086</v>
      </c>
    </row>
    <row r="1373" spans="7:18" x14ac:dyDescent="0.25">
      <c r="G1373" s="2">
        <f t="shared" ca="1" si="156"/>
        <v>0.41657581017424161</v>
      </c>
      <c r="H1373" s="3">
        <f t="shared" ca="1" si="157"/>
        <v>0</v>
      </c>
      <c r="I1373" s="3">
        <f t="shared" ca="1" si="158"/>
        <v>2.4150630620385218</v>
      </c>
      <c r="J1373" s="3">
        <f t="shared" ca="1" si="159"/>
        <v>7.7702365826892974</v>
      </c>
      <c r="P1373" s="3">
        <f t="shared" ca="1" si="160"/>
        <v>0.5156290101185963</v>
      </c>
      <c r="Q1373" s="3">
        <f t="shared" ca="1" si="161"/>
        <v>0.60006627845780147</v>
      </c>
      <c r="R1373" s="3">
        <f t="shared" ca="1" si="162"/>
        <v>0.79117179842185925</v>
      </c>
    </row>
    <row r="1374" spans="7:18" x14ac:dyDescent="0.25">
      <c r="G1374" s="2">
        <f t="shared" ca="1" si="156"/>
        <v>0.99258136238658567</v>
      </c>
      <c r="H1374" s="3">
        <f t="shared" ca="1" si="157"/>
        <v>3</v>
      </c>
      <c r="I1374" s="3">
        <f t="shared" ca="1" si="158"/>
        <v>9.0243089590373167</v>
      </c>
      <c r="J1374" s="3">
        <f t="shared" ca="1" si="159"/>
        <v>15.02024380547576</v>
      </c>
      <c r="P1374" s="3">
        <f t="shared" ca="1" si="160"/>
        <v>-7.9421441965041168</v>
      </c>
      <c r="Q1374" s="3">
        <f t="shared" ca="1" si="161"/>
        <v>0.95866018683586396</v>
      </c>
      <c r="R1374" s="3">
        <f t="shared" ca="1" si="162"/>
        <v>7.9997927343080706</v>
      </c>
    </row>
    <row r="1375" spans="7:18" x14ac:dyDescent="0.25">
      <c r="G1375" s="2">
        <f t="shared" ca="1" si="156"/>
        <v>0.979112774254701</v>
      </c>
      <c r="H1375" s="3">
        <f t="shared" ca="1" si="157"/>
        <v>2</v>
      </c>
      <c r="I1375" s="3">
        <f t="shared" ca="1" si="158"/>
        <v>2.9555816887642905</v>
      </c>
      <c r="J1375" s="3">
        <f t="shared" ca="1" si="159"/>
        <v>8.5959026413232049</v>
      </c>
      <c r="P1375" s="3">
        <f t="shared" ca="1" si="160"/>
        <v>0.18799486957006817</v>
      </c>
      <c r="Q1375" s="3">
        <f t="shared" ca="1" si="161"/>
        <v>7.2774610530836821</v>
      </c>
      <c r="R1375" s="3">
        <f t="shared" ca="1" si="162"/>
        <v>7.2798888350121471</v>
      </c>
    </row>
    <row r="1376" spans="7:18" x14ac:dyDescent="0.25">
      <c r="G1376" s="2">
        <f t="shared" ca="1" si="156"/>
        <v>2.8986192966715008E-2</v>
      </c>
      <c r="H1376" s="3">
        <f t="shared" ca="1" si="157"/>
        <v>0</v>
      </c>
      <c r="I1376" s="3">
        <f t="shared" ca="1" si="158"/>
        <v>0.41796256375683133</v>
      </c>
      <c r="J1376" s="3">
        <f t="shared" ca="1" si="159"/>
        <v>3.2325012132899165</v>
      </c>
      <c r="P1376" s="3">
        <f t="shared" ca="1" si="160"/>
        <v>-3.1055270629584451</v>
      </c>
      <c r="Q1376" s="3">
        <f t="shared" ca="1" si="161"/>
        <v>15.333712892709785</v>
      </c>
      <c r="R1376" s="3">
        <f t="shared" ca="1" si="162"/>
        <v>15.645032739333644</v>
      </c>
    </row>
    <row r="1377" spans="7:18" x14ac:dyDescent="0.25">
      <c r="G1377" s="2">
        <f t="shared" ca="1" si="156"/>
        <v>0.40765275756089747</v>
      </c>
      <c r="H1377" s="3">
        <f t="shared" ca="1" si="157"/>
        <v>0</v>
      </c>
      <c r="I1377" s="3">
        <f t="shared" ca="1" si="158"/>
        <v>2.9329028338549157</v>
      </c>
      <c r="J1377" s="3">
        <f t="shared" ca="1" si="159"/>
        <v>8.5628599688639593</v>
      </c>
      <c r="P1377" s="3">
        <f t="shared" ca="1" si="160"/>
        <v>-2.5121023415816102</v>
      </c>
      <c r="Q1377" s="3">
        <f t="shared" ca="1" si="161"/>
        <v>-5.4035340660863866</v>
      </c>
      <c r="R1377" s="3">
        <f t="shared" ca="1" si="162"/>
        <v>5.9589293147289384</v>
      </c>
    </row>
    <row r="1378" spans="7:18" x14ac:dyDescent="0.25">
      <c r="G1378" s="2">
        <f t="shared" ca="1" si="156"/>
        <v>0.87607900672915784</v>
      </c>
      <c r="H1378" s="3">
        <f t="shared" ca="1" si="157"/>
        <v>1</v>
      </c>
      <c r="I1378" s="3">
        <f t="shared" ca="1" si="158"/>
        <v>9.2634238973957839</v>
      </c>
      <c r="J1378" s="3">
        <f t="shared" ca="1" si="159"/>
        <v>15.217936700975418</v>
      </c>
      <c r="P1378" s="3">
        <f t="shared" ca="1" si="160"/>
        <v>-4.2247098228668278</v>
      </c>
      <c r="Q1378" s="3">
        <f t="shared" ca="1" si="161"/>
        <v>-4.023376161119443</v>
      </c>
      <c r="R1378" s="3">
        <f t="shared" ca="1" si="162"/>
        <v>5.8340148115420218</v>
      </c>
    </row>
    <row r="1379" spans="7:18" x14ac:dyDescent="0.25">
      <c r="G1379" s="2">
        <f t="shared" ca="1" si="156"/>
        <v>0.88339138670718442</v>
      </c>
      <c r="H1379" s="3">
        <f t="shared" ca="1" si="157"/>
        <v>1</v>
      </c>
      <c r="I1379" s="3">
        <f t="shared" ca="1" si="158"/>
        <v>9.7913776179662033</v>
      </c>
      <c r="J1379" s="3">
        <f t="shared" ca="1" si="159"/>
        <v>15.645588529970841</v>
      </c>
      <c r="P1379" s="3">
        <f t="shared" ca="1" si="160"/>
        <v>-4.479632108478703</v>
      </c>
      <c r="Q1379" s="3">
        <f t="shared" ca="1" si="161"/>
        <v>-0.71131215914925261</v>
      </c>
      <c r="R1379" s="3">
        <f t="shared" ca="1" si="162"/>
        <v>4.5357544923713542</v>
      </c>
    </row>
    <row r="1380" spans="7:18" x14ac:dyDescent="0.25">
      <c r="G1380" s="2">
        <f t="shared" ca="1" si="156"/>
        <v>0.92017105074151861</v>
      </c>
      <c r="H1380" s="3">
        <f t="shared" ca="1" si="157"/>
        <v>2</v>
      </c>
      <c r="I1380" s="3">
        <f t="shared" ca="1" si="158"/>
        <v>8.9310256811794186</v>
      </c>
      <c r="J1380" s="3">
        <f t="shared" ca="1" si="159"/>
        <v>14.942410850645402</v>
      </c>
      <c r="P1380" s="3">
        <f t="shared" ca="1" si="160"/>
        <v>-7.7606639119556</v>
      </c>
      <c r="Q1380" s="3">
        <f t="shared" ca="1" si="161"/>
        <v>0.88940776144144085</v>
      </c>
      <c r="R1380" s="3">
        <f t="shared" ca="1" si="162"/>
        <v>7.8114627644534202</v>
      </c>
    </row>
    <row r="1381" spans="7:18" x14ac:dyDescent="0.25">
      <c r="G1381" s="2">
        <f t="shared" ca="1" si="156"/>
        <v>0.19564078196862311</v>
      </c>
      <c r="H1381" s="3">
        <f t="shared" ca="1" si="157"/>
        <v>0</v>
      </c>
      <c r="I1381" s="3">
        <f t="shared" ca="1" si="158"/>
        <v>1.6836674924165638</v>
      </c>
      <c r="J1381" s="3">
        <f t="shared" ca="1" si="159"/>
        <v>6.4878106715913111</v>
      </c>
      <c r="P1381" s="3">
        <f t="shared" ca="1" si="160"/>
        <v>-3.8284649334869711</v>
      </c>
      <c r="Q1381" s="3">
        <f t="shared" ca="1" si="161"/>
        <v>-0.8917982327676075</v>
      </c>
      <c r="R1381" s="3">
        <f t="shared" ca="1" si="162"/>
        <v>3.9309601670465737</v>
      </c>
    </row>
    <row r="1382" spans="7:18" x14ac:dyDescent="0.25">
      <c r="G1382" s="2">
        <f t="shared" ca="1" si="156"/>
        <v>0.28501536959034024</v>
      </c>
      <c r="H1382" s="3">
        <f t="shared" ca="1" si="157"/>
        <v>0</v>
      </c>
      <c r="I1382" s="3">
        <f t="shared" ca="1" si="158"/>
        <v>0.51720205402088948</v>
      </c>
      <c r="J1382" s="3">
        <f t="shared" ca="1" si="159"/>
        <v>3.5958380595519368</v>
      </c>
      <c r="P1382" s="3">
        <f t="shared" ca="1" si="160"/>
        <v>-9.5291961012459296</v>
      </c>
      <c r="Q1382" s="3">
        <f t="shared" ca="1" si="161"/>
        <v>-8.5820162196405416</v>
      </c>
      <c r="R1382" s="3">
        <f t="shared" ca="1" si="162"/>
        <v>12.824062567305806</v>
      </c>
    </row>
    <row r="1383" spans="7:18" x14ac:dyDescent="0.25">
      <c r="G1383" s="2">
        <f t="shared" ca="1" si="156"/>
        <v>6.3682836254062347E-2</v>
      </c>
      <c r="H1383" s="3">
        <f t="shared" ca="1" si="157"/>
        <v>0</v>
      </c>
      <c r="I1383" s="3">
        <f t="shared" ca="1" si="158"/>
        <v>0.50809773457101715</v>
      </c>
      <c r="J1383" s="3">
        <f t="shared" ca="1" si="159"/>
        <v>3.5640487320287062</v>
      </c>
      <c r="P1383" s="3">
        <f t="shared" ca="1" si="160"/>
        <v>-1.8254617081929698</v>
      </c>
      <c r="Q1383" s="3">
        <f t="shared" ca="1" si="161"/>
        <v>5.583248172940154</v>
      </c>
      <c r="R1383" s="3">
        <f t="shared" ca="1" si="162"/>
        <v>5.8740931733092525</v>
      </c>
    </row>
    <row r="1384" spans="7:18" x14ac:dyDescent="0.25">
      <c r="G1384" s="2">
        <f t="shared" ca="1" si="156"/>
        <v>0.40310038479774335</v>
      </c>
      <c r="H1384" s="3">
        <f t="shared" ca="1" si="157"/>
        <v>0</v>
      </c>
      <c r="I1384" s="3">
        <f t="shared" ca="1" si="158"/>
        <v>0.6371537377936215</v>
      </c>
      <c r="J1384" s="3">
        <f t="shared" ca="1" si="159"/>
        <v>3.9910955193831854</v>
      </c>
      <c r="P1384" s="3">
        <f t="shared" ca="1" si="160"/>
        <v>-3.2415725315233641</v>
      </c>
      <c r="Q1384" s="3">
        <f t="shared" ca="1" si="161"/>
        <v>2.7314672659115824</v>
      </c>
      <c r="R1384" s="3">
        <f t="shared" ca="1" si="162"/>
        <v>4.2389510379188486</v>
      </c>
    </row>
    <row r="1385" spans="7:18" x14ac:dyDescent="0.25">
      <c r="G1385" s="2">
        <f t="shared" ca="1" si="156"/>
        <v>0.31552299657201921</v>
      </c>
      <c r="H1385" s="3">
        <f t="shared" ca="1" si="157"/>
        <v>0</v>
      </c>
      <c r="I1385" s="3">
        <f t="shared" ca="1" si="158"/>
        <v>1.7782057268953528</v>
      </c>
      <c r="J1385" s="3">
        <f t="shared" ca="1" si="159"/>
        <v>6.6674690229789455</v>
      </c>
      <c r="P1385" s="3">
        <f t="shared" ca="1" si="160"/>
        <v>-1.1596093377426464</v>
      </c>
      <c r="Q1385" s="3">
        <f t="shared" ca="1" si="161"/>
        <v>-3.9721569269637063</v>
      </c>
      <c r="R1385" s="3">
        <f t="shared" ca="1" si="162"/>
        <v>4.1379613904198882</v>
      </c>
    </row>
    <row r="1386" spans="7:18" x14ac:dyDescent="0.25">
      <c r="G1386" s="2">
        <f t="shared" ca="1" si="156"/>
        <v>0.11720640349321187</v>
      </c>
      <c r="H1386" s="3">
        <f t="shared" ca="1" si="157"/>
        <v>0</v>
      </c>
      <c r="I1386" s="3">
        <f t="shared" ca="1" si="158"/>
        <v>4.4951726672600305</v>
      </c>
      <c r="J1386" s="3">
        <f t="shared" ca="1" si="159"/>
        <v>10.600911125063767</v>
      </c>
      <c r="P1386" s="3">
        <f t="shared" ca="1" si="160"/>
        <v>-9.8323600337517441</v>
      </c>
      <c r="Q1386" s="3">
        <f t="shared" ca="1" si="161"/>
        <v>2.8631060861111068</v>
      </c>
      <c r="R1386" s="3">
        <f t="shared" ca="1" si="162"/>
        <v>10.240736315990421</v>
      </c>
    </row>
    <row r="1387" spans="7:18" x14ac:dyDescent="0.25">
      <c r="G1387" s="2">
        <f t="shared" ca="1" si="156"/>
        <v>0.17603654262703272</v>
      </c>
      <c r="H1387" s="3">
        <f t="shared" ca="1" si="157"/>
        <v>0</v>
      </c>
      <c r="I1387" s="3">
        <f t="shared" ca="1" si="158"/>
        <v>0.2546224799630773</v>
      </c>
      <c r="J1387" s="3">
        <f t="shared" ca="1" si="159"/>
        <v>2.5230065396421253</v>
      </c>
      <c r="P1387" s="3">
        <f t="shared" ca="1" si="160"/>
        <v>-9.7684863746906707</v>
      </c>
      <c r="Q1387" s="3">
        <f t="shared" ca="1" si="161"/>
        <v>-4.7301756816768012</v>
      </c>
      <c r="R1387" s="3">
        <f t="shared" ca="1" si="162"/>
        <v>10.853473546844064</v>
      </c>
    </row>
    <row r="1388" spans="7:18" x14ac:dyDescent="0.25">
      <c r="G1388" s="2">
        <f t="shared" ca="1" si="156"/>
        <v>0.29670753643430892</v>
      </c>
      <c r="H1388" s="3">
        <f t="shared" ca="1" si="157"/>
        <v>0</v>
      </c>
      <c r="I1388" s="3">
        <f t="shared" ca="1" si="158"/>
        <v>0.75165189734554172</v>
      </c>
      <c r="J1388" s="3">
        <f t="shared" ca="1" si="159"/>
        <v>4.3348930129402898</v>
      </c>
      <c r="P1388" s="3">
        <f t="shared" ca="1" si="160"/>
        <v>4.1269774934322339</v>
      </c>
      <c r="Q1388" s="3">
        <f t="shared" ca="1" si="161"/>
        <v>-6.1959000137894913</v>
      </c>
      <c r="R1388" s="3">
        <f t="shared" ca="1" si="162"/>
        <v>7.4445362657571108</v>
      </c>
    </row>
    <row r="1389" spans="7:18" x14ac:dyDescent="0.25">
      <c r="G1389" s="2">
        <f t="shared" ca="1" si="156"/>
        <v>0.489027787648323</v>
      </c>
      <c r="H1389" s="3">
        <f t="shared" ca="1" si="157"/>
        <v>0</v>
      </c>
      <c r="I1389" s="3">
        <f t="shared" ca="1" si="158"/>
        <v>0.88517731305726233</v>
      </c>
      <c r="J1389" s="3">
        <f t="shared" ca="1" si="159"/>
        <v>4.7041931110905253</v>
      </c>
      <c r="P1389" s="3">
        <f t="shared" ca="1" si="160"/>
        <v>-3.0901183807682</v>
      </c>
      <c r="Q1389" s="3">
        <f t="shared" ca="1" si="161"/>
        <v>5.7121620742236869</v>
      </c>
      <c r="R1389" s="3">
        <f t="shared" ca="1" si="162"/>
        <v>6.4944304730561973</v>
      </c>
    </row>
    <row r="1390" spans="7:18" x14ac:dyDescent="0.25">
      <c r="G1390" s="2">
        <f t="shared" ca="1" si="156"/>
        <v>0.60870245766411601</v>
      </c>
      <c r="H1390" s="3">
        <f t="shared" ca="1" si="157"/>
        <v>1</v>
      </c>
      <c r="I1390" s="3">
        <f t="shared" ca="1" si="158"/>
        <v>10.522755020828971</v>
      </c>
      <c r="J1390" s="3">
        <f t="shared" ca="1" si="159"/>
        <v>16.219398124490446</v>
      </c>
      <c r="P1390" s="3">
        <f t="shared" ca="1" si="160"/>
        <v>-2.3690177792271454</v>
      </c>
      <c r="Q1390" s="3">
        <f t="shared" ca="1" si="161"/>
        <v>-2.3409118349756999</v>
      </c>
      <c r="R1390" s="3">
        <f t="shared" ca="1" si="162"/>
        <v>3.3304824661636658</v>
      </c>
    </row>
    <row r="1391" spans="7:18" x14ac:dyDescent="0.25">
      <c r="G1391" s="2">
        <f t="shared" ca="1" si="156"/>
        <v>0.12955680420231475</v>
      </c>
      <c r="H1391" s="3">
        <f t="shared" ca="1" si="157"/>
        <v>0</v>
      </c>
      <c r="I1391" s="3">
        <f t="shared" ca="1" si="158"/>
        <v>0.29462388745541196</v>
      </c>
      <c r="J1391" s="3">
        <f t="shared" ca="1" si="159"/>
        <v>2.7139633723367194</v>
      </c>
      <c r="P1391" s="3">
        <f t="shared" ca="1" si="160"/>
        <v>-10.646429035586607</v>
      </c>
      <c r="Q1391" s="3">
        <f t="shared" ca="1" si="161"/>
        <v>4.5464907328497812</v>
      </c>
      <c r="R1391" s="3">
        <f t="shared" ca="1" si="162"/>
        <v>11.576572428558917</v>
      </c>
    </row>
    <row r="1392" spans="7:18" x14ac:dyDescent="0.25">
      <c r="G1392" s="2">
        <f t="shared" ca="1" si="156"/>
        <v>4.1475038104232809E-3</v>
      </c>
      <c r="H1392" s="3">
        <f t="shared" ca="1" si="157"/>
        <v>0</v>
      </c>
      <c r="I1392" s="3">
        <f t="shared" ca="1" si="158"/>
        <v>0.9871239194770286</v>
      </c>
      <c r="J1392" s="3">
        <f t="shared" ca="1" si="159"/>
        <v>4.9677055052534778</v>
      </c>
      <c r="P1392" s="3">
        <f t="shared" ca="1" si="160"/>
        <v>-6.1217113399319532</v>
      </c>
      <c r="Q1392" s="3">
        <f t="shared" ca="1" si="161"/>
        <v>-0.73843528308347539</v>
      </c>
      <c r="R1392" s="3">
        <f t="shared" ca="1" si="162"/>
        <v>6.166087608585693</v>
      </c>
    </row>
    <row r="1393" spans="7:18" x14ac:dyDescent="0.25">
      <c r="G1393" s="2">
        <f t="shared" ca="1" si="156"/>
        <v>0.13205378969204873</v>
      </c>
      <c r="H1393" s="3">
        <f t="shared" ca="1" si="157"/>
        <v>0</v>
      </c>
      <c r="I1393" s="3">
        <f t="shared" ca="1" si="158"/>
        <v>0.44235495032334748</v>
      </c>
      <c r="J1393" s="3">
        <f t="shared" ca="1" si="159"/>
        <v>3.3254884991657523</v>
      </c>
      <c r="P1393" s="3">
        <f t="shared" ca="1" si="160"/>
        <v>-3.680199622584384</v>
      </c>
      <c r="Q1393" s="3">
        <f t="shared" ca="1" si="161"/>
        <v>3.4421329132739102</v>
      </c>
      <c r="R1393" s="3">
        <f t="shared" ca="1" si="162"/>
        <v>5.0390622396150038</v>
      </c>
    </row>
    <row r="1394" spans="7:18" x14ac:dyDescent="0.25">
      <c r="G1394" s="2">
        <f t="shared" ca="1" si="156"/>
        <v>0.35580429783419631</v>
      </c>
      <c r="H1394" s="3">
        <f t="shared" ca="1" si="157"/>
        <v>0</v>
      </c>
      <c r="I1394" s="3">
        <f t="shared" ca="1" si="158"/>
        <v>2.1738496166911689</v>
      </c>
      <c r="J1394" s="3">
        <f t="shared" ca="1" si="159"/>
        <v>7.3719902616104438</v>
      </c>
      <c r="P1394" s="3">
        <f t="shared" ca="1" si="160"/>
        <v>-1.1026695883067146</v>
      </c>
      <c r="Q1394" s="3">
        <f t="shared" ca="1" si="161"/>
        <v>-0.91426322784647684</v>
      </c>
      <c r="R1394" s="3">
        <f t="shared" ca="1" si="162"/>
        <v>1.4323957102591303</v>
      </c>
    </row>
    <row r="1395" spans="7:18" x14ac:dyDescent="0.25">
      <c r="G1395" s="2">
        <f t="shared" ca="1" si="156"/>
        <v>0.40841530528200465</v>
      </c>
      <c r="H1395" s="3">
        <f t="shared" ca="1" si="157"/>
        <v>0</v>
      </c>
      <c r="I1395" s="3">
        <f t="shared" ca="1" si="158"/>
        <v>0.73963999761283217</v>
      </c>
      <c r="J1395" s="3">
        <f t="shared" ca="1" si="159"/>
        <v>4.3001162705583678</v>
      </c>
      <c r="P1395" s="3">
        <f t="shared" ca="1" si="160"/>
        <v>-1.3751170065400959</v>
      </c>
      <c r="Q1395" s="3">
        <f t="shared" ca="1" si="161"/>
        <v>7.6913469206354206</v>
      </c>
      <c r="R1395" s="3">
        <f t="shared" ca="1" si="162"/>
        <v>7.8133068693891552</v>
      </c>
    </row>
    <row r="1396" spans="7:18" x14ac:dyDescent="0.25">
      <c r="G1396" s="2">
        <f t="shared" ca="1" si="156"/>
        <v>0.52758306197902149</v>
      </c>
      <c r="H1396" s="3">
        <f t="shared" ca="1" si="157"/>
        <v>0</v>
      </c>
      <c r="I1396" s="3">
        <f t="shared" ca="1" si="158"/>
        <v>0.12646594459048</v>
      </c>
      <c r="J1396" s="3">
        <f t="shared" ca="1" si="159"/>
        <v>1.7781025321285608</v>
      </c>
      <c r="P1396" s="3">
        <f t="shared" ca="1" si="160"/>
        <v>4.9282340606393458</v>
      </c>
      <c r="Q1396" s="3">
        <f t="shared" ca="1" si="161"/>
        <v>3.7688464666609929</v>
      </c>
      <c r="R1396" s="3">
        <f t="shared" ca="1" si="162"/>
        <v>6.204167522376296</v>
      </c>
    </row>
    <row r="1397" spans="7:18" x14ac:dyDescent="0.25">
      <c r="G1397" s="2">
        <f t="shared" ca="1" si="156"/>
        <v>0.30137899891774278</v>
      </c>
      <c r="H1397" s="3">
        <f t="shared" ca="1" si="157"/>
        <v>0</v>
      </c>
      <c r="I1397" s="3">
        <f t="shared" ca="1" si="158"/>
        <v>3.3021158154719155</v>
      </c>
      <c r="J1397" s="3">
        <f t="shared" ca="1" si="159"/>
        <v>9.0858623909234879</v>
      </c>
      <c r="P1397" s="3">
        <f t="shared" ca="1" si="160"/>
        <v>-14.029286823580497</v>
      </c>
      <c r="Q1397" s="3">
        <f t="shared" ca="1" si="161"/>
        <v>-0.55989704720577627</v>
      </c>
      <c r="R1397" s="3">
        <f t="shared" ca="1" si="162"/>
        <v>14.040454888704962</v>
      </c>
    </row>
    <row r="1398" spans="7:18" x14ac:dyDescent="0.25">
      <c r="G1398" s="2">
        <f t="shared" ca="1" si="156"/>
        <v>0.63731096660263509</v>
      </c>
      <c r="H1398" s="3">
        <f t="shared" ca="1" si="157"/>
        <v>1</v>
      </c>
      <c r="I1398" s="3">
        <f t="shared" ca="1" si="158"/>
        <v>3.6066362200043756</v>
      </c>
      <c r="J1398" s="3">
        <f t="shared" ca="1" si="159"/>
        <v>9.4955729421720196</v>
      </c>
      <c r="P1398" s="3">
        <f t="shared" ca="1" si="160"/>
        <v>-11.615932003343161</v>
      </c>
      <c r="Q1398" s="3">
        <f t="shared" ca="1" si="161"/>
        <v>-11.747831722217615</v>
      </c>
      <c r="R1398" s="3">
        <f t="shared" ca="1" si="162"/>
        <v>16.520939031418109</v>
      </c>
    </row>
    <row r="1399" spans="7:18" x14ac:dyDescent="0.25">
      <c r="G1399" s="2">
        <f t="shared" ca="1" si="156"/>
        <v>0.68472059722694167</v>
      </c>
      <c r="H1399" s="3">
        <f t="shared" ca="1" si="157"/>
        <v>1</v>
      </c>
      <c r="I1399" s="3">
        <f t="shared" ca="1" si="158"/>
        <v>4.5810530572730093</v>
      </c>
      <c r="J1399" s="3">
        <f t="shared" ca="1" si="159"/>
        <v>10.7016973621863</v>
      </c>
      <c r="P1399" s="3">
        <f t="shared" ca="1" si="160"/>
        <v>-0.34385926817123647</v>
      </c>
      <c r="Q1399" s="3">
        <f t="shared" ca="1" si="161"/>
        <v>-3.2704553886105345</v>
      </c>
      <c r="R1399" s="3">
        <f t="shared" ca="1" si="162"/>
        <v>3.2884825748662467</v>
      </c>
    </row>
    <row r="1400" spans="7:18" x14ac:dyDescent="0.25">
      <c r="G1400" s="2">
        <f t="shared" ca="1" si="156"/>
        <v>6.6442524281389415E-2</v>
      </c>
      <c r="H1400" s="3">
        <f t="shared" ca="1" si="157"/>
        <v>0</v>
      </c>
      <c r="I1400" s="3">
        <f t="shared" ca="1" si="158"/>
        <v>8.5311994151569093E-2</v>
      </c>
      <c r="J1400" s="3">
        <f t="shared" ca="1" si="159"/>
        <v>1.4604108510241998</v>
      </c>
      <c r="P1400" s="3">
        <f t="shared" ca="1" si="160"/>
        <v>-3.9169264430060613</v>
      </c>
      <c r="Q1400" s="3">
        <f t="shared" ca="1" si="161"/>
        <v>1.9711711879814955</v>
      </c>
      <c r="R1400" s="3">
        <f t="shared" ca="1" si="162"/>
        <v>4.384954801619795</v>
      </c>
    </row>
    <row r="1401" spans="7:18" x14ac:dyDescent="0.25">
      <c r="G1401" s="2">
        <f t="shared" ca="1" si="156"/>
        <v>0.44392252176585179</v>
      </c>
      <c r="H1401" s="3">
        <f t="shared" ca="1" si="157"/>
        <v>0</v>
      </c>
      <c r="I1401" s="3">
        <f t="shared" ca="1" si="158"/>
        <v>0.94656302358506861</v>
      </c>
      <c r="J1401" s="3">
        <f t="shared" ca="1" si="159"/>
        <v>4.8645735259760148</v>
      </c>
      <c r="P1401" s="3">
        <f t="shared" ca="1" si="160"/>
        <v>-8.6106364286074708</v>
      </c>
      <c r="Q1401" s="3">
        <f t="shared" ca="1" si="161"/>
        <v>-0.82207265814621744</v>
      </c>
      <c r="R1401" s="3">
        <f t="shared" ca="1" si="162"/>
        <v>8.6497897755340638</v>
      </c>
    </row>
    <row r="1402" spans="7:18" x14ac:dyDescent="0.25">
      <c r="G1402" s="2">
        <f t="shared" ca="1" si="156"/>
        <v>0.48151750783011649</v>
      </c>
      <c r="H1402" s="3">
        <f t="shared" ca="1" si="157"/>
        <v>0</v>
      </c>
      <c r="I1402" s="3">
        <f t="shared" ca="1" si="158"/>
        <v>0.80803933807151052</v>
      </c>
      <c r="J1402" s="3">
        <f t="shared" ca="1" si="159"/>
        <v>4.4945504170926558</v>
      </c>
      <c r="P1402" s="3">
        <f t="shared" ca="1" si="160"/>
        <v>-10.016445081003939</v>
      </c>
      <c r="Q1402" s="3">
        <f t="shared" ca="1" si="161"/>
        <v>0.32996099400668705</v>
      </c>
      <c r="R1402" s="3">
        <f t="shared" ca="1" si="162"/>
        <v>10.021878382735139</v>
      </c>
    </row>
    <row r="1403" spans="7:18" x14ac:dyDescent="0.25">
      <c r="G1403" s="2">
        <f t="shared" ca="1" si="156"/>
        <v>0.89506009611736304</v>
      </c>
      <c r="H1403" s="3">
        <f t="shared" ca="1" si="157"/>
        <v>1</v>
      </c>
      <c r="I1403" s="3">
        <f t="shared" ca="1" si="158"/>
        <v>4.4549724435130518</v>
      </c>
      <c r="J1403" s="3">
        <f t="shared" ca="1" si="159"/>
        <v>10.553402820314702</v>
      </c>
      <c r="P1403" s="3">
        <f t="shared" ca="1" si="160"/>
        <v>1.0818794027931267</v>
      </c>
      <c r="Q1403" s="3">
        <f t="shared" ca="1" si="161"/>
        <v>5.4084684412800081</v>
      </c>
      <c r="R1403" s="3">
        <f t="shared" ca="1" si="162"/>
        <v>5.5156136487710787</v>
      </c>
    </row>
    <row r="1404" spans="7:18" x14ac:dyDescent="0.25">
      <c r="G1404" s="2">
        <f t="shared" ca="1" si="156"/>
        <v>2.4871688045871365E-2</v>
      </c>
      <c r="H1404" s="3">
        <f t="shared" ca="1" si="157"/>
        <v>0</v>
      </c>
      <c r="I1404" s="3">
        <f t="shared" ca="1" si="158"/>
        <v>4.7971363959575175</v>
      </c>
      <c r="J1404" s="3">
        <f t="shared" ca="1" si="159"/>
        <v>10.951183036500574</v>
      </c>
      <c r="P1404" s="3">
        <f t="shared" ca="1" si="160"/>
        <v>-1.4954163587958087</v>
      </c>
      <c r="Q1404" s="3">
        <f t="shared" ca="1" si="161"/>
        <v>5.7596742968558212</v>
      </c>
      <c r="R1404" s="3">
        <f t="shared" ca="1" si="162"/>
        <v>5.9506401413642642</v>
      </c>
    </row>
    <row r="1405" spans="7:18" x14ac:dyDescent="0.25">
      <c r="G1405" s="2">
        <f t="shared" ca="1" si="156"/>
        <v>0.53322448061197214</v>
      </c>
      <c r="H1405" s="3">
        <f t="shared" ca="1" si="157"/>
        <v>0</v>
      </c>
      <c r="I1405" s="3">
        <f t="shared" ca="1" si="158"/>
        <v>5.212010465833691</v>
      </c>
      <c r="J1405" s="3">
        <f t="shared" ca="1" si="159"/>
        <v>11.41491400080799</v>
      </c>
      <c r="P1405" s="3">
        <f t="shared" ca="1" si="160"/>
        <v>-1.7699457069006903</v>
      </c>
      <c r="Q1405" s="3">
        <f t="shared" ca="1" si="161"/>
        <v>7.8517978419858396</v>
      </c>
      <c r="R1405" s="3">
        <f t="shared" ca="1" si="162"/>
        <v>8.0488158853827478</v>
      </c>
    </row>
    <row r="1406" spans="7:18" x14ac:dyDescent="0.25">
      <c r="G1406" s="2">
        <f t="shared" ca="1" si="156"/>
        <v>0.41289128415611809</v>
      </c>
      <c r="H1406" s="3">
        <f t="shared" ca="1" si="157"/>
        <v>0</v>
      </c>
      <c r="I1406" s="3">
        <f t="shared" ca="1" si="158"/>
        <v>3.1405783672803409</v>
      </c>
      <c r="J1406" s="3">
        <f t="shared" ca="1" si="159"/>
        <v>8.8608385146107089</v>
      </c>
      <c r="P1406" s="3">
        <f t="shared" ca="1" si="160"/>
        <v>6.5738343999185052</v>
      </c>
      <c r="Q1406" s="3">
        <f t="shared" ca="1" si="161"/>
        <v>-8.2656149233765692</v>
      </c>
      <c r="R1406" s="3">
        <f t="shared" ca="1" si="162"/>
        <v>10.561045818435661</v>
      </c>
    </row>
    <row r="1407" spans="7:18" x14ac:dyDescent="0.25">
      <c r="G1407" s="2">
        <f t="shared" ca="1" si="156"/>
        <v>0.71433183540855705</v>
      </c>
      <c r="H1407" s="3">
        <f t="shared" ca="1" si="157"/>
        <v>1</v>
      </c>
      <c r="I1407" s="3">
        <f t="shared" ca="1" si="158"/>
        <v>0.85170585867975046</v>
      </c>
      <c r="J1407" s="3">
        <f t="shared" ca="1" si="159"/>
        <v>4.6143955689769118</v>
      </c>
      <c r="P1407" s="3">
        <f t="shared" ca="1" si="160"/>
        <v>-4.6117667070733326</v>
      </c>
      <c r="Q1407" s="3">
        <f t="shared" ca="1" si="161"/>
        <v>0.52687741158366441</v>
      </c>
      <c r="R1407" s="3">
        <f t="shared" ca="1" si="162"/>
        <v>4.6417660396994496</v>
      </c>
    </row>
    <row r="1408" spans="7:18" x14ac:dyDescent="0.25">
      <c r="G1408" s="2">
        <f t="shared" ca="1" si="156"/>
        <v>0.56464428372266584</v>
      </c>
      <c r="H1408" s="3">
        <f t="shared" ca="1" si="157"/>
        <v>0</v>
      </c>
      <c r="I1408" s="3">
        <f t="shared" ca="1" si="158"/>
        <v>1.8425105538303466</v>
      </c>
      <c r="J1408" s="3">
        <f t="shared" ca="1" si="159"/>
        <v>6.7869554179881479</v>
      </c>
      <c r="P1408" s="3">
        <f t="shared" ca="1" si="160"/>
        <v>-2.2473719525696705</v>
      </c>
      <c r="Q1408" s="3">
        <f t="shared" ca="1" si="161"/>
        <v>-4.5346184346728018</v>
      </c>
      <c r="R1408" s="3">
        <f t="shared" ca="1" si="162"/>
        <v>5.0609727366654749</v>
      </c>
    </row>
    <row r="1409" spans="7:18" x14ac:dyDescent="0.25">
      <c r="G1409" s="2">
        <f t="shared" ca="1" si="156"/>
        <v>0.58302037761254732</v>
      </c>
      <c r="H1409" s="3">
        <f t="shared" ca="1" si="157"/>
        <v>0</v>
      </c>
      <c r="I1409" s="3">
        <f t="shared" ca="1" si="158"/>
        <v>8.1562025334255583</v>
      </c>
      <c r="J1409" s="3">
        <f t="shared" ca="1" si="159"/>
        <v>14.279533022323907</v>
      </c>
      <c r="P1409" s="3">
        <f t="shared" ca="1" si="160"/>
        <v>-4.5255224948614723</v>
      </c>
      <c r="Q1409" s="3">
        <f t="shared" ca="1" si="161"/>
        <v>-6.9216023343792745</v>
      </c>
      <c r="R1409" s="3">
        <f t="shared" ca="1" si="162"/>
        <v>8.2697601371975615</v>
      </c>
    </row>
    <row r="1410" spans="7:18" x14ac:dyDescent="0.25">
      <c r="G1410" s="2">
        <f t="shared" ca="1" si="156"/>
        <v>0.28248881005591564</v>
      </c>
      <c r="H1410" s="3">
        <f t="shared" ca="1" si="157"/>
        <v>0</v>
      </c>
      <c r="I1410" s="3">
        <f t="shared" ca="1" si="158"/>
        <v>0.18399449752869843</v>
      </c>
      <c r="J1410" s="3">
        <f t="shared" ca="1" si="159"/>
        <v>2.1447289894570503</v>
      </c>
      <c r="P1410" s="3">
        <f t="shared" ca="1" si="160"/>
        <v>-4.1399700291101098</v>
      </c>
      <c r="Q1410" s="3">
        <f t="shared" ca="1" si="161"/>
        <v>-4.3447846897604832</v>
      </c>
      <c r="R1410" s="3">
        <f t="shared" ca="1" si="162"/>
        <v>6.0013753292313803</v>
      </c>
    </row>
    <row r="1411" spans="7:18" x14ac:dyDescent="0.25">
      <c r="G1411" s="2">
        <f t="shared" ca="1" si="156"/>
        <v>0.9266107052422875</v>
      </c>
      <c r="H1411" s="3">
        <f t="shared" ca="1" si="157"/>
        <v>2</v>
      </c>
      <c r="I1411" s="3">
        <f t="shared" ca="1" si="158"/>
        <v>7.767910512666786</v>
      </c>
      <c r="J1411" s="3">
        <f t="shared" ca="1" si="159"/>
        <v>13.935485740248513</v>
      </c>
      <c r="P1411" s="3">
        <f t="shared" ca="1" si="160"/>
        <v>-11.708978635139578</v>
      </c>
      <c r="Q1411" s="3">
        <f t="shared" ca="1" si="161"/>
        <v>-1.5153802061330259</v>
      </c>
      <c r="R1411" s="3">
        <f t="shared" ca="1" si="162"/>
        <v>11.806631943416161</v>
      </c>
    </row>
    <row r="1412" spans="7:18" x14ac:dyDescent="0.25">
      <c r="G1412" s="2">
        <f t="shared" ref="G1412:G1475" ca="1" si="163">RAND()</f>
        <v>0.90408238593850387</v>
      </c>
      <c r="H1412" s="3">
        <f t="shared" ref="H1412:H1475" ca="1" si="164">VLOOKUP(G1412,$B$9:$C$169,2,TRUE)</f>
        <v>1</v>
      </c>
      <c r="I1412" s="3">
        <f t="shared" ref="I1412:I1475" ca="1" si="165">_xlfn.CHISQ.INV(RAND(),2*H1412+2)</f>
        <v>2.3423926818988279</v>
      </c>
      <c r="J1412" s="3">
        <f t="shared" ref="J1412:J1475" ca="1" si="166">$C$4*SQRT(I1412)</f>
        <v>7.6524386340218831</v>
      </c>
      <c r="P1412" s="3">
        <f t="shared" ref="P1412:P1475" ca="1" si="167">_xlfn.NORM.INV(RAND(),$C$3*COS($O$2),$C$4)</f>
        <v>0.89012592229731702</v>
      </c>
      <c r="Q1412" s="3">
        <f t="shared" ref="Q1412:Q1475" ca="1" si="168">_xlfn.NORM.INV(RAND(),$C$3*SIN($O$2),$C$4)</f>
        <v>3.7900463613885558</v>
      </c>
      <c r="R1412" s="3">
        <f t="shared" ref="R1412:R1475" ca="1" si="169">SQRT(P1412^2+Q1412^2)</f>
        <v>3.8931703763154624</v>
      </c>
    </row>
    <row r="1413" spans="7:18" x14ac:dyDescent="0.25">
      <c r="G1413" s="2">
        <f t="shared" ca="1" si="163"/>
        <v>0.41171740626107201</v>
      </c>
      <c r="H1413" s="3">
        <f t="shared" ca="1" si="164"/>
        <v>0</v>
      </c>
      <c r="I1413" s="3">
        <f t="shared" ca="1" si="165"/>
        <v>1.386030124132132</v>
      </c>
      <c r="J1413" s="3">
        <f t="shared" ca="1" si="166"/>
        <v>5.8864890302542232</v>
      </c>
      <c r="P1413" s="3">
        <f t="shared" ca="1" si="167"/>
        <v>-8.7215741541827718</v>
      </c>
      <c r="Q1413" s="3">
        <f t="shared" ca="1" si="168"/>
        <v>-2.3021374712637228</v>
      </c>
      <c r="R1413" s="3">
        <f t="shared" ca="1" si="169"/>
        <v>9.0202933801238121</v>
      </c>
    </row>
    <row r="1414" spans="7:18" x14ac:dyDescent="0.25">
      <c r="G1414" s="2">
        <f t="shared" ca="1" si="163"/>
        <v>0.70565400973513437</v>
      </c>
      <c r="H1414" s="3">
        <f t="shared" ca="1" si="164"/>
        <v>1</v>
      </c>
      <c r="I1414" s="3">
        <f t="shared" ca="1" si="165"/>
        <v>4.8801193880295983</v>
      </c>
      <c r="J1414" s="3">
        <f t="shared" ca="1" si="166"/>
        <v>11.045496127415008</v>
      </c>
      <c r="P1414" s="3">
        <f t="shared" ca="1" si="167"/>
        <v>-17.529890781140285</v>
      </c>
      <c r="Q1414" s="3">
        <f t="shared" ca="1" si="168"/>
        <v>-3.3294130825188284</v>
      </c>
      <c r="R1414" s="3">
        <f t="shared" ca="1" si="169"/>
        <v>17.843263778601568</v>
      </c>
    </row>
    <row r="1415" spans="7:18" x14ac:dyDescent="0.25">
      <c r="G1415" s="2">
        <f t="shared" ca="1" si="163"/>
        <v>0.16556488291481819</v>
      </c>
      <c r="H1415" s="3">
        <f t="shared" ca="1" si="164"/>
        <v>0</v>
      </c>
      <c r="I1415" s="3">
        <f t="shared" ca="1" si="165"/>
        <v>2.2628087209750971</v>
      </c>
      <c r="J1415" s="3">
        <f t="shared" ca="1" si="166"/>
        <v>7.5213175723657244</v>
      </c>
      <c r="P1415" s="3">
        <f t="shared" ca="1" si="167"/>
        <v>-7.2706453631866097</v>
      </c>
      <c r="Q1415" s="3">
        <f t="shared" ca="1" si="168"/>
        <v>2.2328735985413002</v>
      </c>
      <c r="R1415" s="3">
        <f t="shared" ca="1" si="169"/>
        <v>7.6057878292974834</v>
      </c>
    </row>
    <row r="1416" spans="7:18" x14ac:dyDescent="0.25">
      <c r="G1416" s="2">
        <f t="shared" ca="1" si="163"/>
        <v>0.64427351080174267</v>
      </c>
      <c r="H1416" s="3">
        <f t="shared" ca="1" si="164"/>
        <v>1</v>
      </c>
      <c r="I1416" s="3">
        <f t="shared" ca="1" si="165"/>
        <v>5.8719870591104151</v>
      </c>
      <c r="J1416" s="3">
        <f t="shared" ca="1" si="166"/>
        <v>12.116091633763768</v>
      </c>
      <c r="P1416" s="3">
        <f t="shared" ca="1" si="167"/>
        <v>-5.8185474794406487</v>
      </c>
      <c r="Q1416" s="3">
        <f t="shared" ca="1" si="168"/>
        <v>1.1155908035679094</v>
      </c>
      <c r="R1416" s="3">
        <f t="shared" ca="1" si="169"/>
        <v>5.9245284716600368</v>
      </c>
    </row>
    <row r="1417" spans="7:18" x14ac:dyDescent="0.25">
      <c r="G1417" s="2">
        <f t="shared" ca="1" si="163"/>
        <v>9.9807518030355702E-2</v>
      </c>
      <c r="H1417" s="3">
        <f t="shared" ca="1" si="164"/>
        <v>0</v>
      </c>
      <c r="I1417" s="3">
        <f t="shared" ca="1" si="165"/>
        <v>3.7210773945762616</v>
      </c>
      <c r="J1417" s="3">
        <f t="shared" ca="1" si="166"/>
        <v>9.6450471675573741</v>
      </c>
      <c r="P1417" s="3">
        <f t="shared" ca="1" si="167"/>
        <v>-7.6098882335044422</v>
      </c>
      <c r="Q1417" s="3">
        <f t="shared" ca="1" si="168"/>
        <v>-3.7685084171798184</v>
      </c>
      <c r="R1417" s="3">
        <f t="shared" ca="1" si="169"/>
        <v>8.4918816888122333</v>
      </c>
    </row>
    <row r="1418" spans="7:18" x14ac:dyDescent="0.25">
      <c r="G1418" s="2">
        <f t="shared" ca="1" si="163"/>
        <v>0.98160789864743792</v>
      </c>
      <c r="H1418" s="3">
        <f t="shared" ca="1" si="164"/>
        <v>2</v>
      </c>
      <c r="I1418" s="3">
        <f t="shared" ca="1" si="165"/>
        <v>2.0525268572903017</v>
      </c>
      <c r="J1418" s="3">
        <f t="shared" ca="1" si="166"/>
        <v>7.1633212570886098</v>
      </c>
      <c r="P1418" s="3">
        <f t="shared" ca="1" si="167"/>
        <v>-7.1236294614559981</v>
      </c>
      <c r="Q1418" s="3">
        <f t="shared" ca="1" si="168"/>
        <v>3.8297012868184832</v>
      </c>
      <c r="R1418" s="3">
        <f t="shared" ca="1" si="169"/>
        <v>8.0878123525699479</v>
      </c>
    </row>
    <row r="1419" spans="7:18" x14ac:dyDescent="0.25">
      <c r="G1419" s="2">
        <f t="shared" ca="1" si="163"/>
        <v>0.5790720551761831</v>
      </c>
      <c r="H1419" s="3">
        <f t="shared" ca="1" si="164"/>
        <v>0</v>
      </c>
      <c r="I1419" s="3">
        <f t="shared" ca="1" si="165"/>
        <v>0.34984918221037142</v>
      </c>
      <c r="J1419" s="3">
        <f t="shared" ca="1" si="166"/>
        <v>2.9574025013953182</v>
      </c>
      <c r="P1419" s="3">
        <f t="shared" ca="1" si="167"/>
        <v>-0.18117130807090476</v>
      </c>
      <c r="Q1419" s="3">
        <f t="shared" ca="1" si="168"/>
        <v>5.4612470068388941</v>
      </c>
      <c r="R1419" s="3">
        <f t="shared" ca="1" si="169"/>
        <v>5.4642512673352517</v>
      </c>
    </row>
    <row r="1420" spans="7:18" x14ac:dyDescent="0.25">
      <c r="G1420" s="2">
        <f t="shared" ca="1" si="163"/>
        <v>0.51148753734619246</v>
      </c>
      <c r="H1420" s="3">
        <f t="shared" ca="1" si="164"/>
        <v>0</v>
      </c>
      <c r="I1420" s="3">
        <f t="shared" ca="1" si="165"/>
        <v>1.0914512101189877</v>
      </c>
      <c r="J1420" s="3">
        <f t="shared" ca="1" si="166"/>
        <v>5.2236271165708885</v>
      </c>
      <c r="P1420" s="3">
        <f t="shared" ca="1" si="167"/>
        <v>-11.060122728192137</v>
      </c>
      <c r="Q1420" s="3">
        <f t="shared" ca="1" si="168"/>
        <v>6.8534872750245279E-2</v>
      </c>
      <c r="R1420" s="3">
        <f t="shared" ca="1" si="169"/>
        <v>11.060335066870948</v>
      </c>
    </row>
    <row r="1421" spans="7:18" x14ac:dyDescent="0.25">
      <c r="G1421" s="2">
        <f t="shared" ca="1" si="163"/>
        <v>0.77238357405362246</v>
      </c>
      <c r="H1421" s="3">
        <f t="shared" ca="1" si="164"/>
        <v>1</v>
      </c>
      <c r="I1421" s="3">
        <f t="shared" ca="1" si="165"/>
        <v>6.4552200103991728</v>
      </c>
      <c r="J1421" s="3">
        <f t="shared" ca="1" si="166"/>
        <v>12.70356250269897</v>
      </c>
      <c r="P1421" s="3">
        <f t="shared" ca="1" si="167"/>
        <v>-3.5791345141848083</v>
      </c>
      <c r="Q1421" s="3">
        <f t="shared" ca="1" si="168"/>
        <v>2.0370812222500012</v>
      </c>
      <c r="R1421" s="3">
        <f t="shared" ca="1" si="169"/>
        <v>4.1182403738335243</v>
      </c>
    </row>
    <row r="1422" spans="7:18" x14ac:dyDescent="0.25">
      <c r="G1422" s="2">
        <f t="shared" ca="1" si="163"/>
        <v>0.53660168563183475</v>
      </c>
      <c r="H1422" s="3">
        <f t="shared" ca="1" si="164"/>
        <v>0</v>
      </c>
      <c r="I1422" s="3">
        <f t="shared" ca="1" si="165"/>
        <v>2.7242258450105932</v>
      </c>
      <c r="J1422" s="3">
        <f t="shared" ca="1" si="166"/>
        <v>8.2526145024025475</v>
      </c>
      <c r="P1422" s="3">
        <f t="shared" ca="1" si="167"/>
        <v>-3.1613741198396266</v>
      </c>
      <c r="Q1422" s="3">
        <f t="shared" ca="1" si="168"/>
        <v>-0.20049345550430547</v>
      </c>
      <c r="R1422" s="3">
        <f t="shared" ca="1" si="169"/>
        <v>3.1677253591957477</v>
      </c>
    </row>
    <row r="1423" spans="7:18" x14ac:dyDescent="0.25">
      <c r="G1423" s="2">
        <f t="shared" ca="1" si="163"/>
        <v>6.1932024270092478E-2</v>
      </c>
      <c r="H1423" s="3">
        <f t="shared" ca="1" si="164"/>
        <v>0</v>
      </c>
      <c r="I1423" s="3">
        <f t="shared" ca="1" si="165"/>
        <v>0.41412275194575737</v>
      </c>
      <c r="J1423" s="3">
        <f t="shared" ca="1" si="166"/>
        <v>3.2176184979956735</v>
      </c>
      <c r="P1423" s="3">
        <f t="shared" ca="1" si="167"/>
        <v>-3.0327365334192669</v>
      </c>
      <c r="Q1423" s="3">
        <f t="shared" ca="1" si="168"/>
        <v>-5.791639381153546E-2</v>
      </c>
      <c r="R1423" s="3">
        <f t="shared" ca="1" si="169"/>
        <v>3.0332894998347988</v>
      </c>
    </row>
    <row r="1424" spans="7:18" x14ac:dyDescent="0.25">
      <c r="G1424" s="2">
        <f t="shared" ca="1" si="163"/>
        <v>0.99938200266099475</v>
      </c>
      <c r="H1424" s="3">
        <f t="shared" ca="1" si="164"/>
        <v>4</v>
      </c>
      <c r="I1424" s="3">
        <f t="shared" ca="1" si="165"/>
        <v>10.652869947807758</v>
      </c>
      <c r="J1424" s="3">
        <f t="shared" ca="1" si="166"/>
        <v>16.319367288445775</v>
      </c>
      <c r="P1424" s="3">
        <f t="shared" ca="1" si="167"/>
        <v>1.18369997296276</v>
      </c>
      <c r="Q1424" s="3">
        <f t="shared" ca="1" si="168"/>
        <v>5.4948340559067406</v>
      </c>
      <c r="R1424" s="3">
        <f t="shared" ca="1" si="169"/>
        <v>5.6208848883378284</v>
      </c>
    </row>
    <row r="1425" spans="7:18" x14ac:dyDescent="0.25">
      <c r="G1425" s="2">
        <f t="shared" ca="1" si="163"/>
        <v>0.91313248446091377</v>
      </c>
      <c r="H1425" s="3">
        <f t="shared" ca="1" si="164"/>
        <v>2</v>
      </c>
      <c r="I1425" s="3">
        <f t="shared" ca="1" si="165"/>
        <v>5.8297770139948986</v>
      </c>
      <c r="J1425" s="3">
        <f t="shared" ca="1" si="166"/>
        <v>12.072465587023739</v>
      </c>
      <c r="P1425" s="3">
        <f t="shared" ca="1" si="167"/>
        <v>-6.8533036404192913</v>
      </c>
      <c r="Q1425" s="3">
        <f t="shared" ca="1" si="168"/>
        <v>7.2688133132294261</v>
      </c>
      <c r="R1425" s="3">
        <f t="shared" ca="1" si="169"/>
        <v>9.9901660531927927</v>
      </c>
    </row>
    <row r="1426" spans="7:18" x14ac:dyDescent="0.25">
      <c r="G1426" s="2">
        <f t="shared" ca="1" si="163"/>
        <v>0.81840592729981332</v>
      </c>
      <c r="H1426" s="3">
        <f t="shared" ca="1" si="164"/>
        <v>1</v>
      </c>
      <c r="I1426" s="3">
        <f t="shared" ca="1" si="165"/>
        <v>3.0716066228729257</v>
      </c>
      <c r="J1426" s="3">
        <f t="shared" ca="1" si="166"/>
        <v>8.7629998043947914</v>
      </c>
      <c r="P1426" s="3">
        <f t="shared" ca="1" si="167"/>
        <v>0.17201607478994951</v>
      </c>
      <c r="Q1426" s="3">
        <f t="shared" ca="1" si="168"/>
        <v>4.6804473846431343</v>
      </c>
      <c r="R1426" s="3">
        <f t="shared" ca="1" si="169"/>
        <v>4.6836072903691335</v>
      </c>
    </row>
    <row r="1427" spans="7:18" x14ac:dyDescent="0.25">
      <c r="G1427" s="2">
        <f t="shared" ca="1" si="163"/>
        <v>0.62725532273237883</v>
      </c>
      <c r="H1427" s="3">
        <f t="shared" ca="1" si="164"/>
        <v>1</v>
      </c>
      <c r="I1427" s="3">
        <f t="shared" ca="1" si="165"/>
        <v>3.2717702117576382</v>
      </c>
      <c r="J1427" s="3">
        <f t="shared" ca="1" si="166"/>
        <v>9.0440176522351479</v>
      </c>
      <c r="P1427" s="3">
        <f t="shared" ca="1" si="167"/>
        <v>-14.220884355878212</v>
      </c>
      <c r="Q1427" s="3">
        <f t="shared" ca="1" si="168"/>
        <v>-1.0129941364195147</v>
      </c>
      <c r="R1427" s="3">
        <f t="shared" ca="1" si="169"/>
        <v>14.256917934240978</v>
      </c>
    </row>
    <row r="1428" spans="7:18" x14ac:dyDescent="0.25">
      <c r="G1428" s="2">
        <f t="shared" ca="1" si="163"/>
        <v>0.38792086486263255</v>
      </c>
      <c r="H1428" s="3">
        <f t="shared" ca="1" si="164"/>
        <v>0</v>
      </c>
      <c r="I1428" s="3">
        <f t="shared" ca="1" si="165"/>
        <v>2.4928493843973731</v>
      </c>
      <c r="J1428" s="3">
        <f t="shared" ca="1" si="166"/>
        <v>7.8943799382810509</v>
      </c>
      <c r="P1428" s="3">
        <f t="shared" ca="1" si="167"/>
        <v>-9.0149503222060297</v>
      </c>
      <c r="Q1428" s="3">
        <f t="shared" ca="1" si="168"/>
        <v>-8.4068419598009321</v>
      </c>
      <c r="R1428" s="3">
        <f t="shared" ca="1" si="169"/>
        <v>12.326569719468274</v>
      </c>
    </row>
    <row r="1429" spans="7:18" x14ac:dyDescent="0.25">
      <c r="G1429" s="2">
        <f t="shared" ca="1" si="163"/>
        <v>6.4425057368547312E-2</v>
      </c>
      <c r="H1429" s="3">
        <f t="shared" ca="1" si="164"/>
        <v>0</v>
      </c>
      <c r="I1429" s="3">
        <f t="shared" ca="1" si="165"/>
        <v>8.9775931695466826E-2</v>
      </c>
      <c r="J1429" s="3">
        <f t="shared" ca="1" si="166"/>
        <v>1.4981316004899805</v>
      </c>
      <c r="P1429" s="3">
        <f t="shared" ca="1" si="167"/>
        <v>-6.879736219834605</v>
      </c>
      <c r="Q1429" s="3">
        <f t="shared" ca="1" si="168"/>
        <v>-8.3942469370200126</v>
      </c>
      <c r="R1429" s="3">
        <f t="shared" ca="1" si="169"/>
        <v>10.853301437543049</v>
      </c>
    </row>
    <row r="1430" spans="7:18" x14ac:dyDescent="0.25">
      <c r="G1430" s="2">
        <f t="shared" ca="1" si="163"/>
        <v>0.55575825402158818</v>
      </c>
      <c r="H1430" s="3">
        <f t="shared" ca="1" si="164"/>
        <v>0</v>
      </c>
      <c r="I1430" s="3">
        <f t="shared" ca="1" si="165"/>
        <v>2.4623295116945316</v>
      </c>
      <c r="J1430" s="3">
        <f t="shared" ca="1" si="166"/>
        <v>7.8459057980811426</v>
      </c>
      <c r="P1430" s="3">
        <f t="shared" ca="1" si="167"/>
        <v>-6.2640800253817606</v>
      </c>
      <c r="Q1430" s="3">
        <f t="shared" ca="1" si="168"/>
        <v>-3.5090634423887468</v>
      </c>
      <c r="R1430" s="3">
        <f t="shared" ca="1" si="169"/>
        <v>7.1799877999266775</v>
      </c>
    </row>
    <row r="1431" spans="7:18" x14ac:dyDescent="0.25">
      <c r="G1431" s="2">
        <f t="shared" ca="1" si="163"/>
        <v>0.17615499881079899</v>
      </c>
      <c r="H1431" s="3">
        <f t="shared" ca="1" si="164"/>
        <v>0</v>
      </c>
      <c r="I1431" s="3">
        <f t="shared" ca="1" si="165"/>
        <v>3.0567745426283004</v>
      </c>
      <c r="J1431" s="3">
        <f t="shared" ca="1" si="166"/>
        <v>8.7418169487645709</v>
      </c>
      <c r="P1431" s="3">
        <f t="shared" ca="1" si="167"/>
        <v>-1.9190439561376316</v>
      </c>
      <c r="Q1431" s="3">
        <f t="shared" ca="1" si="168"/>
        <v>-6.3852497454902135</v>
      </c>
      <c r="R1431" s="3">
        <f t="shared" ca="1" si="169"/>
        <v>6.6673940949872765</v>
      </c>
    </row>
    <row r="1432" spans="7:18" x14ac:dyDescent="0.25">
      <c r="G1432" s="2">
        <f t="shared" ca="1" si="163"/>
        <v>0.25757688512724297</v>
      </c>
      <c r="H1432" s="3">
        <f t="shared" ca="1" si="164"/>
        <v>0</v>
      </c>
      <c r="I1432" s="3">
        <f t="shared" ca="1" si="165"/>
        <v>3.4592544812697215</v>
      </c>
      <c r="J1432" s="3">
        <f t="shared" ca="1" si="166"/>
        <v>9.2995355815085219</v>
      </c>
      <c r="P1432" s="3">
        <f t="shared" ca="1" si="167"/>
        <v>2.9410218911118911</v>
      </c>
      <c r="Q1432" s="3">
        <f t="shared" ca="1" si="168"/>
        <v>-1.7831771833172951</v>
      </c>
      <c r="R1432" s="3">
        <f t="shared" ca="1" si="169"/>
        <v>3.4393793962142016</v>
      </c>
    </row>
    <row r="1433" spans="7:18" x14ac:dyDescent="0.25">
      <c r="G1433" s="2">
        <f t="shared" ca="1" si="163"/>
        <v>0.51499204575834445</v>
      </c>
      <c r="H1433" s="3">
        <f t="shared" ca="1" si="164"/>
        <v>0</v>
      </c>
      <c r="I1433" s="3">
        <f t="shared" ca="1" si="165"/>
        <v>9.9152173866466242E-2</v>
      </c>
      <c r="J1433" s="3">
        <f t="shared" ca="1" si="166"/>
        <v>1.5744219087213109</v>
      </c>
      <c r="P1433" s="3">
        <f t="shared" ca="1" si="167"/>
        <v>-2.3128675553975491</v>
      </c>
      <c r="Q1433" s="3">
        <f t="shared" ca="1" si="168"/>
        <v>0.16731966991097424</v>
      </c>
      <c r="R1433" s="3">
        <f t="shared" ca="1" si="169"/>
        <v>2.3189118570462637</v>
      </c>
    </row>
    <row r="1434" spans="7:18" x14ac:dyDescent="0.25">
      <c r="G1434" s="2">
        <f t="shared" ca="1" si="163"/>
        <v>0.55389416050880469</v>
      </c>
      <c r="H1434" s="3">
        <f t="shared" ca="1" si="164"/>
        <v>0</v>
      </c>
      <c r="I1434" s="3">
        <f t="shared" ca="1" si="165"/>
        <v>0.56924394641268838</v>
      </c>
      <c r="J1434" s="3">
        <f t="shared" ca="1" si="166"/>
        <v>3.7724128433029716</v>
      </c>
      <c r="P1434" s="3">
        <f t="shared" ca="1" si="167"/>
        <v>5.0237823062811024</v>
      </c>
      <c r="Q1434" s="3">
        <f t="shared" ca="1" si="168"/>
        <v>6.9026477503517292</v>
      </c>
      <c r="R1434" s="3">
        <f t="shared" ca="1" si="169"/>
        <v>8.5372673980811253</v>
      </c>
    </row>
    <row r="1435" spans="7:18" x14ac:dyDescent="0.25">
      <c r="G1435" s="2">
        <f t="shared" ca="1" si="163"/>
        <v>0.95923145992534609</v>
      </c>
      <c r="H1435" s="3">
        <f t="shared" ca="1" si="164"/>
        <v>2</v>
      </c>
      <c r="I1435" s="3">
        <f t="shared" ca="1" si="165"/>
        <v>12.033876888570241</v>
      </c>
      <c r="J1435" s="3">
        <f t="shared" ca="1" si="166"/>
        <v>17.344939383412559</v>
      </c>
      <c r="P1435" s="3">
        <f t="shared" ca="1" si="167"/>
        <v>-6.7190065237021681</v>
      </c>
      <c r="Q1435" s="3">
        <f t="shared" ca="1" si="168"/>
        <v>-13.257653939635217</v>
      </c>
      <c r="R1435" s="3">
        <f t="shared" ca="1" si="169"/>
        <v>14.863056100569542</v>
      </c>
    </row>
    <row r="1436" spans="7:18" x14ac:dyDescent="0.25">
      <c r="G1436" s="2">
        <f t="shared" ca="1" si="163"/>
        <v>0.58678293056930575</v>
      </c>
      <c r="H1436" s="3">
        <f t="shared" ca="1" si="164"/>
        <v>0</v>
      </c>
      <c r="I1436" s="3">
        <f t="shared" ca="1" si="165"/>
        <v>1.7334145546323751</v>
      </c>
      <c r="J1436" s="3">
        <f t="shared" ca="1" si="166"/>
        <v>6.5829601142502279</v>
      </c>
      <c r="P1436" s="3">
        <f t="shared" ca="1" si="167"/>
        <v>-3.8187121056622404</v>
      </c>
      <c r="Q1436" s="3">
        <f t="shared" ca="1" si="168"/>
        <v>-2.6052854040153925</v>
      </c>
      <c r="R1436" s="3">
        <f t="shared" ca="1" si="169"/>
        <v>4.6227777561015184</v>
      </c>
    </row>
    <row r="1437" spans="7:18" x14ac:dyDescent="0.25">
      <c r="G1437" s="2">
        <f t="shared" ca="1" si="163"/>
        <v>0.89453860827093512</v>
      </c>
      <c r="H1437" s="3">
        <f t="shared" ca="1" si="164"/>
        <v>1</v>
      </c>
      <c r="I1437" s="3">
        <f t="shared" ca="1" si="165"/>
        <v>2.2532228127844891</v>
      </c>
      <c r="J1437" s="3">
        <f t="shared" ca="1" si="166"/>
        <v>7.5053694325870612</v>
      </c>
      <c r="P1437" s="3">
        <f t="shared" ca="1" si="167"/>
        <v>-3.4549964701842955</v>
      </c>
      <c r="Q1437" s="3">
        <f t="shared" ca="1" si="168"/>
        <v>-7.5165294559530853</v>
      </c>
      <c r="R1437" s="3">
        <f t="shared" ca="1" si="169"/>
        <v>8.2725579883852323</v>
      </c>
    </row>
    <row r="1438" spans="7:18" x14ac:dyDescent="0.25">
      <c r="G1438" s="2">
        <f t="shared" ca="1" si="163"/>
        <v>0.77754448439273893</v>
      </c>
      <c r="H1438" s="3">
        <f t="shared" ca="1" si="164"/>
        <v>1</v>
      </c>
      <c r="I1438" s="3">
        <f t="shared" ca="1" si="165"/>
        <v>7.4509041194684253E-2</v>
      </c>
      <c r="J1438" s="3">
        <f t="shared" ca="1" si="166"/>
        <v>1.3648172148192983</v>
      </c>
      <c r="P1438" s="3">
        <f t="shared" ca="1" si="167"/>
        <v>-2.6234181004836854</v>
      </c>
      <c r="Q1438" s="3">
        <f t="shared" ca="1" si="168"/>
        <v>5.6027091197122436</v>
      </c>
      <c r="R1438" s="3">
        <f t="shared" ca="1" si="169"/>
        <v>6.186491090275017</v>
      </c>
    </row>
    <row r="1439" spans="7:18" x14ac:dyDescent="0.25">
      <c r="G1439" s="2">
        <f t="shared" ca="1" si="163"/>
        <v>0.85763021489845259</v>
      </c>
      <c r="H1439" s="3">
        <f t="shared" ca="1" si="164"/>
        <v>1</v>
      </c>
      <c r="I1439" s="3">
        <f t="shared" ca="1" si="165"/>
        <v>2.5809599149540179</v>
      </c>
      <c r="J1439" s="3">
        <f t="shared" ca="1" si="166"/>
        <v>8.0326831055289638</v>
      </c>
      <c r="P1439" s="3">
        <f t="shared" ca="1" si="167"/>
        <v>-6.6440602866327785</v>
      </c>
      <c r="Q1439" s="3">
        <f t="shared" ca="1" si="168"/>
        <v>-3.7527893315257854</v>
      </c>
      <c r="R1439" s="3">
        <f t="shared" ca="1" si="169"/>
        <v>7.6306595297670432</v>
      </c>
    </row>
    <row r="1440" spans="7:18" x14ac:dyDescent="0.25">
      <c r="G1440" s="2">
        <f t="shared" ca="1" si="163"/>
        <v>0.29087241807388609</v>
      </c>
      <c r="H1440" s="3">
        <f t="shared" ca="1" si="164"/>
        <v>0</v>
      </c>
      <c r="I1440" s="3">
        <f t="shared" ca="1" si="165"/>
        <v>1.0408686087388079</v>
      </c>
      <c r="J1440" s="3">
        <f t="shared" ca="1" si="166"/>
        <v>5.1011484215292349</v>
      </c>
      <c r="P1440" s="3">
        <f t="shared" ca="1" si="167"/>
        <v>-4.6538773018167978</v>
      </c>
      <c r="Q1440" s="3">
        <f t="shared" ca="1" si="168"/>
        <v>-4.1005645995006335</v>
      </c>
      <c r="R1440" s="3">
        <f t="shared" ca="1" si="169"/>
        <v>6.2026771619231793</v>
      </c>
    </row>
    <row r="1441" spans="7:18" x14ac:dyDescent="0.25">
      <c r="G1441" s="2">
        <f t="shared" ca="1" si="163"/>
        <v>0.91281139337406492</v>
      </c>
      <c r="H1441" s="3">
        <f t="shared" ca="1" si="164"/>
        <v>2</v>
      </c>
      <c r="I1441" s="3">
        <f t="shared" ca="1" si="165"/>
        <v>5.8695638284668386</v>
      </c>
      <c r="J1441" s="3">
        <f t="shared" ca="1" si="166"/>
        <v>12.113591363079363</v>
      </c>
      <c r="P1441" s="3">
        <f t="shared" ca="1" si="167"/>
        <v>-2.5038838473710614</v>
      </c>
      <c r="Q1441" s="3">
        <f t="shared" ca="1" si="168"/>
        <v>-5.3415285216480868</v>
      </c>
      <c r="R1441" s="3">
        <f t="shared" ca="1" si="169"/>
        <v>5.8992678587012559</v>
      </c>
    </row>
    <row r="1442" spans="7:18" x14ac:dyDescent="0.25">
      <c r="G1442" s="2">
        <f t="shared" ca="1" si="163"/>
        <v>0.64799037095429546</v>
      </c>
      <c r="H1442" s="3">
        <f t="shared" ca="1" si="164"/>
        <v>1</v>
      </c>
      <c r="I1442" s="3">
        <f t="shared" ca="1" si="165"/>
        <v>6.9608949246473646</v>
      </c>
      <c r="J1442" s="3">
        <f t="shared" ca="1" si="166"/>
        <v>13.191753981794236</v>
      </c>
      <c r="P1442" s="3">
        <f t="shared" ca="1" si="167"/>
        <v>-3.6757693816343315</v>
      </c>
      <c r="Q1442" s="3">
        <f t="shared" ca="1" si="168"/>
        <v>3.2407219454376568</v>
      </c>
      <c r="R1442" s="3">
        <f t="shared" ca="1" si="169"/>
        <v>4.9003631778268915</v>
      </c>
    </row>
    <row r="1443" spans="7:18" x14ac:dyDescent="0.25">
      <c r="G1443" s="2">
        <f t="shared" ca="1" si="163"/>
        <v>0.71872792659826434</v>
      </c>
      <c r="H1443" s="3">
        <f t="shared" ca="1" si="164"/>
        <v>1</v>
      </c>
      <c r="I1443" s="3">
        <f t="shared" ca="1" si="165"/>
        <v>5.2803983413642053</v>
      </c>
      <c r="J1443" s="3">
        <f t="shared" ca="1" si="166"/>
        <v>11.489558674470711</v>
      </c>
      <c r="P1443" s="3">
        <f t="shared" ca="1" si="167"/>
        <v>-0.35392057309791181</v>
      </c>
      <c r="Q1443" s="3">
        <f t="shared" ca="1" si="168"/>
        <v>6.3121244334653576E-2</v>
      </c>
      <c r="R1443" s="3">
        <f t="shared" ca="1" si="169"/>
        <v>0.3595053039223613</v>
      </c>
    </row>
    <row r="1444" spans="7:18" x14ac:dyDescent="0.25">
      <c r="G1444" s="2">
        <f t="shared" ca="1" si="163"/>
        <v>3.0701466332032745E-2</v>
      </c>
      <c r="H1444" s="3">
        <f t="shared" ca="1" si="164"/>
        <v>0</v>
      </c>
      <c r="I1444" s="3">
        <f t="shared" ca="1" si="165"/>
        <v>0.59309718932186273</v>
      </c>
      <c r="J1444" s="3">
        <f t="shared" ca="1" si="166"/>
        <v>3.8506401718476067</v>
      </c>
      <c r="P1444" s="3">
        <f t="shared" ca="1" si="167"/>
        <v>1.3298382167512273</v>
      </c>
      <c r="Q1444" s="3">
        <f t="shared" ca="1" si="168"/>
        <v>6.7346942219968762</v>
      </c>
      <c r="R1444" s="3">
        <f t="shared" ca="1" si="169"/>
        <v>6.8647342225704699</v>
      </c>
    </row>
    <row r="1445" spans="7:18" x14ac:dyDescent="0.25">
      <c r="G1445" s="2">
        <f t="shared" ca="1" si="163"/>
        <v>0.60778429641167409</v>
      </c>
      <c r="H1445" s="3">
        <f t="shared" ca="1" si="164"/>
        <v>1</v>
      </c>
      <c r="I1445" s="3">
        <f t="shared" ca="1" si="165"/>
        <v>9.9364760896830155</v>
      </c>
      <c r="J1445" s="3">
        <f t="shared" ca="1" si="166"/>
        <v>15.76108823153006</v>
      </c>
      <c r="P1445" s="3">
        <f t="shared" ca="1" si="167"/>
        <v>-1.8659470826416529</v>
      </c>
      <c r="Q1445" s="3">
        <f t="shared" ca="1" si="168"/>
        <v>-1.3884497491508165</v>
      </c>
      <c r="R1445" s="3">
        <f t="shared" ca="1" si="169"/>
        <v>2.3258441953699007</v>
      </c>
    </row>
    <row r="1446" spans="7:18" x14ac:dyDescent="0.25">
      <c r="G1446" s="2">
        <f t="shared" ca="1" si="163"/>
        <v>0.79801049607111141</v>
      </c>
      <c r="H1446" s="3">
        <f t="shared" ca="1" si="164"/>
        <v>1</v>
      </c>
      <c r="I1446" s="3">
        <f t="shared" ca="1" si="165"/>
        <v>0.21579223537754214</v>
      </c>
      <c r="J1446" s="3">
        <f t="shared" ca="1" si="166"/>
        <v>2.3226721431227766</v>
      </c>
      <c r="P1446" s="3">
        <f t="shared" ca="1" si="167"/>
        <v>-3.142545091707535</v>
      </c>
      <c r="Q1446" s="3">
        <f t="shared" ca="1" si="168"/>
        <v>-1.1086973565732805</v>
      </c>
      <c r="R1446" s="3">
        <f t="shared" ca="1" si="169"/>
        <v>3.3323864544628821</v>
      </c>
    </row>
    <row r="1447" spans="7:18" x14ac:dyDescent="0.25">
      <c r="G1447" s="2">
        <f t="shared" ca="1" si="163"/>
        <v>0.34993791947959174</v>
      </c>
      <c r="H1447" s="3">
        <f t="shared" ca="1" si="164"/>
        <v>0</v>
      </c>
      <c r="I1447" s="3">
        <f t="shared" ca="1" si="165"/>
        <v>0.40786649330031277</v>
      </c>
      <c r="J1447" s="3">
        <f t="shared" ca="1" si="166"/>
        <v>3.1932213096664346</v>
      </c>
      <c r="P1447" s="3">
        <f t="shared" ca="1" si="167"/>
        <v>-4.3817334226525659</v>
      </c>
      <c r="Q1447" s="3">
        <f t="shared" ca="1" si="168"/>
        <v>3.1476127681863817</v>
      </c>
      <c r="R1447" s="3">
        <f t="shared" ca="1" si="169"/>
        <v>5.39509535834544</v>
      </c>
    </row>
    <row r="1448" spans="7:18" x14ac:dyDescent="0.25">
      <c r="G1448" s="2">
        <f t="shared" ca="1" si="163"/>
        <v>0.93436992144816799</v>
      </c>
      <c r="H1448" s="3">
        <f t="shared" ca="1" si="164"/>
        <v>2</v>
      </c>
      <c r="I1448" s="3">
        <f t="shared" ca="1" si="165"/>
        <v>9.1656788490727461</v>
      </c>
      <c r="J1448" s="3">
        <f t="shared" ca="1" si="166"/>
        <v>15.137436084978813</v>
      </c>
      <c r="P1448" s="3">
        <f t="shared" ca="1" si="167"/>
        <v>-0.9907245563393543</v>
      </c>
      <c r="Q1448" s="3">
        <f t="shared" ca="1" si="168"/>
        <v>4.566713696207068</v>
      </c>
      <c r="R1448" s="3">
        <f t="shared" ca="1" si="169"/>
        <v>4.6729443747661961</v>
      </c>
    </row>
    <row r="1449" spans="7:18" x14ac:dyDescent="0.25">
      <c r="G1449" s="2">
        <f t="shared" ca="1" si="163"/>
        <v>0.9592774087293735</v>
      </c>
      <c r="H1449" s="3">
        <f t="shared" ca="1" si="164"/>
        <v>2</v>
      </c>
      <c r="I1449" s="3">
        <f t="shared" ca="1" si="165"/>
        <v>3.3478164082061634</v>
      </c>
      <c r="J1449" s="3">
        <f t="shared" ca="1" si="166"/>
        <v>9.1485195635771639</v>
      </c>
      <c r="P1449" s="3">
        <f t="shared" ca="1" si="167"/>
        <v>-6.7512073224146958</v>
      </c>
      <c r="Q1449" s="3">
        <f t="shared" ca="1" si="168"/>
        <v>-2.3327890608901449</v>
      </c>
      <c r="R1449" s="3">
        <f t="shared" ca="1" si="169"/>
        <v>7.1428779292967439</v>
      </c>
    </row>
    <row r="1450" spans="7:18" x14ac:dyDescent="0.25">
      <c r="G1450" s="2">
        <f t="shared" ca="1" si="163"/>
        <v>0.76690566519342218</v>
      </c>
      <c r="H1450" s="3">
        <f t="shared" ca="1" si="164"/>
        <v>1</v>
      </c>
      <c r="I1450" s="3">
        <f t="shared" ca="1" si="165"/>
        <v>2.0094119623878393</v>
      </c>
      <c r="J1450" s="3">
        <f t="shared" ca="1" si="166"/>
        <v>7.0876864391489551</v>
      </c>
      <c r="P1450" s="3">
        <f t="shared" ca="1" si="167"/>
        <v>-4.233094291419679</v>
      </c>
      <c r="Q1450" s="3">
        <f t="shared" ca="1" si="168"/>
        <v>-0.18368021803159246</v>
      </c>
      <c r="R1450" s="3">
        <f t="shared" ca="1" si="169"/>
        <v>4.2370774954614658</v>
      </c>
    </row>
    <row r="1451" spans="7:18" x14ac:dyDescent="0.25">
      <c r="G1451" s="2">
        <f t="shared" ca="1" si="163"/>
        <v>0.22560926187533092</v>
      </c>
      <c r="H1451" s="3">
        <f t="shared" ca="1" si="164"/>
        <v>0</v>
      </c>
      <c r="I1451" s="3">
        <f t="shared" ca="1" si="165"/>
        <v>0.52949875924314083</v>
      </c>
      <c r="J1451" s="3">
        <f t="shared" ca="1" si="166"/>
        <v>3.6383332696550106</v>
      </c>
      <c r="P1451" s="3">
        <f t="shared" ca="1" si="167"/>
        <v>-4.5116149792887938</v>
      </c>
      <c r="Q1451" s="3">
        <f t="shared" ca="1" si="168"/>
        <v>2.8919435207151163</v>
      </c>
      <c r="R1451" s="3">
        <f t="shared" ca="1" si="169"/>
        <v>5.3589184588262926</v>
      </c>
    </row>
    <row r="1452" spans="7:18" x14ac:dyDescent="0.25">
      <c r="G1452" s="2">
        <f t="shared" ca="1" si="163"/>
        <v>0.99284279361669125</v>
      </c>
      <c r="H1452" s="3">
        <f t="shared" ca="1" si="164"/>
        <v>3</v>
      </c>
      <c r="I1452" s="3">
        <f t="shared" ca="1" si="165"/>
        <v>5.2704446177015614</v>
      </c>
      <c r="J1452" s="3">
        <f t="shared" ca="1" si="166"/>
        <v>11.478724469318838</v>
      </c>
      <c r="P1452" s="3">
        <f t="shared" ca="1" si="167"/>
        <v>-1.9470455934263149</v>
      </c>
      <c r="Q1452" s="3">
        <f t="shared" ca="1" si="168"/>
        <v>3.1155540282803691</v>
      </c>
      <c r="R1452" s="3">
        <f t="shared" ca="1" si="169"/>
        <v>3.6739166356920601</v>
      </c>
    </row>
    <row r="1453" spans="7:18" x14ac:dyDescent="0.25">
      <c r="G1453" s="2">
        <f t="shared" ca="1" si="163"/>
        <v>0.89132536361906711</v>
      </c>
      <c r="H1453" s="3">
        <f t="shared" ca="1" si="164"/>
        <v>1</v>
      </c>
      <c r="I1453" s="3">
        <f t="shared" ca="1" si="165"/>
        <v>6.3526640474336951</v>
      </c>
      <c r="J1453" s="3">
        <f t="shared" ca="1" si="166"/>
        <v>12.602245878645695</v>
      </c>
      <c r="P1453" s="3">
        <f t="shared" ca="1" si="167"/>
        <v>-3.5023855881948691</v>
      </c>
      <c r="Q1453" s="3">
        <f t="shared" ca="1" si="168"/>
        <v>-10.870972777584251</v>
      </c>
      <c r="R1453" s="3">
        <f t="shared" ca="1" si="169"/>
        <v>11.421241348442512</v>
      </c>
    </row>
    <row r="1454" spans="7:18" x14ac:dyDescent="0.25">
      <c r="G1454" s="2">
        <f t="shared" ca="1" si="163"/>
        <v>0.38517340568450487</v>
      </c>
      <c r="H1454" s="3">
        <f t="shared" ca="1" si="164"/>
        <v>0</v>
      </c>
      <c r="I1454" s="3">
        <f t="shared" ca="1" si="165"/>
        <v>2.6932337985191879</v>
      </c>
      <c r="J1454" s="3">
        <f t="shared" ca="1" si="166"/>
        <v>8.2055374572894184</v>
      </c>
      <c r="P1454" s="3">
        <f t="shared" ca="1" si="167"/>
        <v>-3.6289605382915262</v>
      </c>
      <c r="Q1454" s="3">
        <f t="shared" ca="1" si="168"/>
        <v>-4.3101982321023131</v>
      </c>
      <c r="R1454" s="3">
        <f t="shared" ca="1" si="169"/>
        <v>5.6344621206016665</v>
      </c>
    </row>
    <row r="1455" spans="7:18" x14ac:dyDescent="0.25">
      <c r="G1455" s="2">
        <f t="shared" ca="1" si="163"/>
        <v>9.0373739566991462E-2</v>
      </c>
      <c r="H1455" s="3">
        <f t="shared" ca="1" si="164"/>
        <v>0</v>
      </c>
      <c r="I1455" s="3">
        <f t="shared" ca="1" si="165"/>
        <v>0.20962167764514092</v>
      </c>
      <c r="J1455" s="3">
        <f t="shared" ca="1" si="166"/>
        <v>2.2892229994320177</v>
      </c>
      <c r="P1455" s="3">
        <f t="shared" ca="1" si="167"/>
        <v>-5.8262855000615534</v>
      </c>
      <c r="Q1455" s="3">
        <f t="shared" ca="1" si="168"/>
        <v>-0.42207025720827901</v>
      </c>
      <c r="R1455" s="3">
        <f t="shared" ca="1" si="169"/>
        <v>5.8415533918853608</v>
      </c>
    </row>
    <row r="1456" spans="7:18" x14ac:dyDescent="0.25">
      <c r="G1456" s="2">
        <f t="shared" ca="1" si="163"/>
        <v>0.61474684949131098</v>
      </c>
      <c r="H1456" s="3">
        <f t="shared" ca="1" si="164"/>
        <v>1</v>
      </c>
      <c r="I1456" s="3">
        <f t="shared" ca="1" si="165"/>
        <v>1.0346295801374898</v>
      </c>
      <c r="J1456" s="3">
        <f t="shared" ca="1" si="166"/>
        <v>5.0858371487334555</v>
      </c>
      <c r="P1456" s="3">
        <f t="shared" ca="1" si="167"/>
        <v>-5.0615550460988477</v>
      </c>
      <c r="Q1456" s="3">
        <f t="shared" ca="1" si="168"/>
        <v>-1.6171850730265998</v>
      </c>
      <c r="R1456" s="3">
        <f t="shared" ca="1" si="169"/>
        <v>5.3136265436243031</v>
      </c>
    </row>
    <row r="1457" spans="7:18" x14ac:dyDescent="0.25">
      <c r="G1457" s="2">
        <f t="shared" ca="1" si="163"/>
        <v>0.58377534762901095</v>
      </c>
      <c r="H1457" s="3">
        <f t="shared" ca="1" si="164"/>
        <v>0</v>
      </c>
      <c r="I1457" s="3">
        <f t="shared" ca="1" si="165"/>
        <v>0.29937305229488842</v>
      </c>
      <c r="J1457" s="3">
        <f t="shared" ca="1" si="166"/>
        <v>2.7357496792236331</v>
      </c>
      <c r="P1457" s="3">
        <f t="shared" ca="1" si="167"/>
        <v>-8.1168561385286804</v>
      </c>
      <c r="Q1457" s="3">
        <f t="shared" ca="1" si="168"/>
        <v>4.0648800928176563</v>
      </c>
      <c r="R1457" s="3">
        <f t="shared" ca="1" si="169"/>
        <v>9.0778083116221389</v>
      </c>
    </row>
    <row r="1458" spans="7:18" x14ac:dyDescent="0.25">
      <c r="G1458" s="2">
        <f t="shared" ca="1" si="163"/>
        <v>0.33718749040005358</v>
      </c>
      <c r="H1458" s="3">
        <f t="shared" ca="1" si="164"/>
        <v>0</v>
      </c>
      <c r="I1458" s="3">
        <f t="shared" ca="1" si="165"/>
        <v>3.6061431163133801</v>
      </c>
      <c r="J1458" s="3">
        <f t="shared" ca="1" si="166"/>
        <v>9.4949237968418938</v>
      </c>
      <c r="P1458" s="3">
        <f t="shared" ca="1" si="167"/>
        <v>-8.1615174540300686</v>
      </c>
      <c r="Q1458" s="3">
        <f t="shared" ca="1" si="168"/>
        <v>2.3866841257836433</v>
      </c>
      <c r="R1458" s="3">
        <f t="shared" ca="1" si="169"/>
        <v>8.5033304221760719</v>
      </c>
    </row>
    <row r="1459" spans="7:18" x14ac:dyDescent="0.25">
      <c r="G1459" s="2">
        <f t="shared" ca="1" si="163"/>
        <v>0.17372034130296876</v>
      </c>
      <c r="H1459" s="3">
        <f t="shared" ca="1" si="164"/>
        <v>0</v>
      </c>
      <c r="I1459" s="3">
        <f t="shared" ca="1" si="165"/>
        <v>2.1674646560142574</v>
      </c>
      <c r="J1459" s="3">
        <f t="shared" ca="1" si="166"/>
        <v>7.3611559146887009</v>
      </c>
      <c r="P1459" s="3">
        <f t="shared" ca="1" si="167"/>
        <v>3.0378014614455857</v>
      </c>
      <c r="Q1459" s="3">
        <f t="shared" ca="1" si="168"/>
        <v>3.388013948045094E-2</v>
      </c>
      <c r="R1459" s="3">
        <f t="shared" ca="1" si="169"/>
        <v>3.0379903856023232</v>
      </c>
    </row>
    <row r="1460" spans="7:18" x14ac:dyDescent="0.25">
      <c r="G1460" s="2">
        <f t="shared" ca="1" si="163"/>
        <v>0.88844131770676515</v>
      </c>
      <c r="H1460" s="3">
        <f t="shared" ca="1" si="164"/>
        <v>1</v>
      </c>
      <c r="I1460" s="3">
        <f t="shared" ca="1" si="165"/>
        <v>0.91450030910914948</v>
      </c>
      <c r="J1460" s="3">
        <f t="shared" ca="1" si="166"/>
        <v>4.7814754760145677</v>
      </c>
      <c r="P1460" s="3">
        <f t="shared" ca="1" si="167"/>
        <v>3.5823367525452525</v>
      </c>
      <c r="Q1460" s="3">
        <f t="shared" ca="1" si="168"/>
        <v>7.5941831643547895</v>
      </c>
      <c r="R1460" s="3">
        <f t="shared" ca="1" si="169"/>
        <v>8.3967109359800034</v>
      </c>
    </row>
    <row r="1461" spans="7:18" x14ac:dyDescent="0.25">
      <c r="G1461" s="2">
        <f t="shared" ca="1" si="163"/>
        <v>0.42692327200263069</v>
      </c>
      <c r="H1461" s="3">
        <f t="shared" ca="1" si="164"/>
        <v>0</v>
      </c>
      <c r="I1461" s="3">
        <f t="shared" ca="1" si="165"/>
        <v>0.23405339784957097</v>
      </c>
      <c r="J1461" s="3">
        <f t="shared" ca="1" si="166"/>
        <v>2.4189532749185698</v>
      </c>
      <c r="P1461" s="3">
        <f t="shared" ca="1" si="167"/>
        <v>-3.0277576841946905</v>
      </c>
      <c r="Q1461" s="3">
        <f t="shared" ca="1" si="168"/>
        <v>1.747519966876663</v>
      </c>
      <c r="R1461" s="3">
        <f t="shared" ca="1" si="169"/>
        <v>3.495875087704452</v>
      </c>
    </row>
    <row r="1462" spans="7:18" x14ac:dyDescent="0.25">
      <c r="G1462" s="2">
        <f t="shared" ca="1" si="163"/>
        <v>4.3511827114395274E-2</v>
      </c>
      <c r="H1462" s="3">
        <f t="shared" ca="1" si="164"/>
        <v>0</v>
      </c>
      <c r="I1462" s="3">
        <f t="shared" ca="1" si="165"/>
        <v>0.24699958844919281</v>
      </c>
      <c r="J1462" s="3">
        <f t="shared" ca="1" si="166"/>
        <v>2.4849526577441714</v>
      </c>
      <c r="P1462" s="3">
        <f t="shared" ca="1" si="167"/>
        <v>-2.145308687301231</v>
      </c>
      <c r="Q1462" s="3">
        <f t="shared" ca="1" si="168"/>
        <v>6.61231606910059</v>
      </c>
      <c r="R1462" s="3">
        <f t="shared" ca="1" si="169"/>
        <v>6.9516237787653621</v>
      </c>
    </row>
    <row r="1463" spans="7:18" x14ac:dyDescent="0.25">
      <c r="G1463" s="2">
        <f t="shared" ca="1" si="163"/>
        <v>0.52603872343164237</v>
      </c>
      <c r="H1463" s="3">
        <f t="shared" ca="1" si="164"/>
        <v>0</v>
      </c>
      <c r="I1463" s="3">
        <f t="shared" ca="1" si="165"/>
        <v>2.2223262942357715</v>
      </c>
      <c r="J1463" s="3">
        <f t="shared" ca="1" si="166"/>
        <v>7.4537344570285224</v>
      </c>
      <c r="P1463" s="3">
        <f t="shared" ca="1" si="167"/>
        <v>-6.6996201749988993</v>
      </c>
      <c r="Q1463" s="3">
        <f t="shared" ca="1" si="168"/>
        <v>0.83906000036422368</v>
      </c>
      <c r="R1463" s="3">
        <f t="shared" ca="1" si="169"/>
        <v>6.751957654892653</v>
      </c>
    </row>
    <row r="1464" spans="7:18" x14ac:dyDescent="0.25">
      <c r="G1464" s="2">
        <f t="shared" ca="1" si="163"/>
        <v>0.53453705427071041</v>
      </c>
      <c r="H1464" s="3">
        <f t="shared" ca="1" si="164"/>
        <v>0</v>
      </c>
      <c r="I1464" s="3">
        <f t="shared" ca="1" si="165"/>
        <v>3.9260322053351375</v>
      </c>
      <c r="J1464" s="3">
        <f t="shared" ca="1" si="166"/>
        <v>9.9071088180850442</v>
      </c>
      <c r="P1464" s="3">
        <f t="shared" ca="1" si="167"/>
        <v>-3.7786854269452048</v>
      </c>
      <c r="Q1464" s="3">
        <f t="shared" ca="1" si="168"/>
        <v>-3.3297378908469413</v>
      </c>
      <c r="R1464" s="3">
        <f t="shared" ca="1" si="169"/>
        <v>5.0364290898959254</v>
      </c>
    </row>
    <row r="1465" spans="7:18" x14ac:dyDescent="0.25">
      <c r="G1465" s="2">
        <f t="shared" ca="1" si="163"/>
        <v>0.78105533407412875</v>
      </c>
      <c r="H1465" s="3">
        <f t="shared" ca="1" si="164"/>
        <v>1</v>
      </c>
      <c r="I1465" s="3">
        <f t="shared" ca="1" si="165"/>
        <v>9.4219326624546156</v>
      </c>
      <c r="J1465" s="3">
        <f t="shared" ca="1" si="166"/>
        <v>15.347583411122592</v>
      </c>
      <c r="P1465" s="3">
        <f t="shared" ca="1" si="167"/>
        <v>-6.6115889680154449</v>
      </c>
      <c r="Q1465" s="3">
        <f t="shared" ca="1" si="168"/>
        <v>-2.1300361582290761</v>
      </c>
      <c r="R1465" s="3">
        <f t="shared" ca="1" si="169"/>
        <v>6.946233707365943</v>
      </c>
    </row>
    <row r="1466" spans="7:18" x14ac:dyDescent="0.25">
      <c r="G1466" s="2">
        <f t="shared" ca="1" si="163"/>
        <v>0.50321293388932198</v>
      </c>
      <c r="H1466" s="3">
        <f t="shared" ca="1" si="164"/>
        <v>0</v>
      </c>
      <c r="I1466" s="3">
        <f t="shared" ca="1" si="165"/>
        <v>0.7432803436517269</v>
      </c>
      <c r="J1466" s="3">
        <f t="shared" ca="1" si="166"/>
        <v>4.3106853969285641</v>
      </c>
      <c r="P1466" s="3">
        <f t="shared" ca="1" si="167"/>
        <v>-6.2016743108103425</v>
      </c>
      <c r="Q1466" s="3">
        <f t="shared" ca="1" si="168"/>
        <v>1.6089536828945648</v>
      </c>
      <c r="R1466" s="3">
        <f t="shared" ca="1" si="169"/>
        <v>6.4069880763947831</v>
      </c>
    </row>
    <row r="1467" spans="7:18" x14ac:dyDescent="0.25">
      <c r="G1467" s="2">
        <f t="shared" ca="1" si="163"/>
        <v>0.96754501809792171</v>
      </c>
      <c r="H1467" s="3">
        <f t="shared" ca="1" si="164"/>
        <v>2</v>
      </c>
      <c r="I1467" s="3">
        <f t="shared" ca="1" si="165"/>
        <v>7.7380894747210158</v>
      </c>
      <c r="J1467" s="3">
        <f t="shared" ca="1" si="166"/>
        <v>13.908710826961117</v>
      </c>
      <c r="P1467" s="3">
        <f t="shared" ca="1" si="167"/>
        <v>-1.190626345388996</v>
      </c>
      <c r="Q1467" s="3">
        <f t="shared" ca="1" si="168"/>
        <v>0.33906376597486032</v>
      </c>
      <c r="R1467" s="3">
        <f t="shared" ca="1" si="169"/>
        <v>1.2379641883881018</v>
      </c>
    </row>
    <row r="1468" spans="7:18" x14ac:dyDescent="0.25">
      <c r="G1468" s="2">
        <f t="shared" ca="1" si="163"/>
        <v>3.9389379463263596E-2</v>
      </c>
      <c r="H1468" s="3">
        <f t="shared" ca="1" si="164"/>
        <v>0</v>
      </c>
      <c r="I1468" s="3">
        <f t="shared" ca="1" si="165"/>
        <v>1.725261567349573</v>
      </c>
      <c r="J1468" s="3">
        <f t="shared" ca="1" si="166"/>
        <v>6.5674606343501836</v>
      </c>
      <c r="P1468" s="3">
        <f t="shared" ca="1" si="167"/>
        <v>-9.5882853836551778</v>
      </c>
      <c r="Q1468" s="3">
        <f t="shared" ca="1" si="168"/>
        <v>-0.22633129438144353</v>
      </c>
      <c r="R1468" s="3">
        <f t="shared" ca="1" si="169"/>
        <v>9.5909562846064471</v>
      </c>
    </row>
    <row r="1469" spans="7:18" x14ac:dyDescent="0.25">
      <c r="G1469" s="2">
        <f t="shared" ca="1" si="163"/>
        <v>0.14482516746121787</v>
      </c>
      <c r="H1469" s="3">
        <f t="shared" ca="1" si="164"/>
        <v>0</v>
      </c>
      <c r="I1469" s="3">
        <f t="shared" ca="1" si="165"/>
        <v>1.4372439216345538E-2</v>
      </c>
      <c r="J1469" s="3">
        <f t="shared" ca="1" si="166"/>
        <v>0.59942554200554254</v>
      </c>
      <c r="P1469" s="3">
        <f t="shared" ca="1" si="167"/>
        <v>-1.8572083521612921</v>
      </c>
      <c r="Q1469" s="3">
        <f t="shared" ca="1" si="168"/>
        <v>-4.1075494414764533</v>
      </c>
      <c r="R1469" s="3">
        <f t="shared" ca="1" si="169"/>
        <v>4.5079025363811036</v>
      </c>
    </row>
    <row r="1470" spans="7:18" x14ac:dyDescent="0.25">
      <c r="G1470" s="2">
        <f t="shared" ca="1" si="163"/>
        <v>0.72337387759004379</v>
      </c>
      <c r="H1470" s="3">
        <f t="shared" ca="1" si="164"/>
        <v>1</v>
      </c>
      <c r="I1470" s="3">
        <f t="shared" ca="1" si="165"/>
        <v>2.9159282374235986</v>
      </c>
      <c r="J1470" s="3">
        <f t="shared" ca="1" si="166"/>
        <v>8.5380446201451754</v>
      </c>
      <c r="P1470" s="3">
        <f t="shared" ca="1" si="167"/>
        <v>-3.9999611603514449</v>
      </c>
      <c r="Q1470" s="3">
        <f t="shared" ca="1" si="168"/>
        <v>-3.7802601807438085</v>
      </c>
      <c r="R1470" s="3">
        <f t="shared" ca="1" si="169"/>
        <v>5.5036402788006855</v>
      </c>
    </row>
    <row r="1471" spans="7:18" x14ac:dyDescent="0.25">
      <c r="G1471" s="2">
        <f t="shared" ca="1" si="163"/>
        <v>0.21069830539902878</v>
      </c>
      <c r="H1471" s="3">
        <f t="shared" ca="1" si="164"/>
        <v>0</v>
      </c>
      <c r="I1471" s="3">
        <f t="shared" ca="1" si="165"/>
        <v>1.8755826280753327</v>
      </c>
      <c r="J1471" s="3">
        <f t="shared" ca="1" si="166"/>
        <v>6.8475956146579886</v>
      </c>
      <c r="P1471" s="3">
        <f t="shared" ca="1" si="167"/>
        <v>-16.843611734806188</v>
      </c>
      <c r="Q1471" s="3">
        <f t="shared" ca="1" si="168"/>
        <v>-3.8770351245706363</v>
      </c>
      <c r="R1471" s="3">
        <f t="shared" ca="1" si="169"/>
        <v>17.284057904035592</v>
      </c>
    </row>
    <row r="1472" spans="7:18" x14ac:dyDescent="0.25">
      <c r="G1472" s="2">
        <f t="shared" ca="1" si="163"/>
        <v>0.48078310835356985</v>
      </c>
      <c r="H1472" s="3">
        <f t="shared" ca="1" si="164"/>
        <v>0</v>
      </c>
      <c r="I1472" s="3">
        <f t="shared" ca="1" si="165"/>
        <v>3.1780423283600322E-3</v>
      </c>
      <c r="J1472" s="3">
        <f t="shared" ca="1" si="166"/>
        <v>0.28187064091352404</v>
      </c>
      <c r="P1472" s="3">
        <f t="shared" ca="1" si="167"/>
        <v>-9.1481687883956546</v>
      </c>
      <c r="Q1472" s="3">
        <f t="shared" ca="1" si="168"/>
        <v>1.6595331621775782</v>
      </c>
      <c r="R1472" s="3">
        <f t="shared" ca="1" si="169"/>
        <v>9.2974750603238263</v>
      </c>
    </row>
    <row r="1473" spans="7:18" x14ac:dyDescent="0.25">
      <c r="G1473" s="2">
        <f t="shared" ca="1" si="163"/>
        <v>0.66820268346196554</v>
      </c>
      <c r="H1473" s="3">
        <f t="shared" ca="1" si="164"/>
        <v>1</v>
      </c>
      <c r="I1473" s="3">
        <f t="shared" ca="1" si="165"/>
        <v>4.4923644955741038</v>
      </c>
      <c r="J1473" s="3">
        <f t="shared" ca="1" si="166"/>
        <v>10.597599369166236</v>
      </c>
      <c r="P1473" s="3">
        <f t="shared" ca="1" si="167"/>
        <v>-14.176925548134081</v>
      </c>
      <c r="Q1473" s="3">
        <f t="shared" ca="1" si="168"/>
        <v>-3.2267332404304123</v>
      </c>
      <c r="R1473" s="3">
        <f t="shared" ca="1" si="169"/>
        <v>14.539498801617453</v>
      </c>
    </row>
    <row r="1474" spans="7:18" x14ac:dyDescent="0.25">
      <c r="G1474" s="2">
        <f t="shared" ca="1" si="163"/>
        <v>0.10219772696419505</v>
      </c>
      <c r="H1474" s="3">
        <f t="shared" ca="1" si="164"/>
        <v>0</v>
      </c>
      <c r="I1474" s="3">
        <f t="shared" ca="1" si="165"/>
        <v>0.10542208100069043</v>
      </c>
      <c r="J1474" s="3">
        <f t="shared" ca="1" si="166"/>
        <v>1.6234383342206937</v>
      </c>
      <c r="P1474" s="3">
        <f t="shared" ca="1" si="167"/>
        <v>-7.564634596238295</v>
      </c>
      <c r="Q1474" s="3">
        <f t="shared" ca="1" si="168"/>
        <v>-4.2851970260172427</v>
      </c>
      <c r="R1474" s="3">
        <f t="shared" ca="1" si="169"/>
        <v>8.6940560227314112</v>
      </c>
    </row>
    <row r="1475" spans="7:18" x14ac:dyDescent="0.25">
      <c r="G1475" s="2">
        <f t="shared" ca="1" si="163"/>
        <v>0.76550019361529331</v>
      </c>
      <c r="H1475" s="3">
        <f t="shared" ca="1" si="164"/>
        <v>1</v>
      </c>
      <c r="I1475" s="3">
        <f t="shared" ca="1" si="165"/>
        <v>4.6511497336989613</v>
      </c>
      <c r="J1475" s="3">
        <f t="shared" ca="1" si="166"/>
        <v>10.783262184630125</v>
      </c>
      <c r="P1475" s="3">
        <f t="shared" ca="1" si="167"/>
        <v>-6.7251306896609844</v>
      </c>
      <c r="Q1475" s="3">
        <f t="shared" ca="1" si="168"/>
        <v>-1.790827088385851</v>
      </c>
      <c r="R1475" s="3">
        <f t="shared" ca="1" si="169"/>
        <v>6.9594859331359071</v>
      </c>
    </row>
    <row r="1476" spans="7:18" x14ac:dyDescent="0.25">
      <c r="G1476" s="2">
        <f t="shared" ref="G1476:G1539" ca="1" si="170">RAND()</f>
        <v>3.4586026996120678E-3</v>
      </c>
      <c r="H1476" s="3">
        <f t="shared" ref="H1476:H1539" ca="1" si="171">VLOOKUP(G1476,$B$9:$C$169,2,TRUE)</f>
        <v>0</v>
      </c>
      <c r="I1476" s="3">
        <f t="shared" ref="I1476:I1539" ca="1" si="172">_xlfn.CHISQ.INV(RAND(),2*H1476+2)</f>
        <v>1.0986351463640116</v>
      </c>
      <c r="J1476" s="3">
        <f t="shared" ref="J1476:J1539" ca="1" si="173">$C$4*SQRT(I1476)</f>
        <v>5.2407898888526621</v>
      </c>
      <c r="P1476" s="3">
        <f t="shared" ref="P1476:P1539" ca="1" si="174">_xlfn.NORM.INV(RAND(),$C$3*COS($O$2),$C$4)</f>
        <v>1.4165740918733416</v>
      </c>
      <c r="Q1476" s="3">
        <f t="shared" ref="Q1476:Q1539" ca="1" si="175">_xlfn.NORM.INV(RAND(),$C$3*SIN($O$2),$C$4)</f>
        <v>-3.2845266659055929</v>
      </c>
      <c r="R1476" s="3">
        <f t="shared" ref="R1476:R1539" ca="1" si="176">SQRT(P1476^2+Q1476^2)</f>
        <v>3.5769816293645809</v>
      </c>
    </row>
    <row r="1477" spans="7:18" x14ac:dyDescent="0.25">
      <c r="G1477" s="2">
        <f t="shared" ca="1" si="170"/>
        <v>0.837065658262793</v>
      </c>
      <c r="H1477" s="3">
        <f t="shared" ca="1" si="171"/>
        <v>1</v>
      </c>
      <c r="I1477" s="3">
        <f t="shared" ca="1" si="172"/>
        <v>3.2682982485835135</v>
      </c>
      <c r="J1477" s="3">
        <f t="shared" ca="1" si="173"/>
        <v>9.0392176771326742</v>
      </c>
      <c r="P1477" s="3">
        <f t="shared" ca="1" si="174"/>
        <v>-17.600823120792672</v>
      </c>
      <c r="Q1477" s="3">
        <f t="shared" ca="1" si="175"/>
        <v>2.1710640587203214</v>
      </c>
      <c r="R1477" s="3">
        <f t="shared" ca="1" si="176"/>
        <v>17.734218158027069</v>
      </c>
    </row>
    <row r="1478" spans="7:18" x14ac:dyDescent="0.25">
      <c r="G1478" s="2">
        <f t="shared" ca="1" si="170"/>
        <v>0.5531899833099958</v>
      </c>
      <c r="H1478" s="3">
        <f t="shared" ca="1" si="171"/>
        <v>0</v>
      </c>
      <c r="I1478" s="3">
        <f t="shared" ca="1" si="172"/>
        <v>1.4069145906695075</v>
      </c>
      <c r="J1478" s="3">
        <f t="shared" ca="1" si="173"/>
        <v>5.9306715274695234</v>
      </c>
      <c r="P1478" s="3">
        <f t="shared" ca="1" si="174"/>
        <v>-13.499075256061614</v>
      </c>
      <c r="Q1478" s="3">
        <f t="shared" ca="1" si="175"/>
        <v>-1.7976063311015962</v>
      </c>
      <c r="R1478" s="3">
        <f t="shared" ca="1" si="176"/>
        <v>13.618238553147448</v>
      </c>
    </row>
    <row r="1479" spans="7:18" x14ac:dyDescent="0.25">
      <c r="G1479" s="2">
        <f t="shared" ca="1" si="170"/>
        <v>0.1777691580024725</v>
      </c>
      <c r="H1479" s="3">
        <f t="shared" ca="1" si="171"/>
        <v>0</v>
      </c>
      <c r="I1479" s="3">
        <f t="shared" ca="1" si="172"/>
        <v>2.6645645455207587</v>
      </c>
      <c r="J1479" s="3">
        <f t="shared" ca="1" si="173"/>
        <v>8.1617469721879381</v>
      </c>
      <c r="P1479" s="3">
        <f t="shared" ca="1" si="174"/>
        <v>-5.1037252683933874</v>
      </c>
      <c r="Q1479" s="3">
        <f t="shared" ca="1" si="175"/>
        <v>3.5670278658272196</v>
      </c>
      <c r="R1479" s="3">
        <f t="shared" ca="1" si="176"/>
        <v>6.2266924936779269</v>
      </c>
    </row>
    <row r="1480" spans="7:18" x14ac:dyDescent="0.25">
      <c r="G1480" s="2">
        <f t="shared" ca="1" si="170"/>
        <v>0.31671370966321633</v>
      </c>
      <c r="H1480" s="3">
        <f t="shared" ca="1" si="171"/>
        <v>0</v>
      </c>
      <c r="I1480" s="3">
        <f t="shared" ca="1" si="172"/>
        <v>1.2469032383816543</v>
      </c>
      <c r="J1480" s="3">
        <f t="shared" ca="1" si="173"/>
        <v>5.5832410801918053</v>
      </c>
      <c r="P1480" s="3">
        <f t="shared" ca="1" si="174"/>
        <v>-3.4869045370977987</v>
      </c>
      <c r="Q1480" s="3">
        <f t="shared" ca="1" si="175"/>
        <v>0.22591248871314396</v>
      </c>
      <c r="R1480" s="3">
        <f t="shared" ca="1" si="176"/>
        <v>3.4942151770304273</v>
      </c>
    </row>
    <row r="1481" spans="7:18" x14ac:dyDescent="0.25">
      <c r="G1481" s="2">
        <f t="shared" ca="1" si="170"/>
        <v>0.12270654520001278</v>
      </c>
      <c r="H1481" s="3">
        <f t="shared" ca="1" si="171"/>
        <v>0</v>
      </c>
      <c r="I1481" s="3">
        <f t="shared" ca="1" si="172"/>
        <v>1.9971394297592722</v>
      </c>
      <c r="J1481" s="3">
        <f t="shared" ca="1" si="173"/>
        <v>7.0660091808588676</v>
      </c>
      <c r="P1481" s="3">
        <f t="shared" ca="1" si="174"/>
        <v>-6.0168218827589035</v>
      </c>
      <c r="Q1481" s="3">
        <f t="shared" ca="1" si="175"/>
        <v>3.8835694710396149</v>
      </c>
      <c r="R1481" s="3">
        <f t="shared" ca="1" si="176"/>
        <v>7.1613027729064296</v>
      </c>
    </row>
    <row r="1482" spans="7:18" x14ac:dyDescent="0.25">
      <c r="G1482" s="2">
        <f t="shared" ca="1" si="170"/>
        <v>0.34206524183002185</v>
      </c>
      <c r="H1482" s="3">
        <f t="shared" ca="1" si="171"/>
        <v>0</v>
      </c>
      <c r="I1482" s="3">
        <f t="shared" ca="1" si="172"/>
        <v>1.5109883826838443E-4</v>
      </c>
      <c r="J1482" s="3">
        <f t="shared" ca="1" si="173"/>
        <v>6.1461133708300655E-2</v>
      </c>
      <c r="P1482" s="3">
        <f t="shared" ca="1" si="174"/>
        <v>-5.3648988448141273</v>
      </c>
      <c r="Q1482" s="3">
        <f t="shared" ca="1" si="175"/>
        <v>6.8327772500474362</v>
      </c>
      <c r="R1482" s="3">
        <f t="shared" ca="1" si="176"/>
        <v>8.6872886773638278</v>
      </c>
    </row>
    <row r="1483" spans="7:18" x14ac:dyDescent="0.25">
      <c r="G1483" s="2">
        <f t="shared" ca="1" si="170"/>
        <v>0.3463315721197826</v>
      </c>
      <c r="H1483" s="3">
        <f t="shared" ca="1" si="171"/>
        <v>0</v>
      </c>
      <c r="I1483" s="3">
        <f t="shared" ca="1" si="172"/>
        <v>7.5720205796976314</v>
      </c>
      <c r="J1483" s="3">
        <f t="shared" ca="1" si="173"/>
        <v>13.758652350155549</v>
      </c>
      <c r="P1483" s="3">
        <f t="shared" ca="1" si="174"/>
        <v>-4.3778671029829823</v>
      </c>
      <c r="Q1483" s="3">
        <f t="shared" ca="1" si="175"/>
        <v>-4.0648788992582885</v>
      </c>
      <c r="R1483" s="3">
        <f t="shared" ca="1" si="176"/>
        <v>5.9740238396758913</v>
      </c>
    </row>
    <row r="1484" spans="7:18" x14ac:dyDescent="0.25">
      <c r="G1484" s="2">
        <f t="shared" ca="1" si="170"/>
        <v>0.38162379072268759</v>
      </c>
      <c r="H1484" s="3">
        <f t="shared" ca="1" si="171"/>
        <v>0</v>
      </c>
      <c r="I1484" s="3">
        <f t="shared" ca="1" si="172"/>
        <v>2.8302790030029525</v>
      </c>
      <c r="J1484" s="3">
        <f t="shared" ca="1" si="173"/>
        <v>8.4117165355873595</v>
      </c>
      <c r="P1484" s="3">
        <f t="shared" ca="1" si="174"/>
        <v>1.8242009438566251</v>
      </c>
      <c r="Q1484" s="3">
        <f t="shared" ca="1" si="175"/>
        <v>3.1047249968832955</v>
      </c>
      <c r="R1484" s="3">
        <f t="shared" ca="1" si="176"/>
        <v>3.600975755241818</v>
      </c>
    </row>
    <row r="1485" spans="7:18" x14ac:dyDescent="0.25">
      <c r="G1485" s="2">
        <f t="shared" ca="1" si="170"/>
        <v>0.13168078145328199</v>
      </c>
      <c r="H1485" s="3">
        <f t="shared" ca="1" si="171"/>
        <v>0</v>
      </c>
      <c r="I1485" s="3">
        <f t="shared" ca="1" si="172"/>
        <v>0.99944265184564485</v>
      </c>
      <c r="J1485" s="3">
        <f t="shared" ca="1" si="173"/>
        <v>4.9986064354118858</v>
      </c>
      <c r="P1485" s="3">
        <f t="shared" ca="1" si="174"/>
        <v>-7.8789176694083265</v>
      </c>
      <c r="Q1485" s="3">
        <f t="shared" ca="1" si="175"/>
        <v>3.4657860749842277</v>
      </c>
      <c r="R1485" s="3">
        <f t="shared" ca="1" si="176"/>
        <v>8.6074977060043025</v>
      </c>
    </row>
    <row r="1486" spans="7:18" x14ac:dyDescent="0.25">
      <c r="G1486" s="2">
        <f t="shared" ca="1" si="170"/>
        <v>0.23540423874405958</v>
      </c>
      <c r="H1486" s="3">
        <f t="shared" ca="1" si="171"/>
        <v>0</v>
      </c>
      <c r="I1486" s="3">
        <f t="shared" ca="1" si="172"/>
        <v>2.0454491987330305</v>
      </c>
      <c r="J1486" s="3">
        <f t="shared" ca="1" si="173"/>
        <v>7.1509600731877789</v>
      </c>
      <c r="P1486" s="3">
        <f t="shared" ca="1" si="174"/>
        <v>-2.8614585941802368</v>
      </c>
      <c r="Q1486" s="3">
        <f t="shared" ca="1" si="175"/>
        <v>-0.42226622919431384</v>
      </c>
      <c r="R1486" s="3">
        <f t="shared" ca="1" si="176"/>
        <v>2.8924477617626776</v>
      </c>
    </row>
    <row r="1487" spans="7:18" x14ac:dyDescent="0.25">
      <c r="G1487" s="2">
        <f t="shared" ca="1" si="170"/>
        <v>0.20793217772931138</v>
      </c>
      <c r="H1487" s="3">
        <f t="shared" ca="1" si="171"/>
        <v>0</v>
      </c>
      <c r="I1487" s="3">
        <f t="shared" ca="1" si="172"/>
        <v>2.5578872909622561</v>
      </c>
      <c r="J1487" s="3">
        <f t="shared" ca="1" si="173"/>
        <v>7.996698210765266</v>
      </c>
      <c r="P1487" s="3">
        <f t="shared" ca="1" si="174"/>
        <v>-8.8179837178221003</v>
      </c>
      <c r="Q1487" s="3">
        <f t="shared" ca="1" si="175"/>
        <v>-3.008533848638288</v>
      </c>
      <c r="R1487" s="3">
        <f t="shared" ca="1" si="176"/>
        <v>9.3170871395612682</v>
      </c>
    </row>
    <row r="1488" spans="7:18" x14ac:dyDescent="0.25">
      <c r="G1488" s="2">
        <f t="shared" ca="1" si="170"/>
        <v>0.94491514021065193</v>
      </c>
      <c r="H1488" s="3">
        <f t="shared" ca="1" si="171"/>
        <v>2</v>
      </c>
      <c r="I1488" s="3">
        <f t="shared" ca="1" si="172"/>
        <v>1.5625028121110942</v>
      </c>
      <c r="J1488" s="3">
        <f t="shared" ca="1" si="173"/>
        <v>6.250005624219658</v>
      </c>
      <c r="P1488" s="3">
        <f t="shared" ca="1" si="174"/>
        <v>5.5835482910532086</v>
      </c>
      <c r="Q1488" s="3">
        <f t="shared" ca="1" si="175"/>
        <v>-1.8110535255443951</v>
      </c>
      <c r="R1488" s="3">
        <f t="shared" ca="1" si="176"/>
        <v>5.869917068486572</v>
      </c>
    </row>
    <row r="1489" spans="7:18" x14ac:dyDescent="0.25">
      <c r="G1489" s="2">
        <f t="shared" ca="1" si="170"/>
        <v>0.57601226414410112</v>
      </c>
      <c r="H1489" s="3">
        <f t="shared" ca="1" si="171"/>
        <v>0</v>
      </c>
      <c r="I1489" s="3">
        <f t="shared" ca="1" si="172"/>
        <v>0.30528617742221437</v>
      </c>
      <c r="J1489" s="3">
        <f t="shared" ca="1" si="173"/>
        <v>2.7626354148811165</v>
      </c>
      <c r="P1489" s="3">
        <f t="shared" ca="1" si="174"/>
        <v>-9.5238932074262941</v>
      </c>
      <c r="Q1489" s="3">
        <f t="shared" ca="1" si="175"/>
        <v>-8.0436195724356363</v>
      </c>
      <c r="R1489" s="3">
        <f t="shared" ca="1" si="176"/>
        <v>12.466128414729665</v>
      </c>
    </row>
    <row r="1490" spans="7:18" x14ac:dyDescent="0.25">
      <c r="G1490" s="2">
        <f t="shared" ca="1" si="170"/>
        <v>0.34398502744493975</v>
      </c>
      <c r="H1490" s="3">
        <f t="shared" ca="1" si="171"/>
        <v>0</v>
      </c>
      <c r="I1490" s="3">
        <f t="shared" ca="1" si="172"/>
        <v>8.4645124383605996E-2</v>
      </c>
      <c r="J1490" s="3">
        <f t="shared" ca="1" si="173"/>
        <v>1.454691757586517</v>
      </c>
      <c r="P1490" s="3">
        <f t="shared" ca="1" si="174"/>
        <v>-5.1529229005668507</v>
      </c>
      <c r="Q1490" s="3">
        <f t="shared" ca="1" si="175"/>
        <v>-7.4637988114298519</v>
      </c>
      <c r="R1490" s="3">
        <f t="shared" ca="1" si="176"/>
        <v>9.0697798824827025</v>
      </c>
    </row>
    <row r="1491" spans="7:18" x14ac:dyDescent="0.25">
      <c r="G1491" s="2">
        <f t="shared" ca="1" si="170"/>
        <v>0.56202535319683911</v>
      </c>
      <c r="H1491" s="3">
        <f t="shared" ca="1" si="171"/>
        <v>0</v>
      </c>
      <c r="I1491" s="3">
        <f t="shared" ca="1" si="172"/>
        <v>2.2920279490828435</v>
      </c>
      <c r="J1491" s="3">
        <f t="shared" ca="1" si="173"/>
        <v>7.569722500004282</v>
      </c>
      <c r="P1491" s="3">
        <f t="shared" ca="1" si="174"/>
        <v>-2.0060042699583898</v>
      </c>
      <c r="Q1491" s="3">
        <f t="shared" ca="1" si="175"/>
        <v>0.68102108117781857</v>
      </c>
      <c r="R1491" s="3">
        <f t="shared" ca="1" si="176"/>
        <v>2.1184529364845228</v>
      </c>
    </row>
    <row r="1492" spans="7:18" x14ac:dyDescent="0.25">
      <c r="G1492" s="2">
        <f t="shared" ca="1" si="170"/>
        <v>0.91717140563070398</v>
      </c>
      <c r="H1492" s="3">
        <f t="shared" ca="1" si="171"/>
        <v>2</v>
      </c>
      <c r="I1492" s="3">
        <f t="shared" ca="1" si="172"/>
        <v>4.4464036430895133</v>
      </c>
      <c r="J1492" s="3">
        <f t="shared" ca="1" si="173"/>
        <v>10.543248601699471</v>
      </c>
      <c r="P1492" s="3">
        <f t="shared" ca="1" si="174"/>
        <v>-5.1139187788023177</v>
      </c>
      <c r="Q1492" s="3">
        <f t="shared" ca="1" si="175"/>
        <v>-10.061556613392371</v>
      </c>
      <c r="R1492" s="3">
        <f t="shared" ca="1" si="176"/>
        <v>11.286588800903786</v>
      </c>
    </row>
    <row r="1493" spans="7:18" x14ac:dyDescent="0.25">
      <c r="G1493" s="2">
        <f t="shared" ca="1" si="170"/>
        <v>3.9886255399069204E-2</v>
      </c>
      <c r="H1493" s="3">
        <f t="shared" ca="1" si="171"/>
        <v>0</v>
      </c>
      <c r="I1493" s="3">
        <f t="shared" ca="1" si="172"/>
        <v>1.8126658299827838</v>
      </c>
      <c r="J1493" s="3">
        <f t="shared" ca="1" si="173"/>
        <v>6.7317639404222716</v>
      </c>
      <c r="P1493" s="3">
        <f t="shared" ca="1" si="174"/>
        <v>-4.8886332127890926</v>
      </c>
      <c r="Q1493" s="3">
        <f t="shared" ca="1" si="175"/>
        <v>-1.1676682795362665</v>
      </c>
      <c r="R1493" s="3">
        <f t="shared" ca="1" si="176"/>
        <v>5.0261500077315429</v>
      </c>
    </row>
    <row r="1494" spans="7:18" x14ac:dyDescent="0.25">
      <c r="G1494" s="2">
        <f t="shared" ca="1" si="170"/>
        <v>0.3069582021196462</v>
      </c>
      <c r="H1494" s="3">
        <f t="shared" ca="1" si="171"/>
        <v>0</v>
      </c>
      <c r="I1494" s="3">
        <f t="shared" ca="1" si="172"/>
        <v>0.21624151963365495</v>
      </c>
      <c r="J1494" s="3">
        <f t="shared" ca="1" si="173"/>
        <v>2.3250888135383936</v>
      </c>
      <c r="P1494" s="3">
        <f t="shared" ca="1" si="174"/>
        <v>-10.165098691528346</v>
      </c>
      <c r="Q1494" s="3">
        <f t="shared" ca="1" si="175"/>
        <v>-2.8606392857664269</v>
      </c>
      <c r="R1494" s="3">
        <f t="shared" ca="1" si="176"/>
        <v>10.559947373532765</v>
      </c>
    </row>
    <row r="1495" spans="7:18" x14ac:dyDescent="0.25">
      <c r="G1495" s="2">
        <f t="shared" ca="1" si="170"/>
        <v>4.273733771294097E-2</v>
      </c>
      <c r="H1495" s="3">
        <f t="shared" ca="1" si="171"/>
        <v>0</v>
      </c>
      <c r="I1495" s="3">
        <f t="shared" ca="1" si="172"/>
        <v>0.40065424586653409</v>
      </c>
      <c r="J1495" s="3">
        <f t="shared" ca="1" si="173"/>
        <v>3.1648627374126908</v>
      </c>
      <c r="P1495" s="3">
        <f t="shared" ca="1" si="174"/>
        <v>-6.7177193351242499</v>
      </c>
      <c r="Q1495" s="3">
        <f t="shared" ca="1" si="175"/>
        <v>3.2168359133043749</v>
      </c>
      <c r="R1495" s="3">
        <f t="shared" ca="1" si="176"/>
        <v>7.4482069223825267</v>
      </c>
    </row>
    <row r="1496" spans="7:18" x14ac:dyDescent="0.25">
      <c r="G1496" s="2">
        <f t="shared" ca="1" si="170"/>
        <v>0.38556226182560382</v>
      </c>
      <c r="H1496" s="3">
        <f t="shared" ca="1" si="171"/>
        <v>0</v>
      </c>
      <c r="I1496" s="3">
        <f t="shared" ca="1" si="172"/>
        <v>0.93776790380002273</v>
      </c>
      <c r="J1496" s="3">
        <f t="shared" ca="1" si="173"/>
        <v>4.8419208579860706</v>
      </c>
      <c r="P1496" s="3">
        <f t="shared" ca="1" si="174"/>
        <v>-11.702943491791489</v>
      </c>
      <c r="Q1496" s="3">
        <f t="shared" ca="1" si="175"/>
        <v>-0.43750827561380623</v>
      </c>
      <c r="R1496" s="3">
        <f t="shared" ca="1" si="176"/>
        <v>11.711118642695725</v>
      </c>
    </row>
    <row r="1497" spans="7:18" x14ac:dyDescent="0.25">
      <c r="G1497" s="2">
        <f t="shared" ca="1" si="170"/>
        <v>0.57653007512352417</v>
      </c>
      <c r="H1497" s="3">
        <f t="shared" ca="1" si="171"/>
        <v>0</v>
      </c>
      <c r="I1497" s="3">
        <f t="shared" ca="1" si="172"/>
        <v>2.0678380548878859</v>
      </c>
      <c r="J1497" s="3">
        <f t="shared" ca="1" si="173"/>
        <v>7.1899896642621917</v>
      </c>
      <c r="P1497" s="3">
        <f t="shared" ca="1" si="174"/>
        <v>-0.28256950794557767</v>
      </c>
      <c r="Q1497" s="3">
        <f t="shared" ca="1" si="175"/>
        <v>1.6465349389715249</v>
      </c>
      <c r="R1497" s="3">
        <f t="shared" ca="1" si="176"/>
        <v>1.6706055285657861</v>
      </c>
    </row>
    <row r="1498" spans="7:18" x14ac:dyDescent="0.25">
      <c r="G1498" s="2">
        <f t="shared" ca="1" si="170"/>
        <v>0.36257179392587746</v>
      </c>
      <c r="H1498" s="3">
        <f t="shared" ca="1" si="171"/>
        <v>0</v>
      </c>
      <c r="I1498" s="3">
        <f t="shared" ca="1" si="172"/>
        <v>1.2032212845727175</v>
      </c>
      <c r="J1498" s="3">
        <f t="shared" ca="1" si="173"/>
        <v>5.4845721906378389</v>
      </c>
      <c r="P1498" s="3">
        <f t="shared" ca="1" si="174"/>
        <v>-0.53473106631574741</v>
      </c>
      <c r="Q1498" s="3">
        <f t="shared" ca="1" si="175"/>
        <v>4.4866363610266573</v>
      </c>
      <c r="R1498" s="3">
        <f t="shared" ca="1" si="176"/>
        <v>4.5183894419770532</v>
      </c>
    </row>
    <row r="1499" spans="7:18" x14ac:dyDescent="0.25">
      <c r="G1499" s="2">
        <f t="shared" ca="1" si="170"/>
        <v>0.61125050956020466</v>
      </c>
      <c r="H1499" s="3">
        <f t="shared" ca="1" si="171"/>
        <v>1</v>
      </c>
      <c r="I1499" s="3">
        <f t="shared" ca="1" si="172"/>
        <v>6.3117377968681394</v>
      </c>
      <c r="J1499" s="3">
        <f t="shared" ca="1" si="173"/>
        <v>12.561586083043155</v>
      </c>
      <c r="P1499" s="3">
        <f t="shared" ca="1" si="174"/>
        <v>-8.2265123817056747</v>
      </c>
      <c r="Q1499" s="3">
        <f t="shared" ca="1" si="175"/>
        <v>-3.188663480111904</v>
      </c>
      <c r="R1499" s="3">
        <f t="shared" ca="1" si="176"/>
        <v>8.8228725909284282</v>
      </c>
    </row>
    <row r="1500" spans="7:18" x14ac:dyDescent="0.25">
      <c r="G1500" s="2">
        <f t="shared" ca="1" si="170"/>
        <v>0.61057257674719478</v>
      </c>
      <c r="H1500" s="3">
        <f t="shared" ca="1" si="171"/>
        <v>1</v>
      </c>
      <c r="I1500" s="3">
        <f t="shared" ca="1" si="172"/>
        <v>0.70629383844724647</v>
      </c>
      <c r="J1500" s="3">
        <f t="shared" ca="1" si="173"/>
        <v>4.2020644879845861</v>
      </c>
      <c r="P1500" s="3">
        <f t="shared" ca="1" si="174"/>
        <v>-8.5985154891601319</v>
      </c>
      <c r="Q1500" s="3">
        <f t="shared" ca="1" si="175"/>
        <v>-4.1234774463994706</v>
      </c>
      <c r="R1500" s="3">
        <f t="shared" ca="1" si="176"/>
        <v>9.5361173896031612</v>
      </c>
    </row>
    <row r="1501" spans="7:18" x14ac:dyDescent="0.25">
      <c r="G1501" s="2">
        <f t="shared" ca="1" si="170"/>
        <v>0.58581354122648632</v>
      </c>
      <c r="H1501" s="3">
        <f t="shared" ca="1" si="171"/>
        <v>0</v>
      </c>
      <c r="I1501" s="3">
        <f t="shared" ca="1" si="172"/>
        <v>7.3115617780085707</v>
      </c>
      <c r="J1501" s="3">
        <f t="shared" ca="1" si="173"/>
        <v>13.519949868628</v>
      </c>
      <c r="P1501" s="3">
        <f t="shared" ca="1" si="174"/>
        <v>-0.68818668313099263</v>
      </c>
      <c r="Q1501" s="3">
        <f t="shared" ca="1" si="175"/>
        <v>-3.1779800982926112</v>
      </c>
      <c r="R1501" s="3">
        <f t="shared" ca="1" si="176"/>
        <v>3.2516393428519641</v>
      </c>
    </row>
    <row r="1502" spans="7:18" x14ac:dyDescent="0.25">
      <c r="G1502" s="2">
        <f t="shared" ca="1" si="170"/>
        <v>0.6215578324427331</v>
      </c>
      <c r="H1502" s="3">
        <f t="shared" ca="1" si="171"/>
        <v>1</v>
      </c>
      <c r="I1502" s="3">
        <f t="shared" ca="1" si="172"/>
        <v>2.100143879270326</v>
      </c>
      <c r="J1502" s="3">
        <f t="shared" ca="1" si="173"/>
        <v>7.2459365841662002</v>
      </c>
      <c r="P1502" s="3">
        <f t="shared" ca="1" si="174"/>
        <v>-5.9175464296362117</v>
      </c>
      <c r="Q1502" s="3">
        <f t="shared" ca="1" si="175"/>
        <v>-5.480850449697475</v>
      </c>
      <c r="R1502" s="3">
        <f t="shared" ca="1" si="176"/>
        <v>8.0657967615635648</v>
      </c>
    </row>
    <row r="1503" spans="7:18" x14ac:dyDescent="0.25">
      <c r="G1503" s="2">
        <f t="shared" ca="1" si="170"/>
        <v>0.98533037922164723</v>
      </c>
      <c r="H1503" s="3">
        <f t="shared" ca="1" si="171"/>
        <v>2</v>
      </c>
      <c r="I1503" s="3">
        <f t="shared" ca="1" si="172"/>
        <v>5.5527713721015681</v>
      </c>
      <c r="J1503" s="3">
        <f t="shared" ca="1" si="173"/>
        <v>11.782159577197181</v>
      </c>
      <c r="P1503" s="3">
        <f t="shared" ca="1" si="174"/>
        <v>-14.907598689967811</v>
      </c>
      <c r="Q1503" s="3">
        <f t="shared" ca="1" si="175"/>
        <v>-1.7185864910063011</v>
      </c>
      <c r="R1503" s="3">
        <f t="shared" ca="1" si="176"/>
        <v>15.006333270596096</v>
      </c>
    </row>
    <row r="1504" spans="7:18" x14ac:dyDescent="0.25">
      <c r="G1504" s="2">
        <f t="shared" ca="1" si="170"/>
        <v>0.63828983356898261</v>
      </c>
      <c r="H1504" s="3">
        <f t="shared" ca="1" si="171"/>
        <v>1</v>
      </c>
      <c r="I1504" s="3">
        <f t="shared" ca="1" si="172"/>
        <v>3.706985195736086</v>
      </c>
      <c r="J1504" s="3">
        <f t="shared" ca="1" si="173"/>
        <v>9.6267663258958436</v>
      </c>
      <c r="P1504" s="3">
        <f t="shared" ca="1" si="174"/>
        <v>-7.2818399385299237</v>
      </c>
      <c r="Q1504" s="3">
        <f t="shared" ca="1" si="175"/>
        <v>-0.68005550600380626</v>
      </c>
      <c r="R1504" s="3">
        <f t="shared" ca="1" si="176"/>
        <v>7.3135263985040471</v>
      </c>
    </row>
    <row r="1505" spans="7:18" x14ac:dyDescent="0.25">
      <c r="G1505" s="2">
        <f t="shared" ca="1" si="170"/>
        <v>5.0531646843845257E-2</v>
      </c>
      <c r="H1505" s="3">
        <f t="shared" ca="1" si="171"/>
        <v>0</v>
      </c>
      <c r="I1505" s="3">
        <f t="shared" ca="1" si="172"/>
        <v>0.3624039978305868</v>
      </c>
      <c r="J1505" s="3">
        <f t="shared" ca="1" si="173"/>
        <v>3.0099999909908086</v>
      </c>
      <c r="P1505" s="3">
        <f t="shared" ca="1" si="174"/>
        <v>-1.2311830000327002</v>
      </c>
      <c r="Q1505" s="3">
        <f t="shared" ca="1" si="175"/>
        <v>0.55138275139229664</v>
      </c>
      <c r="R1505" s="3">
        <f t="shared" ca="1" si="176"/>
        <v>1.3490124232572727</v>
      </c>
    </row>
    <row r="1506" spans="7:18" x14ac:dyDescent="0.25">
      <c r="G1506" s="2">
        <f t="shared" ca="1" si="170"/>
        <v>0.58616298268784384</v>
      </c>
      <c r="H1506" s="3">
        <f t="shared" ca="1" si="171"/>
        <v>0</v>
      </c>
      <c r="I1506" s="3">
        <f t="shared" ca="1" si="172"/>
        <v>0.37267101507065459</v>
      </c>
      <c r="J1506" s="3">
        <f t="shared" ca="1" si="173"/>
        <v>3.0523393285751115</v>
      </c>
      <c r="P1506" s="3">
        <f t="shared" ca="1" si="174"/>
        <v>-5.2968360441036069</v>
      </c>
      <c r="Q1506" s="3">
        <f t="shared" ca="1" si="175"/>
        <v>-7.9396085418710607</v>
      </c>
      <c r="R1506" s="3">
        <f t="shared" ca="1" si="176"/>
        <v>9.5443101309768359</v>
      </c>
    </row>
    <row r="1507" spans="7:18" x14ac:dyDescent="0.25">
      <c r="G1507" s="2">
        <f t="shared" ca="1" si="170"/>
        <v>0.12965385904083693</v>
      </c>
      <c r="H1507" s="3">
        <f t="shared" ca="1" si="171"/>
        <v>0</v>
      </c>
      <c r="I1507" s="3">
        <f t="shared" ca="1" si="172"/>
        <v>0.31223618643143991</v>
      </c>
      <c r="J1507" s="3">
        <f t="shared" ca="1" si="173"/>
        <v>2.7939049126242645</v>
      </c>
      <c r="P1507" s="3">
        <f t="shared" ca="1" si="174"/>
        <v>-9.6021187740164535</v>
      </c>
      <c r="Q1507" s="3">
        <f t="shared" ca="1" si="175"/>
        <v>-6.302121214382308</v>
      </c>
      <c r="R1507" s="3">
        <f t="shared" ca="1" si="176"/>
        <v>11.485530756176955</v>
      </c>
    </row>
    <row r="1508" spans="7:18" x14ac:dyDescent="0.25">
      <c r="G1508" s="2">
        <f t="shared" ca="1" si="170"/>
        <v>0.7476111252345311</v>
      </c>
      <c r="H1508" s="3">
        <f t="shared" ca="1" si="171"/>
        <v>1</v>
      </c>
      <c r="I1508" s="3">
        <f t="shared" ca="1" si="172"/>
        <v>4.8000390829597048</v>
      </c>
      <c r="J1508" s="3">
        <f t="shared" ca="1" si="173"/>
        <v>10.954495747134718</v>
      </c>
      <c r="P1508" s="3">
        <f t="shared" ca="1" si="174"/>
        <v>-0.7302236807415099</v>
      </c>
      <c r="Q1508" s="3">
        <f t="shared" ca="1" si="175"/>
        <v>-4.1847973588073497</v>
      </c>
      <c r="R1508" s="3">
        <f t="shared" ca="1" si="176"/>
        <v>4.2480296089124243</v>
      </c>
    </row>
    <row r="1509" spans="7:18" x14ac:dyDescent="0.25">
      <c r="G1509" s="2">
        <f t="shared" ca="1" si="170"/>
        <v>7.4211720685593674E-2</v>
      </c>
      <c r="H1509" s="3">
        <f t="shared" ca="1" si="171"/>
        <v>0</v>
      </c>
      <c r="I1509" s="3">
        <f t="shared" ca="1" si="172"/>
        <v>0.99097455898364739</v>
      </c>
      <c r="J1509" s="3">
        <f t="shared" ca="1" si="173"/>
        <v>4.9773852547890227</v>
      </c>
      <c r="P1509" s="3">
        <f t="shared" ca="1" si="174"/>
        <v>-0.93108322167293078</v>
      </c>
      <c r="Q1509" s="3">
        <f t="shared" ca="1" si="175"/>
        <v>5.4633883250116524</v>
      </c>
      <c r="R1509" s="3">
        <f t="shared" ca="1" si="176"/>
        <v>5.5421591420270921</v>
      </c>
    </row>
    <row r="1510" spans="7:18" x14ac:dyDescent="0.25">
      <c r="G1510" s="2">
        <f t="shared" ca="1" si="170"/>
        <v>0.27010286043084963</v>
      </c>
      <c r="H1510" s="3">
        <f t="shared" ca="1" si="171"/>
        <v>0</v>
      </c>
      <c r="I1510" s="3">
        <f t="shared" ca="1" si="172"/>
        <v>1.0585616792073285</v>
      </c>
      <c r="J1510" s="3">
        <f t="shared" ca="1" si="173"/>
        <v>5.1443213332939468</v>
      </c>
      <c r="P1510" s="3">
        <f t="shared" ca="1" si="174"/>
        <v>0.33796765193671607</v>
      </c>
      <c r="Q1510" s="3">
        <f t="shared" ca="1" si="175"/>
        <v>4.3556626020070572</v>
      </c>
      <c r="R1510" s="3">
        <f t="shared" ca="1" si="176"/>
        <v>4.3687548381980079</v>
      </c>
    </row>
    <row r="1511" spans="7:18" x14ac:dyDescent="0.25">
      <c r="G1511" s="2">
        <f t="shared" ca="1" si="170"/>
        <v>0.37156087218973777</v>
      </c>
      <c r="H1511" s="3">
        <f t="shared" ca="1" si="171"/>
        <v>0</v>
      </c>
      <c r="I1511" s="3">
        <f t="shared" ca="1" si="172"/>
        <v>5.8318574527338418</v>
      </c>
      <c r="J1511" s="3">
        <f t="shared" ca="1" si="173"/>
        <v>12.074619510292903</v>
      </c>
      <c r="P1511" s="3">
        <f t="shared" ca="1" si="174"/>
        <v>-13.686021497797334</v>
      </c>
      <c r="Q1511" s="3">
        <f t="shared" ca="1" si="175"/>
        <v>-5.5233375091556027</v>
      </c>
      <c r="R1511" s="3">
        <f t="shared" ca="1" si="176"/>
        <v>14.758537924815453</v>
      </c>
    </row>
    <row r="1512" spans="7:18" x14ac:dyDescent="0.25">
      <c r="G1512" s="2">
        <f t="shared" ca="1" si="170"/>
        <v>3.9447689448966927E-2</v>
      </c>
      <c r="H1512" s="3">
        <f t="shared" ca="1" si="171"/>
        <v>0</v>
      </c>
      <c r="I1512" s="3">
        <f t="shared" ca="1" si="172"/>
        <v>0.54668737247620358</v>
      </c>
      <c r="J1512" s="3">
        <f t="shared" ca="1" si="173"/>
        <v>3.6969155132224878</v>
      </c>
      <c r="P1512" s="3">
        <f t="shared" ca="1" si="174"/>
        <v>-14.274694450366329</v>
      </c>
      <c r="Q1512" s="3">
        <f t="shared" ca="1" si="175"/>
        <v>1.852760493234501</v>
      </c>
      <c r="R1512" s="3">
        <f t="shared" ca="1" si="176"/>
        <v>14.394430280376151</v>
      </c>
    </row>
    <row r="1513" spans="7:18" x14ac:dyDescent="0.25">
      <c r="G1513" s="2">
        <f t="shared" ca="1" si="170"/>
        <v>0.54569395579179614</v>
      </c>
      <c r="H1513" s="3">
        <f t="shared" ca="1" si="171"/>
        <v>0</v>
      </c>
      <c r="I1513" s="3">
        <f t="shared" ca="1" si="172"/>
        <v>1.8231968340825411</v>
      </c>
      <c r="J1513" s="3">
        <f t="shared" ca="1" si="173"/>
        <v>6.751290310160238</v>
      </c>
      <c r="P1513" s="3">
        <f t="shared" ca="1" si="174"/>
        <v>-3.2757794712352353</v>
      </c>
      <c r="Q1513" s="3">
        <f t="shared" ca="1" si="175"/>
        <v>1.6282598776511343</v>
      </c>
      <c r="R1513" s="3">
        <f t="shared" ca="1" si="176"/>
        <v>3.6581363251435404</v>
      </c>
    </row>
    <row r="1514" spans="7:18" x14ac:dyDescent="0.25">
      <c r="G1514" s="2">
        <f t="shared" ca="1" si="170"/>
        <v>0.48423273343276507</v>
      </c>
      <c r="H1514" s="3">
        <f t="shared" ca="1" si="171"/>
        <v>0</v>
      </c>
      <c r="I1514" s="3">
        <f t="shared" ca="1" si="172"/>
        <v>0.61448249597524329</v>
      </c>
      <c r="J1514" s="3">
        <f t="shared" ca="1" si="173"/>
        <v>3.9194466955657252</v>
      </c>
      <c r="P1514" s="3">
        <f t="shared" ca="1" si="174"/>
        <v>9.0692378363393278</v>
      </c>
      <c r="Q1514" s="3">
        <f t="shared" ca="1" si="175"/>
        <v>-1.0301638748257449</v>
      </c>
      <c r="R1514" s="3">
        <f t="shared" ca="1" si="176"/>
        <v>9.1275578629272385</v>
      </c>
    </row>
    <row r="1515" spans="7:18" x14ac:dyDescent="0.25">
      <c r="G1515" s="2">
        <f t="shared" ca="1" si="170"/>
        <v>0.72163226818460136</v>
      </c>
      <c r="H1515" s="3">
        <f t="shared" ca="1" si="171"/>
        <v>1</v>
      </c>
      <c r="I1515" s="3">
        <f t="shared" ca="1" si="172"/>
        <v>1.1931871046458191</v>
      </c>
      <c r="J1515" s="3">
        <f t="shared" ca="1" si="173"/>
        <v>5.4616552084643244</v>
      </c>
      <c r="P1515" s="3">
        <f t="shared" ca="1" si="174"/>
        <v>-3.9144965036009971</v>
      </c>
      <c r="Q1515" s="3">
        <f t="shared" ca="1" si="175"/>
        <v>-4.2113166993036</v>
      </c>
      <c r="R1515" s="3">
        <f t="shared" ca="1" si="176"/>
        <v>5.7496496605043506</v>
      </c>
    </row>
    <row r="1516" spans="7:18" x14ac:dyDescent="0.25">
      <c r="G1516" s="2">
        <f t="shared" ca="1" si="170"/>
        <v>0.85804761120776241</v>
      </c>
      <c r="H1516" s="3">
        <f t="shared" ca="1" si="171"/>
        <v>1</v>
      </c>
      <c r="I1516" s="3">
        <f t="shared" ca="1" si="172"/>
        <v>2.5259029986911701</v>
      </c>
      <c r="J1516" s="3">
        <f t="shared" ca="1" si="173"/>
        <v>7.9465448446025437</v>
      </c>
      <c r="P1516" s="3">
        <f t="shared" ca="1" si="174"/>
        <v>-4.5979412165293754</v>
      </c>
      <c r="Q1516" s="3">
        <f t="shared" ca="1" si="175"/>
        <v>-3.2588195590330833</v>
      </c>
      <c r="R1516" s="3">
        <f t="shared" ca="1" si="176"/>
        <v>5.635687034337181</v>
      </c>
    </row>
    <row r="1517" spans="7:18" x14ac:dyDescent="0.25">
      <c r="G1517" s="2">
        <f t="shared" ca="1" si="170"/>
        <v>0.86512911195071729</v>
      </c>
      <c r="H1517" s="3">
        <f t="shared" ca="1" si="171"/>
        <v>1</v>
      </c>
      <c r="I1517" s="3">
        <f t="shared" ca="1" si="172"/>
        <v>0.3741649509347954</v>
      </c>
      <c r="J1517" s="3">
        <f t="shared" ca="1" si="173"/>
        <v>3.0584512050006429</v>
      </c>
      <c r="P1517" s="3">
        <f t="shared" ca="1" si="174"/>
        <v>-10.0840560885341</v>
      </c>
      <c r="Q1517" s="3">
        <f t="shared" ca="1" si="175"/>
        <v>-0.80387594385985284</v>
      </c>
      <c r="R1517" s="3">
        <f t="shared" ca="1" si="176"/>
        <v>10.116046843002371</v>
      </c>
    </row>
    <row r="1518" spans="7:18" x14ac:dyDescent="0.25">
      <c r="G1518" s="2">
        <f t="shared" ca="1" si="170"/>
        <v>0.58039403089720809</v>
      </c>
      <c r="H1518" s="3">
        <f t="shared" ca="1" si="171"/>
        <v>0</v>
      </c>
      <c r="I1518" s="3">
        <f t="shared" ca="1" si="172"/>
        <v>0.17595037324130519</v>
      </c>
      <c r="J1518" s="3">
        <f t="shared" ca="1" si="173"/>
        <v>2.0973219426288923</v>
      </c>
      <c r="P1518" s="3">
        <f t="shared" ca="1" si="174"/>
        <v>-1.8482980289756927</v>
      </c>
      <c r="Q1518" s="3">
        <f t="shared" ca="1" si="175"/>
        <v>-8.1526599975172811</v>
      </c>
      <c r="R1518" s="3">
        <f t="shared" ca="1" si="176"/>
        <v>8.3595496672388929</v>
      </c>
    </row>
    <row r="1519" spans="7:18" x14ac:dyDescent="0.25">
      <c r="G1519" s="2">
        <f t="shared" ca="1" si="170"/>
        <v>0.94747626598723711</v>
      </c>
      <c r="H1519" s="3">
        <f t="shared" ca="1" si="171"/>
        <v>2</v>
      </c>
      <c r="I1519" s="3">
        <f t="shared" ca="1" si="172"/>
        <v>1.957200543907202</v>
      </c>
      <c r="J1519" s="3">
        <f t="shared" ca="1" si="173"/>
        <v>6.9949991849663604</v>
      </c>
      <c r="P1519" s="3">
        <f t="shared" ca="1" si="174"/>
        <v>-6.3200660282248595</v>
      </c>
      <c r="Q1519" s="3">
        <f t="shared" ca="1" si="175"/>
        <v>-5.5286788311207031</v>
      </c>
      <c r="R1519" s="3">
        <f t="shared" ca="1" si="176"/>
        <v>8.3969949516957634</v>
      </c>
    </row>
    <row r="1520" spans="7:18" x14ac:dyDescent="0.25">
      <c r="G1520" s="2">
        <f t="shared" ca="1" si="170"/>
        <v>0.64620857960392708</v>
      </c>
      <c r="H1520" s="3">
        <f t="shared" ca="1" si="171"/>
        <v>1</v>
      </c>
      <c r="I1520" s="3">
        <f t="shared" ca="1" si="172"/>
        <v>1.2833958260734255</v>
      </c>
      <c r="J1520" s="3">
        <f t="shared" ca="1" si="173"/>
        <v>5.6643530656056074</v>
      </c>
      <c r="P1520" s="3">
        <f t="shared" ca="1" si="174"/>
        <v>-3.4111318683229035</v>
      </c>
      <c r="Q1520" s="3">
        <f t="shared" ca="1" si="175"/>
        <v>-3.1433919408292184</v>
      </c>
      <c r="R1520" s="3">
        <f t="shared" ca="1" si="176"/>
        <v>4.638613318305179</v>
      </c>
    </row>
    <row r="1521" spans="7:18" x14ac:dyDescent="0.25">
      <c r="G1521" s="2">
        <f t="shared" ca="1" si="170"/>
        <v>0.44743044158357703</v>
      </c>
      <c r="H1521" s="3">
        <f t="shared" ca="1" si="171"/>
        <v>0</v>
      </c>
      <c r="I1521" s="3">
        <f t="shared" ca="1" si="172"/>
        <v>0.38656539141648771</v>
      </c>
      <c r="J1521" s="3">
        <f t="shared" ca="1" si="173"/>
        <v>3.1087191551203515</v>
      </c>
      <c r="P1521" s="3">
        <f t="shared" ca="1" si="174"/>
        <v>1.6632451949040075</v>
      </c>
      <c r="Q1521" s="3">
        <f t="shared" ca="1" si="175"/>
        <v>-8.6061941398594417</v>
      </c>
      <c r="R1521" s="3">
        <f t="shared" ca="1" si="176"/>
        <v>8.7654413551926904</v>
      </c>
    </row>
    <row r="1522" spans="7:18" x14ac:dyDescent="0.25">
      <c r="G1522" s="2">
        <f t="shared" ca="1" si="170"/>
        <v>0.96084917369866518</v>
      </c>
      <c r="H1522" s="3">
        <f t="shared" ca="1" si="171"/>
        <v>2</v>
      </c>
      <c r="I1522" s="3">
        <f t="shared" ca="1" si="172"/>
        <v>3.8612746218522074</v>
      </c>
      <c r="J1522" s="3">
        <f t="shared" ca="1" si="173"/>
        <v>9.825063131924658</v>
      </c>
      <c r="P1522" s="3">
        <f t="shared" ca="1" si="174"/>
        <v>-13.624381431151424</v>
      </c>
      <c r="Q1522" s="3">
        <f t="shared" ca="1" si="175"/>
        <v>-0.37888073858536364</v>
      </c>
      <c r="R1522" s="3">
        <f t="shared" ca="1" si="176"/>
        <v>13.629648564639322</v>
      </c>
    </row>
    <row r="1523" spans="7:18" x14ac:dyDescent="0.25">
      <c r="G1523" s="2">
        <f t="shared" ca="1" si="170"/>
        <v>0.37592046541395785</v>
      </c>
      <c r="H1523" s="3">
        <f t="shared" ca="1" si="171"/>
        <v>0</v>
      </c>
      <c r="I1523" s="3">
        <f t="shared" ca="1" si="172"/>
        <v>0.32296774767555342</v>
      </c>
      <c r="J1523" s="3">
        <f t="shared" ca="1" si="173"/>
        <v>2.8415125711298259</v>
      </c>
      <c r="P1523" s="3">
        <f t="shared" ca="1" si="174"/>
        <v>-10.823237859353593</v>
      </c>
      <c r="Q1523" s="3">
        <f t="shared" ca="1" si="175"/>
        <v>-4.1998365511929725</v>
      </c>
      <c r="R1523" s="3">
        <f t="shared" ca="1" si="176"/>
        <v>11.60952646824501</v>
      </c>
    </row>
    <row r="1524" spans="7:18" x14ac:dyDescent="0.25">
      <c r="G1524" s="2">
        <f t="shared" ca="1" si="170"/>
        <v>0.2771950853445504</v>
      </c>
      <c r="H1524" s="3">
        <f t="shared" ca="1" si="171"/>
        <v>0</v>
      </c>
      <c r="I1524" s="3">
        <f t="shared" ca="1" si="172"/>
        <v>9.9671264624536793E-2</v>
      </c>
      <c r="J1524" s="3">
        <f t="shared" ca="1" si="173"/>
        <v>1.5785378093708811</v>
      </c>
      <c r="P1524" s="3">
        <f t="shared" ca="1" si="174"/>
        <v>-6.188146379239325</v>
      </c>
      <c r="Q1524" s="3">
        <f t="shared" ca="1" si="175"/>
        <v>6.2576013085391935</v>
      </c>
      <c r="R1524" s="3">
        <f t="shared" ca="1" si="176"/>
        <v>8.8006096236297289</v>
      </c>
    </row>
    <row r="1525" spans="7:18" x14ac:dyDescent="0.25">
      <c r="G1525" s="2">
        <f t="shared" ca="1" si="170"/>
        <v>0.2256343009932662</v>
      </c>
      <c r="H1525" s="3">
        <f t="shared" ca="1" si="171"/>
        <v>0</v>
      </c>
      <c r="I1525" s="3">
        <f t="shared" ca="1" si="172"/>
        <v>1.1125232502421023</v>
      </c>
      <c r="J1525" s="3">
        <f t="shared" ca="1" si="173"/>
        <v>5.2738108855032486</v>
      </c>
      <c r="P1525" s="3">
        <f t="shared" ca="1" si="174"/>
        <v>-3.2331308160301879</v>
      </c>
      <c r="Q1525" s="3">
        <f t="shared" ca="1" si="175"/>
        <v>-1.9988225568914921</v>
      </c>
      <c r="R1525" s="3">
        <f t="shared" ca="1" si="176"/>
        <v>3.801108586649725</v>
      </c>
    </row>
    <row r="1526" spans="7:18" x14ac:dyDescent="0.25">
      <c r="G1526" s="2">
        <f t="shared" ca="1" si="170"/>
        <v>0.21040831265653159</v>
      </c>
      <c r="H1526" s="3">
        <f t="shared" ca="1" si="171"/>
        <v>0</v>
      </c>
      <c r="I1526" s="3">
        <f t="shared" ca="1" si="172"/>
        <v>4.5145160163495675</v>
      </c>
      <c r="J1526" s="3">
        <f t="shared" ca="1" si="173"/>
        <v>10.623695233238724</v>
      </c>
      <c r="P1526" s="3">
        <f t="shared" ca="1" si="174"/>
        <v>6.3427931013087875</v>
      </c>
      <c r="Q1526" s="3">
        <f t="shared" ca="1" si="175"/>
        <v>1.8550871612059738</v>
      </c>
      <c r="R1526" s="3">
        <f t="shared" ca="1" si="176"/>
        <v>6.6085076001833869</v>
      </c>
    </row>
    <row r="1527" spans="7:18" x14ac:dyDescent="0.25">
      <c r="G1527" s="2">
        <f t="shared" ca="1" si="170"/>
        <v>0.14218284984627727</v>
      </c>
      <c r="H1527" s="3">
        <f t="shared" ca="1" si="171"/>
        <v>0</v>
      </c>
      <c r="I1527" s="3">
        <f t="shared" ca="1" si="172"/>
        <v>0.18749357795575625</v>
      </c>
      <c r="J1527" s="3">
        <f t="shared" ca="1" si="173"/>
        <v>2.1650264314538763</v>
      </c>
      <c r="P1527" s="3">
        <f t="shared" ca="1" si="174"/>
        <v>-7.3536294344107951</v>
      </c>
      <c r="Q1527" s="3">
        <f t="shared" ca="1" si="175"/>
        <v>-1.2577416118937661</v>
      </c>
      <c r="R1527" s="3">
        <f t="shared" ca="1" si="176"/>
        <v>7.460414185614761</v>
      </c>
    </row>
    <row r="1528" spans="7:18" x14ac:dyDescent="0.25">
      <c r="G1528" s="2">
        <f t="shared" ca="1" si="170"/>
        <v>0.70225062224012191</v>
      </c>
      <c r="H1528" s="3">
        <f t="shared" ca="1" si="171"/>
        <v>1</v>
      </c>
      <c r="I1528" s="3">
        <f t="shared" ca="1" si="172"/>
        <v>6.825896358609941</v>
      </c>
      <c r="J1528" s="3">
        <f t="shared" ca="1" si="173"/>
        <v>13.063208218705256</v>
      </c>
      <c r="P1528" s="3">
        <f t="shared" ca="1" si="174"/>
        <v>-7.8678927514756403</v>
      </c>
      <c r="Q1528" s="3">
        <f t="shared" ca="1" si="175"/>
        <v>15.925516163437774</v>
      </c>
      <c r="R1528" s="3">
        <f t="shared" ca="1" si="176"/>
        <v>17.763045949967047</v>
      </c>
    </row>
    <row r="1529" spans="7:18" x14ac:dyDescent="0.25">
      <c r="G1529" s="2">
        <f t="shared" ca="1" si="170"/>
        <v>0.75079602856002925</v>
      </c>
      <c r="H1529" s="3">
        <f t="shared" ca="1" si="171"/>
        <v>1</v>
      </c>
      <c r="I1529" s="3">
        <f t="shared" ca="1" si="172"/>
        <v>0.45963127407124249</v>
      </c>
      <c r="J1529" s="3">
        <f t="shared" ca="1" si="173"/>
        <v>3.389805577283314</v>
      </c>
      <c r="P1529" s="3">
        <f t="shared" ca="1" si="174"/>
        <v>-9.0702620528783982</v>
      </c>
      <c r="Q1529" s="3">
        <f t="shared" ca="1" si="175"/>
        <v>1.4947754384478866</v>
      </c>
      <c r="R1529" s="3">
        <f t="shared" ca="1" si="176"/>
        <v>9.1926061222741904</v>
      </c>
    </row>
    <row r="1530" spans="7:18" x14ac:dyDescent="0.25">
      <c r="G1530" s="2">
        <f t="shared" ca="1" si="170"/>
        <v>0.99370404969528003</v>
      </c>
      <c r="H1530" s="3">
        <f t="shared" ca="1" si="171"/>
        <v>3</v>
      </c>
      <c r="I1530" s="3">
        <f t="shared" ca="1" si="172"/>
        <v>2.6292401864809709</v>
      </c>
      <c r="J1530" s="3">
        <f t="shared" ca="1" si="173"/>
        <v>8.1074659827855129</v>
      </c>
      <c r="P1530" s="3">
        <f t="shared" ca="1" si="174"/>
        <v>-8.9273794719820661</v>
      </c>
      <c r="Q1530" s="3">
        <f t="shared" ca="1" si="175"/>
        <v>-1.9362994831060962</v>
      </c>
      <c r="R1530" s="3">
        <f t="shared" ca="1" si="176"/>
        <v>9.1349526503996579</v>
      </c>
    </row>
    <row r="1531" spans="7:18" x14ac:dyDescent="0.25">
      <c r="G1531" s="2">
        <f t="shared" ca="1" si="170"/>
        <v>0.15997501932945912</v>
      </c>
      <c r="H1531" s="3">
        <f t="shared" ca="1" si="171"/>
        <v>0</v>
      </c>
      <c r="I1531" s="3">
        <f t="shared" ca="1" si="172"/>
        <v>2.5357795016077689</v>
      </c>
      <c r="J1531" s="3">
        <f t="shared" ca="1" si="173"/>
        <v>7.9620655322720255</v>
      </c>
      <c r="P1531" s="3">
        <f t="shared" ca="1" si="174"/>
        <v>-2.118795237535716</v>
      </c>
      <c r="Q1531" s="3">
        <f t="shared" ca="1" si="175"/>
        <v>1.7387985580310401</v>
      </c>
      <c r="R1531" s="3">
        <f t="shared" ca="1" si="176"/>
        <v>2.7409329951705961</v>
      </c>
    </row>
    <row r="1532" spans="7:18" x14ac:dyDescent="0.25">
      <c r="G1532" s="2">
        <f t="shared" ca="1" si="170"/>
        <v>0.28381707199265649</v>
      </c>
      <c r="H1532" s="3">
        <f t="shared" ca="1" si="171"/>
        <v>0</v>
      </c>
      <c r="I1532" s="3">
        <f t="shared" ca="1" si="172"/>
        <v>0.44879834627210441</v>
      </c>
      <c r="J1532" s="3">
        <f t="shared" ca="1" si="173"/>
        <v>3.3496206735692642</v>
      </c>
      <c r="P1532" s="3">
        <f t="shared" ca="1" si="174"/>
        <v>-2.9277993606278634</v>
      </c>
      <c r="Q1532" s="3">
        <f t="shared" ca="1" si="175"/>
        <v>-2.243146836745098</v>
      </c>
      <c r="R1532" s="3">
        <f t="shared" ca="1" si="176"/>
        <v>3.6883216816449815</v>
      </c>
    </row>
    <row r="1533" spans="7:18" x14ac:dyDescent="0.25">
      <c r="G1533" s="2">
        <f t="shared" ca="1" si="170"/>
        <v>0.95379067915601978</v>
      </c>
      <c r="H1533" s="3">
        <f t="shared" ca="1" si="171"/>
        <v>2</v>
      </c>
      <c r="I1533" s="3">
        <f t="shared" ca="1" si="172"/>
        <v>3.7999000823223357</v>
      </c>
      <c r="J1533" s="3">
        <f t="shared" ca="1" si="173"/>
        <v>9.7466662022487665</v>
      </c>
      <c r="P1533" s="3">
        <f t="shared" ca="1" si="174"/>
        <v>-8.6078128611727571</v>
      </c>
      <c r="Q1533" s="3">
        <f t="shared" ca="1" si="175"/>
        <v>-1.1006314871908121</v>
      </c>
      <c r="R1533" s="3">
        <f t="shared" ca="1" si="176"/>
        <v>8.6778932883256275</v>
      </c>
    </row>
    <row r="1534" spans="7:18" x14ac:dyDescent="0.25">
      <c r="G1534" s="2">
        <f t="shared" ca="1" si="170"/>
        <v>0.17720781739702485</v>
      </c>
      <c r="H1534" s="3">
        <f t="shared" ca="1" si="171"/>
        <v>0</v>
      </c>
      <c r="I1534" s="3">
        <f t="shared" ca="1" si="172"/>
        <v>0.44373276194405908</v>
      </c>
      <c r="J1534" s="3">
        <f t="shared" ca="1" si="173"/>
        <v>3.3306634547191161</v>
      </c>
      <c r="P1534" s="3">
        <f t="shared" ca="1" si="174"/>
        <v>-4.4239019976281959</v>
      </c>
      <c r="Q1534" s="3">
        <f t="shared" ca="1" si="175"/>
        <v>1.2700535735210523</v>
      </c>
      <c r="R1534" s="3">
        <f t="shared" ca="1" si="176"/>
        <v>4.6026019776027063</v>
      </c>
    </row>
    <row r="1535" spans="7:18" x14ac:dyDescent="0.25">
      <c r="G1535" s="2">
        <f t="shared" ca="1" si="170"/>
        <v>0.60748323671830751</v>
      </c>
      <c r="H1535" s="3">
        <f t="shared" ca="1" si="171"/>
        <v>1</v>
      </c>
      <c r="I1535" s="3">
        <f t="shared" ca="1" si="172"/>
        <v>7.1514158906713536</v>
      </c>
      <c r="J1535" s="3">
        <f t="shared" ca="1" si="173"/>
        <v>13.371065674312719</v>
      </c>
      <c r="P1535" s="3">
        <f t="shared" ca="1" si="174"/>
        <v>-6.4027800593516906</v>
      </c>
      <c r="Q1535" s="3">
        <f t="shared" ca="1" si="175"/>
        <v>1.1291183829890057</v>
      </c>
      <c r="R1535" s="3">
        <f t="shared" ca="1" si="176"/>
        <v>6.501576794227331</v>
      </c>
    </row>
    <row r="1536" spans="7:18" x14ac:dyDescent="0.25">
      <c r="G1536" s="2">
        <f t="shared" ca="1" si="170"/>
        <v>0.43854004666082025</v>
      </c>
      <c r="H1536" s="3">
        <f t="shared" ca="1" si="171"/>
        <v>0</v>
      </c>
      <c r="I1536" s="3">
        <f t="shared" ca="1" si="172"/>
        <v>4.0136886466137378</v>
      </c>
      <c r="J1536" s="3">
        <f t="shared" ca="1" si="173"/>
        <v>10.01709619427424</v>
      </c>
      <c r="P1536" s="3">
        <f t="shared" ca="1" si="174"/>
        <v>-10.276316811545547</v>
      </c>
      <c r="Q1536" s="3">
        <f t="shared" ca="1" si="175"/>
        <v>-13.294836003941972</v>
      </c>
      <c r="R1536" s="3">
        <f t="shared" ca="1" si="176"/>
        <v>16.803432732122488</v>
      </c>
    </row>
    <row r="1537" spans="7:18" x14ac:dyDescent="0.25">
      <c r="G1537" s="2">
        <f t="shared" ca="1" si="170"/>
        <v>3.5866169256576153E-2</v>
      </c>
      <c r="H1537" s="3">
        <f t="shared" ca="1" si="171"/>
        <v>0</v>
      </c>
      <c r="I1537" s="3">
        <f t="shared" ca="1" si="172"/>
        <v>0.43623945364678718</v>
      </c>
      <c r="J1537" s="3">
        <f t="shared" ca="1" si="173"/>
        <v>3.3024212846288528</v>
      </c>
      <c r="P1537" s="3">
        <f t="shared" ca="1" si="174"/>
        <v>3.3924131293910715</v>
      </c>
      <c r="Q1537" s="3">
        <f t="shared" ca="1" si="175"/>
        <v>-3.5412861102716882</v>
      </c>
      <c r="R1537" s="3">
        <f t="shared" ca="1" si="176"/>
        <v>4.9039957336103086</v>
      </c>
    </row>
    <row r="1538" spans="7:18" x14ac:dyDescent="0.25">
      <c r="G1538" s="2">
        <f t="shared" ca="1" si="170"/>
        <v>0.71679674663097837</v>
      </c>
      <c r="H1538" s="3">
        <f t="shared" ca="1" si="171"/>
        <v>1</v>
      </c>
      <c r="I1538" s="3">
        <f t="shared" ca="1" si="172"/>
        <v>4.9638557884183152</v>
      </c>
      <c r="J1538" s="3">
        <f t="shared" ca="1" si="173"/>
        <v>11.139856135088007</v>
      </c>
      <c r="P1538" s="3">
        <f t="shared" ca="1" si="174"/>
        <v>-4.2619561305259746</v>
      </c>
      <c r="Q1538" s="3">
        <f t="shared" ca="1" si="175"/>
        <v>8.6468417723725182</v>
      </c>
      <c r="R1538" s="3">
        <f t="shared" ca="1" si="176"/>
        <v>9.6401318816172967</v>
      </c>
    </row>
    <row r="1539" spans="7:18" x14ac:dyDescent="0.25">
      <c r="G1539" s="2">
        <f t="shared" ca="1" si="170"/>
        <v>0.24719311233600172</v>
      </c>
      <c r="H1539" s="3">
        <f t="shared" ca="1" si="171"/>
        <v>0</v>
      </c>
      <c r="I1539" s="3">
        <f t="shared" ca="1" si="172"/>
        <v>0.35245073649317821</v>
      </c>
      <c r="J1539" s="3">
        <f t="shared" ca="1" si="173"/>
        <v>2.968378077726868</v>
      </c>
      <c r="P1539" s="3">
        <f t="shared" ca="1" si="174"/>
        <v>-12.114997298355982</v>
      </c>
      <c r="Q1539" s="3">
        <f t="shared" ca="1" si="175"/>
        <v>-5.2190368516470542</v>
      </c>
      <c r="R1539" s="3">
        <f t="shared" ca="1" si="176"/>
        <v>13.19134205446977</v>
      </c>
    </row>
    <row r="1540" spans="7:18" x14ac:dyDescent="0.25">
      <c r="G1540" s="2">
        <f t="shared" ref="G1540:G1603" ca="1" si="177">RAND()</f>
        <v>0.55529082513749783</v>
      </c>
      <c r="H1540" s="3">
        <f t="shared" ref="H1540:H1603" ca="1" si="178">VLOOKUP(G1540,$B$9:$C$169,2,TRUE)</f>
        <v>0</v>
      </c>
      <c r="I1540" s="3">
        <f t="shared" ref="I1540:I1603" ca="1" si="179">_xlfn.CHISQ.INV(RAND(),2*H1540+2)</f>
        <v>0.29320614218675817</v>
      </c>
      <c r="J1540" s="3">
        <f t="shared" ref="J1540:J1603" ca="1" si="180">$C$4*SQRT(I1540)</f>
        <v>2.7074256323431962</v>
      </c>
      <c r="P1540" s="3">
        <f t="shared" ref="P1540:P1603" ca="1" si="181">_xlfn.NORM.INV(RAND(),$C$3*COS($O$2),$C$4)</f>
        <v>1.5695149975701552</v>
      </c>
      <c r="Q1540" s="3">
        <f t="shared" ref="Q1540:Q1603" ca="1" si="182">_xlfn.NORM.INV(RAND(),$C$3*SIN($O$2),$C$4)</f>
        <v>-1.0055720204633658</v>
      </c>
      <c r="R1540" s="3">
        <f t="shared" ref="R1540:R1603" ca="1" si="183">SQRT(P1540^2+Q1540^2)</f>
        <v>1.8640151329687269</v>
      </c>
    </row>
    <row r="1541" spans="7:18" x14ac:dyDescent="0.25">
      <c r="G1541" s="2">
        <f t="shared" ca="1" si="177"/>
        <v>0.57159880373194871</v>
      </c>
      <c r="H1541" s="3">
        <f t="shared" ca="1" si="178"/>
        <v>0</v>
      </c>
      <c r="I1541" s="3">
        <f t="shared" ca="1" si="179"/>
        <v>0.10154899688422403</v>
      </c>
      <c r="J1541" s="3">
        <f t="shared" ca="1" si="180"/>
        <v>1.5933376673215258</v>
      </c>
      <c r="P1541" s="3">
        <f t="shared" ca="1" si="181"/>
        <v>-4.0168346894971743</v>
      </c>
      <c r="Q1541" s="3">
        <f t="shared" ca="1" si="182"/>
        <v>7.4756813341200932</v>
      </c>
      <c r="R1541" s="3">
        <f t="shared" ca="1" si="183"/>
        <v>8.4865053073723722</v>
      </c>
    </row>
    <row r="1542" spans="7:18" x14ac:dyDescent="0.25">
      <c r="G1542" s="2">
        <f t="shared" ca="1" si="177"/>
        <v>0.35399320759845365</v>
      </c>
      <c r="H1542" s="3">
        <f t="shared" ca="1" si="178"/>
        <v>0</v>
      </c>
      <c r="I1542" s="3">
        <f t="shared" ca="1" si="179"/>
        <v>4.9718759090197384</v>
      </c>
      <c r="J1542" s="3">
        <f t="shared" ca="1" si="180"/>
        <v>11.148851856827836</v>
      </c>
      <c r="P1542" s="3">
        <f t="shared" ca="1" si="181"/>
        <v>-4.4184666792134992</v>
      </c>
      <c r="Q1542" s="3">
        <f t="shared" ca="1" si="182"/>
        <v>-3.824155318823721</v>
      </c>
      <c r="R1542" s="3">
        <f t="shared" ca="1" si="183"/>
        <v>5.8435444464646391</v>
      </c>
    </row>
    <row r="1543" spans="7:18" x14ac:dyDescent="0.25">
      <c r="G1543" s="2">
        <f t="shared" ca="1" si="177"/>
        <v>0.80513569709291621</v>
      </c>
      <c r="H1543" s="3">
        <f t="shared" ca="1" si="178"/>
        <v>1</v>
      </c>
      <c r="I1543" s="3">
        <f t="shared" ca="1" si="179"/>
        <v>7.2461177856400418</v>
      </c>
      <c r="J1543" s="3">
        <f t="shared" ca="1" si="180"/>
        <v>13.459306989626214</v>
      </c>
      <c r="P1543" s="3">
        <f t="shared" ca="1" si="181"/>
        <v>-7.8053884436109939</v>
      </c>
      <c r="Q1543" s="3">
        <f t="shared" ca="1" si="182"/>
        <v>7.247787473606949</v>
      </c>
      <c r="R1543" s="3">
        <f t="shared" ca="1" si="183"/>
        <v>10.651502805624652</v>
      </c>
    </row>
    <row r="1544" spans="7:18" x14ac:dyDescent="0.25">
      <c r="G1544" s="2">
        <f t="shared" ca="1" si="177"/>
        <v>0.82123599848675333</v>
      </c>
      <c r="H1544" s="3">
        <f t="shared" ca="1" si="178"/>
        <v>1</v>
      </c>
      <c r="I1544" s="3">
        <f t="shared" ca="1" si="179"/>
        <v>7.3747194055198362</v>
      </c>
      <c r="J1544" s="3">
        <f t="shared" ca="1" si="180"/>
        <v>13.578217303386918</v>
      </c>
      <c r="P1544" s="3">
        <f t="shared" ca="1" si="181"/>
        <v>-4.4122446270709652</v>
      </c>
      <c r="Q1544" s="3">
        <f t="shared" ca="1" si="182"/>
        <v>-4.0618822087165762</v>
      </c>
      <c r="R1544" s="3">
        <f t="shared" ca="1" si="183"/>
        <v>5.9972318386573029</v>
      </c>
    </row>
    <row r="1545" spans="7:18" x14ac:dyDescent="0.25">
      <c r="G1545" s="2">
        <f t="shared" ca="1" si="177"/>
        <v>0.14789637942566469</v>
      </c>
      <c r="H1545" s="3">
        <f t="shared" ca="1" si="178"/>
        <v>0</v>
      </c>
      <c r="I1545" s="3">
        <f t="shared" ca="1" si="179"/>
        <v>0.18434444690998025</v>
      </c>
      <c r="J1545" s="3">
        <f t="shared" ca="1" si="180"/>
        <v>2.1467676103270952</v>
      </c>
      <c r="P1545" s="3">
        <f t="shared" ca="1" si="181"/>
        <v>-1.2797857706920772</v>
      </c>
      <c r="Q1545" s="3">
        <f t="shared" ca="1" si="182"/>
        <v>7.1925945758632244</v>
      </c>
      <c r="R1545" s="3">
        <f t="shared" ca="1" si="183"/>
        <v>7.3055642048785661</v>
      </c>
    </row>
    <row r="1546" spans="7:18" x14ac:dyDescent="0.25">
      <c r="G1546" s="2">
        <f t="shared" ca="1" si="177"/>
        <v>0.88698830329591505</v>
      </c>
      <c r="H1546" s="3">
        <f t="shared" ca="1" si="178"/>
        <v>1</v>
      </c>
      <c r="I1546" s="3">
        <f t="shared" ca="1" si="179"/>
        <v>1.6626470745601369</v>
      </c>
      <c r="J1546" s="3">
        <f t="shared" ca="1" si="180"/>
        <v>6.4471836381480108</v>
      </c>
      <c r="P1546" s="3">
        <f t="shared" ca="1" si="181"/>
        <v>-17.410240412030561</v>
      </c>
      <c r="Q1546" s="3">
        <f t="shared" ca="1" si="182"/>
        <v>4.1131462578516143</v>
      </c>
      <c r="R1546" s="3">
        <f t="shared" ca="1" si="183"/>
        <v>17.889506514803049</v>
      </c>
    </row>
    <row r="1547" spans="7:18" x14ac:dyDescent="0.25">
      <c r="G1547" s="2">
        <f t="shared" ca="1" si="177"/>
        <v>0.25177415205776676</v>
      </c>
      <c r="H1547" s="3">
        <f t="shared" ca="1" si="178"/>
        <v>0</v>
      </c>
      <c r="I1547" s="3">
        <f t="shared" ca="1" si="179"/>
        <v>0.40383522033461433</v>
      </c>
      <c r="J1547" s="3">
        <f t="shared" ca="1" si="180"/>
        <v>3.1774015340157051</v>
      </c>
      <c r="P1547" s="3">
        <f t="shared" ca="1" si="181"/>
        <v>-8.0149175924463343</v>
      </c>
      <c r="Q1547" s="3">
        <f t="shared" ca="1" si="182"/>
        <v>-4.0053393366996426</v>
      </c>
      <c r="R1547" s="3">
        <f t="shared" ca="1" si="183"/>
        <v>8.9600026348109569</v>
      </c>
    </row>
    <row r="1548" spans="7:18" x14ac:dyDescent="0.25">
      <c r="G1548" s="2">
        <f t="shared" ca="1" si="177"/>
        <v>0.37352378784561591</v>
      </c>
      <c r="H1548" s="3">
        <f t="shared" ca="1" si="178"/>
        <v>0</v>
      </c>
      <c r="I1548" s="3">
        <f t="shared" ca="1" si="179"/>
        <v>0.60617315281521711</v>
      </c>
      <c r="J1548" s="3">
        <f t="shared" ca="1" si="180"/>
        <v>3.8928561263396864</v>
      </c>
      <c r="P1548" s="3">
        <f t="shared" ca="1" si="181"/>
        <v>-4.9549674688937753</v>
      </c>
      <c r="Q1548" s="3">
        <f t="shared" ca="1" si="182"/>
        <v>-6.5030840005784754</v>
      </c>
      <c r="R1548" s="3">
        <f t="shared" ca="1" si="183"/>
        <v>8.1756837106370082</v>
      </c>
    </row>
    <row r="1549" spans="7:18" x14ac:dyDescent="0.25">
      <c r="G1549" s="2">
        <f t="shared" ca="1" si="177"/>
        <v>0.4613182302769554</v>
      </c>
      <c r="H1549" s="3">
        <f t="shared" ca="1" si="178"/>
        <v>0</v>
      </c>
      <c r="I1549" s="3">
        <f t="shared" ca="1" si="179"/>
        <v>2.9770808959356487</v>
      </c>
      <c r="J1549" s="3">
        <f t="shared" ca="1" si="180"/>
        <v>8.6271097360814437</v>
      </c>
      <c r="P1549" s="3">
        <f t="shared" ca="1" si="181"/>
        <v>-4.5960828711740165</v>
      </c>
      <c r="Q1549" s="3">
        <f t="shared" ca="1" si="182"/>
        <v>0.56532379235973962</v>
      </c>
      <c r="R1549" s="3">
        <f t="shared" ca="1" si="183"/>
        <v>4.6307201112685688</v>
      </c>
    </row>
    <row r="1550" spans="7:18" x14ac:dyDescent="0.25">
      <c r="G1550" s="2">
        <f t="shared" ca="1" si="177"/>
        <v>0.9463319935550556</v>
      </c>
      <c r="H1550" s="3">
        <f t="shared" ca="1" si="178"/>
        <v>2</v>
      </c>
      <c r="I1550" s="3">
        <f t="shared" ca="1" si="179"/>
        <v>0.688461719327354</v>
      </c>
      <c r="J1550" s="3">
        <f t="shared" ca="1" si="180"/>
        <v>4.1486796674585333</v>
      </c>
      <c r="P1550" s="3">
        <f t="shared" ca="1" si="181"/>
        <v>0.58767336850208451</v>
      </c>
      <c r="Q1550" s="3">
        <f t="shared" ca="1" si="182"/>
        <v>7.0824050584655991</v>
      </c>
      <c r="R1550" s="3">
        <f t="shared" ca="1" si="183"/>
        <v>7.1067447822632337</v>
      </c>
    </row>
    <row r="1551" spans="7:18" x14ac:dyDescent="0.25">
      <c r="G1551" s="2">
        <f t="shared" ca="1" si="177"/>
        <v>0.20355357491527482</v>
      </c>
      <c r="H1551" s="3">
        <f t="shared" ca="1" si="178"/>
        <v>0</v>
      </c>
      <c r="I1551" s="3">
        <f t="shared" ca="1" si="179"/>
        <v>0.42150500883025621</v>
      </c>
      <c r="J1551" s="3">
        <f t="shared" ca="1" si="180"/>
        <v>3.2461708551393906</v>
      </c>
      <c r="P1551" s="3">
        <f t="shared" ca="1" si="181"/>
        <v>-6.7956556868137543</v>
      </c>
      <c r="Q1551" s="3">
        <f t="shared" ca="1" si="182"/>
        <v>-4.429580281419697</v>
      </c>
      <c r="R1551" s="3">
        <f t="shared" ca="1" si="183"/>
        <v>8.1118504475407036</v>
      </c>
    </row>
    <row r="1552" spans="7:18" x14ac:dyDescent="0.25">
      <c r="G1552" s="2">
        <f t="shared" ca="1" si="177"/>
        <v>0.84839662907530822</v>
      </c>
      <c r="H1552" s="3">
        <f t="shared" ca="1" si="178"/>
        <v>1</v>
      </c>
      <c r="I1552" s="3">
        <f t="shared" ca="1" si="179"/>
        <v>5.581340938292719</v>
      </c>
      <c r="J1552" s="3">
        <f t="shared" ca="1" si="180"/>
        <v>11.812430886880056</v>
      </c>
      <c r="P1552" s="3">
        <f t="shared" ca="1" si="181"/>
        <v>-16.032822401462926</v>
      </c>
      <c r="Q1552" s="3">
        <f t="shared" ca="1" si="182"/>
        <v>-2.2529787531704777</v>
      </c>
      <c r="R1552" s="3">
        <f t="shared" ca="1" si="183"/>
        <v>16.190346117952174</v>
      </c>
    </row>
    <row r="1553" spans="7:18" x14ac:dyDescent="0.25">
      <c r="G1553" s="2">
        <f t="shared" ca="1" si="177"/>
        <v>0.1565466607715218</v>
      </c>
      <c r="H1553" s="3">
        <f t="shared" ca="1" si="178"/>
        <v>0</v>
      </c>
      <c r="I1553" s="3">
        <f t="shared" ca="1" si="179"/>
        <v>4.4840334007874372</v>
      </c>
      <c r="J1553" s="3">
        <f t="shared" ca="1" si="180"/>
        <v>10.587768179351393</v>
      </c>
      <c r="P1553" s="3">
        <f t="shared" ca="1" si="181"/>
        <v>1.2766037626345987</v>
      </c>
      <c r="Q1553" s="3">
        <f t="shared" ca="1" si="182"/>
        <v>-1.730709397293613</v>
      </c>
      <c r="R1553" s="3">
        <f t="shared" ca="1" si="183"/>
        <v>2.150598099286158</v>
      </c>
    </row>
    <row r="1554" spans="7:18" x14ac:dyDescent="0.25">
      <c r="G1554" s="2">
        <f t="shared" ca="1" si="177"/>
        <v>0.40839531509215765</v>
      </c>
      <c r="H1554" s="3">
        <f t="shared" ca="1" si="178"/>
        <v>0</v>
      </c>
      <c r="I1554" s="3">
        <f t="shared" ca="1" si="179"/>
        <v>7.2245233520143382</v>
      </c>
      <c r="J1554" s="3">
        <f t="shared" ca="1" si="180"/>
        <v>13.439236726851657</v>
      </c>
      <c r="P1554" s="3">
        <f t="shared" ca="1" si="181"/>
        <v>-8.8417258089059967</v>
      </c>
      <c r="Q1554" s="3">
        <f t="shared" ca="1" si="182"/>
        <v>6.1265657449823863</v>
      </c>
      <c r="R1554" s="3">
        <f t="shared" ca="1" si="183"/>
        <v>10.756901185167871</v>
      </c>
    </row>
    <row r="1555" spans="7:18" x14ac:dyDescent="0.25">
      <c r="G1555" s="2">
        <f t="shared" ca="1" si="177"/>
        <v>0.88198551796188429</v>
      </c>
      <c r="H1555" s="3">
        <f t="shared" ca="1" si="178"/>
        <v>1</v>
      </c>
      <c r="I1555" s="3">
        <f t="shared" ca="1" si="179"/>
        <v>2.0155792334773199</v>
      </c>
      <c r="J1555" s="3">
        <f t="shared" ca="1" si="180"/>
        <v>7.0985548414401221</v>
      </c>
      <c r="P1555" s="3">
        <f t="shared" ca="1" si="181"/>
        <v>-9.0654479483181003</v>
      </c>
      <c r="Q1555" s="3">
        <f t="shared" ca="1" si="182"/>
        <v>-1.1150450353959542</v>
      </c>
      <c r="R1555" s="3">
        <f t="shared" ca="1" si="183"/>
        <v>9.1337654849807706</v>
      </c>
    </row>
    <row r="1556" spans="7:18" x14ac:dyDescent="0.25">
      <c r="G1556" s="2">
        <f t="shared" ca="1" si="177"/>
        <v>0.54268403010436705</v>
      </c>
      <c r="H1556" s="3">
        <f t="shared" ca="1" si="178"/>
        <v>0</v>
      </c>
      <c r="I1556" s="3">
        <f t="shared" ca="1" si="179"/>
        <v>0.85296585533988634</v>
      </c>
      <c r="J1556" s="3">
        <f t="shared" ca="1" si="180"/>
        <v>4.617807529932052</v>
      </c>
      <c r="P1556" s="3">
        <f t="shared" ca="1" si="181"/>
        <v>1.4835238980274141</v>
      </c>
      <c r="Q1556" s="3">
        <f t="shared" ca="1" si="182"/>
        <v>-1.0752271083219092</v>
      </c>
      <c r="R1556" s="3">
        <f t="shared" ca="1" si="183"/>
        <v>1.8321999046197848</v>
      </c>
    </row>
    <row r="1557" spans="7:18" x14ac:dyDescent="0.25">
      <c r="G1557" s="2">
        <f t="shared" ca="1" si="177"/>
        <v>0.13441143858334448</v>
      </c>
      <c r="H1557" s="3">
        <f t="shared" ca="1" si="178"/>
        <v>0</v>
      </c>
      <c r="I1557" s="3">
        <f t="shared" ca="1" si="179"/>
        <v>5.0977211350287881</v>
      </c>
      <c r="J1557" s="3">
        <f t="shared" ca="1" si="180"/>
        <v>11.289066762833839</v>
      </c>
      <c r="P1557" s="3">
        <f t="shared" ca="1" si="181"/>
        <v>-3.9549668000489264</v>
      </c>
      <c r="Q1557" s="3">
        <f t="shared" ca="1" si="182"/>
        <v>3.5257030568722798</v>
      </c>
      <c r="R1557" s="3">
        <f t="shared" ca="1" si="183"/>
        <v>5.2983341188271416</v>
      </c>
    </row>
    <row r="1558" spans="7:18" x14ac:dyDescent="0.25">
      <c r="G1558" s="2">
        <f t="shared" ca="1" si="177"/>
        <v>0.79992179842060707</v>
      </c>
      <c r="H1558" s="3">
        <f t="shared" ca="1" si="178"/>
        <v>1</v>
      </c>
      <c r="I1558" s="3">
        <f t="shared" ca="1" si="179"/>
        <v>7.1072582761009606</v>
      </c>
      <c r="J1558" s="3">
        <f t="shared" ca="1" si="180"/>
        <v>13.329720811124442</v>
      </c>
      <c r="P1558" s="3">
        <f t="shared" ca="1" si="181"/>
        <v>-6.625507903499197</v>
      </c>
      <c r="Q1558" s="3">
        <f t="shared" ca="1" si="182"/>
        <v>1.5745704896145087</v>
      </c>
      <c r="R1558" s="3">
        <f t="shared" ca="1" si="183"/>
        <v>6.8100387081201825</v>
      </c>
    </row>
    <row r="1559" spans="7:18" x14ac:dyDescent="0.25">
      <c r="G1559" s="2">
        <f t="shared" ca="1" si="177"/>
        <v>0.6802317437045392</v>
      </c>
      <c r="H1559" s="3">
        <f t="shared" ca="1" si="178"/>
        <v>1</v>
      </c>
      <c r="I1559" s="3">
        <f t="shared" ca="1" si="179"/>
        <v>11.537236900205006</v>
      </c>
      <c r="J1559" s="3">
        <f t="shared" ca="1" si="180"/>
        <v>16.983254178900026</v>
      </c>
      <c r="P1559" s="3">
        <f t="shared" ca="1" si="181"/>
        <v>-6.4372222122488152</v>
      </c>
      <c r="Q1559" s="3">
        <f t="shared" ca="1" si="182"/>
        <v>-3.5284376945721614</v>
      </c>
      <c r="R1559" s="3">
        <f t="shared" ca="1" si="183"/>
        <v>7.340824366128591</v>
      </c>
    </row>
    <row r="1560" spans="7:18" x14ac:dyDescent="0.25">
      <c r="G1560" s="2">
        <f t="shared" ca="1" si="177"/>
        <v>0.76884942971440529</v>
      </c>
      <c r="H1560" s="3">
        <f t="shared" ca="1" si="178"/>
        <v>1</v>
      </c>
      <c r="I1560" s="3">
        <f t="shared" ca="1" si="179"/>
        <v>0.61432176840262454</v>
      </c>
      <c r="J1560" s="3">
        <f t="shared" ca="1" si="180"/>
        <v>3.9189340655420084</v>
      </c>
      <c r="P1560" s="3">
        <f t="shared" ca="1" si="181"/>
        <v>-6.8589812927161216</v>
      </c>
      <c r="Q1560" s="3">
        <f t="shared" ca="1" si="182"/>
        <v>2.6567341956616684</v>
      </c>
      <c r="R1560" s="3">
        <f t="shared" ca="1" si="183"/>
        <v>7.3555326768513352</v>
      </c>
    </row>
    <row r="1561" spans="7:18" x14ac:dyDescent="0.25">
      <c r="G1561" s="2">
        <f t="shared" ca="1" si="177"/>
        <v>0.58504658455950542</v>
      </c>
      <c r="H1561" s="3">
        <f t="shared" ca="1" si="178"/>
        <v>0</v>
      </c>
      <c r="I1561" s="3">
        <f t="shared" ca="1" si="179"/>
        <v>1.2705932179438268</v>
      </c>
      <c r="J1561" s="3">
        <f t="shared" ca="1" si="180"/>
        <v>5.6360296706631763</v>
      </c>
      <c r="P1561" s="3">
        <f t="shared" ca="1" si="181"/>
        <v>-9.6189561429532908</v>
      </c>
      <c r="Q1561" s="3">
        <f t="shared" ca="1" si="182"/>
        <v>1.5457804963847475</v>
      </c>
      <c r="R1561" s="3">
        <f t="shared" ca="1" si="183"/>
        <v>9.7423690457230343</v>
      </c>
    </row>
    <row r="1562" spans="7:18" x14ac:dyDescent="0.25">
      <c r="G1562" s="2">
        <f t="shared" ca="1" si="177"/>
        <v>0.2810142282010808</v>
      </c>
      <c r="H1562" s="3">
        <f t="shared" ca="1" si="178"/>
        <v>0</v>
      </c>
      <c r="I1562" s="3">
        <f t="shared" ca="1" si="179"/>
        <v>9.0977702104389859</v>
      </c>
      <c r="J1562" s="3">
        <f t="shared" ca="1" si="180"/>
        <v>15.081255095680021</v>
      </c>
      <c r="P1562" s="3">
        <f t="shared" ca="1" si="181"/>
        <v>-4.04080604521591</v>
      </c>
      <c r="Q1562" s="3">
        <f t="shared" ca="1" si="182"/>
        <v>-3.8240709365482983</v>
      </c>
      <c r="R1562" s="3">
        <f t="shared" ca="1" si="183"/>
        <v>5.5634190946581423</v>
      </c>
    </row>
    <row r="1563" spans="7:18" x14ac:dyDescent="0.25">
      <c r="G1563" s="2">
        <f t="shared" ca="1" si="177"/>
        <v>0.47210317725737372</v>
      </c>
      <c r="H1563" s="3">
        <f t="shared" ca="1" si="178"/>
        <v>0</v>
      </c>
      <c r="I1563" s="3">
        <f t="shared" ca="1" si="179"/>
        <v>3.0406374890415204</v>
      </c>
      <c r="J1563" s="3">
        <f t="shared" ca="1" si="180"/>
        <v>8.7187119017684029</v>
      </c>
      <c r="P1563" s="3">
        <f t="shared" ca="1" si="181"/>
        <v>-5.6561515016888571</v>
      </c>
      <c r="Q1563" s="3">
        <f t="shared" ca="1" si="182"/>
        <v>5.1079016856129078</v>
      </c>
      <c r="R1563" s="3">
        <f t="shared" ca="1" si="183"/>
        <v>7.6212013121255557</v>
      </c>
    </row>
    <row r="1564" spans="7:18" x14ac:dyDescent="0.25">
      <c r="G1564" s="2">
        <f t="shared" ca="1" si="177"/>
        <v>0.42637149086077097</v>
      </c>
      <c r="H1564" s="3">
        <f t="shared" ca="1" si="178"/>
        <v>0</v>
      </c>
      <c r="I1564" s="3">
        <f t="shared" ca="1" si="179"/>
        <v>0.66390915295994846</v>
      </c>
      <c r="J1564" s="3">
        <f t="shared" ca="1" si="180"/>
        <v>4.0740310288458419</v>
      </c>
      <c r="P1564" s="3">
        <f t="shared" ca="1" si="181"/>
        <v>-20.100704417598486</v>
      </c>
      <c r="Q1564" s="3">
        <f t="shared" ca="1" si="182"/>
        <v>3.6244699770609605</v>
      </c>
      <c r="R1564" s="3">
        <f t="shared" ca="1" si="183"/>
        <v>20.42486476572806</v>
      </c>
    </row>
    <row r="1565" spans="7:18" x14ac:dyDescent="0.25">
      <c r="G1565" s="2">
        <f t="shared" ca="1" si="177"/>
        <v>6.5967456139452096E-2</v>
      </c>
      <c r="H1565" s="3">
        <f t="shared" ca="1" si="178"/>
        <v>0</v>
      </c>
      <c r="I1565" s="3">
        <f t="shared" ca="1" si="179"/>
        <v>8.8391458601298218</v>
      </c>
      <c r="J1565" s="3">
        <f t="shared" ca="1" si="180"/>
        <v>14.865350534153091</v>
      </c>
      <c r="P1565" s="3">
        <f t="shared" ca="1" si="181"/>
        <v>-7.8839192879877853</v>
      </c>
      <c r="Q1565" s="3">
        <f t="shared" ca="1" si="182"/>
        <v>-2.4390976980911208</v>
      </c>
      <c r="R1565" s="3">
        <f t="shared" ca="1" si="183"/>
        <v>8.2525984344531889</v>
      </c>
    </row>
    <row r="1566" spans="7:18" x14ac:dyDescent="0.25">
      <c r="G1566" s="2">
        <f t="shared" ca="1" si="177"/>
        <v>0.99728059351750542</v>
      </c>
      <c r="H1566" s="3">
        <f t="shared" ca="1" si="178"/>
        <v>3</v>
      </c>
      <c r="I1566" s="3">
        <f t="shared" ca="1" si="179"/>
        <v>5.6369634658824284</v>
      </c>
      <c r="J1566" s="3">
        <f t="shared" ca="1" si="180"/>
        <v>11.871145127874595</v>
      </c>
      <c r="P1566" s="3">
        <f t="shared" ca="1" si="181"/>
        <v>-6.2957568959022936E-2</v>
      </c>
      <c r="Q1566" s="3">
        <f t="shared" ca="1" si="182"/>
        <v>-5.3463846409742013</v>
      </c>
      <c r="R1566" s="3">
        <f t="shared" ca="1" si="183"/>
        <v>5.3467553137144836</v>
      </c>
    </row>
    <row r="1567" spans="7:18" x14ac:dyDescent="0.25">
      <c r="G1567" s="2">
        <f t="shared" ca="1" si="177"/>
        <v>0.2813900907956921</v>
      </c>
      <c r="H1567" s="3">
        <f t="shared" ca="1" si="178"/>
        <v>0</v>
      </c>
      <c r="I1567" s="3">
        <f t="shared" ca="1" si="179"/>
        <v>3.982858425804078</v>
      </c>
      <c r="J1567" s="3">
        <f t="shared" ca="1" si="180"/>
        <v>9.9785500271884171</v>
      </c>
      <c r="P1567" s="3">
        <f t="shared" ca="1" si="181"/>
        <v>-3.7401844534985846</v>
      </c>
      <c r="Q1567" s="3">
        <f t="shared" ca="1" si="182"/>
        <v>-2.2588258986043082</v>
      </c>
      <c r="R1567" s="3">
        <f t="shared" ca="1" si="183"/>
        <v>4.3693562668198691</v>
      </c>
    </row>
    <row r="1568" spans="7:18" x14ac:dyDescent="0.25">
      <c r="G1568" s="2">
        <f t="shared" ca="1" si="177"/>
        <v>0.39882360807047146</v>
      </c>
      <c r="H1568" s="3">
        <f t="shared" ca="1" si="178"/>
        <v>0</v>
      </c>
      <c r="I1568" s="3">
        <f t="shared" ca="1" si="179"/>
        <v>2.0493696186503447</v>
      </c>
      <c r="J1568" s="3">
        <f t="shared" ca="1" si="180"/>
        <v>7.1578097534272747</v>
      </c>
      <c r="P1568" s="3">
        <f t="shared" ca="1" si="181"/>
        <v>-4.2516832178682407E-2</v>
      </c>
      <c r="Q1568" s="3">
        <f t="shared" ca="1" si="182"/>
        <v>4.631044895528837</v>
      </c>
      <c r="R1568" s="3">
        <f t="shared" ca="1" si="183"/>
        <v>4.6312400613034734</v>
      </c>
    </row>
    <row r="1569" spans="7:18" x14ac:dyDescent="0.25">
      <c r="G1569" s="2">
        <f t="shared" ca="1" si="177"/>
        <v>2.7413339029045192E-2</v>
      </c>
      <c r="H1569" s="3">
        <f t="shared" ca="1" si="178"/>
        <v>0</v>
      </c>
      <c r="I1569" s="3">
        <f t="shared" ca="1" si="179"/>
        <v>0.14058438741889864</v>
      </c>
      <c r="J1569" s="3">
        <f t="shared" ca="1" si="180"/>
        <v>1.874729229908273</v>
      </c>
      <c r="P1569" s="3">
        <f t="shared" ca="1" si="181"/>
        <v>-6.2819220788504602</v>
      </c>
      <c r="Q1569" s="3">
        <f t="shared" ca="1" si="182"/>
        <v>2.2017492913210552</v>
      </c>
      <c r="R1569" s="3">
        <f t="shared" ca="1" si="183"/>
        <v>6.6565940950745723</v>
      </c>
    </row>
    <row r="1570" spans="7:18" x14ac:dyDescent="0.25">
      <c r="G1570" s="2">
        <f t="shared" ca="1" si="177"/>
        <v>0.83208234230774969</v>
      </c>
      <c r="H1570" s="3">
        <f t="shared" ca="1" si="178"/>
        <v>1</v>
      </c>
      <c r="I1570" s="3">
        <f t="shared" ca="1" si="179"/>
        <v>2.0987849677842028</v>
      </c>
      <c r="J1570" s="3">
        <f t="shared" ca="1" si="180"/>
        <v>7.2435919400947117</v>
      </c>
      <c r="P1570" s="3">
        <f t="shared" ca="1" si="181"/>
        <v>0.68166674573239661</v>
      </c>
      <c r="Q1570" s="3">
        <f t="shared" ca="1" si="182"/>
        <v>5.3977899058892804</v>
      </c>
      <c r="R1570" s="3">
        <f t="shared" ca="1" si="183"/>
        <v>5.4406622225936436</v>
      </c>
    </row>
    <row r="1571" spans="7:18" x14ac:dyDescent="0.25">
      <c r="G1571" s="2">
        <f t="shared" ca="1" si="177"/>
        <v>0.57785566796652843</v>
      </c>
      <c r="H1571" s="3">
        <f t="shared" ca="1" si="178"/>
        <v>0</v>
      </c>
      <c r="I1571" s="3">
        <f t="shared" ca="1" si="179"/>
        <v>0.12167379368423162</v>
      </c>
      <c r="J1571" s="3">
        <f t="shared" ca="1" si="180"/>
        <v>1.7440885419340928</v>
      </c>
      <c r="P1571" s="3">
        <f t="shared" ca="1" si="181"/>
        <v>-8.2788786209227574</v>
      </c>
      <c r="Q1571" s="3">
        <f t="shared" ca="1" si="182"/>
        <v>-6.3309909817509613</v>
      </c>
      <c r="R1571" s="3">
        <f t="shared" ca="1" si="183"/>
        <v>10.422153233904398</v>
      </c>
    </row>
    <row r="1572" spans="7:18" x14ac:dyDescent="0.25">
      <c r="G1572" s="2">
        <f t="shared" ca="1" si="177"/>
        <v>7.9299953975866533E-2</v>
      </c>
      <c r="H1572" s="3">
        <f t="shared" ca="1" si="178"/>
        <v>0</v>
      </c>
      <c r="I1572" s="3">
        <f t="shared" ca="1" si="179"/>
        <v>1.3183294144689373</v>
      </c>
      <c r="J1572" s="3">
        <f t="shared" ca="1" si="180"/>
        <v>5.7409263504876487</v>
      </c>
      <c r="P1572" s="3">
        <f t="shared" ca="1" si="181"/>
        <v>1.3921347825164174</v>
      </c>
      <c r="Q1572" s="3">
        <f t="shared" ca="1" si="182"/>
        <v>-0.16116005293570265</v>
      </c>
      <c r="R1572" s="3">
        <f t="shared" ca="1" si="183"/>
        <v>1.401432058772123</v>
      </c>
    </row>
    <row r="1573" spans="7:18" x14ac:dyDescent="0.25">
      <c r="G1573" s="2">
        <f t="shared" ca="1" si="177"/>
        <v>0.35842886647280581</v>
      </c>
      <c r="H1573" s="3">
        <f t="shared" ca="1" si="178"/>
        <v>0</v>
      </c>
      <c r="I1573" s="3">
        <f t="shared" ca="1" si="179"/>
        <v>0.92550547030361763</v>
      </c>
      <c r="J1573" s="3">
        <f t="shared" ca="1" si="180"/>
        <v>4.8101597434586765</v>
      </c>
      <c r="P1573" s="3">
        <f t="shared" ca="1" si="181"/>
        <v>-3.0199529684774458</v>
      </c>
      <c r="Q1573" s="3">
        <f t="shared" ca="1" si="182"/>
        <v>-9.1473136644425637</v>
      </c>
      <c r="R1573" s="3">
        <f t="shared" ca="1" si="183"/>
        <v>9.6329363751409343</v>
      </c>
    </row>
    <row r="1574" spans="7:18" x14ac:dyDescent="0.25">
      <c r="G1574" s="2">
        <f t="shared" ca="1" si="177"/>
        <v>0.45260175139452674</v>
      </c>
      <c r="H1574" s="3">
        <f t="shared" ca="1" si="178"/>
        <v>0</v>
      </c>
      <c r="I1574" s="3">
        <f t="shared" ca="1" si="179"/>
        <v>1.3633146645781355</v>
      </c>
      <c r="J1574" s="3">
        <f t="shared" ca="1" si="180"/>
        <v>5.8380533240501826</v>
      </c>
      <c r="P1574" s="3">
        <f t="shared" ca="1" si="181"/>
        <v>-5.2392382430459641</v>
      </c>
      <c r="Q1574" s="3">
        <f t="shared" ca="1" si="182"/>
        <v>6.8500482697330876</v>
      </c>
      <c r="R1574" s="3">
        <f t="shared" ca="1" si="183"/>
        <v>8.62396536780318</v>
      </c>
    </row>
    <row r="1575" spans="7:18" x14ac:dyDescent="0.25">
      <c r="G1575" s="2">
        <f t="shared" ca="1" si="177"/>
        <v>0.46133638560347678</v>
      </c>
      <c r="H1575" s="3">
        <f t="shared" ca="1" si="178"/>
        <v>0</v>
      </c>
      <c r="I1575" s="3">
        <f t="shared" ca="1" si="179"/>
        <v>0.93992199196094139</v>
      </c>
      <c r="J1575" s="3">
        <f t="shared" ca="1" si="180"/>
        <v>4.8474787053708175</v>
      </c>
      <c r="P1575" s="3">
        <f t="shared" ca="1" si="181"/>
        <v>-2.8745621648828212E-2</v>
      </c>
      <c r="Q1575" s="3">
        <f t="shared" ca="1" si="182"/>
        <v>4.015862473815841</v>
      </c>
      <c r="R1575" s="3">
        <f t="shared" ca="1" si="183"/>
        <v>4.0159653533573048</v>
      </c>
    </row>
    <row r="1576" spans="7:18" x14ac:dyDescent="0.25">
      <c r="G1576" s="2">
        <f t="shared" ca="1" si="177"/>
        <v>0.22581278158729545</v>
      </c>
      <c r="H1576" s="3">
        <f t="shared" ca="1" si="178"/>
        <v>0</v>
      </c>
      <c r="I1576" s="3">
        <f t="shared" ca="1" si="179"/>
        <v>2.2291399178209002</v>
      </c>
      <c r="J1576" s="3">
        <f t="shared" ca="1" si="180"/>
        <v>7.465152238603209</v>
      </c>
      <c r="P1576" s="3">
        <f t="shared" ca="1" si="181"/>
        <v>-7.7001069450113881</v>
      </c>
      <c r="Q1576" s="3">
        <f t="shared" ca="1" si="182"/>
        <v>8.9358467534996517</v>
      </c>
      <c r="R1576" s="3">
        <f t="shared" ca="1" si="183"/>
        <v>11.795804515447129</v>
      </c>
    </row>
    <row r="1577" spans="7:18" x14ac:dyDescent="0.25">
      <c r="G1577" s="2">
        <f t="shared" ca="1" si="177"/>
        <v>0.5180133464896447</v>
      </c>
      <c r="H1577" s="3">
        <f t="shared" ca="1" si="178"/>
        <v>0</v>
      </c>
      <c r="I1577" s="3">
        <f t="shared" ca="1" si="179"/>
        <v>3.824762521862668</v>
      </c>
      <c r="J1577" s="3">
        <f t="shared" ca="1" si="180"/>
        <v>9.7785000407305152</v>
      </c>
      <c r="P1577" s="3">
        <f t="shared" ca="1" si="181"/>
        <v>-9.9953065433896189</v>
      </c>
      <c r="Q1577" s="3">
        <f t="shared" ca="1" si="182"/>
        <v>-0.75084849952879607</v>
      </c>
      <c r="R1577" s="3">
        <f t="shared" ca="1" si="183"/>
        <v>10.023468779098978</v>
      </c>
    </row>
    <row r="1578" spans="7:18" x14ac:dyDescent="0.25">
      <c r="G1578" s="2">
        <f t="shared" ca="1" si="177"/>
        <v>0.35695618756945624</v>
      </c>
      <c r="H1578" s="3">
        <f t="shared" ca="1" si="178"/>
        <v>0</v>
      </c>
      <c r="I1578" s="3">
        <f t="shared" ca="1" si="179"/>
        <v>0.2565152135840415</v>
      </c>
      <c r="J1578" s="3">
        <f t="shared" ca="1" si="180"/>
        <v>2.5323665492185441</v>
      </c>
      <c r="P1578" s="3">
        <f t="shared" ca="1" si="181"/>
        <v>-13.430815547839771</v>
      </c>
      <c r="Q1578" s="3">
        <f t="shared" ca="1" si="182"/>
        <v>-1.8056464171148263</v>
      </c>
      <c r="R1578" s="3">
        <f t="shared" ca="1" si="183"/>
        <v>13.551648064487734</v>
      </c>
    </row>
    <row r="1579" spans="7:18" x14ac:dyDescent="0.25">
      <c r="G1579" s="2">
        <f t="shared" ca="1" si="177"/>
        <v>0.36368445811293504</v>
      </c>
      <c r="H1579" s="3">
        <f t="shared" ca="1" si="178"/>
        <v>0</v>
      </c>
      <c r="I1579" s="3">
        <f t="shared" ca="1" si="179"/>
        <v>2.9584875404082948E-2</v>
      </c>
      <c r="J1579" s="3">
        <f t="shared" ca="1" si="180"/>
        <v>0.86001272380242932</v>
      </c>
      <c r="P1579" s="3">
        <f t="shared" ca="1" si="181"/>
        <v>-5.2303456248490194</v>
      </c>
      <c r="Q1579" s="3">
        <f t="shared" ca="1" si="182"/>
        <v>0.97095237284453695</v>
      </c>
      <c r="R1579" s="3">
        <f t="shared" ca="1" si="183"/>
        <v>5.31970524237102</v>
      </c>
    </row>
    <row r="1580" spans="7:18" x14ac:dyDescent="0.25">
      <c r="G1580" s="2">
        <f t="shared" ca="1" si="177"/>
        <v>0.2637074474869685</v>
      </c>
      <c r="H1580" s="3">
        <f t="shared" ca="1" si="178"/>
        <v>0</v>
      </c>
      <c r="I1580" s="3">
        <f t="shared" ca="1" si="179"/>
        <v>5.8318177809259374E-2</v>
      </c>
      <c r="J1580" s="3">
        <f t="shared" ca="1" si="180"/>
        <v>1.2074578440804815</v>
      </c>
      <c r="P1580" s="3">
        <f t="shared" ca="1" si="181"/>
        <v>-7.2457720908091829</v>
      </c>
      <c r="Q1580" s="3">
        <f t="shared" ca="1" si="182"/>
        <v>-5.1136975126805781</v>
      </c>
      <c r="R1580" s="3">
        <f t="shared" ca="1" si="183"/>
        <v>8.8685464109483476</v>
      </c>
    </row>
    <row r="1581" spans="7:18" x14ac:dyDescent="0.25">
      <c r="G1581" s="2">
        <f t="shared" ca="1" si="177"/>
        <v>0.25556909788802684</v>
      </c>
      <c r="H1581" s="3">
        <f t="shared" ca="1" si="178"/>
        <v>0</v>
      </c>
      <c r="I1581" s="3">
        <f t="shared" ca="1" si="179"/>
        <v>2.1074933447283404</v>
      </c>
      <c r="J1581" s="3">
        <f t="shared" ca="1" si="180"/>
        <v>7.2586041094833451</v>
      </c>
      <c r="P1581" s="3">
        <f t="shared" ca="1" si="181"/>
        <v>-5.5740024727120412</v>
      </c>
      <c r="Q1581" s="3">
        <f t="shared" ca="1" si="182"/>
        <v>-2.6734944679907953</v>
      </c>
      <c r="R1581" s="3">
        <f t="shared" ca="1" si="183"/>
        <v>6.1819961368620522</v>
      </c>
    </row>
    <row r="1582" spans="7:18" x14ac:dyDescent="0.25">
      <c r="G1582" s="2">
        <f t="shared" ca="1" si="177"/>
        <v>0.10581918408311042</v>
      </c>
      <c r="H1582" s="3">
        <f t="shared" ca="1" si="178"/>
        <v>0</v>
      </c>
      <c r="I1582" s="3">
        <f t="shared" ca="1" si="179"/>
        <v>0.47267394753818448</v>
      </c>
      <c r="J1582" s="3">
        <f t="shared" ca="1" si="180"/>
        <v>3.4375643540819145</v>
      </c>
      <c r="P1582" s="3">
        <f t="shared" ca="1" si="181"/>
        <v>1.8191326065280302</v>
      </c>
      <c r="Q1582" s="3">
        <f t="shared" ca="1" si="182"/>
        <v>-6.9112890241722988</v>
      </c>
      <c r="R1582" s="3">
        <f t="shared" ca="1" si="183"/>
        <v>7.1466887028733774</v>
      </c>
    </row>
    <row r="1583" spans="7:18" x14ac:dyDescent="0.25">
      <c r="G1583" s="2">
        <f t="shared" ca="1" si="177"/>
        <v>0.71683176689099115</v>
      </c>
      <c r="H1583" s="3">
        <f t="shared" ca="1" si="178"/>
        <v>1</v>
      </c>
      <c r="I1583" s="3">
        <f t="shared" ca="1" si="179"/>
        <v>1.7593659849231746</v>
      </c>
      <c r="J1583" s="3">
        <f t="shared" ca="1" si="180"/>
        <v>6.6320547059775805</v>
      </c>
      <c r="P1583" s="3">
        <f t="shared" ca="1" si="181"/>
        <v>-12.657038662059266</v>
      </c>
      <c r="Q1583" s="3">
        <f t="shared" ca="1" si="182"/>
        <v>14.444932887417627</v>
      </c>
      <c r="R1583" s="3">
        <f t="shared" ca="1" si="183"/>
        <v>19.205642759742833</v>
      </c>
    </row>
    <row r="1584" spans="7:18" x14ac:dyDescent="0.25">
      <c r="G1584" s="2">
        <f t="shared" ca="1" si="177"/>
        <v>0.31686396956585261</v>
      </c>
      <c r="H1584" s="3">
        <f t="shared" ca="1" si="178"/>
        <v>0</v>
      </c>
      <c r="I1584" s="3">
        <f t="shared" ca="1" si="179"/>
        <v>1.1033890993247466</v>
      </c>
      <c r="J1584" s="3">
        <f t="shared" ca="1" si="180"/>
        <v>5.2521164765376884</v>
      </c>
      <c r="P1584" s="3">
        <f t="shared" ca="1" si="181"/>
        <v>-9.2574819463736375</v>
      </c>
      <c r="Q1584" s="3">
        <f t="shared" ca="1" si="182"/>
        <v>-3.0106702784056671</v>
      </c>
      <c r="R1584" s="3">
        <f t="shared" ca="1" si="183"/>
        <v>9.7347371568373173</v>
      </c>
    </row>
    <row r="1585" spans="7:18" x14ac:dyDescent="0.25">
      <c r="G1585" s="2">
        <f t="shared" ca="1" si="177"/>
        <v>3.1667557821825176E-2</v>
      </c>
      <c r="H1585" s="3">
        <f t="shared" ca="1" si="178"/>
        <v>0</v>
      </c>
      <c r="I1585" s="3">
        <f t="shared" ca="1" si="179"/>
        <v>0.67368304688469838</v>
      </c>
      <c r="J1585" s="3">
        <f t="shared" ca="1" si="180"/>
        <v>4.1039098640342306</v>
      </c>
      <c r="P1585" s="3">
        <f t="shared" ca="1" si="181"/>
        <v>-5.4626946461369563</v>
      </c>
      <c r="Q1585" s="3">
        <f t="shared" ca="1" si="182"/>
        <v>-1.8124217810712309</v>
      </c>
      <c r="R1585" s="3">
        <f t="shared" ca="1" si="183"/>
        <v>5.7555108817058782</v>
      </c>
    </row>
    <row r="1586" spans="7:18" x14ac:dyDescent="0.25">
      <c r="G1586" s="2">
        <f t="shared" ca="1" si="177"/>
        <v>0.286874018267261</v>
      </c>
      <c r="H1586" s="3">
        <f t="shared" ca="1" si="178"/>
        <v>0</v>
      </c>
      <c r="I1586" s="3">
        <f t="shared" ca="1" si="179"/>
        <v>0.94506291405865051</v>
      </c>
      <c r="J1586" s="3">
        <f t="shared" ca="1" si="180"/>
        <v>4.8607173186131964</v>
      </c>
      <c r="P1586" s="3">
        <f t="shared" ca="1" si="181"/>
        <v>-3.5436576652401124</v>
      </c>
      <c r="Q1586" s="3">
        <f t="shared" ca="1" si="182"/>
        <v>6.2898431873255207</v>
      </c>
      <c r="R1586" s="3">
        <f t="shared" ca="1" si="183"/>
        <v>7.2193931164302363</v>
      </c>
    </row>
    <row r="1587" spans="7:18" x14ac:dyDescent="0.25">
      <c r="G1587" s="2">
        <f t="shared" ca="1" si="177"/>
        <v>7.3124427900536304E-2</v>
      </c>
      <c r="H1587" s="3">
        <f t="shared" ca="1" si="178"/>
        <v>0</v>
      </c>
      <c r="I1587" s="3">
        <f t="shared" ca="1" si="179"/>
        <v>8.2304135794165969</v>
      </c>
      <c r="J1587" s="3">
        <f t="shared" ca="1" si="180"/>
        <v>14.344348695058095</v>
      </c>
      <c r="P1587" s="3">
        <f t="shared" ca="1" si="181"/>
        <v>-5.7957415991546029</v>
      </c>
      <c r="Q1587" s="3">
        <f t="shared" ca="1" si="182"/>
        <v>7.7302150440516613</v>
      </c>
      <c r="R1587" s="3">
        <f t="shared" ca="1" si="183"/>
        <v>9.6616171167902216</v>
      </c>
    </row>
    <row r="1588" spans="7:18" x14ac:dyDescent="0.25">
      <c r="G1588" s="2">
        <f t="shared" ca="1" si="177"/>
        <v>0.18282592062629865</v>
      </c>
      <c r="H1588" s="3">
        <f t="shared" ca="1" si="178"/>
        <v>0</v>
      </c>
      <c r="I1588" s="3">
        <f t="shared" ca="1" si="179"/>
        <v>0.31117096744439854</v>
      </c>
      <c r="J1588" s="3">
        <f t="shared" ca="1" si="180"/>
        <v>2.7891350247182305</v>
      </c>
      <c r="P1588" s="3">
        <f t="shared" ca="1" si="181"/>
        <v>-11.678299257178923</v>
      </c>
      <c r="Q1588" s="3">
        <f t="shared" ca="1" si="182"/>
        <v>2.8993539207862771</v>
      </c>
      <c r="R1588" s="3">
        <f t="shared" ca="1" si="183"/>
        <v>12.032827045138001</v>
      </c>
    </row>
    <row r="1589" spans="7:18" x14ac:dyDescent="0.25">
      <c r="G1589" s="2">
        <f t="shared" ca="1" si="177"/>
        <v>0.71838258300366986</v>
      </c>
      <c r="H1589" s="3">
        <f t="shared" ca="1" si="178"/>
        <v>1</v>
      </c>
      <c r="I1589" s="3">
        <f t="shared" ca="1" si="179"/>
        <v>3.6275477426761493</v>
      </c>
      <c r="J1589" s="3">
        <f t="shared" ca="1" si="180"/>
        <v>9.5230611447634708</v>
      </c>
      <c r="P1589" s="3">
        <f t="shared" ca="1" si="181"/>
        <v>1.7205219352632799</v>
      </c>
      <c r="Q1589" s="3">
        <f t="shared" ca="1" si="182"/>
        <v>8.5235861095543441</v>
      </c>
      <c r="R1589" s="3">
        <f t="shared" ca="1" si="183"/>
        <v>8.6954997496814332</v>
      </c>
    </row>
    <row r="1590" spans="7:18" x14ac:dyDescent="0.25">
      <c r="G1590" s="2">
        <f t="shared" ca="1" si="177"/>
        <v>0.45961909383678357</v>
      </c>
      <c r="H1590" s="3">
        <f t="shared" ca="1" si="178"/>
        <v>0</v>
      </c>
      <c r="I1590" s="3">
        <f t="shared" ca="1" si="179"/>
        <v>3.8946909111538943</v>
      </c>
      <c r="J1590" s="3">
        <f t="shared" ca="1" si="180"/>
        <v>9.8674856361105157</v>
      </c>
      <c r="P1590" s="3">
        <f t="shared" ca="1" si="181"/>
        <v>-9.4499153486759155</v>
      </c>
      <c r="Q1590" s="3">
        <f t="shared" ca="1" si="182"/>
        <v>-6.3262937176029421</v>
      </c>
      <c r="R1590" s="3">
        <f t="shared" ca="1" si="183"/>
        <v>11.372022348664423</v>
      </c>
    </row>
    <row r="1591" spans="7:18" x14ac:dyDescent="0.25">
      <c r="G1591" s="2">
        <f t="shared" ca="1" si="177"/>
        <v>0.36354674926658426</v>
      </c>
      <c r="H1591" s="3">
        <f t="shared" ca="1" si="178"/>
        <v>0</v>
      </c>
      <c r="I1591" s="3">
        <f t="shared" ca="1" si="179"/>
        <v>2.4356715479064155</v>
      </c>
      <c r="J1591" s="3">
        <f t="shared" ca="1" si="180"/>
        <v>7.8033190821380858</v>
      </c>
      <c r="P1591" s="3">
        <f t="shared" ca="1" si="181"/>
        <v>-8.0914513253470144</v>
      </c>
      <c r="Q1591" s="3">
        <f t="shared" ca="1" si="182"/>
        <v>4.5758593129207821</v>
      </c>
      <c r="R1591" s="3">
        <f t="shared" ca="1" si="183"/>
        <v>9.2957018563475771</v>
      </c>
    </row>
    <row r="1592" spans="7:18" x14ac:dyDescent="0.25">
      <c r="G1592" s="2">
        <f t="shared" ca="1" si="177"/>
        <v>0.33203825737442128</v>
      </c>
      <c r="H1592" s="3">
        <f t="shared" ca="1" si="178"/>
        <v>0</v>
      </c>
      <c r="I1592" s="3">
        <f t="shared" ca="1" si="179"/>
        <v>0.4317721320213509</v>
      </c>
      <c r="J1592" s="3">
        <f t="shared" ca="1" si="180"/>
        <v>3.2854685054849897</v>
      </c>
      <c r="P1592" s="3">
        <f t="shared" ca="1" si="181"/>
        <v>-3.6694427524778468</v>
      </c>
      <c r="Q1592" s="3">
        <f t="shared" ca="1" si="182"/>
        <v>-12.618865359159182</v>
      </c>
      <c r="R1592" s="3">
        <f t="shared" ca="1" si="183"/>
        <v>13.141559004406584</v>
      </c>
    </row>
    <row r="1593" spans="7:18" x14ac:dyDescent="0.25">
      <c r="G1593" s="2">
        <f t="shared" ca="1" si="177"/>
        <v>0.94672137568127845</v>
      </c>
      <c r="H1593" s="3">
        <f t="shared" ca="1" si="178"/>
        <v>2</v>
      </c>
      <c r="I1593" s="3">
        <f t="shared" ca="1" si="179"/>
        <v>9.0622606262375438</v>
      </c>
      <c r="J1593" s="3">
        <f t="shared" ca="1" si="180"/>
        <v>15.051794433087991</v>
      </c>
      <c r="P1593" s="3">
        <f t="shared" ca="1" si="181"/>
        <v>-2.3525650936794991</v>
      </c>
      <c r="Q1593" s="3">
        <f t="shared" ca="1" si="182"/>
        <v>0.82010586632176219</v>
      </c>
      <c r="R1593" s="3">
        <f t="shared" ca="1" si="183"/>
        <v>2.4914124812994332</v>
      </c>
    </row>
    <row r="1594" spans="7:18" x14ac:dyDescent="0.25">
      <c r="G1594" s="2">
        <f t="shared" ca="1" si="177"/>
        <v>0.95860837519609843</v>
      </c>
      <c r="H1594" s="3">
        <f t="shared" ca="1" si="178"/>
        <v>2</v>
      </c>
      <c r="I1594" s="3">
        <f t="shared" ca="1" si="179"/>
        <v>3.516670125952817</v>
      </c>
      <c r="J1594" s="3">
        <f t="shared" ca="1" si="180"/>
        <v>9.3763933977207046</v>
      </c>
      <c r="P1594" s="3">
        <f t="shared" ca="1" si="181"/>
        <v>-9.2874435626010339</v>
      </c>
      <c r="Q1594" s="3">
        <f t="shared" ca="1" si="182"/>
        <v>-1.4929087321939913</v>
      </c>
      <c r="R1594" s="3">
        <f t="shared" ca="1" si="183"/>
        <v>9.4066670192561013</v>
      </c>
    </row>
    <row r="1595" spans="7:18" x14ac:dyDescent="0.25">
      <c r="G1595" s="2">
        <f t="shared" ca="1" si="177"/>
        <v>0.35057602352981687</v>
      </c>
      <c r="H1595" s="3">
        <f t="shared" ca="1" si="178"/>
        <v>0</v>
      </c>
      <c r="I1595" s="3">
        <f t="shared" ca="1" si="179"/>
        <v>0.83261742103784964</v>
      </c>
      <c r="J1595" s="3">
        <f t="shared" ca="1" si="180"/>
        <v>4.5623936180415479</v>
      </c>
      <c r="P1595" s="3">
        <f t="shared" ca="1" si="181"/>
        <v>-7.7272911354759177</v>
      </c>
      <c r="Q1595" s="3">
        <f t="shared" ca="1" si="182"/>
        <v>-4.3340833553854994</v>
      </c>
      <c r="R1595" s="3">
        <f t="shared" ca="1" si="183"/>
        <v>8.8597577181226761</v>
      </c>
    </row>
    <row r="1596" spans="7:18" x14ac:dyDescent="0.25">
      <c r="G1596" s="2">
        <f t="shared" ca="1" si="177"/>
        <v>0.71610937876655023</v>
      </c>
      <c r="H1596" s="3">
        <f t="shared" ca="1" si="178"/>
        <v>1</v>
      </c>
      <c r="I1596" s="3">
        <f t="shared" ca="1" si="179"/>
        <v>8.6672596601756755</v>
      </c>
      <c r="J1596" s="3">
        <f t="shared" ca="1" si="180"/>
        <v>14.720105009964836</v>
      </c>
      <c r="P1596" s="3">
        <f t="shared" ca="1" si="181"/>
        <v>1.3742170299614385</v>
      </c>
      <c r="Q1596" s="3">
        <f t="shared" ca="1" si="182"/>
        <v>-1.8226558363071494</v>
      </c>
      <c r="R1596" s="3">
        <f t="shared" ca="1" si="183"/>
        <v>2.2826622052026337</v>
      </c>
    </row>
    <row r="1597" spans="7:18" x14ac:dyDescent="0.25">
      <c r="G1597" s="2">
        <f t="shared" ca="1" si="177"/>
        <v>0.70964627335460628</v>
      </c>
      <c r="H1597" s="3">
        <f t="shared" ca="1" si="178"/>
        <v>1</v>
      </c>
      <c r="I1597" s="3">
        <f t="shared" ca="1" si="179"/>
        <v>8.8766667170851452</v>
      </c>
      <c r="J1597" s="3">
        <f t="shared" ca="1" si="180"/>
        <v>14.896867722012189</v>
      </c>
      <c r="P1597" s="3">
        <f t="shared" ca="1" si="181"/>
        <v>-6.2436874545934611</v>
      </c>
      <c r="Q1597" s="3">
        <f t="shared" ca="1" si="182"/>
        <v>7.2554951514126129</v>
      </c>
      <c r="R1597" s="3">
        <f t="shared" ca="1" si="183"/>
        <v>9.5721388896536457</v>
      </c>
    </row>
    <row r="1598" spans="7:18" x14ac:dyDescent="0.25">
      <c r="G1598" s="2">
        <f t="shared" ca="1" si="177"/>
        <v>0.5989076490480213</v>
      </c>
      <c r="H1598" s="3">
        <f t="shared" ca="1" si="178"/>
        <v>0</v>
      </c>
      <c r="I1598" s="3">
        <f t="shared" ca="1" si="179"/>
        <v>0.12281286302161354</v>
      </c>
      <c r="J1598" s="3">
        <f t="shared" ca="1" si="180"/>
        <v>1.7522333108180368</v>
      </c>
      <c r="P1598" s="3">
        <f t="shared" ca="1" si="181"/>
        <v>-4.5758288450376279</v>
      </c>
      <c r="Q1598" s="3">
        <f t="shared" ca="1" si="182"/>
        <v>-1.9063589429981582</v>
      </c>
      <c r="R1598" s="3">
        <f t="shared" ca="1" si="183"/>
        <v>4.9570569936835955</v>
      </c>
    </row>
    <row r="1599" spans="7:18" x14ac:dyDescent="0.25">
      <c r="G1599" s="2">
        <f t="shared" ca="1" si="177"/>
        <v>0.48503287867379297</v>
      </c>
      <c r="H1599" s="3">
        <f t="shared" ca="1" si="178"/>
        <v>0</v>
      </c>
      <c r="I1599" s="3">
        <f t="shared" ca="1" si="179"/>
        <v>2.176951960911937</v>
      </c>
      <c r="J1599" s="3">
        <f t="shared" ca="1" si="180"/>
        <v>7.3772487434543255</v>
      </c>
      <c r="P1599" s="3">
        <f t="shared" ca="1" si="181"/>
        <v>-7.7358191730405661</v>
      </c>
      <c r="Q1599" s="3">
        <f t="shared" ca="1" si="182"/>
        <v>-0.44969771160854732</v>
      </c>
      <c r="R1599" s="3">
        <f t="shared" ca="1" si="183"/>
        <v>7.7488790356933563</v>
      </c>
    </row>
    <row r="1600" spans="7:18" x14ac:dyDescent="0.25">
      <c r="G1600" s="2">
        <f t="shared" ca="1" si="177"/>
        <v>0.29467982675410376</v>
      </c>
      <c r="H1600" s="3">
        <f t="shared" ca="1" si="178"/>
        <v>0</v>
      </c>
      <c r="I1600" s="3">
        <f t="shared" ca="1" si="179"/>
        <v>0.43046957626730931</v>
      </c>
      <c r="J1600" s="3">
        <f t="shared" ca="1" si="180"/>
        <v>3.280509016400158</v>
      </c>
      <c r="P1600" s="3">
        <f t="shared" ca="1" si="181"/>
        <v>-12.404240449341795</v>
      </c>
      <c r="Q1600" s="3">
        <f t="shared" ca="1" si="182"/>
        <v>0.94270569210938215</v>
      </c>
      <c r="R1600" s="3">
        <f t="shared" ca="1" si="183"/>
        <v>12.440011058959016</v>
      </c>
    </row>
    <row r="1601" spans="7:18" x14ac:dyDescent="0.25">
      <c r="G1601" s="2">
        <f t="shared" ca="1" si="177"/>
        <v>0.92810907052451619</v>
      </c>
      <c r="H1601" s="3">
        <f t="shared" ca="1" si="178"/>
        <v>2</v>
      </c>
      <c r="I1601" s="3">
        <f t="shared" ca="1" si="179"/>
        <v>5.2692317455209299</v>
      </c>
      <c r="J1601" s="3">
        <f t="shared" ca="1" si="180"/>
        <v>11.477403610487141</v>
      </c>
      <c r="P1601" s="3">
        <f t="shared" ca="1" si="181"/>
        <v>-11.160119716533611</v>
      </c>
      <c r="Q1601" s="3">
        <f t="shared" ca="1" si="182"/>
        <v>-2.352840090950655</v>
      </c>
      <c r="R1601" s="3">
        <f t="shared" ca="1" si="183"/>
        <v>11.40544293663981</v>
      </c>
    </row>
    <row r="1602" spans="7:18" x14ac:dyDescent="0.25">
      <c r="G1602" s="2">
        <f t="shared" ca="1" si="177"/>
        <v>3.0679389651005029E-2</v>
      </c>
      <c r="H1602" s="3">
        <f t="shared" ca="1" si="178"/>
        <v>0</v>
      </c>
      <c r="I1602" s="3">
        <f t="shared" ca="1" si="179"/>
        <v>6.2230109188473657</v>
      </c>
      <c r="J1602" s="3">
        <f t="shared" ca="1" si="180"/>
        <v>12.472981719347789</v>
      </c>
      <c r="P1602" s="3">
        <f t="shared" ca="1" si="181"/>
        <v>-5.5072880562990445</v>
      </c>
      <c r="Q1602" s="3">
        <f t="shared" ca="1" si="182"/>
        <v>4.4131902789068143</v>
      </c>
      <c r="R1602" s="3">
        <f t="shared" ca="1" si="183"/>
        <v>7.057369918949389</v>
      </c>
    </row>
    <row r="1603" spans="7:18" x14ac:dyDescent="0.25">
      <c r="G1603" s="2">
        <f t="shared" ca="1" si="177"/>
        <v>0.39841932502015787</v>
      </c>
      <c r="H1603" s="3">
        <f t="shared" ca="1" si="178"/>
        <v>0</v>
      </c>
      <c r="I1603" s="3">
        <f t="shared" ca="1" si="179"/>
        <v>5.2170653385141916</v>
      </c>
      <c r="J1603" s="3">
        <f t="shared" ca="1" si="180"/>
        <v>11.420448041248417</v>
      </c>
      <c r="P1603" s="3">
        <f t="shared" ca="1" si="181"/>
        <v>-7.3038412275130185</v>
      </c>
      <c r="Q1603" s="3">
        <f t="shared" ca="1" si="182"/>
        <v>-0.92411946197150407</v>
      </c>
      <c r="R1603" s="3">
        <f t="shared" ca="1" si="183"/>
        <v>7.3620712749003854</v>
      </c>
    </row>
    <row r="1604" spans="7:18" x14ac:dyDescent="0.25">
      <c r="G1604" s="2">
        <f t="shared" ref="G1604:G1667" ca="1" si="184">RAND()</f>
        <v>0.84339080727301874</v>
      </c>
      <c r="H1604" s="3">
        <f t="shared" ref="H1604:H1667" ca="1" si="185">VLOOKUP(G1604,$B$9:$C$169,2,TRUE)</f>
        <v>1</v>
      </c>
      <c r="I1604" s="3">
        <f t="shared" ref="I1604:I1667" ca="1" si="186">_xlfn.CHISQ.INV(RAND(),2*H1604+2)</f>
        <v>2.4971721887193294</v>
      </c>
      <c r="J1604" s="3">
        <f t="shared" ref="J1604:J1667" ca="1" si="187">$C$4*SQRT(I1604)</f>
        <v>7.9012217231250537</v>
      </c>
      <c r="P1604" s="3">
        <f t="shared" ref="P1604:P1667" ca="1" si="188">_xlfn.NORM.INV(RAND(),$C$3*COS($O$2),$C$4)</f>
        <v>-6.4867616634838683</v>
      </c>
      <c r="Q1604" s="3">
        <f t="shared" ref="Q1604:Q1667" ca="1" si="189">_xlfn.NORM.INV(RAND(),$C$3*SIN($O$2),$C$4)</f>
        <v>-5.1877205503361994</v>
      </c>
      <c r="R1604" s="3">
        <f t="shared" ref="R1604:R1667" ca="1" si="190">SQRT(P1604^2+Q1604^2)</f>
        <v>8.3060532978800783</v>
      </c>
    </row>
    <row r="1605" spans="7:18" x14ac:dyDescent="0.25">
      <c r="G1605" s="2">
        <f t="shared" ca="1" si="184"/>
        <v>0.64813479880470537</v>
      </c>
      <c r="H1605" s="3">
        <f t="shared" ca="1" si="185"/>
        <v>1</v>
      </c>
      <c r="I1605" s="3">
        <f t="shared" ca="1" si="186"/>
        <v>3.618277980671555</v>
      </c>
      <c r="J1605" s="3">
        <f t="shared" ca="1" si="187"/>
        <v>9.5108858429059531</v>
      </c>
      <c r="P1605" s="3">
        <f t="shared" ca="1" si="188"/>
        <v>-13.581717212191569</v>
      </c>
      <c r="Q1605" s="3">
        <f t="shared" ca="1" si="189"/>
        <v>-1.8750577727636335</v>
      </c>
      <c r="R1605" s="3">
        <f t="shared" ca="1" si="190"/>
        <v>13.710539160920771</v>
      </c>
    </row>
    <row r="1606" spans="7:18" x14ac:dyDescent="0.25">
      <c r="G1606" s="2">
        <f t="shared" ca="1" si="184"/>
        <v>0.63052088599926681</v>
      </c>
      <c r="H1606" s="3">
        <f t="shared" ca="1" si="185"/>
        <v>1</v>
      </c>
      <c r="I1606" s="3">
        <f t="shared" ca="1" si="186"/>
        <v>8.2063360064885185</v>
      </c>
      <c r="J1606" s="3">
        <f t="shared" ca="1" si="187"/>
        <v>14.323351568756976</v>
      </c>
      <c r="P1606" s="3">
        <f t="shared" ca="1" si="188"/>
        <v>-10.112644037027364</v>
      </c>
      <c r="Q1606" s="3">
        <f t="shared" ca="1" si="189"/>
        <v>3.6853982716612044</v>
      </c>
      <c r="R1606" s="3">
        <f t="shared" ca="1" si="190"/>
        <v>10.763258328238177</v>
      </c>
    </row>
    <row r="1607" spans="7:18" x14ac:dyDescent="0.25">
      <c r="G1607" s="2">
        <f t="shared" ca="1" si="184"/>
        <v>0.5881190078507228</v>
      </c>
      <c r="H1607" s="3">
        <f t="shared" ca="1" si="185"/>
        <v>0</v>
      </c>
      <c r="I1607" s="3">
        <f t="shared" ca="1" si="186"/>
        <v>2.4474913722351079</v>
      </c>
      <c r="J1607" s="3">
        <f t="shared" ca="1" si="187"/>
        <v>7.8222301363407674</v>
      </c>
      <c r="P1607" s="3">
        <f t="shared" ca="1" si="188"/>
        <v>-3.8252835344226939</v>
      </c>
      <c r="Q1607" s="3">
        <f t="shared" ca="1" si="189"/>
        <v>-2.4999788779242364E-2</v>
      </c>
      <c r="R1607" s="3">
        <f t="shared" ca="1" si="190"/>
        <v>3.8253652254607511</v>
      </c>
    </row>
    <row r="1608" spans="7:18" x14ac:dyDescent="0.25">
      <c r="G1608" s="2">
        <f t="shared" ca="1" si="184"/>
        <v>0.39274085501772982</v>
      </c>
      <c r="H1608" s="3">
        <f t="shared" ca="1" si="185"/>
        <v>0</v>
      </c>
      <c r="I1608" s="3">
        <f t="shared" ca="1" si="186"/>
        <v>1.6180134266379165</v>
      </c>
      <c r="J1608" s="3">
        <f t="shared" ca="1" si="187"/>
        <v>6.3600578351103003</v>
      </c>
      <c r="P1608" s="3">
        <f t="shared" ca="1" si="188"/>
        <v>1.2217503612788772</v>
      </c>
      <c r="Q1608" s="3">
        <f t="shared" ca="1" si="189"/>
        <v>-5.044791387154766</v>
      </c>
      <c r="R1608" s="3">
        <f t="shared" ca="1" si="190"/>
        <v>5.1906255967075854</v>
      </c>
    </row>
    <row r="1609" spans="7:18" x14ac:dyDescent="0.25">
      <c r="G1609" s="2">
        <f t="shared" ca="1" si="184"/>
        <v>0.38259573638262889</v>
      </c>
      <c r="H1609" s="3">
        <f t="shared" ca="1" si="185"/>
        <v>0</v>
      </c>
      <c r="I1609" s="3">
        <f t="shared" ca="1" si="186"/>
        <v>0.34394717037322592</v>
      </c>
      <c r="J1609" s="3">
        <f t="shared" ca="1" si="187"/>
        <v>2.9323504666616245</v>
      </c>
      <c r="P1609" s="3">
        <f t="shared" ca="1" si="188"/>
        <v>-5.761624866385942</v>
      </c>
      <c r="Q1609" s="3">
        <f t="shared" ca="1" si="189"/>
        <v>1.358508918431286</v>
      </c>
      <c r="R1609" s="3">
        <f t="shared" ca="1" si="190"/>
        <v>5.9196171820831589</v>
      </c>
    </row>
    <row r="1610" spans="7:18" x14ac:dyDescent="0.25">
      <c r="G1610" s="2">
        <f t="shared" ca="1" si="184"/>
        <v>0.75893404105277229</v>
      </c>
      <c r="H1610" s="3">
        <f t="shared" ca="1" si="185"/>
        <v>1</v>
      </c>
      <c r="I1610" s="3">
        <f t="shared" ca="1" si="186"/>
        <v>1.4252138443636169</v>
      </c>
      <c r="J1610" s="3">
        <f t="shared" ca="1" si="187"/>
        <v>5.9691160240935526</v>
      </c>
      <c r="P1610" s="3">
        <f t="shared" ca="1" si="188"/>
        <v>-6.7393551402745278</v>
      </c>
      <c r="Q1610" s="3">
        <f t="shared" ca="1" si="189"/>
        <v>5.5616651451704824</v>
      </c>
      <c r="R1610" s="3">
        <f t="shared" ca="1" si="190"/>
        <v>8.7379074665361891</v>
      </c>
    </row>
    <row r="1611" spans="7:18" x14ac:dyDescent="0.25">
      <c r="G1611" s="2">
        <f t="shared" ca="1" si="184"/>
        <v>0.57324625420662823</v>
      </c>
      <c r="H1611" s="3">
        <f t="shared" ca="1" si="185"/>
        <v>0</v>
      </c>
      <c r="I1611" s="3">
        <f t="shared" ca="1" si="186"/>
        <v>3.984978920422054</v>
      </c>
      <c r="J1611" s="3">
        <f t="shared" ca="1" si="187"/>
        <v>9.9812059897865719</v>
      </c>
      <c r="P1611" s="3">
        <f t="shared" ca="1" si="188"/>
        <v>-4.4377555855243962</v>
      </c>
      <c r="Q1611" s="3">
        <f t="shared" ca="1" si="189"/>
        <v>-10.424827922294249</v>
      </c>
      <c r="R1611" s="3">
        <f t="shared" ca="1" si="190"/>
        <v>11.33007995763043</v>
      </c>
    </row>
    <row r="1612" spans="7:18" x14ac:dyDescent="0.25">
      <c r="G1612" s="2">
        <f t="shared" ca="1" si="184"/>
        <v>0.17286926745174513</v>
      </c>
      <c r="H1612" s="3">
        <f t="shared" ca="1" si="185"/>
        <v>0</v>
      </c>
      <c r="I1612" s="3">
        <f t="shared" ca="1" si="186"/>
        <v>0.91804741209900043</v>
      </c>
      <c r="J1612" s="3">
        <f t="shared" ca="1" si="187"/>
        <v>4.7907395360711282</v>
      </c>
      <c r="P1612" s="3">
        <f t="shared" ca="1" si="188"/>
        <v>-5.2439626635363892</v>
      </c>
      <c r="Q1612" s="3">
        <f t="shared" ca="1" si="189"/>
        <v>-1.6805374570367568</v>
      </c>
      <c r="R1612" s="3">
        <f t="shared" ca="1" si="190"/>
        <v>5.5066641954151549</v>
      </c>
    </row>
    <row r="1613" spans="7:18" x14ac:dyDescent="0.25">
      <c r="G1613" s="2">
        <f t="shared" ca="1" si="184"/>
        <v>0.93539038532334695</v>
      </c>
      <c r="H1613" s="3">
        <f t="shared" ca="1" si="185"/>
        <v>2</v>
      </c>
      <c r="I1613" s="3">
        <f t="shared" ca="1" si="186"/>
        <v>8.136402457265401</v>
      </c>
      <c r="J1613" s="3">
        <f t="shared" ca="1" si="187"/>
        <v>14.262189924118772</v>
      </c>
      <c r="P1613" s="3">
        <f t="shared" ca="1" si="188"/>
        <v>-5.9968715959934951</v>
      </c>
      <c r="Q1613" s="3">
        <f t="shared" ca="1" si="189"/>
        <v>4.7967525968153559</v>
      </c>
      <c r="R1613" s="3">
        <f t="shared" ca="1" si="190"/>
        <v>7.679277597136883</v>
      </c>
    </row>
    <row r="1614" spans="7:18" x14ac:dyDescent="0.25">
      <c r="G1614" s="2">
        <f t="shared" ca="1" si="184"/>
        <v>0.94586688710171218</v>
      </c>
      <c r="H1614" s="3">
        <f t="shared" ca="1" si="185"/>
        <v>2</v>
      </c>
      <c r="I1614" s="3">
        <f t="shared" ca="1" si="186"/>
        <v>4.5408917646657212</v>
      </c>
      <c r="J1614" s="3">
        <f t="shared" ca="1" si="187"/>
        <v>10.654684139693821</v>
      </c>
      <c r="P1614" s="3">
        <f t="shared" ca="1" si="188"/>
        <v>-5.3724882552077524E-2</v>
      </c>
      <c r="Q1614" s="3">
        <f t="shared" ca="1" si="189"/>
        <v>0.2383531188678282</v>
      </c>
      <c r="R1614" s="3">
        <f t="shared" ca="1" si="190"/>
        <v>0.24433291280393551</v>
      </c>
    </row>
    <row r="1615" spans="7:18" x14ac:dyDescent="0.25">
      <c r="G1615" s="2">
        <f t="shared" ca="1" si="184"/>
        <v>1.3572946747336112E-2</v>
      </c>
      <c r="H1615" s="3">
        <f t="shared" ca="1" si="185"/>
        <v>0</v>
      </c>
      <c r="I1615" s="3">
        <f t="shared" ca="1" si="186"/>
        <v>0.1518661218145681</v>
      </c>
      <c r="J1615" s="3">
        <f t="shared" ca="1" si="187"/>
        <v>1.9485002040965258</v>
      </c>
      <c r="P1615" s="3">
        <f t="shared" ca="1" si="188"/>
        <v>-3.7065248074089143</v>
      </c>
      <c r="Q1615" s="3">
        <f t="shared" ca="1" si="189"/>
        <v>-4.3402570633561037</v>
      </c>
      <c r="R1615" s="3">
        <f t="shared" ca="1" si="190"/>
        <v>5.707552673777986</v>
      </c>
    </row>
    <row r="1616" spans="7:18" x14ac:dyDescent="0.25">
      <c r="G1616" s="2">
        <f t="shared" ca="1" si="184"/>
        <v>0.45283529064134176</v>
      </c>
      <c r="H1616" s="3">
        <f t="shared" ca="1" si="185"/>
        <v>0</v>
      </c>
      <c r="I1616" s="3">
        <f t="shared" ca="1" si="186"/>
        <v>0.96505084929788731</v>
      </c>
      <c r="J1616" s="3">
        <f t="shared" ca="1" si="187"/>
        <v>4.9118500824482805</v>
      </c>
      <c r="P1616" s="3">
        <f t="shared" ca="1" si="188"/>
        <v>-8.1473606328594936</v>
      </c>
      <c r="Q1616" s="3">
        <f t="shared" ca="1" si="189"/>
        <v>2.7458694637208385</v>
      </c>
      <c r="R1616" s="3">
        <f t="shared" ca="1" si="190"/>
        <v>8.5976324877063224</v>
      </c>
    </row>
    <row r="1617" spans="7:18" x14ac:dyDescent="0.25">
      <c r="G1617" s="2">
        <f t="shared" ca="1" si="184"/>
        <v>0.96303219158824638</v>
      </c>
      <c r="H1617" s="3">
        <f t="shared" ca="1" si="185"/>
        <v>2</v>
      </c>
      <c r="I1617" s="3">
        <f t="shared" ca="1" si="186"/>
        <v>4.2495720649368414</v>
      </c>
      <c r="J1617" s="3">
        <f t="shared" ca="1" si="187"/>
        <v>10.30724510349012</v>
      </c>
      <c r="P1617" s="3">
        <f t="shared" ca="1" si="188"/>
        <v>-3.4999782312246532</v>
      </c>
      <c r="Q1617" s="3">
        <f t="shared" ca="1" si="189"/>
        <v>2.087270411972364</v>
      </c>
      <c r="R1617" s="3">
        <f t="shared" ca="1" si="190"/>
        <v>4.0751129299372471</v>
      </c>
    </row>
    <row r="1618" spans="7:18" x14ac:dyDescent="0.25">
      <c r="G1618" s="2">
        <f t="shared" ca="1" si="184"/>
        <v>0.96960615588924515</v>
      </c>
      <c r="H1618" s="3">
        <f t="shared" ca="1" si="185"/>
        <v>2</v>
      </c>
      <c r="I1618" s="3">
        <f t="shared" ca="1" si="186"/>
        <v>5.4770601747449357</v>
      </c>
      <c r="J1618" s="3">
        <f t="shared" ca="1" si="187"/>
        <v>11.7015599117649</v>
      </c>
      <c r="P1618" s="3">
        <f t="shared" ca="1" si="188"/>
        <v>-3.6689413110137998</v>
      </c>
      <c r="Q1618" s="3">
        <f t="shared" ca="1" si="189"/>
        <v>5.5891857210311082</v>
      </c>
      <c r="R1618" s="3">
        <f t="shared" ca="1" si="190"/>
        <v>6.6858153854142346</v>
      </c>
    </row>
    <row r="1619" spans="7:18" x14ac:dyDescent="0.25">
      <c r="G1619" s="2">
        <f t="shared" ca="1" si="184"/>
        <v>0.74671007479749973</v>
      </c>
      <c r="H1619" s="3">
        <f t="shared" ca="1" si="185"/>
        <v>1</v>
      </c>
      <c r="I1619" s="3">
        <f t="shared" ca="1" si="186"/>
        <v>4.8255581557909908</v>
      </c>
      <c r="J1619" s="3">
        <f t="shared" ca="1" si="187"/>
        <v>10.983576552961916</v>
      </c>
      <c r="P1619" s="3">
        <f t="shared" ca="1" si="188"/>
        <v>-10.029940791243162</v>
      </c>
      <c r="Q1619" s="3">
        <f t="shared" ca="1" si="189"/>
        <v>-5.9412824548599561</v>
      </c>
      <c r="R1619" s="3">
        <f t="shared" ca="1" si="190"/>
        <v>11.6575533232437</v>
      </c>
    </row>
    <row r="1620" spans="7:18" x14ac:dyDescent="0.25">
      <c r="G1620" s="2">
        <f t="shared" ca="1" si="184"/>
        <v>0.50161155234234511</v>
      </c>
      <c r="H1620" s="3">
        <f t="shared" ca="1" si="185"/>
        <v>0</v>
      </c>
      <c r="I1620" s="3">
        <f t="shared" ca="1" si="186"/>
        <v>0.79720640364067619</v>
      </c>
      <c r="J1620" s="3">
        <f t="shared" ca="1" si="187"/>
        <v>4.4643207871989778</v>
      </c>
      <c r="P1620" s="3">
        <f t="shared" ca="1" si="188"/>
        <v>-5.2455920239171014</v>
      </c>
      <c r="Q1620" s="3">
        <f t="shared" ca="1" si="189"/>
        <v>1.4874818205301727</v>
      </c>
      <c r="R1620" s="3">
        <f t="shared" ca="1" si="190"/>
        <v>5.452415780898451</v>
      </c>
    </row>
    <row r="1621" spans="7:18" x14ac:dyDescent="0.25">
      <c r="G1621" s="2">
        <f t="shared" ca="1" si="184"/>
        <v>0.64318635345119035</v>
      </c>
      <c r="H1621" s="3">
        <f t="shared" ca="1" si="185"/>
        <v>1</v>
      </c>
      <c r="I1621" s="3">
        <f t="shared" ca="1" si="186"/>
        <v>1.4180509758545521</v>
      </c>
      <c r="J1621" s="3">
        <f t="shared" ca="1" si="187"/>
        <v>5.954097278040039</v>
      </c>
      <c r="P1621" s="3">
        <f t="shared" ca="1" si="188"/>
        <v>-4.6293052656289317</v>
      </c>
      <c r="Q1621" s="3">
        <f t="shared" ca="1" si="189"/>
        <v>2.6333569562750481</v>
      </c>
      <c r="R1621" s="3">
        <f t="shared" ca="1" si="190"/>
        <v>5.3258835981968229</v>
      </c>
    </row>
    <row r="1622" spans="7:18" x14ac:dyDescent="0.25">
      <c r="G1622" s="2">
        <f t="shared" ca="1" si="184"/>
        <v>9.6828553903167691E-2</v>
      </c>
      <c r="H1622" s="3">
        <f t="shared" ca="1" si="185"/>
        <v>0</v>
      </c>
      <c r="I1622" s="3">
        <f t="shared" ca="1" si="186"/>
        <v>0.35479863889764784</v>
      </c>
      <c r="J1622" s="3">
        <f t="shared" ca="1" si="187"/>
        <v>2.9782488096935751</v>
      </c>
      <c r="P1622" s="3">
        <f t="shared" ca="1" si="188"/>
        <v>-6.9472695618971603</v>
      </c>
      <c r="Q1622" s="3">
        <f t="shared" ca="1" si="189"/>
        <v>0.6161240215232402</v>
      </c>
      <c r="R1622" s="3">
        <f t="shared" ca="1" si="190"/>
        <v>6.9745367713964148</v>
      </c>
    </row>
    <row r="1623" spans="7:18" x14ac:dyDescent="0.25">
      <c r="G1623" s="2">
        <f t="shared" ca="1" si="184"/>
        <v>0.3126831468579061</v>
      </c>
      <c r="H1623" s="3">
        <f t="shared" ca="1" si="185"/>
        <v>0</v>
      </c>
      <c r="I1623" s="3">
        <f t="shared" ca="1" si="186"/>
        <v>1.4928675924795121</v>
      </c>
      <c r="J1623" s="3">
        <f t="shared" ca="1" si="187"/>
        <v>6.1091480430570506</v>
      </c>
      <c r="P1623" s="3">
        <f t="shared" ca="1" si="188"/>
        <v>-5.646205430047412</v>
      </c>
      <c r="Q1623" s="3">
        <f t="shared" ca="1" si="189"/>
        <v>-4.2366614104754756</v>
      </c>
      <c r="R1623" s="3">
        <f t="shared" ca="1" si="190"/>
        <v>7.0589613729860385</v>
      </c>
    </row>
    <row r="1624" spans="7:18" x14ac:dyDescent="0.25">
      <c r="G1624" s="2">
        <f t="shared" ca="1" si="184"/>
        <v>0.85638750757355209</v>
      </c>
      <c r="H1624" s="3">
        <f t="shared" ca="1" si="185"/>
        <v>1</v>
      </c>
      <c r="I1624" s="3">
        <f t="shared" ca="1" si="186"/>
        <v>2.3068623623599356</v>
      </c>
      <c r="J1624" s="3">
        <f t="shared" ca="1" si="187"/>
        <v>7.5941792880467593</v>
      </c>
      <c r="P1624" s="3">
        <f t="shared" ca="1" si="188"/>
        <v>-9.8717747642301497</v>
      </c>
      <c r="Q1624" s="3">
        <f t="shared" ca="1" si="189"/>
        <v>-4.5999705834701716</v>
      </c>
      <c r="R1624" s="3">
        <f t="shared" ca="1" si="190"/>
        <v>10.890898326790227</v>
      </c>
    </row>
    <row r="1625" spans="7:18" x14ac:dyDescent="0.25">
      <c r="G1625" s="2">
        <f t="shared" ca="1" si="184"/>
        <v>0.53561356447686481</v>
      </c>
      <c r="H1625" s="3">
        <f t="shared" ca="1" si="185"/>
        <v>0</v>
      </c>
      <c r="I1625" s="3">
        <f t="shared" ca="1" si="186"/>
        <v>8.6275654762373062</v>
      </c>
      <c r="J1625" s="3">
        <f t="shared" ca="1" si="187"/>
        <v>14.686358871617315</v>
      </c>
      <c r="P1625" s="3">
        <f t="shared" ca="1" si="188"/>
        <v>4.6105148686494974</v>
      </c>
      <c r="Q1625" s="3">
        <f t="shared" ca="1" si="189"/>
        <v>-1.9050407838008863</v>
      </c>
      <c r="R1625" s="3">
        <f t="shared" ca="1" si="190"/>
        <v>4.9885897548287916</v>
      </c>
    </row>
    <row r="1626" spans="7:18" x14ac:dyDescent="0.25">
      <c r="G1626" s="2">
        <f t="shared" ca="1" si="184"/>
        <v>0.13333451103338445</v>
      </c>
      <c r="H1626" s="3">
        <f t="shared" ca="1" si="185"/>
        <v>0</v>
      </c>
      <c r="I1626" s="3">
        <f t="shared" ca="1" si="186"/>
        <v>3.9959422393790383</v>
      </c>
      <c r="J1626" s="3">
        <f t="shared" ca="1" si="187"/>
        <v>9.9949265122098794</v>
      </c>
      <c r="P1626" s="3">
        <f t="shared" ca="1" si="188"/>
        <v>-9.3605059825835575</v>
      </c>
      <c r="Q1626" s="3">
        <f t="shared" ca="1" si="189"/>
        <v>-2.4582589416602736</v>
      </c>
      <c r="R1626" s="3">
        <f t="shared" ca="1" si="190"/>
        <v>9.6779186437082245</v>
      </c>
    </row>
    <row r="1627" spans="7:18" x14ac:dyDescent="0.25">
      <c r="G1627" s="2">
        <f t="shared" ca="1" si="184"/>
        <v>0.11690689434052048</v>
      </c>
      <c r="H1627" s="3">
        <f t="shared" ca="1" si="185"/>
        <v>0</v>
      </c>
      <c r="I1627" s="3">
        <f t="shared" ca="1" si="186"/>
        <v>1.7710562514823087</v>
      </c>
      <c r="J1627" s="3">
        <f t="shared" ca="1" si="187"/>
        <v>6.6540518698803153</v>
      </c>
      <c r="P1627" s="3">
        <f t="shared" ca="1" si="188"/>
        <v>-8.3919385900535453</v>
      </c>
      <c r="Q1627" s="3">
        <f t="shared" ca="1" si="189"/>
        <v>2.5205405601803488</v>
      </c>
      <c r="R1627" s="3">
        <f t="shared" ca="1" si="190"/>
        <v>8.7622918243313581</v>
      </c>
    </row>
    <row r="1628" spans="7:18" x14ac:dyDescent="0.25">
      <c r="G1628" s="2">
        <f t="shared" ca="1" si="184"/>
        <v>8.2728751093886888E-2</v>
      </c>
      <c r="H1628" s="3">
        <f t="shared" ca="1" si="185"/>
        <v>0</v>
      </c>
      <c r="I1628" s="3">
        <f t="shared" ca="1" si="186"/>
        <v>1.9876245071181817</v>
      </c>
      <c r="J1628" s="3">
        <f t="shared" ca="1" si="187"/>
        <v>7.0491568770991719</v>
      </c>
      <c r="P1628" s="3">
        <f t="shared" ca="1" si="188"/>
        <v>3.1516572791888464</v>
      </c>
      <c r="Q1628" s="3">
        <f t="shared" ca="1" si="189"/>
        <v>3.1614481169903845</v>
      </c>
      <c r="R1628" s="3">
        <f t="shared" ca="1" si="190"/>
        <v>4.4640450044646824</v>
      </c>
    </row>
    <row r="1629" spans="7:18" x14ac:dyDescent="0.25">
      <c r="G1629" s="2">
        <f t="shared" ca="1" si="184"/>
        <v>0.62161908388436282</v>
      </c>
      <c r="H1629" s="3">
        <f t="shared" ca="1" si="185"/>
        <v>1</v>
      </c>
      <c r="I1629" s="3">
        <f t="shared" ca="1" si="186"/>
        <v>3.9679098499983843</v>
      </c>
      <c r="J1629" s="3">
        <f t="shared" ca="1" si="187"/>
        <v>9.9598065367736748</v>
      </c>
      <c r="P1629" s="3">
        <f t="shared" ca="1" si="188"/>
        <v>-10.016398859237361</v>
      </c>
      <c r="Q1629" s="3">
        <f t="shared" ca="1" si="189"/>
        <v>-1.3400626591220473</v>
      </c>
      <c r="R1629" s="3">
        <f t="shared" ca="1" si="190"/>
        <v>10.105642683061022</v>
      </c>
    </row>
    <row r="1630" spans="7:18" x14ac:dyDescent="0.25">
      <c r="G1630" s="2">
        <f t="shared" ca="1" si="184"/>
        <v>0.63473658309877601</v>
      </c>
      <c r="H1630" s="3">
        <f t="shared" ca="1" si="185"/>
        <v>1</v>
      </c>
      <c r="I1630" s="3">
        <f t="shared" ca="1" si="186"/>
        <v>4.4537629861494841</v>
      </c>
      <c r="J1630" s="3">
        <f t="shared" ca="1" si="187"/>
        <v>10.551970178774061</v>
      </c>
      <c r="P1630" s="3">
        <f t="shared" ca="1" si="188"/>
        <v>-6.480817390899297</v>
      </c>
      <c r="Q1630" s="3">
        <f t="shared" ca="1" si="189"/>
        <v>7.7670779985824243</v>
      </c>
      <c r="R1630" s="3">
        <f t="shared" ca="1" si="190"/>
        <v>10.115754776102765</v>
      </c>
    </row>
    <row r="1631" spans="7:18" x14ac:dyDescent="0.25">
      <c r="G1631" s="2">
        <f t="shared" ca="1" si="184"/>
        <v>0.16929036797160057</v>
      </c>
      <c r="H1631" s="3">
        <f t="shared" ca="1" si="185"/>
        <v>0</v>
      </c>
      <c r="I1631" s="3">
        <f t="shared" ca="1" si="186"/>
        <v>2.4073148491455507</v>
      </c>
      <c r="J1631" s="3">
        <f t="shared" ca="1" si="187"/>
        <v>7.7577619987106319</v>
      </c>
      <c r="P1631" s="3">
        <f t="shared" ca="1" si="188"/>
        <v>-11.634096576156381</v>
      </c>
      <c r="Q1631" s="3">
        <f t="shared" ca="1" si="189"/>
        <v>0.93942021623555871</v>
      </c>
      <c r="R1631" s="3">
        <f t="shared" ca="1" si="190"/>
        <v>11.671962709244992</v>
      </c>
    </row>
    <row r="1632" spans="7:18" x14ac:dyDescent="0.25">
      <c r="G1632" s="2">
        <f t="shared" ca="1" si="184"/>
        <v>0.12797190389539381</v>
      </c>
      <c r="H1632" s="3">
        <f t="shared" ca="1" si="185"/>
        <v>0</v>
      </c>
      <c r="I1632" s="3">
        <f t="shared" ca="1" si="186"/>
        <v>0.28209457689815015</v>
      </c>
      <c r="J1632" s="3">
        <f t="shared" ca="1" si="187"/>
        <v>2.6556288186517625</v>
      </c>
      <c r="P1632" s="3">
        <f t="shared" ca="1" si="188"/>
        <v>-5.6069807134607235</v>
      </c>
      <c r="Q1632" s="3">
        <f t="shared" ca="1" si="189"/>
        <v>-3.1247062621019794</v>
      </c>
      <c r="R1632" s="3">
        <f t="shared" ca="1" si="190"/>
        <v>6.418880116152649</v>
      </c>
    </row>
    <row r="1633" spans="7:18" x14ac:dyDescent="0.25">
      <c r="G1633" s="2">
        <f t="shared" ca="1" si="184"/>
        <v>0.48004926957312444</v>
      </c>
      <c r="H1633" s="3">
        <f t="shared" ca="1" si="185"/>
        <v>0</v>
      </c>
      <c r="I1633" s="3">
        <f t="shared" ca="1" si="186"/>
        <v>1.530918941169176E-2</v>
      </c>
      <c r="J1633" s="3">
        <f t="shared" ca="1" si="187"/>
        <v>0.61865154593866001</v>
      </c>
      <c r="P1633" s="3">
        <f t="shared" ca="1" si="188"/>
        <v>-1.2908283903384472</v>
      </c>
      <c r="Q1633" s="3">
        <f t="shared" ca="1" si="189"/>
        <v>-1.5424949713761862</v>
      </c>
      <c r="R1633" s="3">
        <f t="shared" ca="1" si="190"/>
        <v>2.0113499620962454</v>
      </c>
    </row>
    <row r="1634" spans="7:18" x14ac:dyDescent="0.25">
      <c r="G1634" s="2">
        <f t="shared" ca="1" si="184"/>
        <v>0.92765646917339184</v>
      </c>
      <c r="H1634" s="3">
        <f t="shared" ca="1" si="185"/>
        <v>2</v>
      </c>
      <c r="I1634" s="3">
        <f t="shared" ca="1" si="186"/>
        <v>12.818072368867073</v>
      </c>
      <c r="J1634" s="3">
        <f t="shared" ca="1" si="187"/>
        <v>17.901167817259211</v>
      </c>
      <c r="P1634" s="3">
        <f t="shared" ca="1" si="188"/>
        <v>-10.178482179027501</v>
      </c>
      <c r="Q1634" s="3">
        <f t="shared" ca="1" si="189"/>
        <v>5.1783267242806792</v>
      </c>
      <c r="R1634" s="3">
        <f t="shared" ca="1" si="190"/>
        <v>11.420007317518667</v>
      </c>
    </row>
    <row r="1635" spans="7:18" x14ac:dyDescent="0.25">
      <c r="G1635" s="2">
        <f t="shared" ca="1" si="184"/>
        <v>4.8259856750417773E-3</v>
      </c>
      <c r="H1635" s="3">
        <f t="shared" ca="1" si="185"/>
        <v>0</v>
      </c>
      <c r="I1635" s="3">
        <f t="shared" ca="1" si="186"/>
        <v>0.42687812555865695</v>
      </c>
      <c r="J1635" s="3">
        <f t="shared" ca="1" si="187"/>
        <v>3.2667955459389288</v>
      </c>
      <c r="P1635" s="3">
        <f t="shared" ca="1" si="188"/>
        <v>-4.6143385710437697</v>
      </c>
      <c r="Q1635" s="3">
        <f t="shared" ca="1" si="189"/>
        <v>4.6875115148191213</v>
      </c>
      <c r="R1635" s="3">
        <f t="shared" ca="1" si="190"/>
        <v>6.5776047806009226</v>
      </c>
    </row>
    <row r="1636" spans="7:18" x14ac:dyDescent="0.25">
      <c r="G1636" s="2">
        <f t="shared" ca="1" si="184"/>
        <v>0.99870713552204726</v>
      </c>
      <c r="H1636" s="3">
        <f t="shared" ca="1" si="185"/>
        <v>4</v>
      </c>
      <c r="I1636" s="3">
        <f t="shared" ca="1" si="186"/>
        <v>9.3434201683403213</v>
      </c>
      <c r="J1636" s="3">
        <f t="shared" ca="1" si="187"/>
        <v>15.283504317024549</v>
      </c>
      <c r="P1636" s="3">
        <f t="shared" ca="1" si="188"/>
        <v>-0.52556124688119255</v>
      </c>
      <c r="Q1636" s="3">
        <f t="shared" ca="1" si="189"/>
        <v>-5.3409633689380556</v>
      </c>
      <c r="R1636" s="3">
        <f t="shared" ca="1" si="190"/>
        <v>5.3667592020288613</v>
      </c>
    </row>
    <row r="1637" spans="7:18" x14ac:dyDescent="0.25">
      <c r="G1637" s="2">
        <f t="shared" ca="1" si="184"/>
        <v>0.22248050855356305</v>
      </c>
      <c r="H1637" s="3">
        <f t="shared" ca="1" si="185"/>
        <v>0</v>
      </c>
      <c r="I1637" s="3">
        <f t="shared" ca="1" si="186"/>
        <v>0.88877213141458999</v>
      </c>
      <c r="J1637" s="3">
        <f t="shared" ca="1" si="187"/>
        <v>4.7137355977361253</v>
      </c>
      <c r="P1637" s="3">
        <f t="shared" ca="1" si="188"/>
        <v>-5.8673571608094299</v>
      </c>
      <c r="Q1637" s="3">
        <f t="shared" ca="1" si="189"/>
        <v>-13.955481547603263</v>
      </c>
      <c r="R1637" s="3">
        <f t="shared" ca="1" si="190"/>
        <v>15.138736581300199</v>
      </c>
    </row>
    <row r="1638" spans="7:18" x14ac:dyDescent="0.25">
      <c r="G1638" s="2">
        <f t="shared" ca="1" si="184"/>
        <v>0.22457690041425704</v>
      </c>
      <c r="H1638" s="3">
        <f t="shared" ca="1" si="185"/>
        <v>0</v>
      </c>
      <c r="I1638" s="3">
        <f t="shared" ca="1" si="186"/>
        <v>0.24123969845112317</v>
      </c>
      <c r="J1638" s="3">
        <f t="shared" ca="1" si="187"/>
        <v>2.4558079039855865</v>
      </c>
      <c r="P1638" s="3">
        <f t="shared" ca="1" si="188"/>
        <v>3.9112382456601722</v>
      </c>
      <c r="Q1638" s="3">
        <f t="shared" ca="1" si="189"/>
        <v>11.433375562817448</v>
      </c>
      <c r="R1638" s="3">
        <f t="shared" ca="1" si="190"/>
        <v>12.083867815180122</v>
      </c>
    </row>
    <row r="1639" spans="7:18" x14ac:dyDescent="0.25">
      <c r="G1639" s="2">
        <f t="shared" ca="1" si="184"/>
        <v>0.73612616948940335</v>
      </c>
      <c r="H1639" s="3">
        <f t="shared" ca="1" si="185"/>
        <v>1</v>
      </c>
      <c r="I1639" s="3">
        <f t="shared" ca="1" si="186"/>
        <v>2.8451235104598087</v>
      </c>
      <c r="J1639" s="3">
        <f t="shared" ca="1" si="187"/>
        <v>8.4337469585881699</v>
      </c>
      <c r="P1639" s="3">
        <f t="shared" ca="1" si="188"/>
        <v>-0.30115824518188195</v>
      </c>
      <c r="Q1639" s="3">
        <f t="shared" ca="1" si="189"/>
        <v>9.4539611575121967</v>
      </c>
      <c r="R1639" s="3">
        <f t="shared" ca="1" si="190"/>
        <v>9.4587566760325519</v>
      </c>
    </row>
    <row r="1640" spans="7:18" x14ac:dyDescent="0.25">
      <c r="G1640" s="2">
        <f t="shared" ca="1" si="184"/>
        <v>0.27204715742496621</v>
      </c>
      <c r="H1640" s="3">
        <f t="shared" ca="1" si="185"/>
        <v>0</v>
      </c>
      <c r="I1640" s="3">
        <f t="shared" ca="1" si="186"/>
        <v>0.73640632186180288</v>
      </c>
      <c r="J1640" s="3">
        <f t="shared" ca="1" si="187"/>
        <v>4.290706007936814</v>
      </c>
      <c r="P1640" s="3">
        <f t="shared" ca="1" si="188"/>
        <v>-10.93352008197709</v>
      </c>
      <c r="Q1640" s="3">
        <f t="shared" ca="1" si="189"/>
        <v>12.366788532007503</v>
      </c>
      <c r="R1640" s="3">
        <f t="shared" ca="1" si="190"/>
        <v>16.506947627541216</v>
      </c>
    </row>
    <row r="1641" spans="7:18" x14ac:dyDescent="0.25">
      <c r="G1641" s="2">
        <f t="shared" ca="1" si="184"/>
        <v>0.77086115138015421</v>
      </c>
      <c r="H1641" s="3">
        <f t="shared" ca="1" si="185"/>
        <v>1</v>
      </c>
      <c r="I1641" s="3">
        <f t="shared" ca="1" si="186"/>
        <v>3.6305166451653172</v>
      </c>
      <c r="J1641" s="3">
        <f t="shared" ca="1" si="187"/>
        <v>9.5269573384755386</v>
      </c>
      <c r="P1641" s="3">
        <f t="shared" ca="1" si="188"/>
        <v>-4.7754807653018903</v>
      </c>
      <c r="Q1641" s="3">
        <f t="shared" ca="1" si="189"/>
        <v>-3.3157645990231224</v>
      </c>
      <c r="R1641" s="3">
        <f t="shared" ca="1" si="190"/>
        <v>5.8137347218378732</v>
      </c>
    </row>
    <row r="1642" spans="7:18" x14ac:dyDescent="0.25">
      <c r="G1642" s="2">
        <f t="shared" ca="1" si="184"/>
        <v>0.11031249341828586</v>
      </c>
      <c r="H1642" s="3">
        <f t="shared" ca="1" si="185"/>
        <v>0</v>
      </c>
      <c r="I1642" s="3">
        <f t="shared" ca="1" si="186"/>
        <v>4.8801267755372999</v>
      </c>
      <c r="J1642" s="3">
        <f t="shared" ca="1" si="187"/>
        <v>11.045504487728593</v>
      </c>
      <c r="P1642" s="3">
        <f t="shared" ca="1" si="188"/>
        <v>-0.62510890256345952</v>
      </c>
      <c r="Q1642" s="3">
        <f t="shared" ca="1" si="189"/>
        <v>-3.3525864586094825</v>
      </c>
      <c r="R1642" s="3">
        <f t="shared" ca="1" si="190"/>
        <v>3.4103661244088976</v>
      </c>
    </row>
    <row r="1643" spans="7:18" x14ac:dyDescent="0.25">
      <c r="G1643" s="2">
        <f t="shared" ca="1" si="184"/>
        <v>0.17091674463690532</v>
      </c>
      <c r="H1643" s="3">
        <f t="shared" ca="1" si="185"/>
        <v>0</v>
      </c>
      <c r="I1643" s="3">
        <f t="shared" ca="1" si="186"/>
        <v>13.442434231343023</v>
      </c>
      <c r="J1643" s="3">
        <f t="shared" ca="1" si="187"/>
        <v>18.331962682254609</v>
      </c>
      <c r="P1643" s="3">
        <f t="shared" ca="1" si="188"/>
        <v>-5.4207635735787747</v>
      </c>
      <c r="Q1643" s="3">
        <f t="shared" ca="1" si="189"/>
        <v>0.11976779982778955</v>
      </c>
      <c r="R1643" s="3">
        <f t="shared" ca="1" si="190"/>
        <v>5.4220865030460477</v>
      </c>
    </row>
    <row r="1644" spans="7:18" x14ac:dyDescent="0.25">
      <c r="G1644" s="2">
        <f t="shared" ca="1" si="184"/>
        <v>0.76204999889165559</v>
      </c>
      <c r="H1644" s="3">
        <f t="shared" ca="1" si="185"/>
        <v>1</v>
      </c>
      <c r="I1644" s="3">
        <f t="shared" ca="1" si="186"/>
        <v>4.3513188538931766</v>
      </c>
      <c r="J1644" s="3">
        <f t="shared" ca="1" si="187"/>
        <v>10.429907542606953</v>
      </c>
      <c r="P1644" s="3">
        <f t="shared" ca="1" si="188"/>
        <v>-0.21553075680648082</v>
      </c>
      <c r="Q1644" s="3">
        <f t="shared" ca="1" si="189"/>
        <v>7.3423112006082381</v>
      </c>
      <c r="R1644" s="3">
        <f t="shared" ca="1" si="190"/>
        <v>7.3454739311842063</v>
      </c>
    </row>
    <row r="1645" spans="7:18" x14ac:dyDescent="0.25">
      <c r="G1645" s="2">
        <f t="shared" ca="1" si="184"/>
        <v>0.70451519081756031</v>
      </c>
      <c r="H1645" s="3">
        <f t="shared" ca="1" si="185"/>
        <v>1</v>
      </c>
      <c r="I1645" s="3">
        <f t="shared" ca="1" si="186"/>
        <v>3.4904390613717342</v>
      </c>
      <c r="J1645" s="3">
        <f t="shared" ca="1" si="187"/>
        <v>9.3413583880661264</v>
      </c>
      <c r="P1645" s="3">
        <f t="shared" ca="1" si="188"/>
        <v>3.675505055331028</v>
      </c>
      <c r="Q1645" s="3">
        <f t="shared" ca="1" si="189"/>
        <v>-0.10419854787721534</v>
      </c>
      <c r="R1645" s="3">
        <f t="shared" ca="1" si="190"/>
        <v>3.6769817444670108</v>
      </c>
    </row>
    <row r="1646" spans="7:18" x14ac:dyDescent="0.25">
      <c r="G1646" s="2">
        <f t="shared" ca="1" si="184"/>
        <v>0.18420985785412625</v>
      </c>
      <c r="H1646" s="3">
        <f t="shared" ca="1" si="185"/>
        <v>0</v>
      </c>
      <c r="I1646" s="3">
        <f t="shared" ca="1" si="186"/>
        <v>0.43886471280541201</v>
      </c>
      <c r="J1646" s="3">
        <f t="shared" ca="1" si="187"/>
        <v>3.3123432521608178</v>
      </c>
      <c r="P1646" s="3">
        <f t="shared" ca="1" si="188"/>
        <v>-3.6824950750470626</v>
      </c>
      <c r="Q1646" s="3">
        <f t="shared" ca="1" si="189"/>
        <v>14.336010402802446</v>
      </c>
      <c r="R1646" s="3">
        <f t="shared" ca="1" si="190"/>
        <v>14.801417643151815</v>
      </c>
    </row>
    <row r="1647" spans="7:18" x14ac:dyDescent="0.25">
      <c r="G1647" s="2">
        <f t="shared" ca="1" si="184"/>
        <v>0.59782626501803993</v>
      </c>
      <c r="H1647" s="3">
        <f t="shared" ca="1" si="185"/>
        <v>0</v>
      </c>
      <c r="I1647" s="3">
        <f t="shared" ca="1" si="186"/>
        <v>0.57142168345988731</v>
      </c>
      <c r="J1647" s="3">
        <f t="shared" ca="1" si="187"/>
        <v>3.7796219502084045</v>
      </c>
      <c r="P1647" s="3">
        <f t="shared" ca="1" si="188"/>
        <v>-3.5492142830365978</v>
      </c>
      <c r="Q1647" s="3">
        <f t="shared" ca="1" si="189"/>
        <v>2.4271532044715793</v>
      </c>
      <c r="R1647" s="3">
        <f t="shared" ca="1" si="190"/>
        <v>4.2997668198272851</v>
      </c>
    </row>
    <row r="1648" spans="7:18" x14ac:dyDescent="0.25">
      <c r="G1648" s="2">
        <f t="shared" ca="1" si="184"/>
        <v>0.73081752369902719</v>
      </c>
      <c r="H1648" s="3">
        <f t="shared" ca="1" si="185"/>
        <v>1</v>
      </c>
      <c r="I1648" s="3">
        <f t="shared" ca="1" si="186"/>
        <v>0.87018119720302933</v>
      </c>
      <c r="J1648" s="3">
        <f t="shared" ca="1" si="187"/>
        <v>4.6641751607412569</v>
      </c>
      <c r="P1648" s="3">
        <f t="shared" ca="1" si="188"/>
        <v>-5.0612048813039623</v>
      </c>
      <c r="Q1648" s="3">
        <f t="shared" ca="1" si="189"/>
        <v>6.3654594898150272</v>
      </c>
      <c r="R1648" s="3">
        <f t="shared" ca="1" si="190"/>
        <v>8.132334804163639</v>
      </c>
    </row>
    <row r="1649" spans="7:18" x14ac:dyDescent="0.25">
      <c r="G1649" s="2">
        <f t="shared" ca="1" si="184"/>
        <v>0.3169118692910009</v>
      </c>
      <c r="H1649" s="3">
        <f t="shared" ca="1" si="185"/>
        <v>0</v>
      </c>
      <c r="I1649" s="3">
        <f t="shared" ca="1" si="186"/>
        <v>2.2703102754448135</v>
      </c>
      <c r="J1649" s="3">
        <f t="shared" ca="1" si="187"/>
        <v>7.5337744116823906</v>
      </c>
      <c r="P1649" s="3">
        <f t="shared" ca="1" si="188"/>
        <v>-7.2784390698430101</v>
      </c>
      <c r="Q1649" s="3">
        <f t="shared" ca="1" si="189"/>
        <v>13.385826976609486</v>
      </c>
      <c r="R1649" s="3">
        <f t="shared" ca="1" si="190"/>
        <v>15.236667586488307</v>
      </c>
    </row>
    <row r="1650" spans="7:18" x14ac:dyDescent="0.25">
      <c r="G1650" s="2">
        <f t="shared" ca="1" si="184"/>
        <v>0.28508637422947536</v>
      </c>
      <c r="H1650" s="3">
        <f t="shared" ca="1" si="185"/>
        <v>0</v>
      </c>
      <c r="I1650" s="3">
        <f t="shared" ca="1" si="186"/>
        <v>0.25538153659899759</v>
      </c>
      <c r="J1650" s="3">
        <f t="shared" ca="1" si="187"/>
        <v>2.526764416200082</v>
      </c>
      <c r="P1650" s="3">
        <f t="shared" ca="1" si="188"/>
        <v>4.6145030689493165</v>
      </c>
      <c r="Q1650" s="3">
        <f t="shared" ca="1" si="189"/>
        <v>-4.4569394569515941</v>
      </c>
      <c r="R1650" s="3">
        <f t="shared" ca="1" si="190"/>
        <v>6.4154460403213305</v>
      </c>
    </row>
    <row r="1651" spans="7:18" x14ac:dyDescent="0.25">
      <c r="G1651" s="2">
        <f t="shared" ca="1" si="184"/>
        <v>0.27153808734179974</v>
      </c>
      <c r="H1651" s="3">
        <f t="shared" ca="1" si="185"/>
        <v>0</v>
      </c>
      <c r="I1651" s="3">
        <f t="shared" ca="1" si="186"/>
        <v>3.8882574713971914</v>
      </c>
      <c r="J1651" s="3">
        <f t="shared" ca="1" si="187"/>
        <v>9.8593324715687416</v>
      </c>
      <c r="P1651" s="3">
        <f t="shared" ca="1" si="188"/>
        <v>-3.674772434195686</v>
      </c>
      <c r="Q1651" s="3">
        <f t="shared" ca="1" si="189"/>
        <v>-4.9924448711533982</v>
      </c>
      <c r="R1651" s="3">
        <f t="shared" ca="1" si="190"/>
        <v>6.1990691425915196</v>
      </c>
    </row>
    <row r="1652" spans="7:18" x14ac:dyDescent="0.25">
      <c r="G1652" s="2">
        <f t="shared" ca="1" si="184"/>
        <v>2.4755192035264328E-2</v>
      </c>
      <c r="H1652" s="3">
        <f t="shared" ca="1" si="185"/>
        <v>0</v>
      </c>
      <c r="I1652" s="3">
        <f t="shared" ca="1" si="186"/>
        <v>3.4793422131336409</v>
      </c>
      <c r="J1652" s="3">
        <f t="shared" ca="1" si="187"/>
        <v>9.3264974844976507</v>
      </c>
      <c r="P1652" s="3">
        <f t="shared" ca="1" si="188"/>
        <v>-3.9810103877922254</v>
      </c>
      <c r="Q1652" s="3">
        <f t="shared" ca="1" si="189"/>
        <v>5.9978974434458374</v>
      </c>
      <c r="R1652" s="3">
        <f t="shared" ca="1" si="190"/>
        <v>7.1988344507846351</v>
      </c>
    </row>
    <row r="1653" spans="7:18" x14ac:dyDescent="0.25">
      <c r="G1653" s="2">
        <f t="shared" ca="1" si="184"/>
        <v>0.32543585291893595</v>
      </c>
      <c r="H1653" s="3">
        <f t="shared" ca="1" si="185"/>
        <v>0</v>
      </c>
      <c r="I1653" s="3">
        <f t="shared" ca="1" si="186"/>
        <v>1.3900429301043382</v>
      </c>
      <c r="J1653" s="3">
        <f t="shared" ca="1" si="187"/>
        <v>5.8950040926710523</v>
      </c>
      <c r="P1653" s="3">
        <f t="shared" ca="1" si="188"/>
        <v>-3.6265577975188998</v>
      </c>
      <c r="Q1653" s="3">
        <f t="shared" ca="1" si="189"/>
        <v>5.1578196664054632</v>
      </c>
      <c r="R1653" s="3">
        <f t="shared" ca="1" si="190"/>
        <v>6.3051586157609147</v>
      </c>
    </row>
    <row r="1654" spans="7:18" x14ac:dyDescent="0.25">
      <c r="G1654" s="2">
        <f t="shared" ca="1" si="184"/>
        <v>0.21744710196423078</v>
      </c>
      <c r="H1654" s="3">
        <f t="shared" ca="1" si="185"/>
        <v>0</v>
      </c>
      <c r="I1654" s="3">
        <f t="shared" ca="1" si="186"/>
        <v>2.3109317903633899</v>
      </c>
      <c r="J1654" s="3">
        <f t="shared" ca="1" si="187"/>
        <v>7.6008746048783591</v>
      </c>
      <c r="P1654" s="3">
        <f t="shared" ca="1" si="188"/>
        <v>3.3279056596763255</v>
      </c>
      <c r="Q1654" s="3">
        <f t="shared" ca="1" si="189"/>
        <v>-3.8588075614941215</v>
      </c>
      <c r="R1654" s="3">
        <f t="shared" ca="1" si="190"/>
        <v>5.0956208528843598</v>
      </c>
    </row>
    <row r="1655" spans="7:18" x14ac:dyDescent="0.25">
      <c r="G1655" s="2">
        <f t="shared" ca="1" si="184"/>
        <v>0.8476306954351529</v>
      </c>
      <c r="H1655" s="3">
        <f t="shared" ca="1" si="185"/>
        <v>1</v>
      </c>
      <c r="I1655" s="3">
        <f t="shared" ca="1" si="186"/>
        <v>3.3552747678698691</v>
      </c>
      <c r="J1655" s="3">
        <f t="shared" ca="1" si="187"/>
        <v>9.1587045588744012</v>
      </c>
      <c r="P1655" s="3">
        <f t="shared" ca="1" si="188"/>
        <v>-4.569768238527506</v>
      </c>
      <c r="Q1655" s="3">
        <f t="shared" ca="1" si="189"/>
        <v>-0.56449248519844752</v>
      </c>
      <c r="R1655" s="3">
        <f t="shared" ca="1" si="190"/>
        <v>4.6045014409488791</v>
      </c>
    </row>
    <row r="1656" spans="7:18" x14ac:dyDescent="0.25">
      <c r="G1656" s="2">
        <f t="shared" ca="1" si="184"/>
        <v>0.32984234303647486</v>
      </c>
      <c r="H1656" s="3">
        <f t="shared" ca="1" si="185"/>
        <v>0</v>
      </c>
      <c r="I1656" s="3">
        <f t="shared" ca="1" si="186"/>
        <v>1.0496962712555742</v>
      </c>
      <c r="J1656" s="3">
        <f t="shared" ca="1" si="187"/>
        <v>5.1227343071244045</v>
      </c>
      <c r="P1656" s="3">
        <f t="shared" ca="1" si="188"/>
        <v>-3.5931414169895231</v>
      </c>
      <c r="Q1656" s="3">
        <f t="shared" ca="1" si="189"/>
        <v>-7.1163071232636748</v>
      </c>
      <c r="R1656" s="3">
        <f t="shared" ca="1" si="190"/>
        <v>7.9719817056425057</v>
      </c>
    </row>
    <row r="1657" spans="7:18" x14ac:dyDescent="0.25">
      <c r="G1657" s="2">
        <f t="shared" ca="1" si="184"/>
        <v>0.88670298538768566</v>
      </c>
      <c r="H1657" s="3">
        <f t="shared" ca="1" si="185"/>
        <v>1</v>
      </c>
      <c r="I1657" s="3">
        <f t="shared" ca="1" si="186"/>
        <v>6.4233501591883062</v>
      </c>
      <c r="J1657" s="3">
        <f t="shared" ca="1" si="187"/>
        <v>12.672164534116011</v>
      </c>
      <c r="P1657" s="3">
        <f t="shared" ca="1" si="188"/>
        <v>-6.9974780878206078</v>
      </c>
      <c r="Q1657" s="3">
        <f t="shared" ca="1" si="189"/>
        <v>6.1513137817270893</v>
      </c>
      <c r="R1657" s="3">
        <f t="shared" ca="1" si="190"/>
        <v>9.3168321242144945</v>
      </c>
    </row>
    <row r="1658" spans="7:18" x14ac:dyDescent="0.25">
      <c r="G1658" s="2">
        <f t="shared" ca="1" si="184"/>
        <v>0.7859040665745628</v>
      </c>
      <c r="H1658" s="3">
        <f t="shared" ca="1" si="185"/>
        <v>1</v>
      </c>
      <c r="I1658" s="3">
        <f t="shared" ca="1" si="186"/>
        <v>2.8331232919906673</v>
      </c>
      <c r="J1658" s="3">
        <f t="shared" ca="1" si="187"/>
        <v>8.4159421516409374</v>
      </c>
      <c r="P1658" s="3">
        <f t="shared" ca="1" si="188"/>
        <v>4.2788219052847296</v>
      </c>
      <c r="Q1658" s="3">
        <f t="shared" ca="1" si="189"/>
        <v>0.67127365521585025</v>
      </c>
      <c r="R1658" s="3">
        <f t="shared" ca="1" si="190"/>
        <v>4.331157491633304</v>
      </c>
    </row>
    <row r="1659" spans="7:18" x14ac:dyDescent="0.25">
      <c r="G1659" s="2">
        <f t="shared" ca="1" si="184"/>
        <v>0.88904873916352856</v>
      </c>
      <c r="H1659" s="3">
        <f t="shared" ca="1" si="185"/>
        <v>1</v>
      </c>
      <c r="I1659" s="3">
        <f t="shared" ca="1" si="186"/>
        <v>4.1762350223011051</v>
      </c>
      <c r="J1659" s="3">
        <f t="shared" ca="1" si="187"/>
        <v>10.217919336025687</v>
      </c>
      <c r="P1659" s="3">
        <f t="shared" ca="1" si="188"/>
        <v>-2.2159959939157887</v>
      </c>
      <c r="Q1659" s="3">
        <f t="shared" ca="1" si="189"/>
        <v>2.5085911334908078</v>
      </c>
      <c r="R1659" s="3">
        <f t="shared" ca="1" si="190"/>
        <v>3.3471880317782445</v>
      </c>
    </row>
    <row r="1660" spans="7:18" x14ac:dyDescent="0.25">
      <c r="G1660" s="2">
        <f t="shared" ca="1" si="184"/>
        <v>0.84131218767821681</v>
      </c>
      <c r="H1660" s="3">
        <f t="shared" ca="1" si="185"/>
        <v>1</v>
      </c>
      <c r="I1660" s="3">
        <f t="shared" ca="1" si="186"/>
        <v>3.2133087312048869</v>
      </c>
      <c r="J1660" s="3">
        <f t="shared" ca="1" si="187"/>
        <v>8.9628521286542586</v>
      </c>
      <c r="P1660" s="3">
        <f t="shared" ca="1" si="188"/>
        <v>0.70509827542291603</v>
      </c>
      <c r="Q1660" s="3">
        <f t="shared" ca="1" si="189"/>
        <v>1.6855004445324331</v>
      </c>
      <c r="R1660" s="3">
        <f t="shared" ca="1" si="190"/>
        <v>1.8270400451340414</v>
      </c>
    </row>
    <row r="1661" spans="7:18" x14ac:dyDescent="0.25">
      <c r="G1661" s="2">
        <f t="shared" ca="1" si="184"/>
        <v>0.57572872328276381</v>
      </c>
      <c r="H1661" s="3">
        <f t="shared" ca="1" si="185"/>
        <v>0</v>
      </c>
      <c r="I1661" s="3">
        <f t="shared" ca="1" si="186"/>
        <v>8.5703470078776364E-2</v>
      </c>
      <c r="J1661" s="3">
        <f t="shared" ca="1" si="187"/>
        <v>1.4637577504387156</v>
      </c>
      <c r="P1661" s="3">
        <f t="shared" ca="1" si="188"/>
        <v>-3.6852656991305577</v>
      </c>
      <c r="Q1661" s="3">
        <f t="shared" ca="1" si="189"/>
        <v>1.3726926472253358</v>
      </c>
      <c r="R1661" s="3">
        <f t="shared" ca="1" si="190"/>
        <v>3.9326159711996715</v>
      </c>
    </row>
    <row r="1662" spans="7:18" x14ac:dyDescent="0.25">
      <c r="G1662" s="2">
        <f t="shared" ca="1" si="184"/>
        <v>0.57082639170142091</v>
      </c>
      <c r="H1662" s="3">
        <f t="shared" ca="1" si="185"/>
        <v>0</v>
      </c>
      <c r="I1662" s="3">
        <f t="shared" ca="1" si="186"/>
        <v>8.1511939592059495</v>
      </c>
      <c r="J1662" s="3">
        <f t="shared" ca="1" si="187"/>
        <v>14.275147949501214</v>
      </c>
      <c r="P1662" s="3">
        <f t="shared" ca="1" si="188"/>
        <v>-6.4611597875878513</v>
      </c>
      <c r="Q1662" s="3">
        <f t="shared" ca="1" si="189"/>
        <v>5.1658382792410835</v>
      </c>
      <c r="R1662" s="3">
        <f t="shared" ca="1" si="190"/>
        <v>8.272392092255707</v>
      </c>
    </row>
    <row r="1663" spans="7:18" x14ac:dyDescent="0.25">
      <c r="G1663" s="2">
        <f t="shared" ca="1" si="184"/>
        <v>0.32407848881607282</v>
      </c>
      <c r="H1663" s="3">
        <f t="shared" ca="1" si="185"/>
        <v>0</v>
      </c>
      <c r="I1663" s="3">
        <f t="shared" ca="1" si="186"/>
        <v>0.46652222455056042</v>
      </c>
      <c r="J1663" s="3">
        <f t="shared" ca="1" si="187"/>
        <v>3.4151216103916431</v>
      </c>
      <c r="P1663" s="3">
        <f t="shared" ca="1" si="188"/>
        <v>-3.3190264214250176</v>
      </c>
      <c r="Q1663" s="3">
        <f t="shared" ca="1" si="189"/>
        <v>-4.3774271130399356</v>
      </c>
      <c r="R1663" s="3">
        <f t="shared" ca="1" si="190"/>
        <v>5.4934328535165058</v>
      </c>
    </row>
    <row r="1664" spans="7:18" x14ac:dyDescent="0.25">
      <c r="G1664" s="2">
        <f t="shared" ca="1" si="184"/>
        <v>0.69104725398718025</v>
      </c>
      <c r="H1664" s="3">
        <f t="shared" ca="1" si="185"/>
        <v>1</v>
      </c>
      <c r="I1664" s="3">
        <f t="shared" ca="1" si="186"/>
        <v>3.3737942263992062</v>
      </c>
      <c r="J1664" s="3">
        <f t="shared" ca="1" si="187"/>
        <v>9.1839455388182785</v>
      </c>
      <c r="P1664" s="3">
        <f t="shared" ca="1" si="188"/>
        <v>-6.1455891450678894</v>
      </c>
      <c r="Q1664" s="3">
        <f t="shared" ca="1" si="189"/>
        <v>-0.9169543143616331</v>
      </c>
      <c r="R1664" s="3">
        <f t="shared" ca="1" si="190"/>
        <v>6.2136198109155893</v>
      </c>
    </row>
    <row r="1665" spans="7:18" x14ac:dyDescent="0.25">
      <c r="G1665" s="2">
        <f t="shared" ca="1" si="184"/>
        <v>0.57824551001981328</v>
      </c>
      <c r="H1665" s="3">
        <f t="shared" ca="1" si="185"/>
        <v>0</v>
      </c>
      <c r="I1665" s="3">
        <f t="shared" ca="1" si="186"/>
        <v>0.51891544646361976</v>
      </c>
      <c r="J1665" s="3">
        <f t="shared" ca="1" si="187"/>
        <v>3.6017892999994454</v>
      </c>
      <c r="P1665" s="3">
        <f t="shared" ca="1" si="188"/>
        <v>-0.89577969058349005</v>
      </c>
      <c r="Q1665" s="3">
        <f t="shared" ca="1" si="189"/>
        <v>-1.6155224716322483</v>
      </c>
      <c r="R1665" s="3">
        <f t="shared" ca="1" si="190"/>
        <v>1.8472504189769783</v>
      </c>
    </row>
    <row r="1666" spans="7:18" x14ac:dyDescent="0.25">
      <c r="G1666" s="2">
        <f t="shared" ca="1" si="184"/>
        <v>0.54601829764717558</v>
      </c>
      <c r="H1666" s="3">
        <f t="shared" ca="1" si="185"/>
        <v>0</v>
      </c>
      <c r="I1666" s="3">
        <f t="shared" ca="1" si="186"/>
        <v>6.3600738787510931</v>
      </c>
      <c r="J1666" s="3">
        <f t="shared" ca="1" si="187"/>
        <v>12.609593449781691</v>
      </c>
      <c r="P1666" s="3">
        <f t="shared" ca="1" si="188"/>
        <v>-11.095399935633074</v>
      </c>
      <c r="Q1666" s="3">
        <f t="shared" ca="1" si="189"/>
        <v>-7.4799338026262845</v>
      </c>
      <c r="R1666" s="3">
        <f t="shared" ca="1" si="190"/>
        <v>13.381229742565431</v>
      </c>
    </row>
    <row r="1667" spans="7:18" x14ac:dyDescent="0.25">
      <c r="G1667" s="2">
        <f t="shared" ca="1" si="184"/>
        <v>3.204716389796447E-2</v>
      </c>
      <c r="H1667" s="3">
        <f t="shared" ca="1" si="185"/>
        <v>0</v>
      </c>
      <c r="I1667" s="3">
        <f t="shared" ca="1" si="186"/>
        <v>1.0339932166465737</v>
      </c>
      <c r="J1667" s="3">
        <f t="shared" ca="1" si="187"/>
        <v>5.0842728502868875</v>
      </c>
      <c r="P1667" s="3">
        <f t="shared" ca="1" si="188"/>
        <v>-6.264436119310532</v>
      </c>
      <c r="Q1667" s="3">
        <f t="shared" ca="1" si="189"/>
        <v>-2.5881888076241126</v>
      </c>
      <c r="R1667" s="3">
        <f t="shared" ca="1" si="190"/>
        <v>6.7780440539165223</v>
      </c>
    </row>
    <row r="1668" spans="7:18" x14ac:dyDescent="0.25">
      <c r="G1668" s="2">
        <f t="shared" ref="G1668:G1731" ca="1" si="191">RAND()</f>
        <v>0.29857704120450046</v>
      </c>
      <c r="H1668" s="3">
        <f t="shared" ref="H1668:H1731" ca="1" si="192">VLOOKUP(G1668,$B$9:$C$169,2,TRUE)</f>
        <v>0</v>
      </c>
      <c r="I1668" s="3">
        <f t="shared" ref="I1668:I1731" ca="1" si="193">_xlfn.CHISQ.INV(RAND(),2*H1668+2)</f>
        <v>2.5149397998423089</v>
      </c>
      <c r="J1668" s="3">
        <f t="shared" ref="J1668:J1731" ca="1" si="194">$C$4*SQRT(I1668)</f>
        <v>7.9292808624778655</v>
      </c>
      <c r="P1668" s="3">
        <f t="shared" ref="P1668:P1731" ca="1" si="195">_xlfn.NORM.INV(RAND(),$C$3*COS($O$2),$C$4)</f>
        <v>-10.554588729691536</v>
      </c>
      <c r="Q1668" s="3">
        <f t="shared" ref="Q1668:Q1731" ca="1" si="196">_xlfn.NORM.INV(RAND(),$C$3*SIN($O$2),$C$4)</f>
        <v>4.3234892658409123</v>
      </c>
      <c r="R1668" s="3">
        <f t="shared" ref="R1668:R1731" ca="1" si="197">SQRT(P1668^2+Q1668^2)</f>
        <v>11.405783738295813</v>
      </c>
    </row>
    <row r="1669" spans="7:18" x14ac:dyDescent="0.25">
      <c r="G1669" s="2">
        <f t="shared" ca="1" si="191"/>
        <v>0.18767844063696648</v>
      </c>
      <c r="H1669" s="3">
        <f t="shared" ca="1" si="192"/>
        <v>0</v>
      </c>
      <c r="I1669" s="3">
        <f t="shared" ca="1" si="193"/>
        <v>3.553904083008113</v>
      </c>
      <c r="J1669" s="3">
        <f t="shared" ca="1" si="194"/>
        <v>9.425900597566411</v>
      </c>
      <c r="P1669" s="3">
        <f t="shared" ca="1" si="195"/>
        <v>-3.9526906987108346</v>
      </c>
      <c r="Q1669" s="3">
        <f t="shared" ca="1" si="196"/>
        <v>6.3937113416270606</v>
      </c>
      <c r="R1669" s="3">
        <f t="shared" ca="1" si="197"/>
        <v>7.5168682627624683</v>
      </c>
    </row>
    <row r="1670" spans="7:18" x14ac:dyDescent="0.25">
      <c r="G1670" s="2">
        <f t="shared" ca="1" si="191"/>
        <v>0.14802909017192245</v>
      </c>
      <c r="H1670" s="3">
        <f t="shared" ca="1" si="192"/>
        <v>0</v>
      </c>
      <c r="I1670" s="3">
        <f t="shared" ca="1" si="193"/>
        <v>4.1999768727680689</v>
      </c>
      <c r="J1670" s="3">
        <f t="shared" ca="1" si="194"/>
        <v>10.2469225535866</v>
      </c>
      <c r="P1670" s="3">
        <f t="shared" ca="1" si="195"/>
        <v>-6.8548612730572467</v>
      </c>
      <c r="Q1670" s="3">
        <f t="shared" ca="1" si="196"/>
        <v>-3.1222994207799681</v>
      </c>
      <c r="R1670" s="3">
        <f t="shared" ca="1" si="197"/>
        <v>7.5324548950433776</v>
      </c>
    </row>
    <row r="1671" spans="7:18" x14ac:dyDescent="0.25">
      <c r="G1671" s="2">
        <f t="shared" ca="1" si="191"/>
        <v>0.50353551545616249</v>
      </c>
      <c r="H1671" s="3">
        <f t="shared" ca="1" si="192"/>
        <v>0</v>
      </c>
      <c r="I1671" s="3">
        <f t="shared" ca="1" si="193"/>
        <v>3.9979704755764844E-2</v>
      </c>
      <c r="J1671" s="3">
        <f t="shared" ca="1" si="194"/>
        <v>0.99974627725944609</v>
      </c>
      <c r="P1671" s="3">
        <f t="shared" ca="1" si="195"/>
        <v>-10.042090814645508</v>
      </c>
      <c r="Q1671" s="3">
        <f t="shared" ca="1" si="196"/>
        <v>2.6667772765154205</v>
      </c>
      <c r="R1671" s="3">
        <f t="shared" ca="1" si="197"/>
        <v>10.390153462395379</v>
      </c>
    </row>
    <row r="1672" spans="7:18" x14ac:dyDescent="0.25">
      <c r="G1672" s="2">
        <f t="shared" ca="1" si="191"/>
        <v>0.71240375211640017</v>
      </c>
      <c r="H1672" s="3">
        <f t="shared" ca="1" si="192"/>
        <v>1</v>
      </c>
      <c r="I1672" s="3">
        <f t="shared" ca="1" si="193"/>
        <v>0.71132410994437234</v>
      </c>
      <c r="J1672" s="3">
        <f t="shared" ca="1" si="194"/>
        <v>4.2170016301406985</v>
      </c>
      <c r="P1672" s="3">
        <f t="shared" ca="1" si="195"/>
        <v>-9.5209403341815655</v>
      </c>
      <c r="Q1672" s="3">
        <f t="shared" ca="1" si="196"/>
        <v>5.1159965932941054</v>
      </c>
      <c r="R1672" s="3">
        <f t="shared" ca="1" si="197"/>
        <v>10.808409965838743</v>
      </c>
    </row>
    <row r="1673" spans="7:18" x14ac:dyDescent="0.25">
      <c r="G1673" s="2">
        <f t="shared" ca="1" si="191"/>
        <v>0.90084407878221051</v>
      </c>
      <c r="H1673" s="3">
        <f t="shared" ca="1" si="192"/>
        <v>1</v>
      </c>
      <c r="I1673" s="3">
        <f t="shared" ca="1" si="193"/>
        <v>0.56226353799423534</v>
      </c>
      <c r="J1673" s="3">
        <f t="shared" ca="1" si="194"/>
        <v>3.7492117104607314</v>
      </c>
      <c r="P1673" s="3">
        <f t="shared" ca="1" si="195"/>
        <v>-8.8218020515966167</v>
      </c>
      <c r="Q1673" s="3">
        <f t="shared" ca="1" si="196"/>
        <v>-0.34977198611772309</v>
      </c>
      <c r="R1673" s="3">
        <f t="shared" ca="1" si="197"/>
        <v>8.8287333111736359</v>
      </c>
    </row>
    <row r="1674" spans="7:18" x14ac:dyDescent="0.25">
      <c r="G1674" s="2">
        <f t="shared" ca="1" si="191"/>
        <v>0.59469505754796215</v>
      </c>
      <c r="H1674" s="3">
        <f t="shared" ca="1" si="192"/>
        <v>0</v>
      </c>
      <c r="I1674" s="3">
        <f t="shared" ca="1" si="193"/>
        <v>1.5407863008741858</v>
      </c>
      <c r="J1674" s="3">
        <f t="shared" ca="1" si="194"/>
        <v>6.2064206691018491</v>
      </c>
      <c r="P1674" s="3">
        <f t="shared" ca="1" si="195"/>
        <v>-6.5792361279799199</v>
      </c>
      <c r="Q1674" s="3">
        <f t="shared" ca="1" si="196"/>
        <v>3.7588123592466789</v>
      </c>
      <c r="R1674" s="3">
        <f t="shared" ca="1" si="197"/>
        <v>7.5772698500015023</v>
      </c>
    </row>
    <row r="1675" spans="7:18" x14ac:dyDescent="0.25">
      <c r="G1675" s="2">
        <f t="shared" ca="1" si="191"/>
        <v>0.96834096614953469</v>
      </c>
      <c r="H1675" s="3">
        <f t="shared" ca="1" si="192"/>
        <v>2</v>
      </c>
      <c r="I1675" s="3">
        <f t="shared" ca="1" si="193"/>
        <v>10.520358814448093</v>
      </c>
      <c r="J1675" s="3">
        <f t="shared" ca="1" si="194"/>
        <v>16.217551305952519</v>
      </c>
      <c r="P1675" s="3">
        <f t="shared" ca="1" si="195"/>
        <v>0.20758312669600976</v>
      </c>
      <c r="Q1675" s="3">
        <f t="shared" ca="1" si="196"/>
        <v>1.4647852277400046</v>
      </c>
      <c r="R1675" s="3">
        <f t="shared" ca="1" si="197"/>
        <v>1.4794210076561132</v>
      </c>
    </row>
    <row r="1676" spans="7:18" x14ac:dyDescent="0.25">
      <c r="G1676" s="2">
        <f t="shared" ca="1" si="191"/>
        <v>0.23561314974592107</v>
      </c>
      <c r="H1676" s="3">
        <f t="shared" ca="1" si="192"/>
        <v>0</v>
      </c>
      <c r="I1676" s="3">
        <f t="shared" ca="1" si="193"/>
        <v>1.9618390662852796</v>
      </c>
      <c r="J1676" s="3">
        <f t="shared" ca="1" si="194"/>
        <v>7.0032832769446065</v>
      </c>
      <c r="P1676" s="3">
        <f t="shared" ca="1" si="195"/>
        <v>-6.6453579375202132E-2</v>
      </c>
      <c r="Q1676" s="3">
        <f t="shared" ca="1" si="196"/>
        <v>1.7816142007448328</v>
      </c>
      <c r="R1676" s="3">
        <f t="shared" ca="1" si="197"/>
        <v>1.7828531174797955</v>
      </c>
    </row>
    <row r="1677" spans="7:18" x14ac:dyDescent="0.25">
      <c r="G1677" s="2">
        <f t="shared" ca="1" si="191"/>
        <v>0.21442685818121687</v>
      </c>
      <c r="H1677" s="3">
        <f t="shared" ca="1" si="192"/>
        <v>0</v>
      </c>
      <c r="I1677" s="3">
        <f t="shared" ca="1" si="193"/>
        <v>0.3506945421278827</v>
      </c>
      <c r="J1677" s="3">
        <f t="shared" ca="1" si="194"/>
        <v>2.9609734131189134</v>
      </c>
      <c r="P1677" s="3">
        <f t="shared" ca="1" si="195"/>
        <v>-12.026088226566031</v>
      </c>
      <c r="Q1677" s="3">
        <f t="shared" ca="1" si="196"/>
        <v>2.2567571749265145</v>
      </c>
      <c r="R1677" s="3">
        <f t="shared" ca="1" si="197"/>
        <v>12.236002246638092</v>
      </c>
    </row>
    <row r="1678" spans="7:18" x14ac:dyDescent="0.25">
      <c r="G1678" s="2">
        <f t="shared" ca="1" si="191"/>
        <v>0.32209800143137612</v>
      </c>
      <c r="H1678" s="3">
        <f t="shared" ca="1" si="192"/>
        <v>0</v>
      </c>
      <c r="I1678" s="3">
        <f t="shared" ca="1" si="193"/>
        <v>0.35025222720735588</v>
      </c>
      <c r="J1678" s="3">
        <f t="shared" ca="1" si="194"/>
        <v>2.959105554079458</v>
      </c>
      <c r="P1678" s="3">
        <f t="shared" ca="1" si="195"/>
        <v>-5.1536317991830867</v>
      </c>
      <c r="Q1678" s="3">
        <f t="shared" ca="1" si="196"/>
        <v>0.22297360517462944</v>
      </c>
      <c r="R1678" s="3">
        <f t="shared" ca="1" si="197"/>
        <v>5.1584530578610162</v>
      </c>
    </row>
    <row r="1679" spans="7:18" x14ac:dyDescent="0.25">
      <c r="G1679" s="2">
        <f t="shared" ca="1" si="191"/>
        <v>0.52016334641864148</v>
      </c>
      <c r="H1679" s="3">
        <f t="shared" ca="1" si="192"/>
        <v>0</v>
      </c>
      <c r="I1679" s="3">
        <f t="shared" ca="1" si="193"/>
        <v>0.74026839625434149</v>
      </c>
      <c r="J1679" s="3">
        <f t="shared" ca="1" si="194"/>
        <v>4.3019425735774925</v>
      </c>
      <c r="P1679" s="3">
        <f t="shared" ca="1" si="195"/>
        <v>-7.5446554135220101</v>
      </c>
      <c r="Q1679" s="3">
        <f t="shared" ca="1" si="196"/>
        <v>-2.8113298482755948</v>
      </c>
      <c r="R1679" s="3">
        <f t="shared" ca="1" si="197"/>
        <v>8.0514222858195836</v>
      </c>
    </row>
    <row r="1680" spans="7:18" x14ac:dyDescent="0.25">
      <c r="G1680" s="2">
        <f t="shared" ca="1" si="191"/>
        <v>0.34782636872085204</v>
      </c>
      <c r="H1680" s="3">
        <f t="shared" ca="1" si="192"/>
        <v>0</v>
      </c>
      <c r="I1680" s="3">
        <f t="shared" ca="1" si="193"/>
        <v>2.0000432564481763</v>
      </c>
      <c r="J1680" s="3">
        <f t="shared" ca="1" si="194"/>
        <v>7.0711442787716052</v>
      </c>
      <c r="P1680" s="3">
        <f t="shared" ca="1" si="195"/>
        <v>-0.61935559189855827</v>
      </c>
      <c r="Q1680" s="3">
        <f t="shared" ca="1" si="196"/>
        <v>-11.895662369412182</v>
      </c>
      <c r="R1680" s="3">
        <f t="shared" ca="1" si="197"/>
        <v>11.911775038014488</v>
      </c>
    </row>
    <row r="1681" spans="7:18" x14ac:dyDescent="0.25">
      <c r="G1681" s="2">
        <f t="shared" ca="1" si="191"/>
        <v>0.58619990640266117</v>
      </c>
      <c r="H1681" s="3">
        <f t="shared" ca="1" si="192"/>
        <v>0</v>
      </c>
      <c r="I1681" s="3">
        <f t="shared" ca="1" si="193"/>
        <v>0.62504118453260382</v>
      </c>
      <c r="J1681" s="3">
        <f t="shared" ca="1" si="194"/>
        <v>3.9529773099924439</v>
      </c>
      <c r="P1681" s="3">
        <f t="shared" ca="1" si="195"/>
        <v>-12.978909786833929</v>
      </c>
      <c r="Q1681" s="3">
        <f t="shared" ca="1" si="196"/>
        <v>3.281101498423268</v>
      </c>
      <c r="R1681" s="3">
        <f t="shared" ca="1" si="197"/>
        <v>13.387222501240837</v>
      </c>
    </row>
    <row r="1682" spans="7:18" x14ac:dyDescent="0.25">
      <c r="G1682" s="2">
        <f t="shared" ca="1" si="191"/>
        <v>0.49813365632579287</v>
      </c>
      <c r="H1682" s="3">
        <f t="shared" ca="1" si="192"/>
        <v>0</v>
      </c>
      <c r="I1682" s="3">
        <f t="shared" ca="1" si="193"/>
        <v>2.9991280567740946</v>
      </c>
      <c r="J1682" s="3">
        <f t="shared" ca="1" si="194"/>
        <v>8.6589954047425373</v>
      </c>
      <c r="P1682" s="3">
        <f t="shared" ca="1" si="195"/>
        <v>7.3603577693212419</v>
      </c>
      <c r="Q1682" s="3">
        <f t="shared" ca="1" si="196"/>
        <v>-3.231973938823864</v>
      </c>
      <c r="R1682" s="3">
        <f t="shared" ca="1" si="197"/>
        <v>8.0386890743232637</v>
      </c>
    </row>
    <row r="1683" spans="7:18" x14ac:dyDescent="0.25">
      <c r="G1683" s="2">
        <f t="shared" ca="1" si="191"/>
        <v>0.95159002984088736</v>
      </c>
      <c r="H1683" s="3">
        <f t="shared" ca="1" si="192"/>
        <v>2</v>
      </c>
      <c r="I1683" s="3">
        <f t="shared" ca="1" si="193"/>
        <v>5.0147759998260169</v>
      </c>
      <c r="J1683" s="3">
        <f t="shared" ca="1" si="194"/>
        <v>11.196847770495516</v>
      </c>
      <c r="P1683" s="3">
        <f t="shared" ca="1" si="195"/>
        <v>-10.066986741299415</v>
      </c>
      <c r="Q1683" s="3">
        <f t="shared" ca="1" si="196"/>
        <v>3.0328450262245585</v>
      </c>
      <c r="R1683" s="3">
        <f t="shared" ca="1" si="197"/>
        <v>10.513913210721936</v>
      </c>
    </row>
    <row r="1684" spans="7:18" x14ac:dyDescent="0.25">
      <c r="G1684" s="2">
        <f t="shared" ca="1" si="191"/>
        <v>0.48040126938133421</v>
      </c>
      <c r="H1684" s="3">
        <f t="shared" ca="1" si="192"/>
        <v>0</v>
      </c>
      <c r="I1684" s="3">
        <f t="shared" ca="1" si="193"/>
        <v>0.80899702619036373</v>
      </c>
      <c r="J1684" s="3">
        <f t="shared" ca="1" si="194"/>
        <v>4.4972130986600014</v>
      </c>
      <c r="P1684" s="3">
        <f t="shared" ca="1" si="195"/>
        <v>-8.6566584454001365</v>
      </c>
      <c r="Q1684" s="3">
        <f t="shared" ca="1" si="196"/>
        <v>-2.1207743543707598</v>
      </c>
      <c r="R1684" s="3">
        <f t="shared" ca="1" si="197"/>
        <v>8.9126550086085032</v>
      </c>
    </row>
    <row r="1685" spans="7:18" x14ac:dyDescent="0.25">
      <c r="G1685" s="2">
        <f t="shared" ca="1" si="191"/>
        <v>0.66712924017135644</v>
      </c>
      <c r="H1685" s="3">
        <f t="shared" ca="1" si="192"/>
        <v>1</v>
      </c>
      <c r="I1685" s="3">
        <f t="shared" ca="1" si="193"/>
        <v>3.5913335194333076</v>
      </c>
      <c r="J1685" s="3">
        <f t="shared" ca="1" si="194"/>
        <v>9.4754070089802838</v>
      </c>
      <c r="P1685" s="3">
        <f t="shared" ca="1" si="195"/>
        <v>-1.441193531276554</v>
      </c>
      <c r="Q1685" s="3">
        <f t="shared" ca="1" si="196"/>
        <v>-1.825817794657479</v>
      </c>
      <c r="R1685" s="3">
        <f t="shared" ca="1" si="197"/>
        <v>2.3260802681509691</v>
      </c>
    </row>
    <row r="1686" spans="7:18" x14ac:dyDescent="0.25">
      <c r="G1686" s="2">
        <f t="shared" ca="1" si="191"/>
        <v>0.8588873037347845</v>
      </c>
      <c r="H1686" s="3">
        <f t="shared" ca="1" si="192"/>
        <v>1</v>
      </c>
      <c r="I1686" s="3">
        <f t="shared" ca="1" si="193"/>
        <v>7.9478694862640396</v>
      </c>
      <c r="J1686" s="3">
        <f t="shared" ca="1" si="194"/>
        <v>14.095983014908928</v>
      </c>
      <c r="P1686" s="3">
        <f t="shared" ca="1" si="195"/>
        <v>-13.354360770338966</v>
      </c>
      <c r="Q1686" s="3">
        <f t="shared" ca="1" si="196"/>
        <v>2.1388690900182814</v>
      </c>
      <c r="R1686" s="3">
        <f t="shared" ca="1" si="197"/>
        <v>13.524559607196235</v>
      </c>
    </row>
    <row r="1687" spans="7:18" x14ac:dyDescent="0.25">
      <c r="G1687" s="2">
        <f t="shared" ca="1" si="191"/>
        <v>0.59154827903137741</v>
      </c>
      <c r="H1687" s="3">
        <f t="shared" ca="1" si="192"/>
        <v>0</v>
      </c>
      <c r="I1687" s="3">
        <f t="shared" ca="1" si="193"/>
        <v>1.7385013631531967</v>
      </c>
      <c r="J1687" s="3">
        <f t="shared" ca="1" si="194"/>
        <v>6.5926120831450348</v>
      </c>
      <c r="P1687" s="3">
        <f t="shared" ca="1" si="195"/>
        <v>-4.7789967710663106</v>
      </c>
      <c r="Q1687" s="3">
        <f t="shared" ca="1" si="196"/>
        <v>3.5311382328162586</v>
      </c>
      <c r="R1687" s="3">
        <f t="shared" ca="1" si="197"/>
        <v>5.9420322581688296</v>
      </c>
    </row>
    <row r="1688" spans="7:18" x14ac:dyDescent="0.25">
      <c r="G1688" s="2">
        <f t="shared" ca="1" si="191"/>
        <v>0.9247935154543413</v>
      </c>
      <c r="H1688" s="3">
        <f t="shared" ca="1" si="192"/>
        <v>2</v>
      </c>
      <c r="I1688" s="3">
        <f t="shared" ca="1" si="193"/>
        <v>3.2419575737360851</v>
      </c>
      <c r="J1688" s="3">
        <f t="shared" ca="1" si="194"/>
        <v>9.002718441859777</v>
      </c>
      <c r="P1688" s="3">
        <f t="shared" ca="1" si="195"/>
        <v>-13.495914965856613</v>
      </c>
      <c r="Q1688" s="3">
        <f t="shared" ca="1" si="196"/>
        <v>0.77007572302236493</v>
      </c>
      <c r="R1688" s="3">
        <f t="shared" ca="1" si="197"/>
        <v>13.517867338630785</v>
      </c>
    </row>
    <row r="1689" spans="7:18" x14ac:dyDescent="0.25">
      <c r="G1689" s="2">
        <f t="shared" ca="1" si="191"/>
        <v>0.45943566966638261</v>
      </c>
      <c r="H1689" s="3">
        <f t="shared" ca="1" si="192"/>
        <v>0</v>
      </c>
      <c r="I1689" s="3">
        <f t="shared" ca="1" si="193"/>
        <v>1.1885182738409135</v>
      </c>
      <c r="J1689" s="3">
        <f t="shared" ca="1" si="194"/>
        <v>5.4509592592517908</v>
      </c>
      <c r="P1689" s="3">
        <f t="shared" ca="1" si="195"/>
        <v>-6.6817758607868036</v>
      </c>
      <c r="Q1689" s="3">
        <f t="shared" ca="1" si="196"/>
        <v>-1.360262815899379</v>
      </c>
      <c r="R1689" s="3">
        <f t="shared" ca="1" si="197"/>
        <v>6.8188300742951311</v>
      </c>
    </row>
    <row r="1690" spans="7:18" x14ac:dyDescent="0.25">
      <c r="G1690" s="2">
        <f t="shared" ca="1" si="191"/>
        <v>0.51255499303376262</v>
      </c>
      <c r="H1690" s="3">
        <f t="shared" ca="1" si="192"/>
        <v>0</v>
      </c>
      <c r="I1690" s="3">
        <f t="shared" ca="1" si="193"/>
        <v>4.9297720462842136</v>
      </c>
      <c r="J1690" s="3">
        <f t="shared" ca="1" si="194"/>
        <v>11.101544989644701</v>
      </c>
      <c r="P1690" s="3">
        <f t="shared" ca="1" si="195"/>
        <v>-4.901426416978282</v>
      </c>
      <c r="Q1690" s="3">
        <f t="shared" ca="1" si="196"/>
        <v>-5.2043404774007547</v>
      </c>
      <c r="R1690" s="3">
        <f t="shared" ca="1" si="197"/>
        <v>7.1490657239785165</v>
      </c>
    </row>
    <row r="1691" spans="7:18" x14ac:dyDescent="0.25">
      <c r="G1691" s="2">
        <f t="shared" ca="1" si="191"/>
        <v>0.87708134043067576</v>
      </c>
      <c r="H1691" s="3">
        <f t="shared" ca="1" si="192"/>
        <v>1</v>
      </c>
      <c r="I1691" s="3">
        <f t="shared" ca="1" si="193"/>
        <v>3.7862080005218073</v>
      </c>
      <c r="J1691" s="3">
        <f t="shared" ca="1" si="194"/>
        <v>9.7290904000859797</v>
      </c>
      <c r="P1691" s="3">
        <f t="shared" ca="1" si="195"/>
        <v>-2.6056992177160527</v>
      </c>
      <c r="Q1691" s="3">
        <f t="shared" ca="1" si="196"/>
        <v>1.7761234468936273</v>
      </c>
      <c r="R1691" s="3">
        <f t="shared" ca="1" si="197"/>
        <v>3.1534557095052644</v>
      </c>
    </row>
    <row r="1692" spans="7:18" x14ac:dyDescent="0.25">
      <c r="G1692" s="2">
        <f t="shared" ca="1" si="191"/>
        <v>4.0021497478143764E-2</v>
      </c>
      <c r="H1692" s="3">
        <f t="shared" ca="1" si="192"/>
        <v>0</v>
      </c>
      <c r="I1692" s="3">
        <f t="shared" ca="1" si="193"/>
        <v>0.34146272706799918</v>
      </c>
      <c r="J1692" s="3">
        <f t="shared" ca="1" si="194"/>
        <v>2.9217406073606158</v>
      </c>
      <c r="P1692" s="3">
        <f t="shared" ca="1" si="195"/>
        <v>-7.8881051197213177</v>
      </c>
      <c r="Q1692" s="3">
        <f t="shared" ca="1" si="196"/>
        <v>-4.3340308998295543</v>
      </c>
      <c r="R1692" s="3">
        <f t="shared" ca="1" si="197"/>
        <v>9.0003347837983796</v>
      </c>
    </row>
    <row r="1693" spans="7:18" x14ac:dyDescent="0.25">
      <c r="G1693" s="2">
        <f t="shared" ca="1" si="191"/>
        <v>0.75720886369562901</v>
      </c>
      <c r="H1693" s="3">
        <f t="shared" ca="1" si="192"/>
        <v>1</v>
      </c>
      <c r="I1693" s="3">
        <f t="shared" ca="1" si="193"/>
        <v>2.3296954554834164</v>
      </c>
      <c r="J1693" s="3">
        <f t="shared" ca="1" si="194"/>
        <v>7.631669960571239</v>
      </c>
      <c r="P1693" s="3">
        <f t="shared" ca="1" si="195"/>
        <v>-8.0498908733589918</v>
      </c>
      <c r="Q1693" s="3">
        <f t="shared" ca="1" si="196"/>
        <v>-1.1059979677430007</v>
      </c>
      <c r="R1693" s="3">
        <f t="shared" ca="1" si="197"/>
        <v>8.1255138039166503</v>
      </c>
    </row>
    <row r="1694" spans="7:18" x14ac:dyDescent="0.25">
      <c r="G1694" s="2">
        <f t="shared" ca="1" si="191"/>
        <v>0.38775281358920988</v>
      </c>
      <c r="H1694" s="3">
        <f t="shared" ca="1" si="192"/>
        <v>0</v>
      </c>
      <c r="I1694" s="3">
        <f t="shared" ca="1" si="193"/>
        <v>4.5267175917111695</v>
      </c>
      <c r="J1694" s="3">
        <f t="shared" ca="1" si="194"/>
        <v>10.638042103356202</v>
      </c>
      <c r="P1694" s="3">
        <f t="shared" ca="1" si="195"/>
        <v>-7.2817514500949283</v>
      </c>
      <c r="Q1694" s="3">
        <f t="shared" ca="1" si="196"/>
        <v>1.2371190979324087</v>
      </c>
      <c r="R1694" s="3">
        <f t="shared" ca="1" si="197"/>
        <v>7.3860928672356057</v>
      </c>
    </row>
    <row r="1695" spans="7:18" x14ac:dyDescent="0.25">
      <c r="G1695" s="2">
        <f t="shared" ca="1" si="191"/>
        <v>0.29101992634375584</v>
      </c>
      <c r="H1695" s="3">
        <f t="shared" ca="1" si="192"/>
        <v>0</v>
      </c>
      <c r="I1695" s="3">
        <f t="shared" ca="1" si="193"/>
        <v>4.0314470805102918</v>
      </c>
      <c r="J1695" s="3">
        <f t="shared" ca="1" si="194"/>
        <v>10.039231893564233</v>
      </c>
      <c r="P1695" s="3">
        <f t="shared" ca="1" si="195"/>
        <v>1.074671888522797</v>
      </c>
      <c r="Q1695" s="3">
        <f t="shared" ca="1" si="196"/>
        <v>-5.6506043834258914</v>
      </c>
      <c r="R1695" s="3">
        <f t="shared" ca="1" si="197"/>
        <v>5.7518909556747557</v>
      </c>
    </row>
    <row r="1696" spans="7:18" x14ac:dyDescent="0.25">
      <c r="G1696" s="2">
        <f t="shared" ca="1" si="191"/>
        <v>0.78858932367303447</v>
      </c>
      <c r="H1696" s="3">
        <f t="shared" ca="1" si="192"/>
        <v>1</v>
      </c>
      <c r="I1696" s="3">
        <f t="shared" ca="1" si="193"/>
        <v>2.7932662362947718</v>
      </c>
      <c r="J1696" s="3">
        <f t="shared" ca="1" si="194"/>
        <v>8.356533725616698</v>
      </c>
      <c r="P1696" s="3">
        <f t="shared" ca="1" si="195"/>
        <v>-4.4703449799063026</v>
      </c>
      <c r="Q1696" s="3">
        <f t="shared" ca="1" si="196"/>
        <v>-0.5878612193274968</v>
      </c>
      <c r="R1696" s="3">
        <f t="shared" ca="1" si="197"/>
        <v>4.5088318944669794</v>
      </c>
    </row>
    <row r="1697" spans="7:18" x14ac:dyDescent="0.25">
      <c r="G1697" s="2">
        <f t="shared" ca="1" si="191"/>
        <v>0.73449886988252155</v>
      </c>
      <c r="H1697" s="3">
        <f t="shared" ca="1" si="192"/>
        <v>1</v>
      </c>
      <c r="I1697" s="3">
        <f t="shared" ca="1" si="193"/>
        <v>3.7024111269617066</v>
      </c>
      <c r="J1697" s="3">
        <f t="shared" ca="1" si="194"/>
        <v>9.6208252335255864</v>
      </c>
      <c r="P1697" s="3">
        <f t="shared" ca="1" si="195"/>
        <v>-4.7069203852706147</v>
      </c>
      <c r="Q1697" s="3">
        <f t="shared" ca="1" si="196"/>
        <v>5.7426763835697505</v>
      </c>
      <c r="R1697" s="3">
        <f t="shared" ca="1" si="197"/>
        <v>7.4251889915129983</v>
      </c>
    </row>
    <row r="1698" spans="7:18" x14ac:dyDescent="0.25">
      <c r="G1698" s="2">
        <f t="shared" ca="1" si="191"/>
        <v>0.17729813877341416</v>
      </c>
      <c r="H1698" s="3">
        <f t="shared" ca="1" si="192"/>
        <v>0</v>
      </c>
      <c r="I1698" s="3">
        <f t="shared" ca="1" si="193"/>
        <v>6.5102546517372184E-2</v>
      </c>
      <c r="J1698" s="3">
        <f t="shared" ca="1" si="194"/>
        <v>1.2757600334444972</v>
      </c>
      <c r="P1698" s="3">
        <f t="shared" ca="1" si="195"/>
        <v>5.6860110839159255</v>
      </c>
      <c r="Q1698" s="3">
        <f t="shared" ca="1" si="196"/>
        <v>-1.2423134674196137</v>
      </c>
      <c r="R1698" s="3">
        <f t="shared" ca="1" si="197"/>
        <v>5.8201430221040873</v>
      </c>
    </row>
    <row r="1699" spans="7:18" x14ac:dyDescent="0.25">
      <c r="G1699" s="2">
        <f t="shared" ca="1" si="191"/>
        <v>0.90759621410514579</v>
      </c>
      <c r="H1699" s="3">
        <f t="shared" ca="1" si="192"/>
        <v>1</v>
      </c>
      <c r="I1699" s="3">
        <f t="shared" ca="1" si="193"/>
        <v>7.1415777543044285</v>
      </c>
      <c r="J1699" s="3">
        <f t="shared" ca="1" si="194"/>
        <v>13.361865283620048</v>
      </c>
      <c r="P1699" s="3">
        <f t="shared" ca="1" si="195"/>
        <v>-2.1395533079573865</v>
      </c>
      <c r="Q1699" s="3">
        <f t="shared" ca="1" si="196"/>
        <v>7.1287338536588001</v>
      </c>
      <c r="R1699" s="3">
        <f t="shared" ca="1" si="197"/>
        <v>7.4428848381452495</v>
      </c>
    </row>
    <row r="1700" spans="7:18" x14ac:dyDescent="0.25">
      <c r="G1700" s="2">
        <f t="shared" ca="1" si="191"/>
        <v>6.8796157114132672E-2</v>
      </c>
      <c r="H1700" s="3">
        <f t="shared" ca="1" si="192"/>
        <v>0</v>
      </c>
      <c r="I1700" s="3">
        <f t="shared" ca="1" si="193"/>
        <v>1.894624473925939</v>
      </c>
      <c r="J1700" s="3">
        <f t="shared" ca="1" si="194"/>
        <v>6.8822679291167148</v>
      </c>
      <c r="P1700" s="3">
        <f t="shared" ca="1" si="195"/>
        <v>-6.4019675314711542</v>
      </c>
      <c r="Q1700" s="3">
        <f t="shared" ca="1" si="196"/>
        <v>-2.4398173936249159</v>
      </c>
      <c r="R1700" s="3">
        <f t="shared" ca="1" si="197"/>
        <v>6.8511237901708899</v>
      </c>
    </row>
    <row r="1701" spans="7:18" x14ac:dyDescent="0.25">
      <c r="G1701" s="2">
        <f t="shared" ca="1" si="191"/>
        <v>0.41545528575609492</v>
      </c>
      <c r="H1701" s="3">
        <f t="shared" ca="1" si="192"/>
        <v>0</v>
      </c>
      <c r="I1701" s="3">
        <f t="shared" ca="1" si="193"/>
        <v>2.7301784686911255</v>
      </c>
      <c r="J1701" s="3">
        <f t="shared" ca="1" si="194"/>
        <v>8.2616258519300025</v>
      </c>
      <c r="P1701" s="3">
        <f t="shared" ca="1" si="195"/>
        <v>-9.5324612808634228</v>
      </c>
      <c r="Q1701" s="3">
        <f t="shared" ca="1" si="196"/>
        <v>-1.1780535824799898</v>
      </c>
      <c r="R1701" s="3">
        <f t="shared" ca="1" si="197"/>
        <v>9.6049793500222727</v>
      </c>
    </row>
    <row r="1702" spans="7:18" x14ac:dyDescent="0.25">
      <c r="G1702" s="2">
        <f t="shared" ca="1" si="191"/>
        <v>0.16897195922002506</v>
      </c>
      <c r="H1702" s="3">
        <f t="shared" ca="1" si="192"/>
        <v>0</v>
      </c>
      <c r="I1702" s="3">
        <f t="shared" ca="1" si="193"/>
        <v>0.1760110979581746</v>
      </c>
      <c r="J1702" s="3">
        <f t="shared" ca="1" si="194"/>
        <v>2.0976838295973885</v>
      </c>
      <c r="P1702" s="3">
        <f t="shared" ca="1" si="195"/>
        <v>-3.720519071476498</v>
      </c>
      <c r="Q1702" s="3">
        <f t="shared" ca="1" si="196"/>
        <v>-2.325035640939944</v>
      </c>
      <c r="R1702" s="3">
        <f t="shared" ca="1" si="197"/>
        <v>4.3872602946327861</v>
      </c>
    </row>
    <row r="1703" spans="7:18" x14ac:dyDescent="0.25">
      <c r="G1703" s="2">
        <f t="shared" ca="1" si="191"/>
        <v>0.21670406389794605</v>
      </c>
      <c r="H1703" s="3">
        <f t="shared" ca="1" si="192"/>
        <v>0</v>
      </c>
      <c r="I1703" s="3">
        <f t="shared" ca="1" si="193"/>
        <v>2.6296971298451188</v>
      </c>
      <c r="J1703" s="3">
        <f t="shared" ca="1" si="194"/>
        <v>8.108170462325516</v>
      </c>
      <c r="P1703" s="3">
        <f t="shared" ca="1" si="195"/>
        <v>-2.2273369678823633</v>
      </c>
      <c r="Q1703" s="3">
        <f t="shared" ca="1" si="196"/>
        <v>-1.7565911743070519</v>
      </c>
      <c r="R1703" s="3">
        <f t="shared" ca="1" si="197"/>
        <v>2.8366604523891872</v>
      </c>
    </row>
    <row r="1704" spans="7:18" x14ac:dyDescent="0.25">
      <c r="G1704" s="2">
        <f t="shared" ca="1" si="191"/>
        <v>0.95913153060304168</v>
      </c>
      <c r="H1704" s="3">
        <f t="shared" ca="1" si="192"/>
        <v>2</v>
      </c>
      <c r="I1704" s="3">
        <f t="shared" ca="1" si="193"/>
        <v>8.2031906486261708</v>
      </c>
      <c r="J1704" s="3">
        <f t="shared" ca="1" si="194"/>
        <v>14.320606349441153</v>
      </c>
      <c r="P1704" s="3">
        <f t="shared" ca="1" si="195"/>
        <v>-1.6403162850918673</v>
      </c>
      <c r="Q1704" s="3">
        <f t="shared" ca="1" si="196"/>
        <v>4.3065332972997989</v>
      </c>
      <c r="R1704" s="3">
        <f t="shared" ca="1" si="197"/>
        <v>4.6083474864521081</v>
      </c>
    </row>
    <row r="1705" spans="7:18" x14ac:dyDescent="0.25">
      <c r="G1705" s="2">
        <f t="shared" ca="1" si="191"/>
        <v>0.58027761156755997</v>
      </c>
      <c r="H1705" s="3">
        <f t="shared" ca="1" si="192"/>
        <v>0</v>
      </c>
      <c r="I1705" s="3">
        <f t="shared" ca="1" si="193"/>
        <v>1.5019092499475191</v>
      </c>
      <c r="J1705" s="3">
        <f t="shared" ca="1" si="194"/>
        <v>6.1276203577480199</v>
      </c>
      <c r="P1705" s="3">
        <f t="shared" ca="1" si="195"/>
        <v>-9.8372877198511048</v>
      </c>
      <c r="Q1705" s="3">
        <f t="shared" ca="1" si="196"/>
        <v>1.82190989798467</v>
      </c>
      <c r="R1705" s="3">
        <f t="shared" ca="1" si="197"/>
        <v>10.004578219970488</v>
      </c>
    </row>
    <row r="1706" spans="7:18" x14ac:dyDescent="0.25">
      <c r="G1706" s="2">
        <f t="shared" ca="1" si="191"/>
        <v>0.32003107057766333</v>
      </c>
      <c r="H1706" s="3">
        <f t="shared" ca="1" si="192"/>
        <v>0</v>
      </c>
      <c r="I1706" s="3">
        <f t="shared" ca="1" si="193"/>
        <v>3.0449954683892182</v>
      </c>
      <c r="J1706" s="3">
        <f t="shared" ca="1" si="194"/>
        <v>8.7249576909994495</v>
      </c>
      <c r="P1706" s="3">
        <f t="shared" ca="1" si="195"/>
        <v>-0.88139750022876662</v>
      </c>
      <c r="Q1706" s="3">
        <f t="shared" ca="1" si="196"/>
        <v>2.7235682222348871</v>
      </c>
      <c r="R1706" s="3">
        <f t="shared" ca="1" si="197"/>
        <v>2.8626360953808332</v>
      </c>
    </row>
    <row r="1707" spans="7:18" x14ac:dyDescent="0.25">
      <c r="G1707" s="2">
        <f t="shared" ca="1" si="191"/>
        <v>0.62109654909403023</v>
      </c>
      <c r="H1707" s="3">
        <f t="shared" ca="1" si="192"/>
        <v>1</v>
      </c>
      <c r="I1707" s="3">
        <f t="shared" ca="1" si="193"/>
        <v>2.4583375733285093</v>
      </c>
      <c r="J1707" s="3">
        <f t="shared" ca="1" si="194"/>
        <v>7.8395433115209414</v>
      </c>
      <c r="P1707" s="3">
        <f t="shared" ca="1" si="195"/>
        <v>-5.8057644606345011</v>
      </c>
      <c r="Q1707" s="3">
        <f t="shared" ca="1" si="196"/>
        <v>2.0950933085979315</v>
      </c>
      <c r="R1707" s="3">
        <f t="shared" ca="1" si="197"/>
        <v>6.1722213946113795</v>
      </c>
    </row>
    <row r="1708" spans="7:18" x14ac:dyDescent="0.25">
      <c r="G1708" s="2">
        <f t="shared" ca="1" si="191"/>
        <v>0.667679109392601</v>
      </c>
      <c r="H1708" s="3">
        <f t="shared" ca="1" si="192"/>
        <v>1</v>
      </c>
      <c r="I1708" s="3">
        <f t="shared" ca="1" si="193"/>
        <v>6.2175854617019013</v>
      </c>
      <c r="J1708" s="3">
        <f t="shared" ca="1" si="194"/>
        <v>12.467543324269922</v>
      </c>
      <c r="P1708" s="3">
        <f t="shared" ca="1" si="195"/>
        <v>-5.2873966765976217</v>
      </c>
      <c r="Q1708" s="3">
        <f t="shared" ca="1" si="196"/>
        <v>-8.93782717901016</v>
      </c>
      <c r="R1708" s="3">
        <f t="shared" ca="1" si="197"/>
        <v>10.384667462059067</v>
      </c>
    </row>
    <row r="1709" spans="7:18" x14ac:dyDescent="0.25">
      <c r="G1709" s="2">
        <f t="shared" ca="1" si="191"/>
        <v>0.55246529643139886</v>
      </c>
      <c r="H1709" s="3">
        <f t="shared" ca="1" si="192"/>
        <v>0</v>
      </c>
      <c r="I1709" s="3">
        <f t="shared" ca="1" si="193"/>
        <v>1.0701052179781159</v>
      </c>
      <c r="J1709" s="3">
        <f t="shared" ca="1" si="194"/>
        <v>5.1722945052899778</v>
      </c>
      <c r="P1709" s="3">
        <f t="shared" ca="1" si="195"/>
        <v>-4.9026519711865921</v>
      </c>
      <c r="Q1709" s="3">
        <f t="shared" ca="1" si="196"/>
        <v>0.21792611569182863</v>
      </c>
      <c r="R1709" s="3">
        <f t="shared" ca="1" si="197"/>
        <v>4.9074930608692977</v>
      </c>
    </row>
    <row r="1710" spans="7:18" x14ac:dyDescent="0.25">
      <c r="G1710" s="2">
        <f t="shared" ca="1" si="191"/>
        <v>0.88434151530390281</v>
      </c>
      <c r="H1710" s="3">
        <f t="shared" ca="1" si="192"/>
        <v>1</v>
      </c>
      <c r="I1710" s="3">
        <f t="shared" ca="1" si="193"/>
        <v>1.6480107322800415</v>
      </c>
      <c r="J1710" s="3">
        <f t="shared" ca="1" si="194"/>
        <v>6.418743514660874</v>
      </c>
      <c r="P1710" s="3">
        <f t="shared" ca="1" si="195"/>
        <v>-7.2011948664056931</v>
      </c>
      <c r="Q1710" s="3">
        <f t="shared" ca="1" si="196"/>
        <v>-3.7435466446915551</v>
      </c>
      <c r="R1710" s="3">
        <f t="shared" ca="1" si="197"/>
        <v>8.1161166197220886</v>
      </c>
    </row>
    <row r="1711" spans="7:18" x14ac:dyDescent="0.25">
      <c r="G1711" s="2">
        <f t="shared" ca="1" si="191"/>
        <v>0.89651568067021858</v>
      </c>
      <c r="H1711" s="3">
        <f t="shared" ca="1" si="192"/>
        <v>1</v>
      </c>
      <c r="I1711" s="3">
        <f t="shared" ca="1" si="193"/>
        <v>3.5654728015782133</v>
      </c>
      <c r="J1711" s="3">
        <f t="shared" ca="1" si="194"/>
        <v>9.4412297948654622</v>
      </c>
      <c r="P1711" s="3">
        <f t="shared" ca="1" si="195"/>
        <v>-0.87212441348407754</v>
      </c>
      <c r="Q1711" s="3">
        <f t="shared" ca="1" si="196"/>
        <v>8.6901794785463657</v>
      </c>
      <c r="R1711" s="3">
        <f t="shared" ca="1" si="197"/>
        <v>8.73383194033085</v>
      </c>
    </row>
    <row r="1712" spans="7:18" x14ac:dyDescent="0.25">
      <c r="G1712" s="2">
        <f t="shared" ca="1" si="191"/>
        <v>0.3158275266335111</v>
      </c>
      <c r="H1712" s="3">
        <f t="shared" ca="1" si="192"/>
        <v>0</v>
      </c>
      <c r="I1712" s="3">
        <f t="shared" ca="1" si="193"/>
        <v>1.7539386962171211</v>
      </c>
      <c r="J1712" s="3">
        <f t="shared" ca="1" si="194"/>
        <v>6.6218175303633986</v>
      </c>
      <c r="P1712" s="3">
        <f t="shared" ca="1" si="195"/>
        <v>5.4249831445761707</v>
      </c>
      <c r="Q1712" s="3">
        <f t="shared" ca="1" si="196"/>
        <v>5.443355156665123</v>
      </c>
      <c r="R1712" s="3">
        <f t="shared" ca="1" si="197"/>
        <v>7.6850866931042709</v>
      </c>
    </row>
    <row r="1713" spans="7:18" x14ac:dyDescent="0.25">
      <c r="G1713" s="2">
        <f t="shared" ca="1" si="191"/>
        <v>0.37752723837304447</v>
      </c>
      <c r="H1713" s="3">
        <f t="shared" ca="1" si="192"/>
        <v>0</v>
      </c>
      <c r="I1713" s="3">
        <f t="shared" ca="1" si="193"/>
        <v>2.0006490150304055</v>
      </c>
      <c r="J1713" s="3">
        <f t="shared" ca="1" si="194"/>
        <v>7.072215026125841</v>
      </c>
      <c r="P1713" s="3">
        <f t="shared" ca="1" si="195"/>
        <v>-4.0789654742649635</v>
      </c>
      <c r="Q1713" s="3">
        <f t="shared" ca="1" si="196"/>
        <v>-5.5021392924036761</v>
      </c>
      <c r="R1713" s="3">
        <f t="shared" ca="1" si="197"/>
        <v>6.8491967509524816</v>
      </c>
    </row>
    <row r="1714" spans="7:18" x14ac:dyDescent="0.25">
      <c r="G1714" s="2">
        <f t="shared" ca="1" si="191"/>
        <v>0.78861933708241849</v>
      </c>
      <c r="H1714" s="3">
        <f t="shared" ca="1" si="192"/>
        <v>1</v>
      </c>
      <c r="I1714" s="3">
        <f t="shared" ca="1" si="193"/>
        <v>3.8461080201459819</v>
      </c>
      <c r="J1714" s="3">
        <f t="shared" ca="1" si="194"/>
        <v>9.8057483398081118</v>
      </c>
      <c r="P1714" s="3">
        <f t="shared" ca="1" si="195"/>
        <v>-3.7898710540412206</v>
      </c>
      <c r="Q1714" s="3">
        <f t="shared" ca="1" si="196"/>
        <v>-4.8551341332707576</v>
      </c>
      <c r="R1714" s="3">
        <f t="shared" ca="1" si="197"/>
        <v>6.15917608599643</v>
      </c>
    </row>
    <row r="1715" spans="7:18" x14ac:dyDescent="0.25">
      <c r="G1715" s="2">
        <f t="shared" ca="1" si="191"/>
        <v>0.26975024958729132</v>
      </c>
      <c r="H1715" s="3">
        <f t="shared" ca="1" si="192"/>
        <v>0</v>
      </c>
      <c r="I1715" s="3">
        <f t="shared" ca="1" si="193"/>
        <v>1.6758002399608702</v>
      </c>
      <c r="J1715" s="3">
        <f t="shared" ca="1" si="194"/>
        <v>6.4726351665316164</v>
      </c>
      <c r="P1715" s="3">
        <f t="shared" ca="1" si="195"/>
        <v>-0.7618748314005428</v>
      </c>
      <c r="Q1715" s="3">
        <f t="shared" ca="1" si="196"/>
        <v>-1.3564881064341265</v>
      </c>
      <c r="R1715" s="3">
        <f t="shared" ca="1" si="197"/>
        <v>1.5557998719690291</v>
      </c>
    </row>
    <row r="1716" spans="7:18" x14ac:dyDescent="0.25">
      <c r="G1716" s="2">
        <f t="shared" ca="1" si="191"/>
        <v>0.58299646934602456</v>
      </c>
      <c r="H1716" s="3">
        <f t="shared" ca="1" si="192"/>
        <v>0</v>
      </c>
      <c r="I1716" s="3">
        <f t="shared" ca="1" si="193"/>
        <v>2.1778095256803165</v>
      </c>
      <c r="J1716" s="3">
        <f t="shared" ca="1" si="194"/>
        <v>7.3787016569317876</v>
      </c>
      <c r="P1716" s="3">
        <f t="shared" ca="1" si="195"/>
        <v>-4.926870522349196</v>
      </c>
      <c r="Q1716" s="3">
        <f t="shared" ca="1" si="196"/>
        <v>-3.3335287252928514</v>
      </c>
      <c r="R1716" s="3">
        <f t="shared" ca="1" si="197"/>
        <v>5.9486525286274725</v>
      </c>
    </row>
    <row r="1717" spans="7:18" x14ac:dyDescent="0.25">
      <c r="G1717" s="2">
        <f t="shared" ca="1" si="191"/>
        <v>9.3990493846665246E-2</v>
      </c>
      <c r="H1717" s="3">
        <f t="shared" ca="1" si="192"/>
        <v>0</v>
      </c>
      <c r="I1717" s="3">
        <f t="shared" ca="1" si="193"/>
        <v>1.3924028931199868</v>
      </c>
      <c r="J1717" s="3">
        <f t="shared" ca="1" si="194"/>
        <v>5.9000061294883128</v>
      </c>
      <c r="P1717" s="3">
        <f t="shared" ca="1" si="195"/>
        <v>-7.8750215468669911</v>
      </c>
      <c r="Q1717" s="3">
        <f t="shared" ca="1" si="196"/>
        <v>-0.53402459378935152</v>
      </c>
      <c r="R1717" s="3">
        <f t="shared" ca="1" si="197"/>
        <v>7.8931075395177066</v>
      </c>
    </row>
    <row r="1718" spans="7:18" x14ac:dyDescent="0.25">
      <c r="G1718" s="2">
        <f t="shared" ca="1" si="191"/>
        <v>0.99979482390462426</v>
      </c>
      <c r="H1718" s="3">
        <f t="shared" ca="1" si="192"/>
        <v>4</v>
      </c>
      <c r="I1718" s="3">
        <f t="shared" ca="1" si="193"/>
        <v>12.610833698794455</v>
      </c>
      <c r="J1718" s="3">
        <f t="shared" ca="1" si="194"/>
        <v>17.755867832067835</v>
      </c>
      <c r="P1718" s="3">
        <f t="shared" ca="1" si="195"/>
        <v>-4.4495560225002064</v>
      </c>
      <c r="Q1718" s="3">
        <f t="shared" ca="1" si="196"/>
        <v>6.3740146253652137</v>
      </c>
      <c r="R1718" s="3">
        <f t="shared" ca="1" si="197"/>
        <v>7.773455553467679</v>
      </c>
    </row>
    <row r="1719" spans="7:18" x14ac:dyDescent="0.25">
      <c r="G1719" s="2">
        <f t="shared" ca="1" si="191"/>
        <v>0.20175428510581406</v>
      </c>
      <c r="H1719" s="3">
        <f t="shared" ca="1" si="192"/>
        <v>0</v>
      </c>
      <c r="I1719" s="3">
        <f t="shared" ca="1" si="193"/>
        <v>6.1639707200097504</v>
      </c>
      <c r="J1719" s="3">
        <f t="shared" ca="1" si="194"/>
        <v>12.413672623371529</v>
      </c>
      <c r="P1719" s="3">
        <f t="shared" ca="1" si="195"/>
        <v>-5.2086330674596528</v>
      </c>
      <c r="Q1719" s="3">
        <f t="shared" ca="1" si="196"/>
        <v>0.49835888263086747</v>
      </c>
      <c r="R1719" s="3">
        <f t="shared" ca="1" si="197"/>
        <v>5.2324200908691605</v>
      </c>
    </row>
    <row r="1720" spans="7:18" x14ac:dyDescent="0.25">
      <c r="G1720" s="2">
        <f t="shared" ca="1" si="191"/>
        <v>0.96676455067763756</v>
      </c>
      <c r="H1720" s="3">
        <f t="shared" ca="1" si="192"/>
        <v>2</v>
      </c>
      <c r="I1720" s="3">
        <f t="shared" ca="1" si="193"/>
        <v>2.597544778728087</v>
      </c>
      <c r="J1720" s="3">
        <f t="shared" ca="1" si="194"/>
        <v>8.0584501902166146</v>
      </c>
      <c r="P1720" s="3">
        <f t="shared" ca="1" si="195"/>
        <v>2.4242430261720225</v>
      </c>
      <c r="Q1720" s="3">
        <f t="shared" ca="1" si="196"/>
        <v>-8.0275733908929361</v>
      </c>
      <c r="R1720" s="3">
        <f t="shared" ca="1" si="197"/>
        <v>8.3856358611685486</v>
      </c>
    </row>
    <row r="1721" spans="7:18" x14ac:dyDescent="0.25">
      <c r="G1721" s="2">
        <f t="shared" ca="1" si="191"/>
        <v>7.6015727560881929E-3</v>
      </c>
      <c r="H1721" s="3">
        <f t="shared" ca="1" si="192"/>
        <v>0</v>
      </c>
      <c r="I1721" s="3">
        <f t="shared" ca="1" si="193"/>
        <v>0.11837119582249848</v>
      </c>
      <c r="J1721" s="3">
        <f t="shared" ca="1" si="194"/>
        <v>1.7202557645775998</v>
      </c>
      <c r="P1721" s="3">
        <f t="shared" ca="1" si="195"/>
        <v>-2.6915289960166837</v>
      </c>
      <c r="Q1721" s="3">
        <f t="shared" ca="1" si="196"/>
        <v>-2.18763849468922</v>
      </c>
      <c r="R1721" s="3">
        <f t="shared" ca="1" si="197"/>
        <v>3.4684420882933442</v>
      </c>
    </row>
    <row r="1722" spans="7:18" x14ac:dyDescent="0.25">
      <c r="G1722" s="2">
        <f t="shared" ca="1" si="191"/>
        <v>0.57690299551512514</v>
      </c>
      <c r="H1722" s="3">
        <f t="shared" ca="1" si="192"/>
        <v>0</v>
      </c>
      <c r="I1722" s="3">
        <f t="shared" ca="1" si="193"/>
        <v>3.6937653031871616</v>
      </c>
      <c r="J1722" s="3">
        <f t="shared" ca="1" si="194"/>
        <v>9.6095854530608662</v>
      </c>
      <c r="P1722" s="3">
        <f t="shared" ca="1" si="195"/>
        <v>-1.7687190547336695</v>
      </c>
      <c r="Q1722" s="3">
        <f t="shared" ca="1" si="196"/>
        <v>7.9479334026319881</v>
      </c>
      <c r="R1722" s="3">
        <f t="shared" ca="1" si="197"/>
        <v>8.1423591462948419</v>
      </c>
    </row>
    <row r="1723" spans="7:18" x14ac:dyDescent="0.25">
      <c r="G1723" s="2">
        <f t="shared" ca="1" si="191"/>
        <v>0.30301641946572744</v>
      </c>
      <c r="H1723" s="3">
        <f t="shared" ca="1" si="192"/>
        <v>0</v>
      </c>
      <c r="I1723" s="3">
        <f t="shared" ca="1" si="193"/>
        <v>1.8081765640959384</v>
      </c>
      <c r="J1723" s="3">
        <f t="shared" ca="1" si="194"/>
        <v>6.7234227966414899</v>
      </c>
      <c r="P1723" s="3">
        <f t="shared" ca="1" si="195"/>
        <v>-0.80861745431543497</v>
      </c>
      <c r="Q1723" s="3">
        <f t="shared" ca="1" si="196"/>
        <v>-7.4697019538799578</v>
      </c>
      <c r="R1723" s="3">
        <f t="shared" ca="1" si="197"/>
        <v>7.5133420970445393</v>
      </c>
    </row>
    <row r="1724" spans="7:18" x14ac:dyDescent="0.25">
      <c r="G1724" s="2">
        <f t="shared" ca="1" si="191"/>
        <v>0.29549290723608945</v>
      </c>
      <c r="H1724" s="3">
        <f t="shared" ca="1" si="192"/>
        <v>0</v>
      </c>
      <c r="I1724" s="3">
        <f t="shared" ca="1" si="193"/>
        <v>7.4236538733140049</v>
      </c>
      <c r="J1724" s="3">
        <f t="shared" ca="1" si="194"/>
        <v>13.623191506869825</v>
      </c>
      <c r="P1724" s="3">
        <f t="shared" ca="1" si="195"/>
        <v>8.6508101173622531</v>
      </c>
      <c r="Q1724" s="3">
        <f t="shared" ca="1" si="196"/>
        <v>-3.5125738795947083</v>
      </c>
      <c r="R1724" s="3">
        <f t="shared" ca="1" si="197"/>
        <v>9.3367387746615336</v>
      </c>
    </row>
    <row r="1725" spans="7:18" x14ac:dyDescent="0.25">
      <c r="G1725" s="2">
        <f t="shared" ca="1" si="191"/>
        <v>1.326903130795698E-2</v>
      </c>
      <c r="H1725" s="3">
        <f t="shared" ca="1" si="192"/>
        <v>0</v>
      </c>
      <c r="I1725" s="3">
        <f t="shared" ca="1" si="193"/>
        <v>0.366803014780891</v>
      </c>
      <c r="J1725" s="3">
        <f t="shared" ca="1" si="194"/>
        <v>3.0282132305242766</v>
      </c>
      <c r="P1725" s="3">
        <f t="shared" ca="1" si="195"/>
        <v>-7.5485108190927619</v>
      </c>
      <c r="Q1725" s="3">
        <f t="shared" ca="1" si="196"/>
        <v>4.0917887466622211</v>
      </c>
      <c r="R1725" s="3">
        <f t="shared" ca="1" si="197"/>
        <v>8.5861953584385713</v>
      </c>
    </row>
    <row r="1726" spans="7:18" x14ac:dyDescent="0.25">
      <c r="G1726" s="2">
        <f t="shared" ca="1" si="191"/>
        <v>0.3862844190831457</v>
      </c>
      <c r="H1726" s="3">
        <f t="shared" ca="1" si="192"/>
        <v>0</v>
      </c>
      <c r="I1726" s="3">
        <f t="shared" ca="1" si="193"/>
        <v>3.66454203604648</v>
      </c>
      <c r="J1726" s="3">
        <f t="shared" ca="1" si="194"/>
        <v>9.571496795233335</v>
      </c>
      <c r="P1726" s="3">
        <f t="shared" ca="1" si="195"/>
        <v>-6.1460693231803871</v>
      </c>
      <c r="Q1726" s="3">
        <f t="shared" ca="1" si="196"/>
        <v>2.0390212998954262</v>
      </c>
      <c r="R1726" s="3">
        <f t="shared" ca="1" si="197"/>
        <v>6.4754749622530587</v>
      </c>
    </row>
    <row r="1727" spans="7:18" x14ac:dyDescent="0.25">
      <c r="G1727" s="2">
        <f t="shared" ca="1" si="191"/>
        <v>0.5442060364318082</v>
      </c>
      <c r="H1727" s="3">
        <f t="shared" ca="1" si="192"/>
        <v>0</v>
      </c>
      <c r="I1727" s="3">
        <f t="shared" ca="1" si="193"/>
        <v>2.592804646733788</v>
      </c>
      <c r="J1727" s="3">
        <f t="shared" ca="1" si="194"/>
        <v>8.0510940975959713</v>
      </c>
      <c r="P1727" s="3">
        <f t="shared" ca="1" si="195"/>
        <v>-1.2346131883813949</v>
      </c>
      <c r="Q1727" s="3">
        <f t="shared" ca="1" si="196"/>
        <v>-1.8510863698245095</v>
      </c>
      <c r="R1727" s="3">
        <f t="shared" ca="1" si="197"/>
        <v>2.2250371847399211</v>
      </c>
    </row>
    <row r="1728" spans="7:18" x14ac:dyDescent="0.25">
      <c r="G1728" s="2">
        <f t="shared" ca="1" si="191"/>
        <v>0.11301609396261059</v>
      </c>
      <c r="H1728" s="3">
        <f t="shared" ca="1" si="192"/>
        <v>0</v>
      </c>
      <c r="I1728" s="3">
        <f t="shared" ca="1" si="193"/>
        <v>6.1797541824052065</v>
      </c>
      <c r="J1728" s="3">
        <f t="shared" ca="1" si="194"/>
        <v>12.429555686352193</v>
      </c>
      <c r="P1728" s="3">
        <f t="shared" ca="1" si="195"/>
        <v>-0.13698039463706468</v>
      </c>
      <c r="Q1728" s="3">
        <f t="shared" ca="1" si="196"/>
        <v>0.43658400628151067</v>
      </c>
      <c r="R1728" s="3">
        <f t="shared" ca="1" si="197"/>
        <v>0.45756881783589681</v>
      </c>
    </row>
    <row r="1729" spans="7:18" x14ac:dyDescent="0.25">
      <c r="G1729" s="2">
        <f t="shared" ca="1" si="191"/>
        <v>0.69827345966617649</v>
      </c>
      <c r="H1729" s="3">
        <f t="shared" ca="1" si="192"/>
        <v>1</v>
      </c>
      <c r="I1729" s="3">
        <f t="shared" ca="1" si="193"/>
        <v>2.7748382908713931</v>
      </c>
      <c r="J1729" s="3">
        <f t="shared" ca="1" si="194"/>
        <v>8.3289229358774133</v>
      </c>
      <c r="P1729" s="3">
        <f t="shared" ca="1" si="195"/>
        <v>-2.7771265410801469</v>
      </c>
      <c r="Q1729" s="3">
        <f t="shared" ca="1" si="196"/>
        <v>2.0561975659172096</v>
      </c>
      <c r="R1729" s="3">
        <f t="shared" ca="1" si="197"/>
        <v>3.4554855310441743</v>
      </c>
    </row>
    <row r="1730" spans="7:18" x14ac:dyDescent="0.25">
      <c r="G1730" s="2">
        <f t="shared" ca="1" si="191"/>
        <v>0.17276147649921847</v>
      </c>
      <c r="H1730" s="3">
        <f t="shared" ca="1" si="192"/>
        <v>0</v>
      </c>
      <c r="I1730" s="3">
        <f t="shared" ca="1" si="193"/>
        <v>2.8389401540321888</v>
      </c>
      <c r="J1730" s="3">
        <f t="shared" ca="1" si="194"/>
        <v>8.4245773692693167</v>
      </c>
      <c r="P1730" s="3">
        <f t="shared" ca="1" si="195"/>
        <v>-3.1124154887548943</v>
      </c>
      <c r="Q1730" s="3">
        <f t="shared" ca="1" si="196"/>
        <v>-3.2273072088993615</v>
      </c>
      <c r="R1730" s="3">
        <f t="shared" ca="1" si="197"/>
        <v>4.4835969929572341</v>
      </c>
    </row>
    <row r="1731" spans="7:18" x14ac:dyDescent="0.25">
      <c r="G1731" s="2">
        <f t="shared" ca="1" si="191"/>
        <v>0.37543052689490708</v>
      </c>
      <c r="H1731" s="3">
        <f t="shared" ca="1" si="192"/>
        <v>0</v>
      </c>
      <c r="I1731" s="3">
        <f t="shared" ca="1" si="193"/>
        <v>0.13067721362285428</v>
      </c>
      <c r="J1731" s="3">
        <f t="shared" ca="1" si="194"/>
        <v>1.8074651699469502</v>
      </c>
      <c r="P1731" s="3">
        <f t="shared" ca="1" si="195"/>
        <v>-4.3418166206524527</v>
      </c>
      <c r="Q1731" s="3">
        <f t="shared" ca="1" si="196"/>
        <v>3.2510192605705566</v>
      </c>
      <c r="R1731" s="3">
        <f t="shared" ca="1" si="197"/>
        <v>5.4240665372001668</v>
      </c>
    </row>
    <row r="1732" spans="7:18" x14ac:dyDescent="0.25">
      <c r="G1732" s="2">
        <f t="shared" ref="G1732:G1795" ca="1" si="198">RAND()</f>
        <v>0.15593323924384472</v>
      </c>
      <c r="H1732" s="3">
        <f t="shared" ref="H1732:H1795" ca="1" si="199">VLOOKUP(G1732,$B$9:$C$169,2,TRUE)</f>
        <v>0</v>
      </c>
      <c r="I1732" s="3">
        <f t="shared" ref="I1732:I1795" ca="1" si="200">_xlfn.CHISQ.INV(RAND(),2*H1732+2)</f>
        <v>4.2258685684170585</v>
      </c>
      <c r="J1732" s="3">
        <f t="shared" ref="J1732:J1795" ca="1" si="201">$C$4*SQRT(I1732)</f>
        <v>10.278458746836828</v>
      </c>
      <c r="P1732" s="3">
        <f t="shared" ref="P1732:P1795" ca="1" si="202">_xlfn.NORM.INV(RAND(),$C$3*COS($O$2),$C$4)</f>
        <v>-14.151284678602385</v>
      </c>
      <c r="Q1732" s="3">
        <f t="shared" ref="Q1732:Q1795" ca="1" si="203">_xlfn.NORM.INV(RAND(),$C$3*SIN($O$2),$C$4)</f>
        <v>-6.6771912029654734</v>
      </c>
      <c r="R1732" s="3">
        <f t="shared" ref="R1732:R1795" ca="1" si="204">SQRT(P1732^2+Q1732^2)</f>
        <v>15.647483517032576</v>
      </c>
    </row>
    <row r="1733" spans="7:18" x14ac:dyDescent="0.25">
      <c r="G1733" s="2">
        <f t="shared" ca="1" si="198"/>
        <v>0.25699195035112199</v>
      </c>
      <c r="H1733" s="3">
        <f t="shared" ca="1" si="199"/>
        <v>0</v>
      </c>
      <c r="I1733" s="3">
        <f t="shared" ca="1" si="200"/>
        <v>3.890966537632936E-2</v>
      </c>
      <c r="J1733" s="3">
        <f t="shared" ca="1" si="201"/>
        <v>0.98627665206484239</v>
      </c>
      <c r="P1733" s="3">
        <f t="shared" ca="1" si="202"/>
        <v>-2.5966116960375727</v>
      </c>
      <c r="Q1733" s="3">
        <f t="shared" ca="1" si="203"/>
        <v>-8.700862474209476</v>
      </c>
      <c r="R1733" s="3">
        <f t="shared" ca="1" si="204"/>
        <v>9.0800550711493901</v>
      </c>
    </row>
    <row r="1734" spans="7:18" x14ac:dyDescent="0.25">
      <c r="G1734" s="2">
        <f t="shared" ca="1" si="198"/>
        <v>0.62561234852670045</v>
      </c>
      <c r="H1734" s="3">
        <f t="shared" ca="1" si="199"/>
        <v>1</v>
      </c>
      <c r="I1734" s="3">
        <f t="shared" ca="1" si="200"/>
        <v>1.7117599368366048</v>
      </c>
      <c r="J1734" s="3">
        <f t="shared" ca="1" si="201"/>
        <v>6.5417121933722457</v>
      </c>
      <c r="P1734" s="3">
        <f t="shared" ca="1" si="202"/>
        <v>-12.462768784293896</v>
      </c>
      <c r="Q1734" s="3">
        <f t="shared" ca="1" si="203"/>
        <v>-0.34480948127529248</v>
      </c>
      <c r="R1734" s="3">
        <f t="shared" ca="1" si="204"/>
        <v>12.467537822246529</v>
      </c>
    </row>
    <row r="1735" spans="7:18" x14ac:dyDescent="0.25">
      <c r="G1735" s="2">
        <f t="shared" ca="1" si="198"/>
        <v>2.9948131631352015E-2</v>
      </c>
      <c r="H1735" s="3">
        <f t="shared" ca="1" si="199"/>
        <v>0</v>
      </c>
      <c r="I1735" s="3">
        <f t="shared" ca="1" si="200"/>
        <v>0.35191398556654968</v>
      </c>
      <c r="J1735" s="3">
        <f t="shared" ca="1" si="201"/>
        <v>2.9661169294489627</v>
      </c>
      <c r="P1735" s="3">
        <f t="shared" ca="1" si="202"/>
        <v>2.2201363153348801</v>
      </c>
      <c r="Q1735" s="3">
        <f t="shared" ca="1" si="203"/>
        <v>9.2092587235289809</v>
      </c>
      <c r="R1735" s="3">
        <f t="shared" ca="1" si="204"/>
        <v>9.4730909156179521</v>
      </c>
    </row>
    <row r="1736" spans="7:18" x14ac:dyDescent="0.25">
      <c r="G1736" s="2">
        <f t="shared" ca="1" si="198"/>
        <v>0.70352762798560287</v>
      </c>
      <c r="H1736" s="3">
        <f t="shared" ca="1" si="199"/>
        <v>1</v>
      </c>
      <c r="I1736" s="3">
        <f t="shared" ca="1" si="200"/>
        <v>1.8349818290034352</v>
      </c>
      <c r="J1736" s="3">
        <f t="shared" ca="1" si="201"/>
        <v>6.7730750568029201</v>
      </c>
      <c r="P1736" s="3">
        <f t="shared" ca="1" si="202"/>
        <v>-8.6380290249298994</v>
      </c>
      <c r="Q1736" s="3">
        <f t="shared" ca="1" si="203"/>
        <v>3.2679541276743618</v>
      </c>
      <c r="R1736" s="3">
        <f t="shared" ca="1" si="204"/>
        <v>9.2355329903647299</v>
      </c>
    </row>
    <row r="1737" spans="7:18" x14ac:dyDescent="0.25">
      <c r="G1737" s="2">
        <f t="shared" ca="1" si="198"/>
        <v>0.5771290200921213</v>
      </c>
      <c r="H1737" s="3">
        <f t="shared" ca="1" si="199"/>
        <v>0</v>
      </c>
      <c r="I1737" s="3">
        <f t="shared" ca="1" si="200"/>
        <v>5.4755095783028347</v>
      </c>
      <c r="J1737" s="3">
        <f t="shared" ca="1" si="201"/>
        <v>11.699903395223863</v>
      </c>
      <c r="P1737" s="3">
        <f t="shared" ca="1" si="202"/>
        <v>3.597174697898037</v>
      </c>
      <c r="Q1737" s="3">
        <f t="shared" ca="1" si="203"/>
        <v>6.4164032266347766</v>
      </c>
      <c r="R1737" s="3">
        <f t="shared" ca="1" si="204"/>
        <v>7.3559429153553797</v>
      </c>
    </row>
    <row r="1738" spans="7:18" x14ac:dyDescent="0.25">
      <c r="G1738" s="2">
        <f t="shared" ca="1" si="198"/>
        <v>0.91177986356995933</v>
      </c>
      <c r="H1738" s="3">
        <f t="shared" ca="1" si="199"/>
        <v>2</v>
      </c>
      <c r="I1738" s="3">
        <f t="shared" ca="1" si="200"/>
        <v>7.3130643609289612</v>
      </c>
      <c r="J1738" s="3">
        <f t="shared" ca="1" si="201"/>
        <v>13.521339024786858</v>
      </c>
      <c r="P1738" s="3">
        <f t="shared" ca="1" si="202"/>
        <v>2.4950829793710874</v>
      </c>
      <c r="Q1738" s="3">
        <f t="shared" ca="1" si="203"/>
        <v>-4.5493344473406818</v>
      </c>
      <c r="R1738" s="3">
        <f t="shared" ca="1" si="204"/>
        <v>5.1886301648612276</v>
      </c>
    </row>
    <row r="1739" spans="7:18" x14ac:dyDescent="0.25">
      <c r="G1739" s="2">
        <f t="shared" ca="1" si="198"/>
        <v>0.79505196707458725</v>
      </c>
      <c r="H1739" s="3">
        <f t="shared" ca="1" si="199"/>
        <v>1</v>
      </c>
      <c r="I1739" s="3">
        <f t="shared" ca="1" si="200"/>
        <v>3.0811043972446353</v>
      </c>
      <c r="J1739" s="3">
        <f t="shared" ca="1" si="201"/>
        <v>8.7765374682226405</v>
      </c>
      <c r="P1739" s="3">
        <f t="shared" ca="1" si="202"/>
        <v>-4.0378492301098516</v>
      </c>
      <c r="Q1739" s="3">
        <f t="shared" ca="1" si="203"/>
        <v>-3.8422372422322995</v>
      </c>
      <c r="R1739" s="3">
        <f t="shared" ca="1" si="204"/>
        <v>5.5737790977662174</v>
      </c>
    </row>
    <row r="1740" spans="7:18" x14ac:dyDescent="0.25">
      <c r="G1740" s="2">
        <f t="shared" ca="1" si="198"/>
        <v>0.98692725493893563</v>
      </c>
      <c r="H1740" s="3">
        <f t="shared" ca="1" si="199"/>
        <v>3</v>
      </c>
      <c r="I1740" s="3">
        <f t="shared" ca="1" si="200"/>
        <v>10.76581032338739</v>
      </c>
      <c r="J1740" s="3">
        <f t="shared" ca="1" si="201"/>
        <v>16.405647140076027</v>
      </c>
      <c r="P1740" s="3">
        <f t="shared" ca="1" si="202"/>
        <v>-0.84558894722904121</v>
      </c>
      <c r="Q1740" s="3">
        <f t="shared" ca="1" si="203"/>
        <v>-2.4219903814091492</v>
      </c>
      <c r="R1740" s="3">
        <f t="shared" ca="1" si="204"/>
        <v>2.5653572997370864</v>
      </c>
    </row>
    <row r="1741" spans="7:18" x14ac:dyDescent="0.25">
      <c r="G1741" s="2">
        <f t="shared" ca="1" si="198"/>
        <v>0.49982862549928764</v>
      </c>
      <c r="H1741" s="3">
        <f t="shared" ca="1" si="199"/>
        <v>0</v>
      </c>
      <c r="I1741" s="3">
        <f t="shared" ca="1" si="200"/>
        <v>1.5610049128784234</v>
      </c>
      <c r="J1741" s="3">
        <f t="shared" ca="1" si="201"/>
        <v>6.2470091101230665</v>
      </c>
      <c r="P1741" s="3">
        <f t="shared" ca="1" si="202"/>
        <v>-5.466026705675354</v>
      </c>
      <c r="Q1741" s="3">
        <f t="shared" ca="1" si="203"/>
        <v>-4.8427280866368845</v>
      </c>
      <c r="R1741" s="3">
        <f t="shared" ca="1" si="204"/>
        <v>7.3027024633527216</v>
      </c>
    </row>
    <row r="1742" spans="7:18" x14ac:dyDescent="0.25">
      <c r="G1742" s="2">
        <f t="shared" ca="1" si="198"/>
        <v>0.62142357007227012</v>
      </c>
      <c r="H1742" s="3">
        <f t="shared" ca="1" si="199"/>
        <v>1</v>
      </c>
      <c r="I1742" s="3">
        <f t="shared" ca="1" si="200"/>
        <v>2.1454461836062322</v>
      </c>
      <c r="J1742" s="3">
        <f t="shared" ca="1" si="201"/>
        <v>7.3236708411940388</v>
      </c>
      <c r="P1742" s="3">
        <f t="shared" ca="1" si="202"/>
        <v>-6.5411594581860655</v>
      </c>
      <c r="Q1742" s="3">
        <f t="shared" ca="1" si="203"/>
        <v>-6.8656352201610984</v>
      </c>
      <c r="R1742" s="3">
        <f t="shared" ca="1" si="204"/>
        <v>9.4828115047033155</v>
      </c>
    </row>
    <row r="1743" spans="7:18" x14ac:dyDescent="0.25">
      <c r="G1743" s="2">
        <f t="shared" ca="1" si="198"/>
        <v>0.46154190430782738</v>
      </c>
      <c r="H1743" s="3">
        <f t="shared" ca="1" si="199"/>
        <v>0</v>
      </c>
      <c r="I1743" s="3">
        <f t="shared" ca="1" si="200"/>
        <v>1.0892255228694319</v>
      </c>
      <c r="J1743" s="3">
        <f t="shared" ca="1" si="201"/>
        <v>5.218298388530096</v>
      </c>
      <c r="P1743" s="3">
        <f t="shared" ca="1" si="202"/>
        <v>-11.768918528748452</v>
      </c>
      <c r="Q1743" s="3">
        <f t="shared" ca="1" si="203"/>
        <v>1.3926881887625446</v>
      </c>
      <c r="R1743" s="3">
        <f t="shared" ca="1" si="204"/>
        <v>11.851034711257803</v>
      </c>
    </row>
    <row r="1744" spans="7:18" x14ac:dyDescent="0.25">
      <c r="G1744" s="2">
        <f t="shared" ca="1" si="198"/>
        <v>0.17230165719608204</v>
      </c>
      <c r="H1744" s="3">
        <f t="shared" ca="1" si="199"/>
        <v>0</v>
      </c>
      <c r="I1744" s="3">
        <f t="shared" ca="1" si="200"/>
        <v>0.55390330471691018</v>
      </c>
      <c r="J1744" s="3">
        <f t="shared" ca="1" si="201"/>
        <v>3.72123401816155</v>
      </c>
      <c r="P1744" s="3">
        <f t="shared" ca="1" si="202"/>
        <v>-11.263691214295829</v>
      </c>
      <c r="Q1744" s="3">
        <f t="shared" ca="1" si="203"/>
        <v>-2.6835268391655247</v>
      </c>
      <c r="R1744" s="3">
        <f t="shared" ca="1" si="204"/>
        <v>11.578948832580906</v>
      </c>
    </row>
    <row r="1745" spans="7:18" x14ac:dyDescent="0.25">
      <c r="G1745" s="2">
        <f t="shared" ca="1" si="198"/>
        <v>0.77569155758345743</v>
      </c>
      <c r="H1745" s="3">
        <f t="shared" ca="1" si="199"/>
        <v>1</v>
      </c>
      <c r="I1745" s="3">
        <f t="shared" ca="1" si="200"/>
        <v>1.0753836796616076</v>
      </c>
      <c r="J1745" s="3">
        <f t="shared" ca="1" si="201"/>
        <v>5.1850353896130921</v>
      </c>
      <c r="P1745" s="3">
        <f t="shared" ca="1" si="202"/>
        <v>-3.5950194863124767</v>
      </c>
      <c r="Q1745" s="3">
        <f t="shared" ca="1" si="203"/>
        <v>-2.990677719967366</v>
      </c>
      <c r="R1745" s="3">
        <f t="shared" ca="1" si="204"/>
        <v>4.6763573785239752</v>
      </c>
    </row>
    <row r="1746" spans="7:18" x14ac:dyDescent="0.25">
      <c r="G1746" s="2">
        <f t="shared" ca="1" si="198"/>
        <v>0.18052406260668796</v>
      </c>
      <c r="H1746" s="3">
        <f t="shared" ca="1" si="199"/>
        <v>0</v>
      </c>
      <c r="I1746" s="3">
        <f t="shared" ca="1" si="200"/>
        <v>8.0877770529805293</v>
      </c>
      <c r="J1746" s="3">
        <f t="shared" ca="1" si="201"/>
        <v>14.219508652710658</v>
      </c>
      <c r="P1746" s="3">
        <f t="shared" ca="1" si="202"/>
        <v>-0.40887372556891588</v>
      </c>
      <c r="Q1746" s="3">
        <f t="shared" ca="1" si="203"/>
        <v>-1.4650724556620094</v>
      </c>
      <c r="R1746" s="3">
        <f t="shared" ca="1" si="204"/>
        <v>1.5210572059591039</v>
      </c>
    </row>
    <row r="1747" spans="7:18" x14ac:dyDescent="0.25">
      <c r="G1747" s="2">
        <f t="shared" ca="1" si="198"/>
        <v>0.15785569754840501</v>
      </c>
      <c r="H1747" s="3">
        <f t="shared" ca="1" si="199"/>
        <v>0</v>
      </c>
      <c r="I1747" s="3">
        <f t="shared" ca="1" si="200"/>
        <v>0.1312558531842746</v>
      </c>
      <c r="J1747" s="3">
        <f t="shared" ca="1" si="201"/>
        <v>1.8114624836321798</v>
      </c>
      <c r="P1747" s="3">
        <f t="shared" ca="1" si="202"/>
        <v>-1.5641399402522529</v>
      </c>
      <c r="Q1747" s="3">
        <f t="shared" ca="1" si="203"/>
        <v>5.7492357310702857</v>
      </c>
      <c r="R1747" s="3">
        <f t="shared" ca="1" si="204"/>
        <v>5.9582082242992822</v>
      </c>
    </row>
    <row r="1748" spans="7:18" x14ac:dyDescent="0.25">
      <c r="G1748" s="2">
        <f t="shared" ca="1" si="198"/>
        <v>0.18293890223915255</v>
      </c>
      <c r="H1748" s="3">
        <f t="shared" ca="1" si="199"/>
        <v>0</v>
      </c>
      <c r="I1748" s="3">
        <f t="shared" ca="1" si="200"/>
        <v>0.16909017801916965</v>
      </c>
      <c r="J1748" s="3">
        <f t="shared" ca="1" si="201"/>
        <v>2.0560288058486051</v>
      </c>
      <c r="P1748" s="3">
        <f t="shared" ca="1" si="202"/>
        <v>1.8926551199653421</v>
      </c>
      <c r="Q1748" s="3">
        <f t="shared" ca="1" si="203"/>
        <v>2.5234214708407339</v>
      </c>
      <c r="R1748" s="3">
        <f t="shared" ca="1" si="204"/>
        <v>3.1543302494556649</v>
      </c>
    </row>
    <row r="1749" spans="7:18" x14ac:dyDescent="0.25">
      <c r="G1749" s="2">
        <f t="shared" ca="1" si="198"/>
        <v>0.83430412701599033</v>
      </c>
      <c r="H1749" s="3">
        <f t="shared" ca="1" si="199"/>
        <v>1</v>
      </c>
      <c r="I1749" s="3">
        <f t="shared" ca="1" si="200"/>
        <v>1.4197365196886926</v>
      </c>
      <c r="J1749" s="3">
        <f t="shared" ca="1" si="201"/>
        <v>5.9576348488487705</v>
      </c>
      <c r="P1749" s="3">
        <f t="shared" ca="1" si="202"/>
        <v>-8.9416926827579744</v>
      </c>
      <c r="Q1749" s="3">
        <f t="shared" ca="1" si="203"/>
        <v>0.31966740015493217</v>
      </c>
      <c r="R1749" s="3">
        <f t="shared" ca="1" si="204"/>
        <v>8.9474049466652232</v>
      </c>
    </row>
    <row r="1750" spans="7:18" x14ac:dyDescent="0.25">
      <c r="G1750" s="2">
        <f t="shared" ca="1" si="198"/>
        <v>0.86386598953723215</v>
      </c>
      <c r="H1750" s="3">
        <f t="shared" ca="1" si="199"/>
        <v>1</v>
      </c>
      <c r="I1750" s="3">
        <f t="shared" ca="1" si="200"/>
        <v>5.2540281313988997</v>
      </c>
      <c r="J1750" s="3">
        <f t="shared" ca="1" si="201"/>
        <v>11.460833446349898</v>
      </c>
      <c r="P1750" s="3">
        <f t="shared" ca="1" si="202"/>
        <v>-13.55453399709033</v>
      </c>
      <c r="Q1750" s="3">
        <f t="shared" ca="1" si="203"/>
        <v>2.7312406901102029</v>
      </c>
      <c r="R1750" s="3">
        <f t="shared" ca="1" si="204"/>
        <v>13.826968850243036</v>
      </c>
    </row>
    <row r="1751" spans="7:18" x14ac:dyDescent="0.25">
      <c r="G1751" s="2">
        <f t="shared" ca="1" si="198"/>
        <v>0.8833374892810768</v>
      </c>
      <c r="H1751" s="3">
        <f t="shared" ca="1" si="199"/>
        <v>1</v>
      </c>
      <c r="I1751" s="3">
        <f t="shared" ca="1" si="200"/>
        <v>9.452975034109798</v>
      </c>
      <c r="J1751" s="3">
        <f t="shared" ca="1" si="201"/>
        <v>15.372845405218417</v>
      </c>
      <c r="P1751" s="3">
        <f t="shared" ca="1" si="202"/>
        <v>-2.9888267101914776</v>
      </c>
      <c r="Q1751" s="3">
        <f t="shared" ca="1" si="203"/>
        <v>-0.48612495724916627</v>
      </c>
      <c r="R1751" s="3">
        <f t="shared" ca="1" si="204"/>
        <v>3.0281021412123001</v>
      </c>
    </row>
    <row r="1752" spans="7:18" x14ac:dyDescent="0.25">
      <c r="G1752" s="2">
        <f t="shared" ca="1" si="198"/>
        <v>0.92417100231380833</v>
      </c>
      <c r="H1752" s="3">
        <f t="shared" ca="1" si="199"/>
        <v>2</v>
      </c>
      <c r="I1752" s="3">
        <f t="shared" ca="1" si="200"/>
        <v>3.4324656436797083</v>
      </c>
      <c r="J1752" s="3">
        <f t="shared" ca="1" si="201"/>
        <v>9.2634572969271431</v>
      </c>
      <c r="P1752" s="3">
        <f t="shared" ca="1" si="202"/>
        <v>-13.257461265590445</v>
      </c>
      <c r="Q1752" s="3">
        <f t="shared" ca="1" si="203"/>
        <v>4.1413624635889859</v>
      </c>
      <c r="R1752" s="3">
        <f t="shared" ca="1" si="204"/>
        <v>13.889246281330561</v>
      </c>
    </row>
    <row r="1753" spans="7:18" x14ac:dyDescent="0.25">
      <c r="G1753" s="2">
        <f t="shared" ca="1" si="198"/>
        <v>0.25452386691725459</v>
      </c>
      <c r="H1753" s="3">
        <f t="shared" ca="1" si="199"/>
        <v>0</v>
      </c>
      <c r="I1753" s="3">
        <f t="shared" ca="1" si="200"/>
        <v>0.65141177761436597</v>
      </c>
      <c r="J1753" s="3">
        <f t="shared" ca="1" si="201"/>
        <v>4.0355042361964069</v>
      </c>
      <c r="P1753" s="3">
        <f t="shared" ca="1" si="202"/>
        <v>-3.8878807915032789</v>
      </c>
      <c r="Q1753" s="3">
        <f t="shared" ca="1" si="203"/>
        <v>3.4962261875335536</v>
      </c>
      <c r="R1753" s="3">
        <f t="shared" ca="1" si="204"/>
        <v>5.2286914809859999</v>
      </c>
    </row>
    <row r="1754" spans="7:18" x14ac:dyDescent="0.25">
      <c r="G1754" s="2">
        <f t="shared" ca="1" si="198"/>
        <v>0.88331170874341125</v>
      </c>
      <c r="H1754" s="3">
        <f t="shared" ca="1" si="199"/>
        <v>1</v>
      </c>
      <c r="I1754" s="3">
        <f t="shared" ca="1" si="200"/>
        <v>2.1248336940592445</v>
      </c>
      <c r="J1754" s="3">
        <f t="shared" ca="1" si="201"/>
        <v>7.2884046506407083</v>
      </c>
      <c r="P1754" s="3">
        <f t="shared" ca="1" si="202"/>
        <v>-7.0332274565860899</v>
      </c>
      <c r="Q1754" s="3">
        <f t="shared" ca="1" si="203"/>
        <v>-4.3706005749506804</v>
      </c>
      <c r="R1754" s="3">
        <f t="shared" ca="1" si="204"/>
        <v>8.2806061276838694</v>
      </c>
    </row>
    <row r="1755" spans="7:18" x14ac:dyDescent="0.25">
      <c r="G1755" s="2">
        <f t="shared" ca="1" si="198"/>
        <v>0.24712842860359896</v>
      </c>
      <c r="H1755" s="3">
        <f t="shared" ca="1" si="199"/>
        <v>0</v>
      </c>
      <c r="I1755" s="3">
        <f t="shared" ca="1" si="200"/>
        <v>3.2285561574631076</v>
      </c>
      <c r="J1755" s="3">
        <f t="shared" ca="1" si="201"/>
        <v>8.9840917146129851</v>
      </c>
      <c r="P1755" s="3">
        <f t="shared" ca="1" si="202"/>
        <v>-8.7186693850397443</v>
      </c>
      <c r="Q1755" s="3">
        <f t="shared" ca="1" si="203"/>
        <v>-3.4164402288593556</v>
      </c>
      <c r="R1755" s="3">
        <f t="shared" ca="1" si="204"/>
        <v>9.364147568412081</v>
      </c>
    </row>
    <row r="1756" spans="7:18" x14ac:dyDescent="0.25">
      <c r="G1756" s="2">
        <f t="shared" ca="1" si="198"/>
        <v>0.64487124654427042</v>
      </c>
      <c r="H1756" s="3">
        <f t="shared" ca="1" si="199"/>
        <v>1</v>
      </c>
      <c r="I1756" s="3">
        <f t="shared" ca="1" si="200"/>
        <v>4.5420986009167263</v>
      </c>
      <c r="J1756" s="3">
        <f t="shared" ca="1" si="201"/>
        <v>10.65609989737888</v>
      </c>
      <c r="P1756" s="3">
        <f t="shared" ca="1" si="202"/>
        <v>4.0610747541142569</v>
      </c>
      <c r="Q1756" s="3">
        <f t="shared" ca="1" si="203"/>
        <v>1.0537915646234308</v>
      </c>
      <c r="R1756" s="3">
        <f t="shared" ca="1" si="204"/>
        <v>4.1955696657516812</v>
      </c>
    </row>
    <row r="1757" spans="7:18" x14ac:dyDescent="0.25">
      <c r="G1757" s="2">
        <f t="shared" ca="1" si="198"/>
        <v>0.18716065499620138</v>
      </c>
      <c r="H1757" s="3">
        <f t="shared" ca="1" si="199"/>
        <v>0</v>
      </c>
      <c r="I1757" s="3">
        <f t="shared" ca="1" si="200"/>
        <v>3.366292510305573</v>
      </c>
      <c r="J1757" s="3">
        <f t="shared" ca="1" si="201"/>
        <v>9.1737294901059361</v>
      </c>
      <c r="P1757" s="3">
        <f t="shared" ca="1" si="202"/>
        <v>-5.8209418160922777</v>
      </c>
      <c r="Q1757" s="3">
        <f t="shared" ca="1" si="203"/>
        <v>3.4644158602780717</v>
      </c>
      <c r="R1757" s="3">
        <f t="shared" ca="1" si="204"/>
        <v>6.7738866892854004</v>
      </c>
    </row>
    <row r="1758" spans="7:18" x14ac:dyDescent="0.25">
      <c r="G1758" s="2">
        <f t="shared" ca="1" si="198"/>
        <v>8.894564419386719E-2</v>
      </c>
      <c r="H1758" s="3">
        <f t="shared" ca="1" si="199"/>
        <v>0</v>
      </c>
      <c r="I1758" s="3">
        <f t="shared" ca="1" si="200"/>
        <v>3.3046612762566343</v>
      </c>
      <c r="J1758" s="3">
        <f t="shared" ca="1" si="201"/>
        <v>9.0893636689493214</v>
      </c>
      <c r="P1758" s="3">
        <f t="shared" ca="1" si="202"/>
        <v>-6.1033575859482969</v>
      </c>
      <c r="Q1758" s="3">
        <f t="shared" ca="1" si="203"/>
        <v>-4.7671558814959107</v>
      </c>
      <c r="R1758" s="3">
        <f t="shared" ca="1" si="204"/>
        <v>7.7444657027088493</v>
      </c>
    </row>
    <row r="1759" spans="7:18" x14ac:dyDescent="0.25">
      <c r="G1759" s="2">
        <f t="shared" ca="1" si="198"/>
        <v>0.83175667413159116</v>
      </c>
      <c r="H1759" s="3">
        <f t="shared" ca="1" si="199"/>
        <v>1</v>
      </c>
      <c r="I1759" s="3">
        <f t="shared" ca="1" si="200"/>
        <v>10.14791054581738</v>
      </c>
      <c r="J1759" s="3">
        <f t="shared" ca="1" si="201"/>
        <v>15.927892630396354</v>
      </c>
      <c r="P1759" s="3">
        <f t="shared" ca="1" si="202"/>
        <v>-5.0563561756530291</v>
      </c>
      <c r="Q1759" s="3">
        <f t="shared" ca="1" si="203"/>
        <v>1.3999212032662416</v>
      </c>
      <c r="R1759" s="3">
        <f t="shared" ca="1" si="204"/>
        <v>5.2465719427468951</v>
      </c>
    </row>
    <row r="1760" spans="7:18" x14ac:dyDescent="0.25">
      <c r="G1760" s="2">
        <f t="shared" ca="1" si="198"/>
        <v>0.97971352245626075</v>
      </c>
      <c r="H1760" s="3">
        <f t="shared" ca="1" si="199"/>
        <v>2</v>
      </c>
      <c r="I1760" s="3">
        <f t="shared" ca="1" si="200"/>
        <v>1.5684284176364272</v>
      </c>
      <c r="J1760" s="3">
        <f t="shared" ca="1" si="201"/>
        <v>6.2618456097951398</v>
      </c>
      <c r="P1760" s="3">
        <f t="shared" ca="1" si="202"/>
        <v>0.55235833657340638</v>
      </c>
      <c r="Q1760" s="3">
        <f t="shared" ca="1" si="203"/>
        <v>6.3770868478244749</v>
      </c>
      <c r="R1760" s="3">
        <f t="shared" ca="1" si="204"/>
        <v>6.4009637084331326</v>
      </c>
    </row>
    <row r="1761" spans="7:18" x14ac:dyDescent="0.25">
      <c r="G1761" s="2">
        <f t="shared" ca="1" si="198"/>
        <v>0.49003915944455034</v>
      </c>
      <c r="H1761" s="3">
        <f t="shared" ca="1" si="199"/>
        <v>0</v>
      </c>
      <c r="I1761" s="3">
        <f t="shared" ca="1" si="200"/>
        <v>0.94653867938073943</v>
      </c>
      <c r="J1761" s="3">
        <f t="shared" ca="1" si="201"/>
        <v>4.864510970747058</v>
      </c>
      <c r="P1761" s="3">
        <f t="shared" ca="1" si="202"/>
        <v>-7.7756597854282017</v>
      </c>
      <c r="Q1761" s="3">
        <f t="shared" ca="1" si="203"/>
        <v>-5.2519389959082483</v>
      </c>
      <c r="R1761" s="3">
        <f t="shared" ca="1" si="204"/>
        <v>9.3831630229612379</v>
      </c>
    </row>
    <row r="1762" spans="7:18" x14ac:dyDescent="0.25">
      <c r="G1762" s="2">
        <f t="shared" ca="1" si="198"/>
        <v>0.37655483181521199</v>
      </c>
      <c r="H1762" s="3">
        <f t="shared" ca="1" si="199"/>
        <v>0</v>
      </c>
      <c r="I1762" s="3">
        <f t="shared" ca="1" si="200"/>
        <v>0.78515862943029457</v>
      </c>
      <c r="J1762" s="3">
        <f t="shared" ca="1" si="201"/>
        <v>4.4304588628896404</v>
      </c>
      <c r="P1762" s="3">
        <f t="shared" ca="1" si="202"/>
        <v>-1.2424985555577917</v>
      </c>
      <c r="Q1762" s="3">
        <f t="shared" ca="1" si="203"/>
        <v>0.83721867248946102</v>
      </c>
      <c r="R1762" s="3">
        <f t="shared" ca="1" si="204"/>
        <v>1.4982448952451712</v>
      </c>
    </row>
    <row r="1763" spans="7:18" x14ac:dyDescent="0.25">
      <c r="G1763" s="2">
        <f t="shared" ca="1" si="198"/>
        <v>0.9838174320428178</v>
      </c>
      <c r="H1763" s="3">
        <f t="shared" ca="1" si="199"/>
        <v>2</v>
      </c>
      <c r="I1763" s="3">
        <f t="shared" ca="1" si="200"/>
        <v>2.716975201356111</v>
      </c>
      <c r="J1763" s="3">
        <f t="shared" ca="1" si="201"/>
        <v>8.241624841856293</v>
      </c>
      <c r="P1763" s="3">
        <f t="shared" ca="1" si="202"/>
        <v>-14.065058012270944</v>
      </c>
      <c r="Q1763" s="3">
        <f t="shared" ca="1" si="203"/>
        <v>1.9678633122362756</v>
      </c>
      <c r="R1763" s="3">
        <f t="shared" ca="1" si="204"/>
        <v>14.202054179033137</v>
      </c>
    </row>
    <row r="1764" spans="7:18" x14ac:dyDescent="0.25">
      <c r="G1764" s="2">
        <f t="shared" ca="1" si="198"/>
        <v>0.99490833958947833</v>
      </c>
      <c r="H1764" s="3">
        <f t="shared" ca="1" si="199"/>
        <v>3</v>
      </c>
      <c r="I1764" s="3">
        <f t="shared" ca="1" si="200"/>
        <v>6.429000465354699</v>
      </c>
      <c r="J1764" s="3">
        <f t="shared" ca="1" si="201"/>
        <v>12.677736849843015</v>
      </c>
      <c r="P1764" s="3">
        <f t="shared" ca="1" si="202"/>
        <v>-9.2607389472869421</v>
      </c>
      <c r="Q1764" s="3">
        <f t="shared" ca="1" si="203"/>
        <v>3.9478380264129584</v>
      </c>
      <c r="R1764" s="3">
        <f t="shared" ca="1" si="204"/>
        <v>10.067110356631114</v>
      </c>
    </row>
    <row r="1765" spans="7:18" x14ac:dyDescent="0.25">
      <c r="G1765" s="2">
        <f t="shared" ca="1" si="198"/>
        <v>0.27366347077824171</v>
      </c>
      <c r="H1765" s="3">
        <f t="shared" ca="1" si="199"/>
        <v>0</v>
      </c>
      <c r="I1765" s="3">
        <f t="shared" ca="1" si="200"/>
        <v>3.0652068830803176</v>
      </c>
      <c r="J1765" s="3">
        <f t="shared" ca="1" si="201"/>
        <v>8.7538661217206162</v>
      </c>
      <c r="P1765" s="3">
        <f t="shared" ca="1" si="202"/>
        <v>-3.6384860006408228</v>
      </c>
      <c r="Q1765" s="3">
        <f t="shared" ca="1" si="203"/>
        <v>-7.7673918617508635</v>
      </c>
      <c r="R1765" s="3">
        <f t="shared" ca="1" si="204"/>
        <v>8.5773513808665207</v>
      </c>
    </row>
    <row r="1766" spans="7:18" x14ac:dyDescent="0.25">
      <c r="G1766" s="2">
        <f t="shared" ca="1" si="198"/>
        <v>6.4485929056512514E-4</v>
      </c>
      <c r="H1766" s="3">
        <f t="shared" ca="1" si="199"/>
        <v>0</v>
      </c>
      <c r="I1766" s="3">
        <f t="shared" ca="1" si="200"/>
        <v>4.3133112760082293</v>
      </c>
      <c r="J1766" s="3">
        <f t="shared" ca="1" si="201"/>
        <v>10.384256444262427</v>
      </c>
      <c r="P1766" s="3">
        <f t="shared" ca="1" si="202"/>
        <v>-7.1111108925926398</v>
      </c>
      <c r="Q1766" s="3">
        <f t="shared" ca="1" si="203"/>
        <v>0.28256993940942293</v>
      </c>
      <c r="R1766" s="3">
        <f t="shared" ca="1" si="204"/>
        <v>7.1167228341005062</v>
      </c>
    </row>
    <row r="1767" spans="7:18" x14ac:dyDescent="0.25">
      <c r="G1767" s="2">
        <f t="shared" ca="1" si="198"/>
        <v>0.71846061623783497</v>
      </c>
      <c r="H1767" s="3">
        <f t="shared" ca="1" si="199"/>
        <v>1</v>
      </c>
      <c r="I1767" s="3">
        <f t="shared" ca="1" si="200"/>
        <v>2.3970434387866915</v>
      </c>
      <c r="J1767" s="3">
        <f t="shared" ca="1" si="201"/>
        <v>7.741194091977496</v>
      </c>
      <c r="P1767" s="3">
        <f t="shared" ca="1" si="202"/>
        <v>-10.221075369538578</v>
      </c>
      <c r="Q1767" s="3">
        <f t="shared" ca="1" si="203"/>
        <v>8.1588307471117627</v>
      </c>
      <c r="R1767" s="3">
        <f t="shared" ca="1" si="204"/>
        <v>13.078107694533045</v>
      </c>
    </row>
    <row r="1768" spans="7:18" x14ac:dyDescent="0.25">
      <c r="G1768" s="2">
        <f t="shared" ca="1" si="198"/>
        <v>0.39988864041512295</v>
      </c>
      <c r="H1768" s="3">
        <f t="shared" ca="1" si="199"/>
        <v>0</v>
      </c>
      <c r="I1768" s="3">
        <f t="shared" ca="1" si="200"/>
        <v>1.5534358870304361</v>
      </c>
      <c r="J1768" s="3">
        <f t="shared" ca="1" si="201"/>
        <v>6.2318454069208826</v>
      </c>
      <c r="P1768" s="3">
        <f t="shared" ca="1" si="202"/>
        <v>-10.136872756364536</v>
      </c>
      <c r="Q1768" s="3">
        <f t="shared" ca="1" si="203"/>
        <v>-4.3500956093955629</v>
      </c>
      <c r="R1768" s="3">
        <f t="shared" ca="1" si="204"/>
        <v>11.03084407874611</v>
      </c>
    </row>
    <row r="1769" spans="7:18" x14ac:dyDescent="0.25">
      <c r="G1769" s="2">
        <f t="shared" ca="1" si="198"/>
        <v>0.85640264887594009</v>
      </c>
      <c r="H1769" s="3">
        <f t="shared" ca="1" si="199"/>
        <v>1</v>
      </c>
      <c r="I1769" s="3">
        <f t="shared" ca="1" si="200"/>
        <v>1.3217656815778061</v>
      </c>
      <c r="J1769" s="3">
        <f t="shared" ca="1" si="201"/>
        <v>5.748403433949739</v>
      </c>
      <c r="P1769" s="3">
        <f t="shared" ca="1" si="202"/>
        <v>-5.4283256886124596</v>
      </c>
      <c r="Q1769" s="3">
        <f t="shared" ca="1" si="203"/>
        <v>8.820286662488602</v>
      </c>
      <c r="R1769" s="3">
        <f t="shared" ca="1" si="204"/>
        <v>10.356842018208265</v>
      </c>
    </row>
    <row r="1770" spans="7:18" x14ac:dyDescent="0.25">
      <c r="G1770" s="2">
        <f t="shared" ca="1" si="198"/>
        <v>0.83854756832511224</v>
      </c>
      <c r="H1770" s="3">
        <f t="shared" ca="1" si="199"/>
        <v>1</v>
      </c>
      <c r="I1770" s="3">
        <f t="shared" ca="1" si="200"/>
        <v>2.7726124509772268</v>
      </c>
      <c r="J1770" s="3">
        <f t="shared" ca="1" si="201"/>
        <v>8.3255817378985988</v>
      </c>
      <c r="P1770" s="3">
        <f t="shared" ca="1" si="202"/>
        <v>1.3124693913403584</v>
      </c>
      <c r="Q1770" s="3">
        <f t="shared" ca="1" si="203"/>
        <v>2.3002694382843125</v>
      </c>
      <c r="R1770" s="3">
        <f t="shared" ca="1" si="204"/>
        <v>2.6483608877776001</v>
      </c>
    </row>
    <row r="1771" spans="7:18" x14ac:dyDescent="0.25">
      <c r="G1771" s="2">
        <f t="shared" ca="1" si="198"/>
        <v>0.65012670939967654</v>
      </c>
      <c r="H1771" s="3">
        <f t="shared" ca="1" si="199"/>
        <v>1</v>
      </c>
      <c r="I1771" s="3">
        <f t="shared" ca="1" si="200"/>
        <v>3.8722970225559763</v>
      </c>
      <c r="J1771" s="3">
        <f t="shared" ca="1" si="201"/>
        <v>9.8390764588908137</v>
      </c>
      <c r="P1771" s="3">
        <f t="shared" ca="1" si="202"/>
        <v>0.20814339185458053</v>
      </c>
      <c r="Q1771" s="3">
        <f t="shared" ca="1" si="203"/>
        <v>4.4567049697821322</v>
      </c>
      <c r="R1771" s="3">
        <f t="shared" ca="1" si="204"/>
        <v>4.4615628269983469</v>
      </c>
    </row>
    <row r="1772" spans="7:18" x14ac:dyDescent="0.25">
      <c r="G1772" s="2">
        <f t="shared" ca="1" si="198"/>
        <v>0.95864414222676197</v>
      </c>
      <c r="H1772" s="3">
        <f t="shared" ca="1" si="199"/>
        <v>2</v>
      </c>
      <c r="I1772" s="3">
        <f t="shared" ca="1" si="200"/>
        <v>1.5279526825897796</v>
      </c>
      <c r="J1772" s="3">
        <f t="shared" ca="1" si="201"/>
        <v>6.1805191581892602</v>
      </c>
      <c r="P1772" s="3">
        <f t="shared" ca="1" si="202"/>
        <v>-7.5073919301453156</v>
      </c>
      <c r="Q1772" s="3">
        <f t="shared" ca="1" si="203"/>
        <v>-0.96737762416557982</v>
      </c>
      <c r="R1772" s="3">
        <f t="shared" ca="1" si="204"/>
        <v>7.569461873908029</v>
      </c>
    </row>
    <row r="1773" spans="7:18" x14ac:dyDescent="0.25">
      <c r="G1773" s="2">
        <f t="shared" ca="1" si="198"/>
        <v>0.58419065006943505</v>
      </c>
      <c r="H1773" s="3">
        <f t="shared" ca="1" si="199"/>
        <v>0</v>
      </c>
      <c r="I1773" s="3">
        <f t="shared" ca="1" si="200"/>
        <v>3.3522412375475192</v>
      </c>
      <c r="J1773" s="3">
        <f t="shared" ca="1" si="201"/>
        <v>9.154563394214275</v>
      </c>
      <c r="P1773" s="3">
        <f t="shared" ca="1" si="202"/>
        <v>-1.8024275547296598</v>
      </c>
      <c r="Q1773" s="3">
        <f t="shared" ca="1" si="203"/>
        <v>-6.8481354872796008</v>
      </c>
      <c r="R1773" s="3">
        <f t="shared" ca="1" si="204"/>
        <v>7.0813631980139924</v>
      </c>
    </row>
    <row r="1774" spans="7:18" x14ac:dyDescent="0.25">
      <c r="G1774" s="2">
        <f t="shared" ca="1" si="198"/>
        <v>0.69423973305783349</v>
      </c>
      <c r="H1774" s="3">
        <f t="shared" ca="1" si="199"/>
        <v>1</v>
      </c>
      <c r="I1774" s="3">
        <f t="shared" ca="1" si="200"/>
        <v>6.8628454287750618</v>
      </c>
      <c r="J1774" s="3">
        <f t="shared" ca="1" si="201"/>
        <v>13.098516546516883</v>
      </c>
      <c r="P1774" s="3">
        <f t="shared" ca="1" si="202"/>
        <v>-13.661933318148536</v>
      </c>
      <c r="Q1774" s="3">
        <f t="shared" ca="1" si="203"/>
        <v>7.4742138601902237</v>
      </c>
      <c r="R1774" s="3">
        <f t="shared" ca="1" si="204"/>
        <v>15.572806260189482</v>
      </c>
    </row>
    <row r="1775" spans="7:18" x14ac:dyDescent="0.25">
      <c r="G1775" s="2">
        <f t="shared" ca="1" si="198"/>
        <v>2.1717221264498043E-2</v>
      </c>
      <c r="H1775" s="3">
        <f t="shared" ca="1" si="199"/>
        <v>0</v>
      </c>
      <c r="I1775" s="3">
        <f t="shared" ca="1" si="200"/>
        <v>3.3817777875244004</v>
      </c>
      <c r="J1775" s="3">
        <f t="shared" ca="1" si="201"/>
        <v>9.1948053099622502</v>
      </c>
      <c r="P1775" s="3">
        <f t="shared" ca="1" si="202"/>
        <v>-3.0467347136481662</v>
      </c>
      <c r="Q1775" s="3">
        <f t="shared" ca="1" si="203"/>
        <v>4.5607443232367801</v>
      </c>
      <c r="R1775" s="3">
        <f t="shared" ca="1" si="204"/>
        <v>5.4847954562850649</v>
      </c>
    </row>
    <row r="1776" spans="7:18" x14ac:dyDescent="0.25">
      <c r="G1776" s="2">
        <f t="shared" ca="1" si="198"/>
        <v>0.36164694674583631</v>
      </c>
      <c r="H1776" s="3">
        <f t="shared" ca="1" si="199"/>
        <v>0</v>
      </c>
      <c r="I1776" s="3">
        <f t="shared" ca="1" si="200"/>
        <v>1.2366552836667675</v>
      </c>
      <c r="J1776" s="3">
        <f t="shared" ca="1" si="201"/>
        <v>5.5602501824710355</v>
      </c>
      <c r="P1776" s="3">
        <f t="shared" ca="1" si="202"/>
        <v>-7.7440278724930582</v>
      </c>
      <c r="Q1776" s="3">
        <f t="shared" ca="1" si="203"/>
        <v>3.3476178706893305</v>
      </c>
      <c r="R1776" s="3">
        <f t="shared" ca="1" si="204"/>
        <v>8.4366173966885523</v>
      </c>
    </row>
    <row r="1777" spans="7:18" x14ac:dyDescent="0.25">
      <c r="G1777" s="2">
        <f t="shared" ca="1" si="198"/>
        <v>0.20071140923455766</v>
      </c>
      <c r="H1777" s="3">
        <f t="shared" ca="1" si="199"/>
        <v>0</v>
      </c>
      <c r="I1777" s="3">
        <f t="shared" ca="1" si="200"/>
        <v>2.4430883352490431</v>
      </c>
      <c r="J1777" s="3">
        <f t="shared" ca="1" si="201"/>
        <v>7.8151908729874329</v>
      </c>
      <c r="P1777" s="3">
        <f t="shared" ca="1" si="202"/>
        <v>-2.9157905155709116</v>
      </c>
      <c r="Q1777" s="3">
        <f t="shared" ca="1" si="203"/>
        <v>-1.9112908181659731</v>
      </c>
      <c r="R1777" s="3">
        <f t="shared" ca="1" si="204"/>
        <v>3.4863830716515989</v>
      </c>
    </row>
    <row r="1778" spans="7:18" x14ac:dyDescent="0.25">
      <c r="G1778" s="2">
        <f t="shared" ca="1" si="198"/>
        <v>0.79950096577810847</v>
      </c>
      <c r="H1778" s="3">
        <f t="shared" ca="1" si="199"/>
        <v>1</v>
      </c>
      <c r="I1778" s="3">
        <f t="shared" ca="1" si="200"/>
        <v>0.79683956532703126</v>
      </c>
      <c r="J1778" s="3">
        <f t="shared" ca="1" si="201"/>
        <v>4.463293529802379</v>
      </c>
      <c r="P1778" s="3">
        <f t="shared" ca="1" si="202"/>
        <v>-7.8066710912086998</v>
      </c>
      <c r="Q1778" s="3">
        <f t="shared" ca="1" si="203"/>
        <v>-4.5285975257079638</v>
      </c>
      <c r="R1778" s="3">
        <f t="shared" ca="1" si="204"/>
        <v>9.0250933001361222</v>
      </c>
    </row>
    <row r="1779" spans="7:18" x14ac:dyDescent="0.25">
      <c r="G1779" s="2">
        <f t="shared" ca="1" si="198"/>
        <v>0.98626903288991463</v>
      </c>
      <c r="H1779" s="3">
        <f t="shared" ca="1" si="199"/>
        <v>3</v>
      </c>
      <c r="I1779" s="3">
        <f t="shared" ca="1" si="200"/>
        <v>3.0585963400394842</v>
      </c>
      <c r="J1779" s="3">
        <f t="shared" ca="1" si="201"/>
        <v>8.7444215646883769</v>
      </c>
      <c r="P1779" s="3">
        <f t="shared" ca="1" si="202"/>
        <v>-7.5563586640368055</v>
      </c>
      <c r="Q1779" s="3">
        <f t="shared" ca="1" si="203"/>
        <v>6.6239455939039287</v>
      </c>
      <c r="R1779" s="3">
        <f t="shared" ca="1" si="204"/>
        <v>10.048642271001757</v>
      </c>
    </row>
    <row r="1780" spans="7:18" x14ac:dyDescent="0.25">
      <c r="G1780" s="2">
        <f t="shared" ca="1" si="198"/>
        <v>4.3220807937134675E-2</v>
      </c>
      <c r="H1780" s="3">
        <f t="shared" ca="1" si="199"/>
        <v>0</v>
      </c>
      <c r="I1780" s="3">
        <f t="shared" ca="1" si="200"/>
        <v>2.6742925931498505</v>
      </c>
      <c r="J1780" s="3">
        <f t="shared" ca="1" si="201"/>
        <v>8.176632242478945</v>
      </c>
      <c r="P1780" s="3">
        <f t="shared" ca="1" si="202"/>
        <v>-6.3632737869695335</v>
      </c>
      <c r="Q1780" s="3">
        <f t="shared" ca="1" si="203"/>
        <v>-4.0722408005016346</v>
      </c>
      <c r="R1780" s="3">
        <f t="shared" ca="1" si="204"/>
        <v>7.5547599846192188</v>
      </c>
    </row>
    <row r="1781" spans="7:18" x14ac:dyDescent="0.25">
      <c r="G1781" s="2">
        <f t="shared" ca="1" si="198"/>
        <v>0.22010733773099889</v>
      </c>
      <c r="H1781" s="3">
        <f t="shared" ca="1" si="199"/>
        <v>0</v>
      </c>
      <c r="I1781" s="3">
        <f t="shared" ca="1" si="200"/>
        <v>3.7665704618227913</v>
      </c>
      <c r="J1781" s="3">
        <f t="shared" ca="1" si="201"/>
        <v>9.7038271597122847</v>
      </c>
      <c r="P1781" s="3">
        <f t="shared" ca="1" si="202"/>
        <v>-4.6388585735902392</v>
      </c>
      <c r="Q1781" s="3">
        <f t="shared" ca="1" si="203"/>
        <v>2.5527218266500351</v>
      </c>
      <c r="R1781" s="3">
        <f t="shared" ca="1" si="204"/>
        <v>5.2948463235515311</v>
      </c>
    </row>
    <row r="1782" spans="7:18" x14ac:dyDescent="0.25">
      <c r="G1782" s="2">
        <f t="shared" ca="1" si="198"/>
        <v>0.79326578363239808</v>
      </c>
      <c r="H1782" s="3">
        <f t="shared" ca="1" si="199"/>
        <v>1</v>
      </c>
      <c r="I1782" s="3">
        <f t="shared" ca="1" si="200"/>
        <v>6.1260814322710608</v>
      </c>
      <c r="J1782" s="3">
        <f t="shared" ca="1" si="201"/>
        <v>12.375461034110062</v>
      </c>
      <c r="P1782" s="3">
        <f t="shared" ca="1" si="202"/>
        <v>-4.7951476365835699</v>
      </c>
      <c r="Q1782" s="3">
        <f t="shared" ca="1" si="203"/>
        <v>-2.7974976939438818</v>
      </c>
      <c r="R1782" s="3">
        <f t="shared" ca="1" si="204"/>
        <v>5.5515253943627361</v>
      </c>
    </row>
    <row r="1783" spans="7:18" x14ac:dyDescent="0.25">
      <c r="G1783" s="2">
        <f t="shared" ca="1" si="198"/>
        <v>0.98752589995711459</v>
      </c>
      <c r="H1783" s="3">
        <f t="shared" ca="1" si="199"/>
        <v>3</v>
      </c>
      <c r="I1783" s="3">
        <f t="shared" ca="1" si="200"/>
        <v>8.6001259472978369</v>
      </c>
      <c r="J1783" s="3">
        <f t="shared" ca="1" si="201"/>
        <v>14.662985667402321</v>
      </c>
      <c r="P1783" s="3">
        <f t="shared" ca="1" si="202"/>
        <v>8.9841952994195466</v>
      </c>
      <c r="Q1783" s="3">
        <f t="shared" ca="1" si="203"/>
        <v>4.7961225354311212</v>
      </c>
      <c r="R1783" s="3">
        <f t="shared" ca="1" si="204"/>
        <v>10.184230778658863</v>
      </c>
    </row>
    <row r="1784" spans="7:18" x14ac:dyDescent="0.25">
      <c r="G1784" s="2">
        <f t="shared" ca="1" si="198"/>
        <v>0.83207858721226524</v>
      </c>
      <c r="H1784" s="3">
        <f t="shared" ca="1" si="199"/>
        <v>1</v>
      </c>
      <c r="I1784" s="3">
        <f t="shared" ca="1" si="200"/>
        <v>1.0924800025585788</v>
      </c>
      <c r="J1784" s="3">
        <f t="shared" ca="1" si="201"/>
        <v>5.2260884095051887</v>
      </c>
      <c r="P1784" s="3">
        <f t="shared" ca="1" si="202"/>
        <v>-2.3835937330692669</v>
      </c>
      <c r="Q1784" s="3">
        <f t="shared" ca="1" si="203"/>
        <v>-3.539210109412096</v>
      </c>
      <c r="R1784" s="3">
        <f t="shared" ca="1" si="204"/>
        <v>4.2670279215036624</v>
      </c>
    </row>
    <row r="1785" spans="7:18" x14ac:dyDescent="0.25">
      <c r="G1785" s="2">
        <f t="shared" ca="1" si="198"/>
        <v>0.56051931495646168</v>
      </c>
      <c r="H1785" s="3">
        <f t="shared" ca="1" si="199"/>
        <v>0</v>
      </c>
      <c r="I1785" s="3">
        <f t="shared" ca="1" si="200"/>
        <v>1.4089263564697143</v>
      </c>
      <c r="J1785" s="3">
        <f t="shared" ca="1" si="201"/>
        <v>5.9349101856509048</v>
      </c>
      <c r="P1785" s="3">
        <f t="shared" ca="1" si="202"/>
        <v>-4.2245089854542135</v>
      </c>
      <c r="Q1785" s="3">
        <f t="shared" ca="1" si="203"/>
        <v>-6.2204657683674771</v>
      </c>
      <c r="R1785" s="3">
        <f t="shared" ca="1" si="204"/>
        <v>7.5193530668279553</v>
      </c>
    </row>
    <row r="1786" spans="7:18" x14ac:dyDescent="0.25">
      <c r="G1786" s="2">
        <f t="shared" ca="1" si="198"/>
        <v>0.91801010595684751</v>
      </c>
      <c r="H1786" s="3">
        <f t="shared" ca="1" si="199"/>
        <v>2</v>
      </c>
      <c r="I1786" s="3">
        <f t="shared" ca="1" si="200"/>
        <v>3.6839147801896011</v>
      </c>
      <c r="J1786" s="3">
        <f t="shared" ca="1" si="201"/>
        <v>9.5967634911328332</v>
      </c>
      <c r="P1786" s="3">
        <f t="shared" ca="1" si="202"/>
        <v>0.71896501200438934</v>
      </c>
      <c r="Q1786" s="3">
        <f t="shared" ca="1" si="203"/>
        <v>1.2252606409773639</v>
      </c>
      <c r="R1786" s="3">
        <f t="shared" ca="1" si="204"/>
        <v>1.4206246255836663</v>
      </c>
    </row>
    <row r="1787" spans="7:18" x14ac:dyDescent="0.25">
      <c r="G1787" s="2">
        <f t="shared" ca="1" si="198"/>
        <v>0.65015595759819056</v>
      </c>
      <c r="H1787" s="3">
        <f t="shared" ca="1" si="199"/>
        <v>1</v>
      </c>
      <c r="I1787" s="3">
        <f t="shared" ca="1" si="200"/>
        <v>0.6702731161676232</v>
      </c>
      <c r="J1787" s="3">
        <f t="shared" ca="1" si="201"/>
        <v>4.0935104622060727</v>
      </c>
      <c r="P1787" s="3">
        <f t="shared" ca="1" si="202"/>
        <v>-6.961120535417332</v>
      </c>
      <c r="Q1787" s="3">
        <f t="shared" ca="1" si="203"/>
        <v>5.1340643578860279</v>
      </c>
      <c r="R1787" s="3">
        <f t="shared" ca="1" si="204"/>
        <v>8.6496136294937802</v>
      </c>
    </row>
    <row r="1788" spans="7:18" x14ac:dyDescent="0.25">
      <c r="G1788" s="2">
        <f t="shared" ca="1" si="198"/>
        <v>0.8190631088552186</v>
      </c>
      <c r="H1788" s="3">
        <f t="shared" ca="1" si="199"/>
        <v>1</v>
      </c>
      <c r="I1788" s="3">
        <f t="shared" ca="1" si="200"/>
        <v>1.4494995257922061</v>
      </c>
      <c r="J1788" s="3">
        <f t="shared" ca="1" si="201"/>
        <v>6.0197581467036656</v>
      </c>
      <c r="P1788" s="3">
        <f t="shared" ca="1" si="202"/>
        <v>-2.3484728911280683</v>
      </c>
      <c r="Q1788" s="3">
        <f t="shared" ca="1" si="203"/>
        <v>-8.7877624728710906</v>
      </c>
      <c r="R1788" s="3">
        <f t="shared" ca="1" si="204"/>
        <v>9.0961582110232033</v>
      </c>
    </row>
    <row r="1789" spans="7:18" x14ac:dyDescent="0.25">
      <c r="G1789" s="2">
        <f t="shared" ca="1" si="198"/>
        <v>0.85188557951565225</v>
      </c>
      <c r="H1789" s="3">
        <f t="shared" ca="1" si="199"/>
        <v>1</v>
      </c>
      <c r="I1789" s="3">
        <f t="shared" ca="1" si="200"/>
        <v>4.2781027440719761</v>
      </c>
      <c r="J1789" s="3">
        <f t="shared" ca="1" si="201"/>
        <v>10.341787495486425</v>
      </c>
      <c r="P1789" s="3">
        <f t="shared" ca="1" si="202"/>
        <v>-11.561177235007024</v>
      </c>
      <c r="Q1789" s="3">
        <f t="shared" ca="1" si="203"/>
        <v>-1.7360070822635114</v>
      </c>
      <c r="R1789" s="3">
        <f t="shared" ca="1" si="204"/>
        <v>11.690788666677443</v>
      </c>
    </row>
    <row r="1790" spans="7:18" x14ac:dyDescent="0.25">
      <c r="G1790" s="2">
        <f t="shared" ca="1" si="198"/>
        <v>0.19398233227204842</v>
      </c>
      <c r="H1790" s="3">
        <f t="shared" ca="1" si="199"/>
        <v>0</v>
      </c>
      <c r="I1790" s="3">
        <f t="shared" ca="1" si="200"/>
        <v>1.5708302711223836</v>
      </c>
      <c r="J1790" s="3">
        <f t="shared" ca="1" si="201"/>
        <v>6.2666383953487852</v>
      </c>
      <c r="P1790" s="3">
        <f t="shared" ca="1" si="202"/>
        <v>-1.0689824174046807</v>
      </c>
      <c r="Q1790" s="3">
        <f t="shared" ca="1" si="203"/>
        <v>6.7321057805283564</v>
      </c>
      <c r="R1790" s="3">
        <f t="shared" ca="1" si="204"/>
        <v>6.8164486097192629</v>
      </c>
    </row>
    <row r="1791" spans="7:18" x14ac:dyDescent="0.25">
      <c r="G1791" s="2">
        <f t="shared" ca="1" si="198"/>
        <v>0.85239312484249119</v>
      </c>
      <c r="H1791" s="3">
        <f t="shared" ca="1" si="199"/>
        <v>1</v>
      </c>
      <c r="I1791" s="3">
        <f t="shared" ca="1" si="200"/>
        <v>0.94381352506271521</v>
      </c>
      <c r="J1791" s="3">
        <f t="shared" ca="1" si="201"/>
        <v>4.8575032811690289</v>
      </c>
      <c r="P1791" s="3">
        <f t="shared" ca="1" si="202"/>
        <v>-6.8971553481032188</v>
      </c>
      <c r="Q1791" s="3">
        <f t="shared" ca="1" si="203"/>
        <v>1.0753216172958449</v>
      </c>
      <c r="R1791" s="3">
        <f t="shared" ca="1" si="204"/>
        <v>6.9804776682181702</v>
      </c>
    </row>
    <row r="1792" spans="7:18" x14ac:dyDescent="0.25">
      <c r="G1792" s="2">
        <f t="shared" ca="1" si="198"/>
        <v>0.34122420114392382</v>
      </c>
      <c r="H1792" s="3">
        <f t="shared" ca="1" si="199"/>
        <v>0</v>
      </c>
      <c r="I1792" s="3">
        <f t="shared" ca="1" si="200"/>
        <v>0.36227969776389662</v>
      </c>
      <c r="J1792" s="3">
        <f t="shared" ca="1" si="201"/>
        <v>3.0094837504292022</v>
      </c>
      <c r="P1792" s="3">
        <f t="shared" ca="1" si="202"/>
        <v>-0.82274980832240185</v>
      </c>
      <c r="Q1792" s="3">
        <f t="shared" ca="1" si="203"/>
        <v>3.1160912127215252</v>
      </c>
      <c r="R1792" s="3">
        <f t="shared" ca="1" si="204"/>
        <v>3.2228778588545448</v>
      </c>
    </row>
    <row r="1793" spans="7:18" x14ac:dyDescent="0.25">
      <c r="G1793" s="2">
        <f t="shared" ca="1" si="198"/>
        <v>0.1678285348705324</v>
      </c>
      <c r="H1793" s="3">
        <f t="shared" ca="1" si="199"/>
        <v>0</v>
      </c>
      <c r="I1793" s="3">
        <f t="shared" ca="1" si="200"/>
        <v>0.83878729632948035</v>
      </c>
      <c r="J1793" s="3">
        <f t="shared" ca="1" si="201"/>
        <v>4.5792665797305361</v>
      </c>
      <c r="P1793" s="3">
        <f t="shared" ca="1" si="202"/>
        <v>1.9618928800587394</v>
      </c>
      <c r="Q1793" s="3">
        <f t="shared" ca="1" si="203"/>
        <v>1.9490222218354178</v>
      </c>
      <c r="R1793" s="3">
        <f t="shared" ca="1" si="204"/>
        <v>2.7654495645434296</v>
      </c>
    </row>
    <row r="1794" spans="7:18" x14ac:dyDescent="0.25">
      <c r="G1794" s="2">
        <f t="shared" ca="1" si="198"/>
        <v>0.47698399143067161</v>
      </c>
      <c r="H1794" s="3">
        <f t="shared" ca="1" si="199"/>
        <v>0</v>
      </c>
      <c r="I1794" s="3">
        <f t="shared" ca="1" si="200"/>
        <v>1.8773338298751865</v>
      </c>
      <c r="J1794" s="3">
        <f t="shared" ca="1" si="201"/>
        <v>6.8507916146150336</v>
      </c>
      <c r="P1794" s="3">
        <f t="shared" ca="1" si="202"/>
        <v>-1.0317743122527561</v>
      </c>
      <c r="Q1794" s="3">
        <f t="shared" ca="1" si="203"/>
        <v>-1.8473069481686584</v>
      </c>
      <c r="R1794" s="3">
        <f t="shared" ca="1" si="204"/>
        <v>2.1159161590613298</v>
      </c>
    </row>
    <row r="1795" spans="7:18" x14ac:dyDescent="0.25">
      <c r="G1795" s="2">
        <f t="shared" ca="1" si="198"/>
        <v>0.49825104404893572</v>
      </c>
      <c r="H1795" s="3">
        <f t="shared" ca="1" si="199"/>
        <v>0</v>
      </c>
      <c r="I1795" s="3">
        <f t="shared" ca="1" si="200"/>
        <v>0.15596653222030857</v>
      </c>
      <c r="J1795" s="3">
        <f t="shared" ca="1" si="201"/>
        <v>1.9746299160874967</v>
      </c>
      <c r="P1795" s="3">
        <f t="shared" ca="1" si="202"/>
        <v>-4.2340513532927719</v>
      </c>
      <c r="Q1795" s="3">
        <f t="shared" ca="1" si="203"/>
        <v>6.1793736487632511</v>
      </c>
      <c r="R1795" s="3">
        <f t="shared" ca="1" si="204"/>
        <v>7.4907843082917571</v>
      </c>
    </row>
    <row r="1796" spans="7:18" x14ac:dyDescent="0.25">
      <c r="G1796" s="2">
        <f t="shared" ref="G1796:G1859" ca="1" si="205">RAND()</f>
        <v>0.2629164440013716</v>
      </c>
      <c r="H1796" s="3">
        <f t="shared" ref="H1796:H1859" ca="1" si="206">VLOOKUP(G1796,$B$9:$C$169,2,TRUE)</f>
        <v>0</v>
      </c>
      <c r="I1796" s="3">
        <f t="shared" ref="I1796:I1859" ca="1" si="207">_xlfn.CHISQ.INV(RAND(),2*H1796+2)</f>
        <v>6.1713329212337626</v>
      </c>
      <c r="J1796" s="3">
        <f t="shared" ref="J1796:J1859" ca="1" si="208">$C$4*SQRT(I1796)</f>
        <v>12.421083810636013</v>
      </c>
      <c r="P1796" s="3">
        <f t="shared" ref="P1796:P1859" ca="1" si="209">_xlfn.NORM.INV(RAND(),$C$3*COS($O$2),$C$4)</f>
        <v>-10.951643725282485</v>
      </c>
      <c r="Q1796" s="3">
        <f t="shared" ref="Q1796:Q1859" ca="1" si="210">_xlfn.NORM.INV(RAND(),$C$3*SIN($O$2),$C$4)</f>
        <v>8.0182772757027916</v>
      </c>
      <c r="R1796" s="3">
        <f t="shared" ref="R1796:R1859" ca="1" si="211">SQRT(P1796^2+Q1796^2)</f>
        <v>13.573182042379415</v>
      </c>
    </row>
    <row r="1797" spans="7:18" x14ac:dyDescent="0.25">
      <c r="G1797" s="2">
        <f t="shared" ca="1" si="205"/>
        <v>0.75931353340491081</v>
      </c>
      <c r="H1797" s="3">
        <f t="shared" ca="1" si="206"/>
        <v>1</v>
      </c>
      <c r="I1797" s="3">
        <f t="shared" ca="1" si="207"/>
        <v>4.590866360893135</v>
      </c>
      <c r="J1797" s="3">
        <f t="shared" ca="1" si="208"/>
        <v>10.713153551701215</v>
      </c>
      <c r="P1797" s="3">
        <f t="shared" ca="1" si="209"/>
        <v>-1.0446276643162427</v>
      </c>
      <c r="Q1797" s="3">
        <f t="shared" ca="1" si="210"/>
        <v>-0.87886650291396973</v>
      </c>
      <c r="R1797" s="3">
        <f t="shared" ca="1" si="211"/>
        <v>1.3651568726703314</v>
      </c>
    </row>
    <row r="1798" spans="7:18" x14ac:dyDescent="0.25">
      <c r="G1798" s="2">
        <f t="shared" ca="1" si="205"/>
        <v>0.99415815644335392</v>
      </c>
      <c r="H1798" s="3">
        <f t="shared" ca="1" si="206"/>
        <v>3</v>
      </c>
      <c r="I1798" s="3">
        <f t="shared" ca="1" si="207"/>
        <v>11.259440701897926</v>
      </c>
      <c r="J1798" s="3">
        <f t="shared" ca="1" si="208"/>
        <v>16.777545039350905</v>
      </c>
      <c r="P1798" s="3">
        <f t="shared" ca="1" si="209"/>
        <v>-5.1780630077342913</v>
      </c>
      <c r="Q1798" s="3">
        <f t="shared" ca="1" si="210"/>
        <v>-3.8351708337691051</v>
      </c>
      <c r="R1798" s="3">
        <f t="shared" ca="1" si="211"/>
        <v>6.4436691283972296</v>
      </c>
    </row>
    <row r="1799" spans="7:18" x14ac:dyDescent="0.25">
      <c r="G1799" s="2">
        <f t="shared" ca="1" si="205"/>
        <v>0.62202000681557046</v>
      </c>
      <c r="H1799" s="3">
        <f t="shared" ca="1" si="206"/>
        <v>1</v>
      </c>
      <c r="I1799" s="3">
        <f t="shared" ca="1" si="207"/>
        <v>6.4565046509113406</v>
      </c>
      <c r="J1799" s="3">
        <f t="shared" ca="1" si="208"/>
        <v>12.704826495186133</v>
      </c>
      <c r="P1799" s="3">
        <f t="shared" ca="1" si="209"/>
        <v>-9.8705242592484534</v>
      </c>
      <c r="Q1799" s="3">
        <f t="shared" ca="1" si="210"/>
        <v>4.4127460782212911</v>
      </c>
      <c r="R1799" s="3">
        <f t="shared" ca="1" si="211"/>
        <v>10.812010779835063</v>
      </c>
    </row>
    <row r="1800" spans="7:18" x14ac:dyDescent="0.25">
      <c r="G1800" s="2">
        <f t="shared" ca="1" si="205"/>
        <v>0.61077486723224284</v>
      </c>
      <c r="H1800" s="3">
        <f t="shared" ca="1" si="206"/>
        <v>1</v>
      </c>
      <c r="I1800" s="3">
        <f t="shared" ca="1" si="207"/>
        <v>1.5557357238812894</v>
      </c>
      <c r="J1800" s="3">
        <f t="shared" ca="1" si="208"/>
        <v>6.2364567742454717</v>
      </c>
      <c r="P1800" s="3">
        <f t="shared" ca="1" si="209"/>
        <v>-10.680514883405392</v>
      </c>
      <c r="Q1800" s="3">
        <f t="shared" ca="1" si="210"/>
        <v>-1.0393742587561519</v>
      </c>
      <c r="R1800" s="3">
        <f t="shared" ca="1" si="211"/>
        <v>10.730969062689958</v>
      </c>
    </row>
    <row r="1801" spans="7:18" x14ac:dyDescent="0.25">
      <c r="G1801" s="2">
        <f t="shared" ca="1" si="205"/>
        <v>0.9650958541809106</v>
      </c>
      <c r="H1801" s="3">
        <f t="shared" ca="1" si="206"/>
        <v>2</v>
      </c>
      <c r="I1801" s="3">
        <f t="shared" ca="1" si="207"/>
        <v>6.3392110427996684</v>
      </c>
      <c r="J1801" s="3">
        <f t="shared" ca="1" si="208"/>
        <v>12.588894950312028</v>
      </c>
      <c r="P1801" s="3">
        <f t="shared" ca="1" si="209"/>
        <v>-3.3383322754897335</v>
      </c>
      <c r="Q1801" s="3">
        <f t="shared" ca="1" si="210"/>
        <v>3.007191910908706</v>
      </c>
      <c r="R1801" s="3">
        <f t="shared" ca="1" si="211"/>
        <v>4.4930686140555673</v>
      </c>
    </row>
    <row r="1802" spans="7:18" x14ac:dyDescent="0.25">
      <c r="G1802" s="2">
        <f t="shared" ca="1" si="205"/>
        <v>3.8093066927649577E-2</v>
      </c>
      <c r="H1802" s="3">
        <f t="shared" ca="1" si="206"/>
        <v>0</v>
      </c>
      <c r="I1802" s="3">
        <f t="shared" ca="1" si="207"/>
        <v>1.3226899122604463</v>
      </c>
      <c r="J1802" s="3">
        <f t="shared" ca="1" si="208"/>
        <v>5.7504128379196526</v>
      </c>
      <c r="P1802" s="3">
        <f t="shared" ca="1" si="209"/>
        <v>-4.285297594412655</v>
      </c>
      <c r="Q1802" s="3">
        <f t="shared" ca="1" si="210"/>
        <v>1.6617059180318494</v>
      </c>
      <c r="R1802" s="3">
        <f t="shared" ca="1" si="211"/>
        <v>4.5961986500477723</v>
      </c>
    </row>
    <row r="1803" spans="7:18" x14ac:dyDescent="0.25">
      <c r="G1803" s="2">
        <f t="shared" ca="1" si="205"/>
        <v>0.365596134117122</v>
      </c>
      <c r="H1803" s="3">
        <f t="shared" ca="1" si="206"/>
        <v>0</v>
      </c>
      <c r="I1803" s="3">
        <f t="shared" ca="1" si="207"/>
        <v>0.93573241893892833</v>
      </c>
      <c r="J1803" s="3">
        <f t="shared" ca="1" si="208"/>
        <v>4.8366631548489298</v>
      </c>
      <c r="P1803" s="3">
        <f t="shared" ca="1" si="209"/>
        <v>-4.982324341158316</v>
      </c>
      <c r="Q1803" s="3">
        <f t="shared" ca="1" si="210"/>
        <v>3.4223600624110393</v>
      </c>
      <c r="R1803" s="3">
        <f t="shared" ca="1" si="211"/>
        <v>6.0445102561981594</v>
      </c>
    </row>
    <row r="1804" spans="7:18" x14ac:dyDescent="0.25">
      <c r="G1804" s="2">
        <f t="shared" ca="1" si="205"/>
        <v>0.40146722902685406</v>
      </c>
      <c r="H1804" s="3">
        <f t="shared" ca="1" si="206"/>
        <v>0</v>
      </c>
      <c r="I1804" s="3">
        <f t="shared" ca="1" si="207"/>
        <v>1.0514937050342175</v>
      </c>
      <c r="J1804" s="3">
        <f t="shared" ca="1" si="208"/>
        <v>5.1271183549685526</v>
      </c>
      <c r="P1804" s="3">
        <f t="shared" ca="1" si="209"/>
        <v>-4.5951302367196547</v>
      </c>
      <c r="Q1804" s="3">
        <f t="shared" ca="1" si="210"/>
        <v>-5.8128398933153447</v>
      </c>
      <c r="R1804" s="3">
        <f t="shared" ca="1" si="211"/>
        <v>7.4097455771256797</v>
      </c>
    </row>
    <row r="1805" spans="7:18" x14ac:dyDescent="0.25">
      <c r="G1805" s="2">
        <f t="shared" ca="1" si="205"/>
        <v>0.97390862830963021</v>
      </c>
      <c r="H1805" s="3">
        <f t="shared" ca="1" si="206"/>
        <v>2</v>
      </c>
      <c r="I1805" s="3">
        <f t="shared" ca="1" si="207"/>
        <v>4.9084972924747534</v>
      </c>
      <c r="J1805" s="3">
        <f t="shared" ca="1" si="208"/>
        <v>11.077564367308765</v>
      </c>
      <c r="P1805" s="3">
        <f t="shared" ca="1" si="209"/>
        <v>7.2332583158740249E-2</v>
      </c>
      <c r="Q1805" s="3">
        <f t="shared" ca="1" si="210"/>
        <v>-4.6440807001164321</v>
      </c>
      <c r="R1805" s="3">
        <f t="shared" ca="1" si="211"/>
        <v>4.6446439639417303</v>
      </c>
    </row>
    <row r="1806" spans="7:18" x14ac:dyDescent="0.25">
      <c r="G1806" s="2">
        <f t="shared" ca="1" si="205"/>
        <v>0.82712966359944573</v>
      </c>
      <c r="H1806" s="3">
        <f t="shared" ca="1" si="206"/>
        <v>1</v>
      </c>
      <c r="I1806" s="3">
        <f t="shared" ca="1" si="207"/>
        <v>1.0402483587794078</v>
      </c>
      <c r="J1806" s="3">
        <f t="shared" ca="1" si="208"/>
        <v>5.099628316797725</v>
      </c>
      <c r="P1806" s="3">
        <f t="shared" ca="1" si="209"/>
        <v>2.6669482021176503</v>
      </c>
      <c r="Q1806" s="3">
        <f t="shared" ca="1" si="210"/>
        <v>0.34841501022802174</v>
      </c>
      <c r="R1806" s="3">
        <f t="shared" ca="1" si="211"/>
        <v>2.6896107027097358</v>
      </c>
    </row>
    <row r="1807" spans="7:18" x14ac:dyDescent="0.25">
      <c r="G1807" s="2">
        <f t="shared" ca="1" si="205"/>
        <v>4.2214102725397384E-2</v>
      </c>
      <c r="H1807" s="3">
        <f t="shared" ca="1" si="206"/>
        <v>0</v>
      </c>
      <c r="I1807" s="3">
        <f t="shared" ca="1" si="207"/>
        <v>0.64414026675832481</v>
      </c>
      <c r="J1807" s="3">
        <f t="shared" ca="1" si="208"/>
        <v>4.0129174759715802</v>
      </c>
      <c r="P1807" s="3">
        <f t="shared" ca="1" si="209"/>
        <v>-12.721490648998975</v>
      </c>
      <c r="Q1807" s="3">
        <f t="shared" ca="1" si="210"/>
        <v>-0.55490549987903548</v>
      </c>
      <c r="R1807" s="3">
        <f t="shared" ca="1" si="211"/>
        <v>12.733587257578453</v>
      </c>
    </row>
    <row r="1808" spans="7:18" x14ac:dyDescent="0.25">
      <c r="G1808" s="2">
        <f t="shared" ca="1" si="205"/>
        <v>0.26285733681039336</v>
      </c>
      <c r="H1808" s="3">
        <f t="shared" ca="1" si="206"/>
        <v>0</v>
      </c>
      <c r="I1808" s="3">
        <f t="shared" ca="1" si="207"/>
        <v>0.9564796415318314</v>
      </c>
      <c r="J1808" s="3">
        <f t="shared" ca="1" si="208"/>
        <v>4.8899888587087581</v>
      </c>
      <c r="P1808" s="3">
        <f t="shared" ca="1" si="209"/>
        <v>-1.4297722223219314</v>
      </c>
      <c r="Q1808" s="3">
        <f t="shared" ca="1" si="210"/>
        <v>-3.3861167986360594</v>
      </c>
      <c r="R1808" s="3">
        <f t="shared" ca="1" si="211"/>
        <v>3.6756000301622467</v>
      </c>
    </row>
    <row r="1809" spans="7:18" x14ac:dyDescent="0.25">
      <c r="G1809" s="2">
        <f t="shared" ca="1" si="205"/>
        <v>0.39455453657255579</v>
      </c>
      <c r="H1809" s="3">
        <f t="shared" ca="1" si="206"/>
        <v>0</v>
      </c>
      <c r="I1809" s="3">
        <f t="shared" ca="1" si="207"/>
        <v>0.35061296066465936</v>
      </c>
      <c r="J1809" s="3">
        <f t="shared" ca="1" si="208"/>
        <v>2.9606289900317604</v>
      </c>
      <c r="P1809" s="3">
        <f t="shared" ca="1" si="209"/>
        <v>-10.774975505930797</v>
      </c>
      <c r="Q1809" s="3">
        <f t="shared" ca="1" si="210"/>
        <v>-2.7562171913762614</v>
      </c>
      <c r="R1809" s="3">
        <f t="shared" ca="1" si="211"/>
        <v>11.121907676268792</v>
      </c>
    </row>
    <row r="1810" spans="7:18" x14ac:dyDescent="0.25">
      <c r="G1810" s="2">
        <f t="shared" ca="1" si="205"/>
        <v>0.45831369443123726</v>
      </c>
      <c r="H1810" s="3">
        <f t="shared" ca="1" si="206"/>
        <v>0</v>
      </c>
      <c r="I1810" s="3">
        <f t="shared" ca="1" si="207"/>
        <v>4.0253259402586474</v>
      </c>
      <c r="J1810" s="3">
        <f t="shared" ca="1" si="208"/>
        <v>10.031607473703612</v>
      </c>
      <c r="P1810" s="3">
        <f t="shared" ca="1" si="209"/>
        <v>-11.476710693878784</v>
      </c>
      <c r="Q1810" s="3">
        <f t="shared" ca="1" si="210"/>
        <v>1.5553518670606004</v>
      </c>
      <c r="R1810" s="3">
        <f t="shared" ca="1" si="211"/>
        <v>11.581623710920701</v>
      </c>
    </row>
    <row r="1811" spans="7:18" x14ac:dyDescent="0.25">
      <c r="G1811" s="2">
        <f t="shared" ca="1" si="205"/>
        <v>0.12544885015393881</v>
      </c>
      <c r="H1811" s="3">
        <f t="shared" ca="1" si="206"/>
        <v>0</v>
      </c>
      <c r="I1811" s="3">
        <f t="shared" ca="1" si="207"/>
        <v>1.3135620291790659</v>
      </c>
      <c r="J1811" s="3">
        <f t="shared" ca="1" si="208"/>
        <v>5.7305366877349853</v>
      </c>
      <c r="P1811" s="3">
        <f t="shared" ca="1" si="209"/>
        <v>1.0833928813451097</v>
      </c>
      <c r="Q1811" s="3">
        <f t="shared" ca="1" si="210"/>
        <v>-4.7938477788060805</v>
      </c>
      <c r="R1811" s="3">
        <f t="shared" ca="1" si="211"/>
        <v>4.9147448216273908</v>
      </c>
    </row>
    <row r="1812" spans="7:18" x14ac:dyDescent="0.25">
      <c r="G1812" s="2">
        <f t="shared" ca="1" si="205"/>
        <v>0.69269652440409457</v>
      </c>
      <c r="H1812" s="3">
        <f t="shared" ca="1" si="206"/>
        <v>1</v>
      </c>
      <c r="I1812" s="3">
        <f t="shared" ca="1" si="207"/>
        <v>6.6581957716455316</v>
      </c>
      <c r="J1812" s="3">
        <f t="shared" ca="1" si="208"/>
        <v>12.901739971458824</v>
      </c>
      <c r="P1812" s="3">
        <f t="shared" ca="1" si="209"/>
        <v>-5.5938812076980753</v>
      </c>
      <c r="Q1812" s="3">
        <f t="shared" ca="1" si="210"/>
        <v>-5.4774014729997127</v>
      </c>
      <c r="R1812" s="3">
        <f t="shared" ca="1" si="211"/>
        <v>7.8290123171609016</v>
      </c>
    </row>
    <row r="1813" spans="7:18" x14ac:dyDescent="0.25">
      <c r="G1813" s="2">
        <f t="shared" ca="1" si="205"/>
        <v>0.38671615710140417</v>
      </c>
      <c r="H1813" s="3">
        <f t="shared" ca="1" si="206"/>
        <v>0</v>
      </c>
      <c r="I1813" s="3">
        <f t="shared" ca="1" si="207"/>
        <v>1.090867924041206</v>
      </c>
      <c r="J1813" s="3">
        <f t="shared" ca="1" si="208"/>
        <v>5.2222311420531886</v>
      </c>
      <c r="P1813" s="3">
        <f t="shared" ca="1" si="209"/>
        <v>-12.805677011968061</v>
      </c>
      <c r="Q1813" s="3">
        <f t="shared" ca="1" si="210"/>
        <v>-5.5835519214071967</v>
      </c>
      <c r="R1813" s="3">
        <f t="shared" ca="1" si="211"/>
        <v>13.97001846075721</v>
      </c>
    </row>
    <row r="1814" spans="7:18" x14ac:dyDescent="0.25">
      <c r="G1814" s="2">
        <f t="shared" ca="1" si="205"/>
        <v>0.85882970068749809</v>
      </c>
      <c r="H1814" s="3">
        <f t="shared" ca="1" si="206"/>
        <v>1</v>
      </c>
      <c r="I1814" s="3">
        <f t="shared" ca="1" si="207"/>
        <v>8.1676358071689759</v>
      </c>
      <c r="J1814" s="3">
        <f t="shared" ca="1" si="208"/>
        <v>14.289537962412375</v>
      </c>
      <c r="P1814" s="3">
        <f t="shared" ca="1" si="209"/>
        <v>8.8891967453823995E-2</v>
      </c>
      <c r="Q1814" s="3">
        <f t="shared" ca="1" si="210"/>
        <v>-9.24388432065731</v>
      </c>
      <c r="R1814" s="3">
        <f t="shared" ca="1" si="211"/>
        <v>9.2443117167029722</v>
      </c>
    </row>
    <row r="1815" spans="7:18" x14ac:dyDescent="0.25">
      <c r="G1815" s="2">
        <f t="shared" ca="1" si="205"/>
        <v>0.70515989581569782</v>
      </c>
      <c r="H1815" s="3">
        <f t="shared" ca="1" si="206"/>
        <v>1</v>
      </c>
      <c r="I1815" s="3">
        <f t="shared" ca="1" si="207"/>
        <v>3.8345210267222374</v>
      </c>
      <c r="J1815" s="3">
        <f t="shared" ca="1" si="208"/>
        <v>9.7909665339054204</v>
      </c>
      <c r="P1815" s="3">
        <f t="shared" ca="1" si="209"/>
        <v>-0.54755625638697047</v>
      </c>
      <c r="Q1815" s="3">
        <f t="shared" ca="1" si="210"/>
        <v>-4.4261042152288095</v>
      </c>
      <c r="R1815" s="3">
        <f t="shared" ca="1" si="211"/>
        <v>4.4598448827257151</v>
      </c>
    </row>
    <row r="1816" spans="7:18" x14ac:dyDescent="0.25">
      <c r="G1816" s="2">
        <f t="shared" ca="1" si="205"/>
        <v>0.82717443723885264</v>
      </c>
      <c r="H1816" s="3">
        <f t="shared" ca="1" si="206"/>
        <v>1</v>
      </c>
      <c r="I1816" s="3">
        <f t="shared" ca="1" si="207"/>
        <v>1.4558630593302351</v>
      </c>
      <c r="J1816" s="3">
        <f t="shared" ca="1" si="208"/>
        <v>6.0329575237403974</v>
      </c>
      <c r="P1816" s="3">
        <f t="shared" ca="1" si="209"/>
        <v>-7.7027708393843835</v>
      </c>
      <c r="Q1816" s="3">
        <f t="shared" ca="1" si="210"/>
        <v>1.6233470079291263</v>
      </c>
      <c r="R1816" s="3">
        <f t="shared" ca="1" si="211"/>
        <v>7.8719714247590389</v>
      </c>
    </row>
    <row r="1817" spans="7:18" x14ac:dyDescent="0.25">
      <c r="G1817" s="2">
        <f t="shared" ca="1" si="205"/>
        <v>0.15598976296313416</v>
      </c>
      <c r="H1817" s="3">
        <f t="shared" ca="1" si="206"/>
        <v>0</v>
      </c>
      <c r="I1817" s="3">
        <f t="shared" ca="1" si="207"/>
        <v>3.5288035854454316</v>
      </c>
      <c r="J1817" s="3">
        <f t="shared" ca="1" si="208"/>
        <v>9.3925550110784979</v>
      </c>
      <c r="P1817" s="3">
        <f t="shared" ca="1" si="209"/>
        <v>-10.172293000214555</v>
      </c>
      <c r="Q1817" s="3">
        <f t="shared" ca="1" si="210"/>
        <v>4.3249479533939406</v>
      </c>
      <c r="R1817" s="3">
        <f t="shared" ca="1" si="211"/>
        <v>11.053538785465063</v>
      </c>
    </row>
    <row r="1818" spans="7:18" x14ac:dyDescent="0.25">
      <c r="G1818" s="2">
        <f t="shared" ca="1" si="205"/>
        <v>0.10144999730553927</v>
      </c>
      <c r="H1818" s="3">
        <f t="shared" ca="1" si="206"/>
        <v>0</v>
      </c>
      <c r="I1818" s="3">
        <f t="shared" ca="1" si="207"/>
        <v>2.0129137518532367</v>
      </c>
      <c r="J1818" s="3">
        <f t="shared" ca="1" si="208"/>
        <v>7.0938595839169896</v>
      </c>
      <c r="P1818" s="3">
        <f t="shared" ca="1" si="209"/>
        <v>-7.2312453522866669</v>
      </c>
      <c r="Q1818" s="3">
        <f t="shared" ca="1" si="210"/>
        <v>-2.099543281866127</v>
      </c>
      <c r="R1818" s="3">
        <f t="shared" ca="1" si="211"/>
        <v>7.5298732617087731</v>
      </c>
    </row>
    <row r="1819" spans="7:18" x14ac:dyDescent="0.25">
      <c r="G1819" s="2">
        <f t="shared" ca="1" si="205"/>
        <v>0.70572474787879358</v>
      </c>
      <c r="H1819" s="3">
        <f t="shared" ca="1" si="206"/>
        <v>1</v>
      </c>
      <c r="I1819" s="3">
        <f t="shared" ca="1" si="207"/>
        <v>4.6909357176025805</v>
      </c>
      <c r="J1819" s="3">
        <f t="shared" ca="1" si="208"/>
        <v>10.829284045589741</v>
      </c>
      <c r="P1819" s="3">
        <f t="shared" ca="1" si="209"/>
        <v>-2.3049107198618026</v>
      </c>
      <c r="Q1819" s="3">
        <f t="shared" ca="1" si="210"/>
        <v>-2.2045875058277837</v>
      </c>
      <c r="R1819" s="3">
        <f t="shared" ca="1" si="211"/>
        <v>3.1894857731906914</v>
      </c>
    </row>
    <row r="1820" spans="7:18" x14ac:dyDescent="0.25">
      <c r="G1820" s="2">
        <f t="shared" ca="1" si="205"/>
        <v>0.32363547365687451</v>
      </c>
      <c r="H1820" s="3">
        <f t="shared" ca="1" si="206"/>
        <v>0</v>
      </c>
      <c r="I1820" s="3">
        <f t="shared" ca="1" si="207"/>
        <v>1.4641062332749353</v>
      </c>
      <c r="J1820" s="3">
        <f t="shared" ca="1" si="208"/>
        <v>6.050012878653515</v>
      </c>
      <c r="P1820" s="3">
        <f t="shared" ca="1" si="209"/>
        <v>-7.1003619530596485</v>
      </c>
      <c r="Q1820" s="3">
        <f t="shared" ca="1" si="210"/>
        <v>-1.1284091414656019</v>
      </c>
      <c r="R1820" s="3">
        <f t="shared" ca="1" si="211"/>
        <v>7.189467786630674</v>
      </c>
    </row>
    <row r="1821" spans="7:18" x14ac:dyDescent="0.25">
      <c r="G1821" s="2">
        <f t="shared" ca="1" si="205"/>
        <v>4.1975311568008822E-3</v>
      </c>
      <c r="H1821" s="3">
        <f t="shared" ca="1" si="206"/>
        <v>0</v>
      </c>
      <c r="I1821" s="3">
        <f t="shared" ca="1" si="207"/>
        <v>2.1520294863346607</v>
      </c>
      <c r="J1821" s="3">
        <f t="shared" ca="1" si="208"/>
        <v>7.3348985786012424</v>
      </c>
      <c r="P1821" s="3">
        <f t="shared" ca="1" si="209"/>
        <v>-10.553379805930422</v>
      </c>
      <c r="Q1821" s="3">
        <f t="shared" ca="1" si="210"/>
        <v>-8.1129483560882587</v>
      </c>
      <c r="R1821" s="3">
        <f t="shared" ca="1" si="211"/>
        <v>13.311414513746284</v>
      </c>
    </row>
    <row r="1822" spans="7:18" x14ac:dyDescent="0.25">
      <c r="G1822" s="2">
        <f t="shared" ca="1" si="205"/>
        <v>0.35809730383207461</v>
      </c>
      <c r="H1822" s="3">
        <f t="shared" ca="1" si="206"/>
        <v>0</v>
      </c>
      <c r="I1822" s="3">
        <f t="shared" ca="1" si="207"/>
        <v>7.6958996601281179E-2</v>
      </c>
      <c r="J1822" s="3">
        <f t="shared" ca="1" si="208"/>
        <v>1.3870742283785786</v>
      </c>
      <c r="P1822" s="3">
        <f t="shared" ca="1" si="209"/>
        <v>-9.6461817620516292</v>
      </c>
      <c r="Q1822" s="3">
        <f t="shared" ca="1" si="210"/>
        <v>-4.204400091621217</v>
      </c>
      <c r="R1822" s="3">
        <f t="shared" ca="1" si="211"/>
        <v>10.522632879510811</v>
      </c>
    </row>
    <row r="1823" spans="7:18" x14ac:dyDescent="0.25">
      <c r="G1823" s="2">
        <f t="shared" ca="1" si="205"/>
        <v>0.27834974234190202</v>
      </c>
      <c r="H1823" s="3">
        <f t="shared" ca="1" si="206"/>
        <v>0</v>
      </c>
      <c r="I1823" s="3">
        <f t="shared" ca="1" si="207"/>
        <v>0.25990669060979937</v>
      </c>
      <c r="J1823" s="3">
        <f t="shared" ca="1" si="208"/>
        <v>2.5490522288185828</v>
      </c>
      <c r="P1823" s="3">
        <f t="shared" ca="1" si="209"/>
        <v>-5.072177449812413</v>
      </c>
      <c r="Q1823" s="3">
        <f t="shared" ca="1" si="210"/>
        <v>4.7361827451265626</v>
      </c>
      <c r="R1823" s="3">
        <f t="shared" ca="1" si="211"/>
        <v>6.9396261482604471</v>
      </c>
    </row>
    <row r="1824" spans="7:18" x14ac:dyDescent="0.25">
      <c r="G1824" s="2">
        <f t="shared" ca="1" si="205"/>
        <v>0.19707217079149641</v>
      </c>
      <c r="H1824" s="3">
        <f t="shared" ca="1" si="206"/>
        <v>0</v>
      </c>
      <c r="I1824" s="3">
        <f t="shared" ca="1" si="207"/>
        <v>3.8631831225749993</v>
      </c>
      <c r="J1824" s="3">
        <f t="shared" ca="1" si="208"/>
        <v>9.8274909343318644</v>
      </c>
      <c r="P1824" s="3">
        <f t="shared" ca="1" si="209"/>
        <v>1.2973642156694698</v>
      </c>
      <c r="Q1824" s="3">
        <f t="shared" ca="1" si="210"/>
        <v>-6.875216857761937</v>
      </c>
      <c r="R1824" s="3">
        <f t="shared" ca="1" si="211"/>
        <v>6.9965534907805562</v>
      </c>
    </row>
    <row r="1825" spans="7:18" x14ac:dyDescent="0.25">
      <c r="G1825" s="2">
        <f t="shared" ca="1" si="205"/>
        <v>0.71223107971683031</v>
      </c>
      <c r="H1825" s="3">
        <f t="shared" ca="1" si="206"/>
        <v>1</v>
      </c>
      <c r="I1825" s="3">
        <f t="shared" ca="1" si="207"/>
        <v>3.2650730493694464</v>
      </c>
      <c r="J1825" s="3">
        <f t="shared" ca="1" si="208"/>
        <v>9.0347565675139343</v>
      </c>
      <c r="P1825" s="3">
        <f t="shared" ca="1" si="209"/>
        <v>-10.535847600731948</v>
      </c>
      <c r="Q1825" s="3">
        <f t="shared" ca="1" si="210"/>
        <v>4.0089625215371605</v>
      </c>
      <c r="R1825" s="3">
        <f t="shared" ca="1" si="211"/>
        <v>11.272793139454778</v>
      </c>
    </row>
    <row r="1826" spans="7:18" x14ac:dyDescent="0.25">
      <c r="G1826" s="2">
        <f t="shared" ca="1" si="205"/>
        <v>1.2928066632846069E-2</v>
      </c>
      <c r="H1826" s="3">
        <f t="shared" ca="1" si="206"/>
        <v>0</v>
      </c>
      <c r="I1826" s="3">
        <f t="shared" ca="1" si="207"/>
        <v>0.69888642987286609</v>
      </c>
      <c r="J1826" s="3">
        <f t="shared" ca="1" si="208"/>
        <v>4.179971381100791</v>
      </c>
      <c r="P1826" s="3">
        <f t="shared" ca="1" si="209"/>
        <v>-0.14073173025531371</v>
      </c>
      <c r="Q1826" s="3">
        <f t="shared" ca="1" si="210"/>
        <v>2.4125425212264626</v>
      </c>
      <c r="R1826" s="3">
        <f t="shared" ca="1" si="211"/>
        <v>2.4166437132159948</v>
      </c>
    </row>
    <row r="1827" spans="7:18" x14ac:dyDescent="0.25">
      <c r="G1827" s="2">
        <f t="shared" ca="1" si="205"/>
        <v>0.93843290284150649</v>
      </c>
      <c r="H1827" s="3">
        <f t="shared" ca="1" si="206"/>
        <v>2</v>
      </c>
      <c r="I1827" s="3">
        <f t="shared" ca="1" si="207"/>
        <v>9.6052793995367587</v>
      </c>
      <c r="J1827" s="3">
        <f t="shared" ca="1" si="208"/>
        <v>15.496192596519281</v>
      </c>
      <c r="P1827" s="3">
        <f t="shared" ca="1" si="209"/>
        <v>-6.9482903616656415</v>
      </c>
      <c r="Q1827" s="3">
        <f t="shared" ca="1" si="210"/>
        <v>-1.9993702561611721</v>
      </c>
      <c r="R1827" s="3">
        <f t="shared" ca="1" si="211"/>
        <v>7.2302296209205998</v>
      </c>
    </row>
    <row r="1828" spans="7:18" x14ac:dyDescent="0.25">
      <c r="G1828" s="2">
        <f t="shared" ca="1" si="205"/>
        <v>0.63312908969682669</v>
      </c>
      <c r="H1828" s="3">
        <f t="shared" ca="1" si="206"/>
        <v>1</v>
      </c>
      <c r="I1828" s="3">
        <f t="shared" ca="1" si="207"/>
        <v>4.1001379347997116</v>
      </c>
      <c r="J1828" s="3">
        <f t="shared" ca="1" si="208"/>
        <v>10.124398667081064</v>
      </c>
      <c r="P1828" s="3">
        <f t="shared" ca="1" si="209"/>
        <v>-0.63395095992591877</v>
      </c>
      <c r="Q1828" s="3">
        <f t="shared" ca="1" si="210"/>
        <v>-2.3328357671920239</v>
      </c>
      <c r="R1828" s="3">
        <f t="shared" ca="1" si="211"/>
        <v>2.4174400791501314</v>
      </c>
    </row>
    <row r="1829" spans="7:18" x14ac:dyDescent="0.25">
      <c r="G1829" s="2">
        <f t="shared" ca="1" si="205"/>
        <v>3.1317462257120732E-2</v>
      </c>
      <c r="H1829" s="3">
        <f t="shared" ca="1" si="206"/>
        <v>0</v>
      </c>
      <c r="I1829" s="3">
        <f t="shared" ca="1" si="207"/>
        <v>4.4935615347944875</v>
      </c>
      <c r="J1829" s="3">
        <f t="shared" ca="1" si="208"/>
        <v>10.59901119774209</v>
      </c>
      <c r="P1829" s="3">
        <f t="shared" ca="1" si="209"/>
        <v>-10.115790516730222</v>
      </c>
      <c r="Q1829" s="3">
        <f t="shared" ca="1" si="210"/>
        <v>3.6091085393573077</v>
      </c>
      <c r="R1829" s="3">
        <f t="shared" ca="1" si="211"/>
        <v>10.740339018263386</v>
      </c>
    </row>
    <row r="1830" spans="7:18" x14ac:dyDescent="0.25">
      <c r="G1830" s="2">
        <f t="shared" ca="1" si="205"/>
        <v>0.95563446487888226</v>
      </c>
      <c r="H1830" s="3">
        <f t="shared" ca="1" si="206"/>
        <v>2</v>
      </c>
      <c r="I1830" s="3">
        <f t="shared" ca="1" si="207"/>
        <v>7.9602223789281252</v>
      </c>
      <c r="J1830" s="3">
        <f t="shared" ca="1" si="208"/>
        <v>14.106933028592826</v>
      </c>
      <c r="P1830" s="3">
        <f t="shared" ca="1" si="209"/>
        <v>-13.955431772314421</v>
      </c>
      <c r="Q1830" s="3">
        <f t="shared" ca="1" si="210"/>
        <v>1.716176295487813</v>
      </c>
      <c r="R1830" s="3">
        <f t="shared" ca="1" si="211"/>
        <v>14.060559627159833</v>
      </c>
    </row>
    <row r="1831" spans="7:18" x14ac:dyDescent="0.25">
      <c r="G1831" s="2">
        <f t="shared" ca="1" si="205"/>
        <v>0.25715848144268694</v>
      </c>
      <c r="H1831" s="3">
        <f t="shared" ca="1" si="206"/>
        <v>0</v>
      </c>
      <c r="I1831" s="3">
        <f t="shared" ca="1" si="207"/>
        <v>8.364528669567763</v>
      </c>
      <c r="J1831" s="3">
        <f t="shared" ca="1" si="208"/>
        <v>14.460747447459072</v>
      </c>
      <c r="P1831" s="3">
        <f t="shared" ca="1" si="209"/>
        <v>-2.7662476673747132</v>
      </c>
      <c r="Q1831" s="3">
        <f t="shared" ca="1" si="210"/>
        <v>7.4208161511310946</v>
      </c>
      <c r="R1831" s="3">
        <f t="shared" ca="1" si="211"/>
        <v>7.9196362609746265</v>
      </c>
    </row>
    <row r="1832" spans="7:18" x14ac:dyDescent="0.25">
      <c r="G1832" s="2">
        <f t="shared" ca="1" si="205"/>
        <v>0.18935565021481626</v>
      </c>
      <c r="H1832" s="3">
        <f t="shared" ca="1" si="206"/>
        <v>0</v>
      </c>
      <c r="I1832" s="3">
        <f t="shared" ca="1" si="207"/>
        <v>1.7180775821927392</v>
      </c>
      <c r="J1832" s="3">
        <f t="shared" ca="1" si="208"/>
        <v>6.5537729251796994</v>
      </c>
      <c r="P1832" s="3">
        <f t="shared" ca="1" si="209"/>
        <v>-4.3828575368725975</v>
      </c>
      <c r="Q1832" s="3">
        <f t="shared" ca="1" si="210"/>
        <v>9.1089085969220758</v>
      </c>
      <c r="R1832" s="3">
        <f t="shared" ca="1" si="211"/>
        <v>10.108494250658792</v>
      </c>
    </row>
    <row r="1833" spans="7:18" x14ac:dyDescent="0.25">
      <c r="G1833" s="2">
        <f t="shared" ca="1" si="205"/>
        <v>0.1378425161332133</v>
      </c>
      <c r="H1833" s="3">
        <f t="shared" ca="1" si="206"/>
        <v>0</v>
      </c>
      <c r="I1833" s="3">
        <f t="shared" ca="1" si="207"/>
        <v>0.96088957224444249</v>
      </c>
      <c r="J1833" s="3">
        <f t="shared" ca="1" si="208"/>
        <v>4.9012487496668706</v>
      </c>
      <c r="P1833" s="3">
        <f t="shared" ca="1" si="209"/>
        <v>-12.90461169614376</v>
      </c>
      <c r="Q1833" s="3">
        <f t="shared" ca="1" si="210"/>
        <v>-8.1305114900814477</v>
      </c>
      <c r="R1833" s="3">
        <f t="shared" ca="1" si="211"/>
        <v>15.2523512980326</v>
      </c>
    </row>
    <row r="1834" spans="7:18" x14ac:dyDescent="0.25">
      <c r="G1834" s="2">
        <f t="shared" ca="1" si="205"/>
        <v>0.82456180196750772</v>
      </c>
      <c r="H1834" s="3">
        <f t="shared" ca="1" si="206"/>
        <v>1</v>
      </c>
      <c r="I1834" s="3">
        <f t="shared" ca="1" si="207"/>
        <v>2.2005204849190596</v>
      </c>
      <c r="J1834" s="3">
        <f t="shared" ca="1" si="208"/>
        <v>7.4170757123664641</v>
      </c>
      <c r="P1834" s="3">
        <f t="shared" ca="1" si="209"/>
        <v>0.73748138196302904</v>
      </c>
      <c r="Q1834" s="3">
        <f t="shared" ca="1" si="210"/>
        <v>-6.5136099845672937E-2</v>
      </c>
      <c r="R1834" s="3">
        <f t="shared" ca="1" si="211"/>
        <v>0.74035228117782192</v>
      </c>
    </row>
    <row r="1835" spans="7:18" x14ac:dyDescent="0.25">
      <c r="G1835" s="2">
        <f t="shared" ca="1" si="205"/>
        <v>0.1082631009655749</v>
      </c>
      <c r="H1835" s="3">
        <f t="shared" ca="1" si="206"/>
        <v>0</v>
      </c>
      <c r="I1835" s="3">
        <f t="shared" ca="1" si="207"/>
        <v>1.2772456569129682</v>
      </c>
      <c r="J1835" s="3">
        <f t="shared" ca="1" si="208"/>
        <v>5.6507646759376033</v>
      </c>
      <c r="P1835" s="3">
        <f t="shared" ca="1" si="209"/>
        <v>-17.348236186443728</v>
      </c>
      <c r="Q1835" s="3">
        <f t="shared" ca="1" si="210"/>
        <v>-0.8395930747435334</v>
      </c>
      <c r="R1835" s="3">
        <f t="shared" ca="1" si="211"/>
        <v>17.368540966695878</v>
      </c>
    </row>
    <row r="1836" spans="7:18" x14ac:dyDescent="0.25">
      <c r="G1836" s="2">
        <f t="shared" ca="1" si="205"/>
        <v>0.72408282234204624</v>
      </c>
      <c r="H1836" s="3">
        <f t="shared" ca="1" si="206"/>
        <v>1</v>
      </c>
      <c r="I1836" s="3">
        <f t="shared" ca="1" si="207"/>
        <v>6.902134597853685</v>
      </c>
      <c r="J1836" s="3">
        <f t="shared" ca="1" si="208"/>
        <v>13.13595694825246</v>
      </c>
      <c r="P1836" s="3">
        <f t="shared" ca="1" si="209"/>
        <v>-7.1839288172785789</v>
      </c>
      <c r="Q1836" s="3">
        <f t="shared" ca="1" si="210"/>
        <v>-5.6389689429518937</v>
      </c>
      <c r="R1836" s="3">
        <f t="shared" ca="1" si="211"/>
        <v>9.1327325588402957</v>
      </c>
    </row>
    <row r="1837" spans="7:18" x14ac:dyDescent="0.25">
      <c r="G1837" s="2">
        <f t="shared" ca="1" si="205"/>
        <v>0.70965598478423131</v>
      </c>
      <c r="H1837" s="3">
        <f t="shared" ca="1" si="206"/>
        <v>1</v>
      </c>
      <c r="I1837" s="3">
        <f t="shared" ca="1" si="207"/>
        <v>10.402291271856575</v>
      </c>
      <c r="J1837" s="3">
        <f t="shared" ca="1" si="208"/>
        <v>16.126291631879116</v>
      </c>
      <c r="P1837" s="3">
        <f t="shared" ca="1" si="209"/>
        <v>-1.0819231719276701</v>
      </c>
      <c r="Q1837" s="3">
        <f t="shared" ca="1" si="210"/>
        <v>-4.8883874062460224</v>
      </c>
      <c r="R1837" s="3">
        <f t="shared" ca="1" si="211"/>
        <v>5.006684450162477</v>
      </c>
    </row>
    <row r="1838" spans="7:18" x14ac:dyDescent="0.25">
      <c r="G1838" s="2">
        <f t="shared" ca="1" si="205"/>
        <v>0.38733833849964916</v>
      </c>
      <c r="H1838" s="3">
        <f t="shared" ca="1" si="206"/>
        <v>0</v>
      </c>
      <c r="I1838" s="3">
        <f t="shared" ca="1" si="207"/>
        <v>1.2507312510470507</v>
      </c>
      <c r="J1838" s="3">
        <f t="shared" ca="1" si="208"/>
        <v>5.5918048317315456</v>
      </c>
      <c r="P1838" s="3">
        <f t="shared" ca="1" si="209"/>
        <v>-11.379136354984778</v>
      </c>
      <c r="Q1838" s="3">
        <f t="shared" ca="1" si="210"/>
        <v>6.9190064249795586</v>
      </c>
      <c r="R1838" s="3">
        <f t="shared" ca="1" si="211"/>
        <v>13.317559614818501</v>
      </c>
    </row>
    <row r="1839" spans="7:18" x14ac:dyDescent="0.25">
      <c r="G1839" s="2">
        <f t="shared" ca="1" si="205"/>
        <v>0.94071750356999473</v>
      </c>
      <c r="H1839" s="3">
        <f t="shared" ca="1" si="206"/>
        <v>2</v>
      </c>
      <c r="I1839" s="3">
        <f t="shared" ca="1" si="207"/>
        <v>2.9534561578946135</v>
      </c>
      <c r="J1839" s="3">
        <f t="shared" ca="1" si="208"/>
        <v>8.5928111783842507</v>
      </c>
      <c r="P1839" s="3">
        <f t="shared" ca="1" si="209"/>
        <v>-13.630208776406402</v>
      </c>
      <c r="Q1839" s="3">
        <f t="shared" ca="1" si="210"/>
        <v>-2.589259985283169</v>
      </c>
      <c r="R1839" s="3">
        <f t="shared" ca="1" si="211"/>
        <v>13.873963332797688</v>
      </c>
    </row>
    <row r="1840" spans="7:18" x14ac:dyDescent="0.25">
      <c r="G1840" s="2">
        <f t="shared" ca="1" si="205"/>
        <v>0.67759674524955482</v>
      </c>
      <c r="H1840" s="3">
        <f t="shared" ca="1" si="206"/>
        <v>1</v>
      </c>
      <c r="I1840" s="3">
        <f t="shared" ca="1" si="207"/>
        <v>2.8352604283072713</v>
      </c>
      <c r="J1840" s="3">
        <f t="shared" ca="1" si="208"/>
        <v>8.4191157913216621</v>
      </c>
      <c r="P1840" s="3">
        <f t="shared" ca="1" si="209"/>
        <v>-6.149786066492144</v>
      </c>
      <c r="Q1840" s="3">
        <f t="shared" ca="1" si="210"/>
        <v>6.6669806954783137</v>
      </c>
      <c r="R1840" s="3">
        <f t="shared" ca="1" si="211"/>
        <v>9.070198468473631</v>
      </c>
    </row>
    <row r="1841" spans="7:18" x14ac:dyDescent="0.25">
      <c r="G1841" s="2">
        <f t="shared" ca="1" si="205"/>
        <v>9.7394362007525936E-2</v>
      </c>
      <c r="H1841" s="3">
        <f t="shared" ca="1" si="206"/>
        <v>0</v>
      </c>
      <c r="I1841" s="3">
        <f t="shared" ca="1" si="207"/>
        <v>0.99088929285577465</v>
      </c>
      <c r="J1841" s="3">
        <f t="shared" ca="1" si="208"/>
        <v>4.9771711163465504</v>
      </c>
      <c r="P1841" s="3">
        <f t="shared" ca="1" si="209"/>
        <v>-10.218640310795244</v>
      </c>
      <c r="Q1841" s="3">
        <f t="shared" ca="1" si="210"/>
        <v>-0.45093276857114767</v>
      </c>
      <c r="R1841" s="3">
        <f t="shared" ca="1" si="211"/>
        <v>10.228584954097061</v>
      </c>
    </row>
    <row r="1842" spans="7:18" x14ac:dyDescent="0.25">
      <c r="G1842" s="2">
        <f t="shared" ca="1" si="205"/>
        <v>5.7862054929833096E-2</v>
      </c>
      <c r="H1842" s="3">
        <f t="shared" ca="1" si="206"/>
        <v>0</v>
      </c>
      <c r="I1842" s="3">
        <f t="shared" ca="1" si="207"/>
        <v>0.18128524058038747</v>
      </c>
      <c r="J1842" s="3">
        <f t="shared" ca="1" si="208"/>
        <v>2.1288802254964199</v>
      </c>
      <c r="P1842" s="3">
        <f t="shared" ca="1" si="209"/>
        <v>3.6553165437737718</v>
      </c>
      <c r="Q1842" s="3">
        <f t="shared" ca="1" si="210"/>
        <v>-3.407570955563799</v>
      </c>
      <c r="R1842" s="3">
        <f t="shared" ca="1" si="211"/>
        <v>4.9972871492829203</v>
      </c>
    </row>
    <row r="1843" spans="7:18" x14ac:dyDescent="0.25">
      <c r="G1843" s="2">
        <f t="shared" ca="1" si="205"/>
        <v>1.3732112324142398E-2</v>
      </c>
      <c r="H1843" s="3">
        <f t="shared" ca="1" si="206"/>
        <v>0</v>
      </c>
      <c r="I1843" s="3">
        <f t="shared" ca="1" si="207"/>
        <v>0.27348483051039296</v>
      </c>
      <c r="J1843" s="3">
        <f t="shared" ca="1" si="208"/>
        <v>2.61478885624821</v>
      </c>
      <c r="P1843" s="3">
        <f t="shared" ca="1" si="209"/>
        <v>-9.4751036386162237</v>
      </c>
      <c r="Q1843" s="3">
        <f t="shared" ca="1" si="210"/>
        <v>1.9533423562254768</v>
      </c>
      <c r="R1843" s="3">
        <f t="shared" ca="1" si="211"/>
        <v>9.674354517131512</v>
      </c>
    </row>
    <row r="1844" spans="7:18" x14ac:dyDescent="0.25">
      <c r="G1844" s="2">
        <f t="shared" ca="1" si="205"/>
        <v>6.9972368055405076E-2</v>
      </c>
      <c r="H1844" s="3">
        <f t="shared" ca="1" si="206"/>
        <v>0</v>
      </c>
      <c r="I1844" s="3">
        <f t="shared" ca="1" si="207"/>
        <v>1.1797105905811958</v>
      </c>
      <c r="J1844" s="3">
        <f t="shared" ca="1" si="208"/>
        <v>5.4307241473425893</v>
      </c>
      <c r="P1844" s="3">
        <f t="shared" ca="1" si="209"/>
        <v>-4.7026473996825491</v>
      </c>
      <c r="Q1844" s="3">
        <f t="shared" ca="1" si="210"/>
        <v>-1.6785518516996574</v>
      </c>
      <c r="R1844" s="3">
        <f t="shared" ca="1" si="211"/>
        <v>4.9932383164220582</v>
      </c>
    </row>
    <row r="1845" spans="7:18" x14ac:dyDescent="0.25">
      <c r="G1845" s="2">
        <f t="shared" ca="1" si="205"/>
        <v>0.96861759179789864</v>
      </c>
      <c r="H1845" s="3">
        <f t="shared" ca="1" si="206"/>
        <v>2</v>
      </c>
      <c r="I1845" s="3">
        <f t="shared" ca="1" si="207"/>
        <v>5.2852787635643601</v>
      </c>
      <c r="J1845" s="3">
        <f t="shared" ca="1" si="208"/>
        <v>11.494867075747724</v>
      </c>
      <c r="P1845" s="3">
        <f t="shared" ca="1" si="209"/>
        <v>-2.4531122336790272</v>
      </c>
      <c r="Q1845" s="3">
        <f t="shared" ca="1" si="210"/>
        <v>4.1807311010905952</v>
      </c>
      <c r="R1845" s="3">
        <f t="shared" ca="1" si="211"/>
        <v>4.8472953459276527</v>
      </c>
    </row>
    <row r="1846" spans="7:18" x14ac:dyDescent="0.25">
      <c r="G1846" s="2">
        <f t="shared" ca="1" si="205"/>
        <v>0.7595515373585866</v>
      </c>
      <c r="H1846" s="3">
        <f t="shared" ca="1" si="206"/>
        <v>1</v>
      </c>
      <c r="I1846" s="3">
        <f t="shared" ca="1" si="207"/>
        <v>1.0976247678422639</v>
      </c>
      <c r="J1846" s="3">
        <f t="shared" ca="1" si="208"/>
        <v>5.2383794436883431</v>
      </c>
      <c r="P1846" s="3">
        <f t="shared" ca="1" si="209"/>
        <v>5.8059873332007008</v>
      </c>
      <c r="Q1846" s="3">
        <f t="shared" ca="1" si="210"/>
        <v>5.0409381194316719E-2</v>
      </c>
      <c r="R1846" s="3">
        <f t="shared" ca="1" si="211"/>
        <v>5.8062061640110043</v>
      </c>
    </row>
    <row r="1847" spans="7:18" x14ac:dyDescent="0.25">
      <c r="G1847" s="2">
        <f t="shared" ca="1" si="205"/>
        <v>9.290653878143762E-2</v>
      </c>
      <c r="H1847" s="3">
        <f t="shared" ca="1" si="206"/>
        <v>0</v>
      </c>
      <c r="I1847" s="3">
        <f t="shared" ca="1" si="207"/>
        <v>1.5869253338910676</v>
      </c>
      <c r="J1847" s="3">
        <f t="shared" ca="1" si="208"/>
        <v>6.2986612345225144</v>
      </c>
      <c r="P1847" s="3">
        <f t="shared" ca="1" si="209"/>
        <v>-6.5241833495057096</v>
      </c>
      <c r="Q1847" s="3">
        <f t="shared" ca="1" si="210"/>
        <v>-3.6371541419520059</v>
      </c>
      <c r="R1847" s="3">
        <f t="shared" ca="1" si="211"/>
        <v>7.4695286752435841</v>
      </c>
    </row>
    <row r="1848" spans="7:18" x14ac:dyDescent="0.25">
      <c r="G1848" s="2">
        <f t="shared" ca="1" si="205"/>
        <v>0.23244798995239813</v>
      </c>
      <c r="H1848" s="3">
        <f t="shared" ca="1" si="206"/>
        <v>0</v>
      </c>
      <c r="I1848" s="3">
        <f t="shared" ca="1" si="207"/>
        <v>2.8680724699920526</v>
      </c>
      <c r="J1848" s="3">
        <f t="shared" ca="1" si="208"/>
        <v>8.4676922328224293</v>
      </c>
      <c r="P1848" s="3">
        <f t="shared" ca="1" si="209"/>
        <v>0.68466795405179948</v>
      </c>
      <c r="Q1848" s="3">
        <f t="shared" ca="1" si="210"/>
        <v>0.11008829552035004</v>
      </c>
      <c r="R1848" s="3">
        <f t="shared" ca="1" si="211"/>
        <v>0.69346206826044421</v>
      </c>
    </row>
    <row r="1849" spans="7:18" x14ac:dyDescent="0.25">
      <c r="G1849" s="2">
        <f t="shared" ca="1" si="205"/>
        <v>0.48931221371021016</v>
      </c>
      <c r="H1849" s="3">
        <f t="shared" ca="1" si="206"/>
        <v>0</v>
      </c>
      <c r="I1849" s="3">
        <f t="shared" ca="1" si="207"/>
        <v>2.2865671745766489</v>
      </c>
      <c r="J1849" s="3">
        <f t="shared" ca="1" si="208"/>
        <v>7.5606996610377415</v>
      </c>
      <c r="P1849" s="3">
        <f t="shared" ca="1" si="209"/>
        <v>-11.381872710915889</v>
      </c>
      <c r="Q1849" s="3">
        <f t="shared" ca="1" si="210"/>
        <v>-6.0057026615881828</v>
      </c>
      <c r="R1849" s="3">
        <f t="shared" ca="1" si="211"/>
        <v>12.869168227469062</v>
      </c>
    </row>
    <row r="1850" spans="7:18" x14ac:dyDescent="0.25">
      <c r="G1850" s="2">
        <f t="shared" ca="1" si="205"/>
        <v>0.47234930123134211</v>
      </c>
      <c r="H1850" s="3">
        <f t="shared" ca="1" si="206"/>
        <v>0</v>
      </c>
      <c r="I1850" s="3">
        <f t="shared" ca="1" si="207"/>
        <v>6.4719092799257174</v>
      </c>
      <c r="J1850" s="3">
        <f t="shared" ca="1" si="208"/>
        <v>12.719973742038263</v>
      </c>
      <c r="P1850" s="3">
        <f t="shared" ca="1" si="209"/>
        <v>-4.5524935944734484</v>
      </c>
      <c r="Q1850" s="3">
        <f t="shared" ca="1" si="210"/>
        <v>-3.5851391258027552</v>
      </c>
      <c r="R1850" s="3">
        <f t="shared" ca="1" si="211"/>
        <v>5.7946889889866844</v>
      </c>
    </row>
    <row r="1851" spans="7:18" x14ac:dyDescent="0.25">
      <c r="G1851" s="2">
        <f t="shared" ca="1" si="205"/>
        <v>0.75432838270026692</v>
      </c>
      <c r="H1851" s="3">
        <f t="shared" ca="1" si="206"/>
        <v>1</v>
      </c>
      <c r="I1851" s="3">
        <f t="shared" ca="1" si="207"/>
        <v>3.6236513564090607</v>
      </c>
      <c r="J1851" s="3">
        <f t="shared" ca="1" si="208"/>
        <v>9.5179453618008605</v>
      </c>
      <c r="P1851" s="3">
        <f t="shared" ca="1" si="209"/>
        <v>-10.127070722833487</v>
      </c>
      <c r="Q1851" s="3">
        <f t="shared" ca="1" si="210"/>
        <v>-1.4250243858285618</v>
      </c>
      <c r="R1851" s="3">
        <f t="shared" ca="1" si="211"/>
        <v>10.226839977504158</v>
      </c>
    </row>
    <row r="1852" spans="7:18" x14ac:dyDescent="0.25">
      <c r="G1852" s="2">
        <f t="shared" ca="1" si="205"/>
        <v>0.21158102861784467</v>
      </c>
      <c r="H1852" s="3">
        <f t="shared" ca="1" si="206"/>
        <v>0</v>
      </c>
      <c r="I1852" s="3">
        <f t="shared" ca="1" si="207"/>
        <v>0.21655153109260741</v>
      </c>
      <c r="J1852" s="3">
        <f t="shared" ca="1" si="208"/>
        <v>2.3267548812273251</v>
      </c>
      <c r="P1852" s="3">
        <f t="shared" ca="1" si="209"/>
        <v>-1.1880016661759205</v>
      </c>
      <c r="Q1852" s="3">
        <f t="shared" ca="1" si="210"/>
        <v>4.6494773347639118</v>
      </c>
      <c r="R1852" s="3">
        <f t="shared" ca="1" si="211"/>
        <v>4.798852721778414</v>
      </c>
    </row>
    <row r="1853" spans="7:18" x14ac:dyDescent="0.25">
      <c r="G1853" s="2">
        <f t="shared" ca="1" si="205"/>
        <v>0.98606643008204731</v>
      </c>
      <c r="H1853" s="3">
        <f t="shared" ca="1" si="206"/>
        <v>3</v>
      </c>
      <c r="I1853" s="3">
        <f t="shared" ca="1" si="207"/>
        <v>9.0313546715491224</v>
      </c>
      <c r="J1853" s="3">
        <f t="shared" ca="1" si="208"/>
        <v>15.026106175211462</v>
      </c>
      <c r="P1853" s="3">
        <f t="shared" ca="1" si="209"/>
        <v>-9.6940948782372551</v>
      </c>
      <c r="Q1853" s="3">
        <f t="shared" ca="1" si="210"/>
        <v>5.0834348599289445</v>
      </c>
      <c r="R1853" s="3">
        <f t="shared" ca="1" si="211"/>
        <v>10.946085395400795</v>
      </c>
    </row>
    <row r="1854" spans="7:18" x14ac:dyDescent="0.25">
      <c r="G1854" s="2">
        <f t="shared" ca="1" si="205"/>
        <v>0.57389318327288008</v>
      </c>
      <c r="H1854" s="3">
        <f t="shared" ca="1" si="206"/>
        <v>0</v>
      </c>
      <c r="I1854" s="3">
        <f t="shared" ca="1" si="207"/>
        <v>1.3512517051658546</v>
      </c>
      <c r="J1854" s="3">
        <f t="shared" ca="1" si="208"/>
        <v>5.8121676360155305</v>
      </c>
      <c r="P1854" s="3">
        <f t="shared" ca="1" si="209"/>
        <v>-0.30188345630316427</v>
      </c>
      <c r="Q1854" s="3">
        <f t="shared" ca="1" si="210"/>
        <v>3.1385326695901674</v>
      </c>
      <c r="R1854" s="3">
        <f t="shared" ca="1" si="211"/>
        <v>3.1530177511828774</v>
      </c>
    </row>
    <row r="1855" spans="7:18" x14ac:dyDescent="0.25">
      <c r="G1855" s="2">
        <f t="shared" ca="1" si="205"/>
        <v>0.70550107417782282</v>
      </c>
      <c r="H1855" s="3">
        <f t="shared" ca="1" si="206"/>
        <v>1</v>
      </c>
      <c r="I1855" s="3">
        <f t="shared" ca="1" si="207"/>
        <v>2.95331558902694</v>
      </c>
      <c r="J1855" s="3">
        <f t="shared" ca="1" si="208"/>
        <v>8.5926066898045264</v>
      </c>
      <c r="P1855" s="3">
        <f t="shared" ca="1" si="209"/>
        <v>-1.3688627013737604</v>
      </c>
      <c r="Q1855" s="3">
        <f t="shared" ca="1" si="210"/>
        <v>-2.2652682789777181</v>
      </c>
      <c r="R1855" s="3">
        <f t="shared" ca="1" si="211"/>
        <v>2.6467386480260839</v>
      </c>
    </row>
    <row r="1856" spans="7:18" x14ac:dyDescent="0.25">
      <c r="G1856" s="2">
        <f t="shared" ca="1" si="205"/>
        <v>0.45782318442919312</v>
      </c>
      <c r="H1856" s="3">
        <f t="shared" ca="1" si="206"/>
        <v>0</v>
      </c>
      <c r="I1856" s="3">
        <f t="shared" ca="1" si="207"/>
        <v>0.72898977196080761</v>
      </c>
      <c r="J1856" s="3">
        <f t="shared" ca="1" si="208"/>
        <v>4.2690448930668543</v>
      </c>
      <c r="P1856" s="3">
        <f t="shared" ca="1" si="209"/>
        <v>-7.6991141363822742</v>
      </c>
      <c r="Q1856" s="3">
        <f t="shared" ca="1" si="210"/>
        <v>-2.155360317166696</v>
      </c>
      <c r="R1856" s="3">
        <f t="shared" ca="1" si="211"/>
        <v>7.995119547690221</v>
      </c>
    </row>
    <row r="1857" spans="7:18" x14ac:dyDescent="0.25">
      <c r="G1857" s="2">
        <f t="shared" ca="1" si="205"/>
        <v>0.82499484878389173</v>
      </c>
      <c r="H1857" s="3">
        <f t="shared" ca="1" si="206"/>
        <v>1</v>
      </c>
      <c r="I1857" s="3">
        <f t="shared" ca="1" si="207"/>
        <v>2.5850162907280243</v>
      </c>
      <c r="J1857" s="3">
        <f t="shared" ca="1" si="208"/>
        <v>8.0389929262439708</v>
      </c>
      <c r="P1857" s="3">
        <f t="shared" ca="1" si="209"/>
        <v>-6.7768654062161895</v>
      </c>
      <c r="Q1857" s="3">
        <f t="shared" ca="1" si="210"/>
        <v>-9.9188399218166445</v>
      </c>
      <c r="R1857" s="3">
        <f t="shared" ca="1" si="211"/>
        <v>12.01288017623556</v>
      </c>
    </row>
    <row r="1858" spans="7:18" x14ac:dyDescent="0.25">
      <c r="G1858" s="2">
        <f t="shared" ca="1" si="205"/>
        <v>0.92480935752008564</v>
      </c>
      <c r="H1858" s="3">
        <f t="shared" ca="1" si="206"/>
        <v>2</v>
      </c>
      <c r="I1858" s="3">
        <f t="shared" ca="1" si="207"/>
        <v>2.2600153012117077</v>
      </c>
      <c r="J1858" s="3">
        <f t="shared" ca="1" si="208"/>
        <v>7.5166736346799503</v>
      </c>
      <c r="P1858" s="3">
        <f t="shared" ca="1" si="209"/>
        <v>-9.9285600766178899</v>
      </c>
      <c r="Q1858" s="3">
        <f t="shared" ca="1" si="210"/>
        <v>5.5106509898092648</v>
      </c>
      <c r="R1858" s="3">
        <f t="shared" ca="1" si="211"/>
        <v>11.355332647108867</v>
      </c>
    </row>
    <row r="1859" spans="7:18" x14ac:dyDescent="0.25">
      <c r="G1859" s="2">
        <f t="shared" ca="1" si="205"/>
        <v>0.20185723351295559</v>
      </c>
      <c r="H1859" s="3">
        <f t="shared" ca="1" si="206"/>
        <v>0</v>
      </c>
      <c r="I1859" s="3">
        <f t="shared" ca="1" si="207"/>
        <v>1.9035982988196742</v>
      </c>
      <c r="J1859" s="3">
        <f t="shared" ca="1" si="208"/>
        <v>6.8985474899062531</v>
      </c>
      <c r="P1859" s="3">
        <f t="shared" ca="1" si="209"/>
        <v>-1.0025801031664034</v>
      </c>
      <c r="Q1859" s="3">
        <f t="shared" ca="1" si="210"/>
        <v>1.158006827799781</v>
      </c>
      <c r="R1859" s="3">
        <f t="shared" ca="1" si="211"/>
        <v>1.5317136405007523</v>
      </c>
    </row>
    <row r="1860" spans="7:18" x14ac:dyDescent="0.25">
      <c r="G1860" s="2">
        <f t="shared" ref="G1860:G1923" ca="1" si="212">RAND()</f>
        <v>0.12148979279475092</v>
      </c>
      <c r="H1860" s="3">
        <f t="shared" ref="H1860:H1923" ca="1" si="213">VLOOKUP(G1860,$B$9:$C$169,2,TRUE)</f>
        <v>0</v>
      </c>
      <c r="I1860" s="3">
        <f t="shared" ref="I1860:I1923" ca="1" si="214">_xlfn.CHISQ.INV(RAND(),2*H1860+2)</f>
        <v>1.9747240789266431</v>
      </c>
      <c r="J1860" s="3">
        <f t="shared" ref="J1860:J1923" ca="1" si="215">$C$4*SQRT(I1860)</f>
        <v>7.0262438025709075</v>
      </c>
      <c r="P1860" s="3">
        <f t="shared" ref="P1860:P1923" ca="1" si="216">_xlfn.NORM.INV(RAND(),$C$3*COS($O$2),$C$4)</f>
        <v>0.72242461006005154</v>
      </c>
      <c r="Q1860" s="3">
        <f t="shared" ref="Q1860:Q1923" ca="1" si="217">_xlfn.NORM.INV(RAND(),$C$3*SIN($O$2),$C$4)</f>
        <v>-1.995185585772502</v>
      </c>
      <c r="R1860" s="3">
        <f t="shared" ref="R1860:R1923" ca="1" si="218">SQRT(P1860^2+Q1860^2)</f>
        <v>2.1219478878838616</v>
      </c>
    </row>
    <row r="1861" spans="7:18" x14ac:dyDescent="0.25">
      <c r="G1861" s="2">
        <f t="shared" ca="1" si="212"/>
        <v>0.46038149209454027</v>
      </c>
      <c r="H1861" s="3">
        <f t="shared" ca="1" si="213"/>
        <v>0</v>
      </c>
      <c r="I1861" s="3">
        <f t="shared" ca="1" si="214"/>
        <v>1.7011252133891284</v>
      </c>
      <c r="J1861" s="3">
        <f t="shared" ca="1" si="215"/>
        <v>6.5213595465001175</v>
      </c>
      <c r="P1861" s="3">
        <f t="shared" ca="1" si="216"/>
        <v>-5.4006753913047403</v>
      </c>
      <c r="Q1861" s="3">
        <f t="shared" ca="1" si="217"/>
        <v>-1.464291871245154</v>
      </c>
      <c r="R1861" s="3">
        <f t="shared" ca="1" si="218"/>
        <v>5.5956630855010605</v>
      </c>
    </row>
    <row r="1862" spans="7:18" x14ac:dyDescent="0.25">
      <c r="G1862" s="2">
        <f t="shared" ca="1" si="212"/>
        <v>0.87093597348378438</v>
      </c>
      <c r="H1862" s="3">
        <f t="shared" ca="1" si="213"/>
        <v>1</v>
      </c>
      <c r="I1862" s="3">
        <f t="shared" ca="1" si="214"/>
        <v>8.1887976611723481</v>
      </c>
      <c r="J1862" s="3">
        <f t="shared" ca="1" si="215"/>
        <v>14.308037654734793</v>
      </c>
      <c r="P1862" s="3">
        <f t="shared" ca="1" si="216"/>
        <v>-3.9346231679891628</v>
      </c>
      <c r="Q1862" s="3">
        <f t="shared" ca="1" si="217"/>
        <v>-1.2556436654160683</v>
      </c>
      <c r="R1862" s="3">
        <f t="shared" ca="1" si="218"/>
        <v>4.1301211227488928</v>
      </c>
    </row>
    <row r="1863" spans="7:18" x14ac:dyDescent="0.25">
      <c r="G1863" s="2">
        <f t="shared" ca="1" si="212"/>
        <v>0.54021687161482745</v>
      </c>
      <c r="H1863" s="3">
        <f t="shared" ca="1" si="213"/>
        <v>0</v>
      </c>
      <c r="I1863" s="3">
        <f t="shared" ca="1" si="214"/>
        <v>9.3280765028186177E-2</v>
      </c>
      <c r="J1863" s="3">
        <f t="shared" ca="1" si="215"/>
        <v>1.527094995638665</v>
      </c>
      <c r="P1863" s="3">
        <f t="shared" ca="1" si="216"/>
        <v>-1.8827004404827474</v>
      </c>
      <c r="Q1863" s="3">
        <f t="shared" ca="1" si="217"/>
        <v>-1.0245419103041142</v>
      </c>
      <c r="R1863" s="3">
        <f t="shared" ca="1" si="218"/>
        <v>2.1434194817075669</v>
      </c>
    </row>
    <row r="1864" spans="7:18" x14ac:dyDescent="0.25">
      <c r="G1864" s="2">
        <f t="shared" ca="1" si="212"/>
        <v>0.28370998713137974</v>
      </c>
      <c r="H1864" s="3">
        <f t="shared" ca="1" si="213"/>
        <v>0</v>
      </c>
      <c r="I1864" s="3">
        <f t="shared" ca="1" si="214"/>
        <v>1.7392996290397467</v>
      </c>
      <c r="J1864" s="3">
        <f t="shared" ca="1" si="215"/>
        <v>6.5941254709016315</v>
      </c>
      <c r="P1864" s="3">
        <f t="shared" ca="1" si="216"/>
        <v>-7.6175914436507117</v>
      </c>
      <c r="Q1864" s="3">
        <f t="shared" ca="1" si="217"/>
        <v>0.78685257494188843</v>
      </c>
      <c r="R1864" s="3">
        <f t="shared" ca="1" si="218"/>
        <v>7.658122248767854</v>
      </c>
    </row>
    <row r="1865" spans="7:18" x14ac:dyDescent="0.25">
      <c r="G1865" s="2">
        <f t="shared" ca="1" si="212"/>
        <v>0.15575893017208853</v>
      </c>
      <c r="H1865" s="3">
        <f t="shared" ca="1" si="213"/>
        <v>0</v>
      </c>
      <c r="I1865" s="3">
        <f t="shared" ca="1" si="214"/>
        <v>7.7434035987357843</v>
      </c>
      <c r="J1865" s="3">
        <f t="shared" ca="1" si="215"/>
        <v>13.913485902835227</v>
      </c>
      <c r="P1865" s="3">
        <f t="shared" ca="1" si="216"/>
        <v>-5.5321709439203959</v>
      </c>
      <c r="Q1865" s="3">
        <f t="shared" ca="1" si="217"/>
        <v>7.7259015214778382</v>
      </c>
      <c r="R1865" s="3">
        <f t="shared" ca="1" si="218"/>
        <v>9.5023402208261647</v>
      </c>
    </row>
    <row r="1866" spans="7:18" x14ac:dyDescent="0.25">
      <c r="G1866" s="2">
        <f t="shared" ca="1" si="212"/>
        <v>0.79373101758815423</v>
      </c>
      <c r="H1866" s="3">
        <f t="shared" ca="1" si="213"/>
        <v>1</v>
      </c>
      <c r="I1866" s="3">
        <f t="shared" ca="1" si="214"/>
        <v>4.5672316422826169</v>
      </c>
      <c r="J1866" s="3">
        <f t="shared" ca="1" si="215"/>
        <v>10.685541214981365</v>
      </c>
      <c r="P1866" s="3">
        <f t="shared" ca="1" si="216"/>
        <v>-6.8755908076050769</v>
      </c>
      <c r="Q1866" s="3">
        <f t="shared" ca="1" si="217"/>
        <v>-10.599698247300607</v>
      </c>
      <c r="R1866" s="3">
        <f t="shared" ca="1" si="218"/>
        <v>12.634371843801773</v>
      </c>
    </row>
    <row r="1867" spans="7:18" x14ac:dyDescent="0.25">
      <c r="G1867" s="2">
        <f t="shared" ca="1" si="212"/>
        <v>0.84919752749744537</v>
      </c>
      <c r="H1867" s="3">
        <f t="shared" ca="1" si="213"/>
        <v>1</v>
      </c>
      <c r="I1867" s="3">
        <f t="shared" ca="1" si="214"/>
        <v>1.0952577200184328</v>
      </c>
      <c r="J1867" s="3">
        <f t="shared" ca="1" si="215"/>
        <v>5.2327280648301242</v>
      </c>
      <c r="P1867" s="3">
        <f t="shared" ca="1" si="216"/>
        <v>0.22134852082084411</v>
      </c>
      <c r="Q1867" s="3">
        <f t="shared" ca="1" si="217"/>
        <v>-1.95591664136224</v>
      </c>
      <c r="R1867" s="3">
        <f t="shared" ca="1" si="218"/>
        <v>1.9684016550560308</v>
      </c>
    </row>
    <row r="1868" spans="7:18" x14ac:dyDescent="0.25">
      <c r="G1868" s="2">
        <f t="shared" ca="1" si="212"/>
        <v>0.45419481771279391</v>
      </c>
      <c r="H1868" s="3">
        <f t="shared" ca="1" si="213"/>
        <v>0</v>
      </c>
      <c r="I1868" s="3">
        <f t="shared" ca="1" si="214"/>
        <v>2.9129291865430207</v>
      </c>
      <c r="J1868" s="3">
        <f t="shared" ca="1" si="215"/>
        <v>8.5336527737877592</v>
      </c>
      <c r="P1868" s="3">
        <f t="shared" ca="1" si="216"/>
        <v>3.1590823609258187</v>
      </c>
      <c r="Q1868" s="3">
        <f t="shared" ca="1" si="217"/>
        <v>0.83580298994876301</v>
      </c>
      <c r="R1868" s="3">
        <f t="shared" ca="1" si="218"/>
        <v>3.2677772263604412</v>
      </c>
    </row>
    <row r="1869" spans="7:18" x14ac:dyDescent="0.25">
      <c r="G1869" s="2">
        <f t="shared" ca="1" si="212"/>
        <v>0.97089219415948103</v>
      </c>
      <c r="H1869" s="3">
        <f t="shared" ca="1" si="213"/>
        <v>2</v>
      </c>
      <c r="I1869" s="3">
        <f t="shared" ca="1" si="214"/>
        <v>4.8656700829976547</v>
      </c>
      <c r="J1869" s="3">
        <f t="shared" ca="1" si="215"/>
        <v>11.029131972868099</v>
      </c>
      <c r="P1869" s="3">
        <f t="shared" ca="1" si="216"/>
        <v>-7.7739321327205992</v>
      </c>
      <c r="Q1869" s="3">
        <f t="shared" ca="1" si="217"/>
        <v>-4.0767273602992171</v>
      </c>
      <c r="R1869" s="3">
        <f t="shared" ca="1" si="218"/>
        <v>8.7780252206494644</v>
      </c>
    </row>
    <row r="1870" spans="7:18" x14ac:dyDescent="0.25">
      <c r="G1870" s="2">
        <f t="shared" ca="1" si="212"/>
        <v>0.67519723356182737</v>
      </c>
      <c r="H1870" s="3">
        <f t="shared" ca="1" si="213"/>
        <v>1</v>
      </c>
      <c r="I1870" s="3">
        <f t="shared" ca="1" si="214"/>
        <v>2.3326079321898177</v>
      </c>
      <c r="J1870" s="3">
        <f t="shared" ca="1" si="215"/>
        <v>7.6364388496697488</v>
      </c>
      <c r="P1870" s="3">
        <f t="shared" ca="1" si="216"/>
        <v>-2.6549686460699764</v>
      </c>
      <c r="Q1870" s="3">
        <f t="shared" ca="1" si="217"/>
        <v>-2.4157548040562098</v>
      </c>
      <c r="R1870" s="3">
        <f t="shared" ca="1" si="218"/>
        <v>3.5895305800250958</v>
      </c>
    </row>
    <row r="1871" spans="7:18" x14ac:dyDescent="0.25">
      <c r="G1871" s="2">
        <f t="shared" ca="1" si="212"/>
        <v>0.30608579473715869</v>
      </c>
      <c r="H1871" s="3">
        <f t="shared" ca="1" si="213"/>
        <v>0</v>
      </c>
      <c r="I1871" s="3">
        <f t="shared" ca="1" si="214"/>
        <v>1.0699445202669047</v>
      </c>
      <c r="J1871" s="3">
        <f t="shared" ca="1" si="215"/>
        <v>5.171906128950198</v>
      </c>
      <c r="P1871" s="3">
        <f t="shared" ca="1" si="216"/>
        <v>-5.6783863506865933</v>
      </c>
      <c r="Q1871" s="3">
        <f t="shared" ca="1" si="217"/>
        <v>7.3827319659057267</v>
      </c>
      <c r="R1871" s="3">
        <f t="shared" ca="1" si="218"/>
        <v>9.3139037373203539</v>
      </c>
    </row>
    <row r="1872" spans="7:18" x14ac:dyDescent="0.25">
      <c r="G1872" s="2">
        <f t="shared" ca="1" si="212"/>
        <v>7.1606132695327673E-3</v>
      </c>
      <c r="H1872" s="3">
        <f t="shared" ca="1" si="213"/>
        <v>0</v>
      </c>
      <c r="I1872" s="3">
        <f t="shared" ca="1" si="214"/>
        <v>1.6559677644188764</v>
      </c>
      <c r="J1872" s="3">
        <f t="shared" ca="1" si="215"/>
        <v>6.4342205518984121</v>
      </c>
      <c r="P1872" s="3">
        <f t="shared" ca="1" si="216"/>
        <v>-1.0276324943779631</v>
      </c>
      <c r="Q1872" s="3">
        <f t="shared" ca="1" si="217"/>
        <v>9.3079138960816117</v>
      </c>
      <c r="R1872" s="3">
        <f t="shared" ca="1" si="218"/>
        <v>9.3644695333142405</v>
      </c>
    </row>
    <row r="1873" spans="7:18" x14ac:dyDescent="0.25">
      <c r="G1873" s="2">
        <f t="shared" ca="1" si="212"/>
        <v>0.96120733633056932</v>
      </c>
      <c r="H1873" s="3">
        <f t="shared" ca="1" si="213"/>
        <v>2</v>
      </c>
      <c r="I1873" s="3">
        <f t="shared" ca="1" si="214"/>
        <v>7.4557740384371343</v>
      </c>
      <c r="J1873" s="3">
        <f t="shared" ca="1" si="215"/>
        <v>13.652631649646466</v>
      </c>
      <c r="P1873" s="3">
        <f t="shared" ca="1" si="216"/>
        <v>-1.5537299404939868</v>
      </c>
      <c r="Q1873" s="3">
        <f t="shared" ca="1" si="217"/>
        <v>-0.93811374018085347</v>
      </c>
      <c r="R1873" s="3">
        <f t="shared" ca="1" si="218"/>
        <v>1.8149749633269208</v>
      </c>
    </row>
    <row r="1874" spans="7:18" x14ac:dyDescent="0.25">
      <c r="G1874" s="2">
        <f t="shared" ca="1" si="212"/>
        <v>0.62192642942942178</v>
      </c>
      <c r="H1874" s="3">
        <f t="shared" ca="1" si="213"/>
        <v>1</v>
      </c>
      <c r="I1874" s="3">
        <f t="shared" ca="1" si="214"/>
        <v>6.8975241783495047</v>
      </c>
      <c r="J1874" s="3">
        <f t="shared" ca="1" si="215"/>
        <v>13.131569002169453</v>
      </c>
      <c r="P1874" s="3">
        <f t="shared" ca="1" si="216"/>
        <v>-3.2308129863500827</v>
      </c>
      <c r="Q1874" s="3">
        <f t="shared" ca="1" si="217"/>
        <v>2.2364389751130007</v>
      </c>
      <c r="R1874" s="3">
        <f t="shared" ca="1" si="218"/>
        <v>3.9293525983516457</v>
      </c>
    </row>
    <row r="1875" spans="7:18" x14ac:dyDescent="0.25">
      <c r="G1875" s="2">
        <f t="shared" ca="1" si="212"/>
        <v>0.16706907918520064</v>
      </c>
      <c r="H1875" s="3">
        <f t="shared" ca="1" si="213"/>
        <v>0</v>
      </c>
      <c r="I1875" s="3">
        <f t="shared" ca="1" si="214"/>
        <v>1.3545213351838237</v>
      </c>
      <c r="J1875" s="3">
        <f t="shared" ca="1" si="215"/>
        <v>5.8191952518879786</v>
      </c>
      <c r="P1875" s="3">
        <f t="shared" ca="1" si="216"/>
        <v>-2.9099887333735026</v>
      </c>
      <c r="Q1875" s="3">
        <f t="shared" ca="1" si="217"/>
        <v>-3.4146588074256625</v>
      </c>
      <c r="R1875" s="3">
        <f t="shared" ca="1" si="218"/>
        <v>4.4864160751640467</v>
      </c>
    </row>
    <row r="1876" spans="7:18" x14ac:dyDescent="0.25">
      <c r="G1876" s="2">
        <f t="shared" ca="1" si="212"/>
        <v>0.46476606448405411</v>
      </c>
      <c r="H1876" s="3">
        <f t="shared" ca="1" si="213"/>
        <v>0</v>
      </c>
      <c r="I1876" s="3">
        <f t="shared" ca="1" si="214"/>
        <v>0.91568868026739836</v>
      </c>
      <c r="J1876" s="3">
        <f t="shared" ca="1" si="215"/>
        <v>4.7845811735913681</v>
      </c>
      <c r="P1876" s="3">
        <f t="shared" ca="1" si="216"/>
        <v>-13.243163803507596</v>
      </c>
      <c r="Q1876" s="3">
        <f t="shared" ca="1" si="217"/>
        <v>-4.1750099106783427</v>
      </c>
      <c r="R1876" s="3">
        <f t="shared" ca="1" si="218"/>
        <v>13.885679503747598</v>
      </c>
    </row>
    <row r="1877" spans="7:18" x14ac:dyDescent="0.25">
      <c r="G1877" s="2">
        <f t="shared" ca="1" si="212"/>
        <v>0.88742730433033412</v>
      </c>
      <c r="H1877" s="3">
        <f t="shared" ca="1" si="213"/>
        <v>1</v>
      </c>
      <c r="I1877" s="3">
        <f t="shared" ca="1" si="214"/>
        <v>2.5125271197150334</v>
      </c>
      <c r="J1877" s="3">
        <f t="shared" ca="1" si="215"/>
        <v>7.9254765151930044</v>
      </c>
      <c r="P1877" s="3">
        <f t="shared" ca="1" si="216"/>
        <v>-7.1167278043904751</v>
      </c>
      <c r="Q1877" s="3">
        <f t="shared" ca="1" si="217"/>
        <v>-5.1181419197105296</v>
      </c>
      <c r="R1877" s="3">
        <f t="shared" ca="1" si="218"/>
        <v>8.766024831819875</v>
      </c>
    </row>
    <row r="1878" spans="7:18" x14ac:dyDescent="0.25">
      <c r="G1878" s="2">
        <f t="shared" ca="1" si="212"/>
        <v>0.46650376051075726</v>
      </c>
      <c r="H1878" s="3">
        <f t="shared" ca="1" si="213"/>
        <v>0</v>
      </c>
      <c r="I1878" s="3">
        <f t="shared" ca="1" si="214"/>
        <v>0.15007601781501956</v>
      </c>
      <c r="J1878" s="3">
        <f t="shared" ca="1" si="215"/>
        <v>1.9369823038364311</v>
      </c>
      <c r="P1878" s="3">
        <f t="shared" ca="1" si="216"/>
        <v>-5.765994358563483</v>
      </c>
      <c r="Q1878" s="3">
        <f t="shared" ca="1" si="217"/>
        <v>-2.1755790809175548</v>
      </c>
      <c r="R1878" s="3">
        <f t="shared" ca="1" si="218"/>
        <v>6.1627782111894946</v>
      </c>
    </row>
    <row r="1879" spans="7:18" x14ac:dyDescent="0.25">
      <c r="G1879" s="2">
        <f t="shared" ca="1" si="212"/>
        <v>0.21185960727420972</v>
      </c>
      <c r="H1879" s="3">
        <f t="shared" ca="1" si="213"/>
        <v>0</v>
      </c>
      <c r="I1879" s="3">
        <f t="shared" ca="1" si="214"/>
        <v>2.8677734365596796</v>
      </c>
      <c r="J1879" s="3">
        <f t="shared" ca="1" si="215"/>
        <v>8.4672507884195785</v>
      </c>
      <c r="P1879" s="3">
        <f t="shared" ca="1" si="216"/>
        <v>2.9847700999196007</v>
      </c>
      <c r="Q1879" s="3">
        <f t="shared" ca="1" si="217"/>
        <v>-3.2265619779818095</v>
      </c>
      <c r="R1879" s="3">
        <f t="shared" ca="1" si="218"/>
        <v>4.395401545607859</v>
      </c>
    </row>
    <row r="1880" spans="7:18" x14ac:dyDescent="0.25">
      <c r="G1880" s="2">
        <f t="shared" ca="1" si="212"/>
        <v>0.24692067762116832</v>
      </c>
      <c r="H1880" s="3">
        <f t="shared" ca="1" si="213"/>
        <v>0</v>
      </c>
      <c r="I1880" s="3">
        <f t="shared" ca="1" si="214"/>
        <v>6.4660700229361545</v>
      </c>
      <c r="J1880" s="3">
        <f t="shared" ca="1" si="215"/>
        <v>12.714234171722804</v>
      </c>
      <c r="P1880" s="3">
        <f t="shared" ca="1" si="216"/>
        <v>0.71824523272088392</v>
      </c>
      <c r="Q1880" s="3">
        <f t="shared" ca="1" si="217"/>
        <v>8.4504653122531472</v>
      </c>
      <c r="R1880" s="3">
        <f t="shared" ca="1" si="218"/>
        <v>8.4809339230959679</v>
      </c>
    </row>
    <row r="1881" spans="7:18" x14ac:dyDescent="0.25">
      <c r="G1881" s="2">
        <f t="shared" ca="1" si="212"/>
        <v>4.1936309515296366E-2</v>
      </c>
      <c r="H1881" s="3">
        <f t="shared" ca="1" si="213"/>
        <v>0</v>
      </c>
      <c r="I1881" s="3">
        <f t="shared" ca="1" si="214"/>
        <v>0.35890909238236446</v>
      </c>
      <c r="J1881" s="3">
        <f t="shared" ca="1" si="215"/>
        <v>2.9954511028489699</v>
      </c>
      <c r="P1881" s="3">
        <f t="shared" ca="1" si="216"/>
        <v>-15.009374061249314</v>
      </c>
      <c r="Q1881" s="3">
        <f t="shared" ca="1" si="217"/>
        <v>2.6757796844674124</v>
      </c>
      <c r="R1881" s="3">
        <f t="shared" ca="1" si="218"/>
        <v>15.246019369996624</v>
      </c>
    </row>
    <row r="1882" spans="7:18" x14ac:dyDescent="0.25">
      <c r="G1882" s="2">
        <f t="shared" ca="1" si="212"/>
        <v>0.92326716510966755</v>
      </c>
      <c r="H1882" s="3">
        <f t="shared" ca="1" si="213"/>
        <v>2</v>
      </c>
      <c r="I1882" s="3">
        <f t="shared" ca="1" si="214"/>
        <v>11.827623472698082</v>
      </c>
      <c r="J1882" s="3">
        <f t="shared" ca="1" si="215"/>
        <v>17.195656044985665</v>
      </c>
      <c r="P1882" s="3">
        <f t="shared" ca="1" si="216"/>
        <v>-3.1033931445953771</v>
      </c>
      <c r="Q1882" s="3">
        <f t="shared" ca="1" si="217"/>
        <v>-2.7082212980778171</v>
      </c>
      <c r="R1882" s="3">
        <f t="shared" ca="1" si="218"/>
        <v>4.1189211705595774</v>
      </c>
    </row>
    <row r="1883" spans="7:18" x14ac:dyDescent="0.25">
      <c r="G1883" s="2">
        <f t="shared" ca="1" si="212"/>
        <v>0.21295282009375938</v>
      </c>
      <c r="H1883" s="3">
        <f t="shared" ca="1" si="213"/>
        <v>0</v>
      </c>
      <c r="I1883" s="3">
        <f t="shared" ca="1" si="214"/>
        <v>5.0368547985715724</v>
      </c>
      <c r="J1883" s="3">
        <f t="shared" ca="1" si="215"/>
        <v>11.221469153559587</v>
      </c>
      <c r="P1883" s="3">
        <f t="shared" ca="1" si="216"/>
        <v>-5.6412027638121085</v>
      </c>
      <c r="Q1883" s="3">
        <f t="shared" ca="1" si="217"/>
        <v>5.524026256122756</v>
      </c>
      <c r="R1883" s="3">
        <f t="shared" ca="1" si="218"/>
        <v>7.8954439204375939</v>
      </c>
    </row>
    <row r="1884" spans="7:18" x14ac:dyDescent="0.25">
      <c r="G1884" s="2">
        <f t="shared" ca="1" si="212"/>
        <v>0.13380659766780945</v>
      </c>
      <c r="H1884" s="3">
        <f t="shared" ca="1" si="213"/>
        <v>0</v>
      </c>
      <c r="I1884" s="3">
        <f t="shared" ca="1" si="214"/>
        <v>1.2537107301670247</v>
      </c>
      <c r="J1884" s="3">
        <f t="shared" ca="1" si="215"/>
        <v>5.5984612398565039</v>
      </c>
      <c r="P1884" s="3">
        <f t="shared" ca="1" si="216"/>
        <v>-1.6259448684712359</v>
      </c>
      <c r="Q1884" s="3">
        <f t="shared" ca="1" si="217"/>
        <v>-2.4894004295583718</v>
      </c>
      <c r="R1884" s="3">
        <f t="shared" ca="1" si="218"/>
        <v>2.9733501667300053</v>
      </c>
    </row>
    <row r="1885" spans="7:18" x14ac:dyDescent="0.25">
      <c r="G1885" s="2">
        <f t="shared" ca="1" si="212"/>
        <v>0.11811193048050195</v>
      </c>
      <c r="H1885" s="3">
        <f t="shared" ca="1" si="213"/>
        <v>0</v>
      </c>
      <c r="I1885" s="3">
        <f t="shared" ca="1" si="214"/>
        <v>1.1151546287248091</v>
      </c>
      <c r="J1885" s="3">
        <f t="shared" ca="1" si="215"/>
        <v>5.2800441019105353</v>
      </c>
      <c r="P1885" s="3">
        <f t="shared" ca="1" si="216"/>
        <v>-3.2932041219883081</v>
      </c>
      <c r="Q1885" s="3">
        <f t="shared" ca="1" si="217"/>
        <v>-6.8844518509317689</v>
      </c>
      <c r="R1885" s="3">
        <f t="shared" ca="1" si="218"/>
        <v>7.6315706559579626</v>
      </c>
    </row>
    <row r="1886" spans="7:18" x14ac:dyDescent="0.25">
      <c r="G1886" s="2">
        <f t="shared" ca="1" si="212"/>
        <v>0.29557953815580074</v>
      </c>
      <c r="H1886" s="3">
        <f t="shared" ca="1" si="213"/>
        <v>0</v>
      </c>
      <c r="I1886" s="3">
        <f t="shared" ca="1" si="214"/>
        <v>3.5015334614921549</v>
      </c>
      <c r="J1886" s="3">
        <f t="shared" ca="1" si="215"/>
        <v>9.3561924166459871</v>
      </c>
      <c r="P1886" s="3">
        <f t="shared" ca="1" si="216"/>
        <v>-6.0479416463076197</v>
      </c>
      <c r="Q1886" s="3">
        <f t="shared" ca="1" si="217"/>
        <v>-2.2067130906167831</v>
      </c>
      <c r="R1886" s="3">
        <f t="shared" ca="1" si="218"/>
        <v>6.4379484947801187</v>
      </c>
    </row>
    <row r="1887" spans="7:18" x14ac:dyDescent="0.25">
      <c r="G1887" s="2">
        <f t="shared" ca="1" si="212"/>
        <v>5.2830222041429509E-2</v>
      </c>
      <c r="H1887" s="3">
        <f t="shared" ca="1" si="213"/>
        <v>0</v>
      </c>
      <c r="I1887" s="3">
        <f t="shared" ca="1" si="214"/>
        <v>8.7478234445985521</v>
      </c>
      <c r="J1887" s="3">
        <f t="shared" ca="1" si="215"/>
        <v>14.788359818281533</v>
      </c>
      <c r="P1887" s="3">
        <f t="shared" ca="1" si="216"/>
        <v>1.3680990055480216</v>
      </c>
      <c r="Q1887" s="3">
        <f t="shared" ca="1" si="217"/>
        <v>2.6186297375221228</v>
      </c>
      <c r="R1887" s="3">
        <f t="shared" ca="1" si="218"/>
        <v>2.954473995691393</v>
      </c>
    </row>
    <row r="1888" spans="7:18" x14ac:dyDescent="0.25">
      <c r="G1888" s="2">
        <f t="shared" ca="1" si="212"/>
        <v>0.11843335990515869</v>
      </c>
      <c r="H1888" s="3">
        <f t="shared" ca="1" si="213"/>
        <v>0</v>
      </c>
      <c r="I1888" s="3">
        <f t="shared" ca="1" si="214"/>
        <v>5.5442609711070032</v>
      </c>
      <c r="J1888" s="3">
        <f t="shared" ca="1" si="215"/>
        <v>11.773127208931156</v>
      </c>
      <c r="P1888" s="3">
        <f t="shared" ca="1" si="216"/>
        <v>-8.7278518870967137</v>
      </c>
      <c r="Q1888" s="3">
        <f t="shared" ca="1" si="217"/>
        <v>4.2874574645909487</v>
      </c>
      <c r="R1888" s="3">
        <f t="shared" ca="1" si="218"/>
        <v>9.724077852103731</v>
      </c>
    </row>
    <row r="1889" spans="7:18" x14ac:dyDescent="0.25">
      <c r="G1889" s="2">
        <f t="shared" ca="1" si="212"/>
        <v>5.4665816647706311E-2</v>
      </c>
      <c r="H1889" s="3">
        <f t="shared" ca="1" si="213"/>
        <v>0</v>
      </c>
      <c r="I1889" s="3">
        <f t="shared" ca="1" si="214"/>
        <v>8.3929640673340369E-2</v>
      </c>
      <c r="J1889" s="3">
        <f t="shared" ca="1" si="215"/>
        <v>1.4485306406263931</v>
      </c>
      <c r="P1889" s="3">
        <f t="shared" ca="1" si="216"/>
        <v>-9.1088563505833555</v>
      </c>
      <c r="Q1889" s="3">
        <f t="shared" ca="1" si="217"/>
        <v>3.7237122358318353</v>
      </c>
      <c r="R1889" s="3">
        <f t="shared" ca="1" si="218"/>
        <v>9.8405943332121186</v>
      </c>
    </row>
    <row r="1890" spans="7:18" x14ac:dyDescent="0.25">
      <c r="G1890" s="2">
        <f t="shared" ca="1" si="212"/>
        <v>0.8566327787587017</v>
      </c>
      <c r="H1890" s="3">
        <f t="shared" ca="1" si="213"/>
        <v>1</v>
      </c>
      <c r="I1890" s="3">
        <f t="shared" ca="1" si="214"/>
        <v>1.4983540158207442</v>
      </c>
      <c r="J1890" s="3">
        <f t="shared" ca="1" si="215"/>
        <v>6.1203635836050294</v>
      </c>
      <c r="P1890" s="3">
        <f t="shared" ca="1" si="216"/>
        <v>-3.5699540413577555</v>
      </c>
      <c r="Q1890" s="3">
        <f t="shared" ca="1" si="217"/>
        <v>0.15976416187120526</v>
      </c>
      <c r="R1890" s="3">
        <f t="shared" ca="1" si="218"/>
        <v>3.5735271714127177</v>
      </c>
    </row>
    <row r="1891" spans="7:18" x14ac:dyDescent="0.25">
      <c r="G1891" s="2">
        <f t="shared" ca="1" si="212"/>
        <v>2.5635732040373838E-2</v>
      </c>
      <c r="H1891" s="3">
        <f t="shared" ca="1" si="213"/>
        <v>0</v>
      </c>
      <c r="I1891" s="3">
        <f t="shared" ca="1" si="214"/>
        <v>0.50063469292693041</v>
      </c>
      <c r="J1891" s="3">
        <f t="shared" ca="1" si="215"/>
        <v>3.5377771726287763</v>
      </c>
      <c r="P1891" s="3">
        <f t="shared" ca="1" si="216"/>
        <v>-12.488382175277799</v>
      </c>
      <c r="Q1891" s="3">
        <f t="shared" ca="1" si="217"/>
        <v>1.7308402599864232</v>
      </c>
      <c r="R1891" s="3">
        <f t="shared" ca="1" si="218"/>
        <v>12.607755445018203</v>
      </c>
    </row>
    <row r="1892" spans="7:18" x14ac:dyDescent="0.25">
      <c r="G1892" s="2">
        <f t="shared" ca="1" si="212"/>
        <v>4.8059085837130922E-2</v>
      </c>
      <c r="H1892" s="3">
        <f t="shared" ca="1" si="213"/>
        <v>0</v>
      </c>
      <c r="I1892" s="3">
        <f t="shared" ca="1" si="214"/>
        <v>1.3932746391288748</v>
      </c>
      <c r="J1892" s="3">
        <f t="shared" ca="1" si="215"/>
        <v>5.9018527580940097</v>
      </c>
      <c r="P1892" s="3">
        <f t="shared" ca="1" si="216"/>
        <v>-9.8100118886227623</v>
      </c>
      <c r="Q1892" s="3">
        <f t="shared" ca="1" si="217"/>
        <v>-0.57208940937544017</v>
      </c>
      <c r="R1892" s="3">
        <f t="shared" ca="1" si="218"/>
        <v>9.8266789683615627</v>
      </c>
    </row>
    <row r="1893" spans="7:18" x14ac:dyDescent="0.25">
      <c r="G1893" s="2">
        <f t="shared" ca="1" si="212"/>
        <v>0.56382425745980391</v>
      </c>
      <c r="H1893" s="3">
        <f t="shared" ca="1" si="213"/>
        <v>0</v>
      </c>
      <c r="I1893" s="3">
        <f t="shared" ca="1" si="214"/>
        <v>1.0415628652477673</v>
      </c>
      <c r="J1893" s="3">
        <f t="shared" ca="1" si="215"/>
        <v>5.1028493639528669</v>
      </c>
      <c r="P1893" s="3">
        <f t="shared" ca="1" si="216"/>
        <v>0.10391470641423428</v>
      </c>
      <c r="Q1893" s="3">
        <f t="shared" ca="1" si="217"/>
        <v>3.5173886291703087</v>
      </c>
      <c r="R1893" s="3">
        <f t="shared" ca="1" si="218"/>
        <v>3.518923277769173</v>
      </c>
    </row>
    <row r="1894" spans="7:18" x14ac:dyDescent="0.25">
      <c r="G1894" s="2">
        <f t="shared" ca="1" si="212"/>
        <v>0.30949323708923271</v>
      </c>
      <c r="H1894" s="3">
        <f t="shared" ca="1" si="213"/>
        <v>0</v>
      </c>
      <c r="I1894" s="3">
        <f t="shared" ca="1" si="214"/>
        <v>2.2277712289919793</v>
      </c>
      <c r="J1894" s="3">
        <f t="shared" ca="1" si="215"/>
        <v>7.4628600901262701</v>
      </c>
      <c r="P1894" s="3">
        <f t="shared" ca="1" si="216"/>
        <v>-11.920456486624769</v>
      </c>
      <c r="Q1894" s="3">
        <f t="shared" ca="1" si="217"/>
        <v>8.0400690513283006</v>
      </c>
      <c r="R1894" s="3">
        <f t="shared" ca="1" si="218"/>
        <v>14.378455869794978</v>
      </c>
    </row>
    <row r="1895" spans="7:18" x14ac:dyDescent="0.25">
      <c r="G1895" s="2">
        <f t="shared" ca="1" si="212"/>
        <v>0.67442828434206903</v>
      </c>
      <c r="H1895" s="3">
        <f t="shared" ca="1" si="213"/>
        <v>1</v>
      </c>
      <c r="I1895" s="3">
        <f t="shared" ca="1" si="214"/>
        <v>2.3972569724592252</v>
      </c>
      <c r="J1895" s="3">
        <f t="shared" ca="1" si="215"/>
        <v>7.7415388852269302</v>
      </c>
      <c r="P1895" s="3">
        <f t="shared" ca="1" si="216"/>
        <v>3.6307988968304734</v>
      </c>
      <c r="Q1895" s="3">
        <f t="shared" ca="1" si="217"/>
        <v>-2.3088718294093873</v>
      </c>
      <c r="R1895" s="3">
        <f t="shared" ca="1" si="218"/>
        <v>4.3027421203071921</v>
      </c>
    </row>
    <row r="1896" spans="7:18" x14ac:dyDescent="0.25">
      <c r="G1896" s="2">
        <f t="shared" ca="1" si="212"/>
        <v>0.61218630528479334</v>
      </c>
      <c r="H1896" s="3">
        <f t="shared" ca="1" si="213"/>
        <v>1</v>
      </c>
      <c r="I1896" s="3">
        <f t="shared" ca="1" si="214"/>
        <v>2.7957218349124195</v>
      </c>
      <c r="J1896" s="3">
        <f t="shared" ca="1" si="215"/>
        <v>8.3602060903311752</v>
      </c>
      <c r="P1896" s="3">
        <f t="shared" ca="1" si="216"/>
        <v>-12.71556025471741</v>
      </c>
      <c r="Q1896" s="3">
        <f t="shared" ca="1" si="217"/>
        <v>7.0985331008476136</v>
      </c>
      <c r="R1896" s="3">
        <f t="shared" ca="1" si="218"/>
        <v>14.562782865070066</v>
      </c>
    </row>
    <row r="1897" spans="7:18" x14ac:dyDescent="0.25">
      <c r="G1897" s="2">
        <f t="shared" ca="1" si="212"/>
        <v>0.75667842191705992</v>
      </c>
      <c r="H1897" s="3">
        <f t="shared" ca="1" si="213"/>
        <v>1</v>
      </c>
      <c r="I1897" s="3">
        <f t="shared" ca="1" si="214"/>
        <v>1.9836741697473013</v>
      </c>
      <c r="J1897" s="3">
        <f t="shared" ca="1" si="215"/>
        <v>7.0421484110804231</v>
      </c>
      <c r="P1897" s="3">
        <f t="shared" ca="1" si="216"/>
        <v>-4.1128578851673572</v>
      </c>
      <c r="Q1897" s="3">
        <f t="shared" ca="1" si="217"/>
        <v>0.22069891919225382</v>
      </c>
      <c r="R1897" s="3">
        <f t="shared" ca="1" si="218"/>
        <v>4.1187750601988373</v>
      </c>
    </row>
    <row r="1898" spans="7:18" x14ac:dyDescent="0.25">
      <c r="G1898" s="2">
        <f t="shared" ca="1" si="212"/>
        <v>0.87134858823659489</v>
      </c>
      <c r="H1898" s="3">
        <f t="shared" ca="1" si="213"/>
        <v>1</v>
      </c>
      <c r="I1898" s="3">
        <f t="shared" ca="1" si="214"/>
        <v>2.3844762086524205</v>
      </c>
      <c r="J1898" s="3">
        <f t="shared" ca="1" si="215"/>
        <v>7.7208746406291624</v>
      </c>
      <c r="P1898" s="3">
        <f t="shared" ca="1" si="216"/>
        <v>-4.2063782617146686</v>
      </c>
      <c r="Q1898" s="3">
        <f t="shared" ca="1" si="217"/>
        <v>-2.591781404036082E-2</v>
      </c>
      <c r="R1898" s="3">
        <f t="shared" ca="1" si="218"/>
        <v>4.2064581079229049</v>
      </c>
    </row>
    <row r="1899" spans="7:18" x14ac:dyDescent="0.25">
      <c r="G1899" s="2">
        <f t="shared" ca="1" si="212"/>
        <v>0.93449119763458655</v>
      </c>
      <c r="H1899" s="3">
        <f t="shared" ca="1" si="213"/>
        <v>2</v>
      </c>
      <c r="I1899" s="3">
        <f t="shared" ca="1" si="214"/>
        <v>15.158809621782826</v>
      </c>
      <c r="J1899" s="3">
        <f t="shared" ca="1" si="215"/>
        <v>19.467157998654315</v>
      </c>
      <c r="P1899" s="3">
        <f t="shared" ca="1" si="216"/>
        <v>-5.1329096879064515</v>
      </c>
      <c r="Q1899" s="3">
        <f t="shared" ca="1" si="217"/>
        <v>-5.0309985733982021</v>
      </c>
      <c r="R1899" s="3">
        <f t="shared" ca="1" si="218"/>
        <v>7.187329720399549</v>
      </c>
    </row>
    <row r="1900" spans="7:18" x14ac:dyDescent="0.25">
      <c r="G1900" s="2">
        <f t="shared" ca="1" si="212"/>
        <v>0.1868729640477248</v>
      </c>
      <c r="H1900" s="3">
        <f t="shared" ca="1" si="213"/>
        <v>0</v>
      </c>
      <c r="I1900" s="3">
        <f t="shared" ca="1" si="214"/>
        <v>4.5973489671718495</v>
      </c>
      <c r="J1900" s="3">
        <f t="shared" ca="1" si="215"/>
        <v>10.720714723342669</v>
      </c>
      <c r="P1900" s="3">
        <f t="shared" ca="1" si="216"/>
        <v>-0.58946465274103588</v>
      </c>
      <c r="Q1900" s="3">
        <f t="shared" ca="1" si="217"/>
        <v>0.32367651679045834</v>
      </c>
      <c r="R1900" s="3">
        <f t="shared" ca="1" si="218"/>
        <v>0.67248424840490795</v>
      </c>
    </row>
    <row r="1901" spans="7:18" x14ac:dyDescent="0.25">
      <c r="G1901" s="2">
        <f t="shared" ca="1" si="212"/>
        <v>0.58761675045182094</v>
      </c>
      <c r="H1901" s="3">
        <f t="shared" ca="1" si="213"/>
        <v>0</v>
      </c>
      <c r="I1901" s="3">
        <f t="shared" ca="1" si="214"/>
        <v>1.6536902979250452</v>
      </c>
      <c r="J1901" s="3">
        <f t="shared" ca="1" si="215"/>
        <v>6.4297945105676693</v>
      </c>
      <c r="P1901" s="3">
        <f t="shared" ca="1" si="216"/>
        <v>-5.4334660437990898</v>
      </c>
      <c r="Q1901" s="3">
        <f t="shared" ca="1" si="217"/>
        <v>-7.3597206298973052</v>
      </c>
      <c r="R1901" s="3">
        <f t="shared" ca="1" si="218"/>
        <v>9.1481168007002243</v>
      </c>
    </row>
    <row r="1902" spans="7:18" x14ac:dyDescent="0.25">
      <c r="G1902" s="2">
        <f t="shared" ca="1" si="212"/>
        <v>0.28982186679772792</v>
      </c>
      <c r="H1902" s="3">
        <f t="shared" ca="1" si="213"/>
        <v>0</v>
      </c>
      <c r="I1902" s="3">
        <f t="shared" ca="1" si="214"/>
        <v>2.6443681286016303</v>
      </c>
      <c r="J1902" s="3">
        <f t="shared" ca="1" si="215"/>
        <v>8.1307566200840604</v>
      </c>
      <c r="P1902" s="3">
        <f t="shared" ca="1" si="216"/>
        <v>1.399206454608672</v>
      </c>
      <c r="Q1902" s="3">
        <f t="shared" ca="1" si="217"/>
        <v>12.024809202044773</v>
      </c>
      <c r="R1902" s="3">
        <f t="shared" ca="1" si="218"/>
        <v>12.10594131194263</v>
      </c>
    </row>
    <row r="1903" spans="7:18" x14ac:dyDescent="0.25">
      <c r="G1903" s="2">
        <f t="shared" ca="1" si="212"/>
        <v>0.24859843599884224</v>
      </c>
      <c r="H1903" s="3">
        <f t="shared" ca="1" si="213"/>
        <v>0</v>
      </c>
      <c r="I1903" s="3">
        <f t="shared" ca="1" si="214"/>
        <v>9.4368964310677941E-2</v>
      </c>
      <c r="J1903" s="3">
        <f t="shared" ca="1" si="215"/>
        <v>1.5359765974021049</v>
      </c>
      <c r="P1903" s="3">
        <f t="shared" ca="1" si="216"/>
        <v>-7.2906301874958714</v>
      </c>
      <c r="Q1903" s="3">
        <f t="shared" ca="1" si="217"/>
        <v>7.2825558519570182</v>
      </c>
      <c r="R1903" s="3">
        <f t="shared" ca="1" si="218"/>
        <v>10.30480025365361</v>
      </c>
    </row>
    <row r="1904" spans="7:18" x14ac:dyDescent="0.25">
      <c r="G1904" s="2">
        <f t="shared" ca="1" si="212"/>
        <v>0.85319216696010769</v>
      </c>
      <c r="H1904" s="3">
        <f t="shared" ca="1" si="213"/>
        <v>1</v>
      </c>
      <c r="I1904" s="3">
        <f t="shared" ca="1" si="214"/>
        <v>3.6102891676952047</v>
      </c>
      <c r="J1904" s="3">
        <f t="shared" ca="1" si="215"/>
        <v>9.5003804761904203</v>
      </c>
      <c r="P1904" s="3">
        <f t="shared" ca="1" si="216"/>
        <v>-9.9943185206979948</v>
      </c>
      <c r="Q1904" s="3">
        <f t="shared" ca="1" si="217"/>
        <v>-3.2492544797500296</v>
      </c>
      <c r="R1904" s="3">
        <f t="shared" ca="1" si="218"/>
        <v>10.509236764263264</v>
      </c>
    </row>
    <row r="1905" spans="7:18" x14ac:dyDescent="0.25">
      <c r="G1905" s="2">
        <f t="shared" ca="1" si="212"/>
        <v>0.16922216971823201</v>
      </c>
      <c r="H1905" s="3">
        <f t="shared" ca="1" si="213"/>
        <v>0</v>
      </c>
      <c r="I1905" s="3">
        <f t="shared" ca="1" si="214"/>
        <v>0.20128337175634464</v>
      </c>
      <c r="J1905" s="3">
        <f t="shared" ca="1" si="215"/>
        <v>2.2432307714340531</v>
      </c>
      <c r="P1905" s="3">
        <f t="shared" ca="1" si="216"/>
        <v>-3.2210349019402003</v>
      </c>
      <c r="Q1905" s="3">
        <f t="shared" ca="1" si="217"/>
        <v>1.397662683298305</v>
      </c>
      <c r="R1905" s="3">
        <f t="shared" ca="1" si="218"/>
        <v>3.511200195916139</v>
      </c>
    </row>
    <row r="1906" spans="7:18" x14ac:dyDescent="0.25">
      <c r="G1906" s="2">
        <f t="shared" ca="1" si="212"/>
        <v>0.65015034738461286</v>
      </c>
      <c r="H1906" s="3">
        <f t="shared" ca="1" si="213"/>
        <v>1</v>
      </c>
      <c r="I1906" s="3">
        <f t="shared" ca="1" si="214"/>
        <v>5.1243843955107486</v>
      </c>
      <c r="J1906" s="3">
        <f t="shared" ca="1" si="215"/>
        <v>11.31855158082379</v>
      </c>
      <c r="P1906" s="3">
        <f t="shared" ca="1" si="216"/>
        <v>-0.33944060482836669</v>
      </c>
      <c r="Q1906" s="3">
        <f t="shared" ca="1" si="217"/>
        <v>1.3852038157789091</v>
      </c>
      <c r="R1906" s="3">
        <f t="shared" ca="1" si="218"/>
        <v>1.4261870618732653</v>
      </c>
    </row>
    <row r="1907" spans="7:18" x14ac:dyDescent="0.25">
      <c r="G1907" s="2">
        <f t="shared" ca="1" si="212"/>
        <v>0.87839287145571743</v>
      </c>
      <c r="H1907" s="3">
        <f t="shared" ca="1" si="213"/>
        <v>1</v>
      </c>
      <c r="I1907" s="3">
        <f t="shared" ca="1" si="214"/>
        <v>2.9464710125256617</v>
      </c>
      <c r="J1907" s="3">
        <f t="shared" ca="1" si="215"/>
        <v>8.5826438416808095</v>
      </c>
      <c r="P1907" s="3">
        <f t="shared" ca="1" si="216"/>
        <v>-2.1051024634702928</v>
      </c>
      <c r="Q1907" s="3">
        <f t="shared" ca="1" si="217"/>
        <v>-6.673722157403069</v>
      </c>
      <c r="R1907" s="3">
        <f t="shared" ca="1" si="218"/>
        <v>6.9978585164263905</v>
      </c>
    </row>
    <row r="1908" spans="7:18" x14ac:dyDescent="0.25">
      <c r="G1908" s="2">
        <f t="shared" ca="1" si="212"/>
        <v>9.0814900153880718E-2</v>
      </c>
      <c r="H1908" s="3">
        <f t="shared" ca="1" si="213"/>
        <v>0</v>
      </c>
      <c r="I1908" s="3">
        <f t="shared" ca="1" si="214"/>
        <v>1.137031620402998</v>
      </c>
      <c r="J1908" s="3">
        <f t="shared" ca="1" si="215"/>
        <v>5.3315842401742986</v>
      </c>
      <c r="P1908" s="3">
        <f t="shared" ca="1" si="216"/>
        <v>-14.763070915993277</v>
      </c>
      <c r="Q1908" s="3">
        <f t="shared" ca="1" si="217"/>
        <v>4.4090716810007518</v>
      </c>
      <c r="R1908" s="3">
        <f t="shared" ca="1" si="218"/>
        <v>15.407406529291338</v>
      </c>
    </row>
    <row r="1909" spans="7:18" x14ac:dyDescent="0.25">
      <c r="G1909" s="2">
        <f t="shared" ca="1" si="212"/>
        <v>0.81332537547291872</v>
      </c>
      <c r="H1909" s="3">
        <f t="shared" ca="1" si="213"/>
        <v>1</v>
      </c>
      <c r="I1909" s="3">
        <f t="shared" ca="1" si="214"/>
        <v>5.658867537555806</v>
      </c>
      <c r="J1909" s="3">
        <f t="shared" ca="1" si="215"/>
        <v>11.894187170164052</v>
      </c>
      <c r="P1909" s="3">
        <f t="shared" ca="1" si="216"/>
        <v>-1.3627628919790191</v>
      </c>
      <c r="Q1909" s="3">
        <f t="shared" ca="1" si="217"/>
        <v>9.9495845947107888</v>
      </c>
      <c r="R1909" s="3">
        <f t="shared" ca="1" si="218"/>
        <v>10.042477598036317</v>
      </c>
    </row>
    <row r="1910" spans="7:18" x14ac:dyDescent="0.25">
      <c r="G1910" s="2">
        <f t="shared" ca="1" si="212"/>
        <v>0.41031441948338288</v>
      </c>
      <c r="H1910" s="3">
        <f t="shared" ca="1" si="213"/>
        <v>0</v>
      </c>
      <c r="I1910" s="3">
        <f t="shared" ca="1" si="214"/>
        <v>0.46621766934703252</v>
      </c>
      <c r="J1910" s="3">
        <f t="shared" ca="1" si="215"/>
        <v>3.4140066979541523</v>
      </c>
      <c r="P1910" s="3">
        <f t="shared" ca="1" si="216"/>
        <v>-12.203616258577497</v>
      </c>
      <c r="Q1910" s="3">
        <f t="shared" ca="1" si="217"/>
        <v>10.091801206914411</v>
      </c>
      <c r="R1910" s="3">
        <f t="shared" ca="1" si="218"/>
        <v>15.835804412359234</v>
      </c>
    </row>
    <row r="1911" spans="7:18" x14ac:dyDescent="0.25">
      <c r="G1911" s="2">
        <f t="shared" ca="1" si="212"/>
        <v>0.6464023297990249</v>
      </c>
      <c r="H1911" s="3">
        <f t="shared" ca="1" si="213"/>
        <v>1</v>
      </c>
      <c r="I1911" s="3">
        <f t="shared" ca="1" si="214"/>
        <v>4.5562090498300369</v>
      </c>
      <c r="J1911" s="3">
        <f t="shared" ca="1" si="215"/>
        <v>10.67263914155027</v>
      </c>
      <c r="P1911" s="3">
        <f t="shared" ca="1" si="216"/>
        <v>-8.1852519015059677</v>
      </c>
      <c r="Q1911" s="3">
        <f t="shared" ca="1" si="217"/>
        <v>8.8565387528750144</v>
      </c>
      <c r="R1911" s="3">
        <f t="shared" ca="1" si="218"/>
        <v>12.059710915784175</v>
      </c>
    </row>
    <row r="1912" spans="7:18" x14ac:dyDescent="0.25">
      <c r="G1912" s="2">
        <f t="shared" ca="1" si="212"/>
        <v>0.5859566944278799</v>
      </c>
      <c r="H1912" s="3">
        <f t="shared" ca="1" si="213"/>
        <v>0</v>
      </c>
      <c r="I1912" s="3">
        <f t="shared" ca="1" si="214"/>
        <v>4.3310764628579674</v>
      </c>
      <c r="J1912" s="3">
        <f t="shared" ca="1" si="215"/>
        <v>10.40561923056236</v>
      </c>
      <c r="P1912" s="3">
        <f t="shared" ca="1" si="216"/>
        <v>-4.0715926153762663</v>
      </c>
      <c r="Q1912" s="3">
        <f t="shared" ca="1" si="217"/>
        <v>6.0810170122865719</v>
      </c>
      <c r="R1912" s="3">
        <f t="shared" ca="1" si="218"/>
        <v>7.3182398381923273</v>
      </c>
    </row>
    <row r="1913" spans="7:18" x14ac:dyDescent="0.25">
      <c r="G1913" s="2">
        <f t="shared" ca="1" si="212"/>
        <v>0.38715058024810889</v>
      </c>
      <c r="H1913" s="3">
        <f t="shared" ca="1" si="213"/>
        <v>0</v>
      </c>
      <c r="I1913" s="3">
        <f t="shared" ca="1" si="214"/>
        <v>4.7809804527492235</v>
      </c>
      <c r="J1913" s="3">
        <f t="shared" ca="1" si="215"/>
        <v>10.932726618677089</v>
      </c>
      <c r="P1913" s="3">
        <f t="shared" ca="1" si="216"/>
        <v>-6.4761179335663694</v>
      </c>
      <c r="Q1913" s="3">
        <f t="shared" ca="1" si="217"/>
        <v>3.2958718825366184</v>
      </c>
      <c r="R1913" s="3">
        <f t="shared" ca="1" si="218"/>
        <v>7.2665586735094498</v>
      </c>
    </row>
    <row r="1914" spans="7:18" x14ac:dyDescent="0.25">
      <c r="G1914" s="2">
        <f t="shared" ca="1" si="212"/>
        <v>0.22632712245199982</v>
      </c>
      <c r="H1914" s="3">
        <f t="shared" ca="1" si="213"/>
        <v>0</v>
      </c>
      <c r="I1914" s="3">
        <f t="shared" ca="1" si="214"/>
        <v>1.1403789870804568</v>
      </c>
      <c r="J1914" s="3">
        <f t="shared" ca="1" si="215"/>
        <v>5.3394264370821167</v>
      </c>
      <c r="P1914" s="3">
        <f t="shared" ca="1" si="216"/>
        <v>-8.7777340736056271</v>
      </c>
      <c r="Q1914" s="3">
        <f t="shared" ca="1" si="217"/>
        <v>-2.996788392136859</v>
      </c>
      <c r="R1914" s="3">
        <f t="shared" ca="1" si="218"/>
        <v>9.2752011371281569</v>
      </c>
    </row>
    <row r="1915" spans="7:18" x14ac:dyDescent="0.25">
      <c r="G1915" s="2">
        <f t="shared" ca="1" si="212"/>
        <v>0.95378703097391537</v>
      </c>
      <c r="H1915" s="3">
        <f t="shared" ca="1" si="213"/>
        <v>2</v>
      </c>
      <c r="I1915" s="3">
        <f t="shared" ca="1" si="214"/>
        <v>4.0771333681061899</v>
      </c>
      <c r="J1915" s="3">
        <f t="shared" ca="1" si="215"/>
        <v>10.095956329276328</v>
      </c>
      <c r="P1915" s="3">
        <f t="shared" ca="1" si="216"/>
        <v>1.4103093289618887</v>
      </c>
      <c r="Q1915" s="3">
        <f t="shared" ca="1" si="217"/>
        <v>-4.4288011954816939</v>
      </c>
      <c r="R1915" s="3">
        <f t="shared" ca="1" si="218"/>
        <v>4.6479299082986412</v>
      </c>
    </row>
    <row r="1916" spans="7:18" x14ac:dyDescent="0.25">
      <c r="G1916" s="2">
        <f t="shared" ca="1" si="212"/>
        <v>0.60994145413091339</v>
      </c>
      <c r="H1916" s="3">
        <f t="shared" ca="1" si="213"/>
        <v>1</v>
      </c>
      <c r="I1916" s="3">
        <f t="shared" ca="1" si="214"/>
        <v>0.94553124685128054</v>
      </c>
      <c r="J1916" s="3">
        <f t="shared" ca="1" si="215"/>
        <v>4.8619215513294751</v>
      </c>
      <c r="P1916" s="3">
        <f t="shared" ca="1" si="216"/>
        <v>-2.7908273230929921</v>
      </c>
      <c r="Q1916" s="3">
        <f t="shared" ca="1" si="217"/>
        <v>-0.1329000608986802</v>
      </c>
      <c r="R1916" s="3">
        <f t="shared" ca="1" si="218"/>
        <v>2.7939899021845567</v>
      </c>
    </row>
    <row r="1917" spans="7:18" x14ac:dyDescent="0.25">
      <c r="G1917" s="2">
        <f t="shared" ca="1" si="212"/>
        <v>0.45512237058191851</v>
      </c>
      <c r="H1917" s="3">
        <f t="shared" ca="1" si="213"/>
        <v>0</v>
      </c>
      <c r="I1917" s="3">
        <f t="shared" ca="1" si="214"/>
        <v>0.12884845895057925</v>
      </c>
      <c r="J1917" s="3">
        <f t="shared" ca="1" si="215"/>
        <v>1.7947733767148657</v>
      </c>
      <c r="P1917" s="3">
        <f t="shared" ca="1" si="216"/>
        <v>-3.2315456159680878</v>
      </c>
      <c r="Q1917" s="3">
        <f t="shared" ca="1" si="217"/>
        <v>2.7820424426690411</v>
      </c>
      <c r="R1917" s="3">
        <f t="shared" ca="1" si="218"/>
        <v>4.264111539452796</v>
      </c>
    </row>
    <row r="1918" spans="7:18" x14ac:dyDescent="0.25">
      <c r="G1918" s="2">
        <f t="shared" ca="1" si="212"/>
        <v>5.5103835258619727E-2</v>
      </c>
      <c r="H1918" s="3">
        <f t="shared" ca="1" si="213"/>
        <v>0</v>
      </c>
      <c r="I1918" s="3">
        <f t="shared" ca="1" si="214"/>
        <v>1.4691040073212824</v>
      </c>
      <c r="J1918" s="3">
        <f t="shared" ca="1" si="215"/>
        <v>6.0603300391176766</v>
      </c>
      <c r="P1918" s="3">
        <f t="shared" ca="1" si="216"/>
        <v>-5.9237332184499989</v>
      </c>
      <c r="Q1918" s="3">
        <f t="shared" ca="1" si="217"/>
        <v>-10.57235651065302</v>
      </c>
      <c r="R1918" s="3">
        <f t="shared" ca="1" si="218"/>
        <v>12.118800989855195</v>
      </c>
    </row>
    <row r="1919" spans="7:18" x14ac:dyDescent="0.25">
      <c r="G1919" s="2">
        <f t="shared" ca="1" si="212"/>
        <v>0.5933866005394659</v>
      </c>
      <c r="H1919" s="3">
        <f t="shared" ca="1" si="213"/>
        <v>0</v>
      </c>
      <c r="I1919" s="3">
        <f t="shared" ca="1" si="214"/>
        <v>1.5405723757531644</v>
      </c>
      <c r="J1919" s="3">
        <f t="shared" ca="1" si="215"/>
        <v>6.2059897996878082</v>
      </c>
      <c r="P1919" s="3">
        <f t="shared" ca="1" si="216"/>
        <v>-11.385980394590742</v>
      </c>
      <c r="Q1919" s="3">
        <f t="shared" ca="1" si="217"/>
        <v>-6.1978886094549557</v>
      </c>
      <c r="R1919" s="3">
        <f t="shared" ca="1" si="218"/>
        <v>12.963578701933207</v>
      </c>
    </row>
    <row r="1920" spans="7:18" x14ac:dyDescent="0.25">
      <c r="G1920" s="2">
        <f t="shared" ca="1" si="212"/>
        <v>0.76652884720551351</v>
      </c>
      <c r="H1920" s="3">
        <f t="shared" ca="1" si="213"/>
        <v>1</v>
      </c>
      <c r="I1920" s="3">
        <f t="shared" ca="1" si="214"/>
        <v>4.4876597267855036</v>
      </c>
      <c r="J1920" s="3">
        <f t="shared" ca="1" si="215"/>
        <v>10.59204858229217</v>
      </c>
      <c r="P1920" s="3">
        <f t="shared" ca="1" si="216"/>
        <v>1.5635649482206251</v>
      </c>
      <c r="Q1920" s="3">
        <f t="shared" ca="1" si="217"/>
        <v>-0.2661865988184115</v>
      </c>
      <c r="R1920" s="3">
        <f t="shared" ca="1" si="218"/>
        <v>1.5860613647317308</v>
      </c>
    </row>
    <row r="1921" spans="7:18" x14ac:dyDescent="0.25">
      <c r="G1921" s="2">
        <f t="shared" ca="1" si="212"/>
        <v>0.65075719743682359</v>
      </c>
      <c r="H1921" s="3">
        <f t="shared" ca="1" si="213"/>
        <v>1</v>
      </c>
      <c r="I1921" s="3">
        <f t="shared" ca="1" si="214"/>
        <v>2.2854192503925033</v>
      </c>
      <c r="J1921" s="3">
        <f t="shared" ca="1" si="215"/>
        <v>7.5588015756343658</v>
      </c>
      <c r="P1921" s="3">
        <f t="shared" ca="1" si="216"/>
        <v>-10.929206203932559</v>
      </c>
      <c r="Q1921" s="3">
        <f t="shared" ca="1" si="217"/>
        <v>-2.1514308286980732</v>
      </c>
      <c r="R1921" s="3">
        <f t="shared" ca="1" si="218"/>
        <v>11.138949809508542</v>
      </c>
    </row>
    <row r="1922" spans="7:18" x14ac:dyDescent="0.25">
      <c r="G1922" s="2">
        <f t="shared" ca="1" si="212"/>
        <v>0.93042796178544773</v>
      </c>
      <c r="H1922" s="3">
        <f t="shared" ca="1" si="213"/>
        <v>2</v>
      </c>
      <c r="I1922" s="3">
        <f t="shared" ca="1" si="214"/>
        <v>8.5727164766217783</v>
      </c>
      <c r="J1922" s="3">
        <f t="shared" ca="1" si="215"/>
        <v>14.639600811345385</v>
      </c>
      <c r="P1922" s="3">
        <f t="shared" ca="1" si="216"/>
        <v>-5.8295932981585068</v>
      </c>
      <c r="Q1922" s="3">
        <f t="shared" ca="1" si="217"/>
        <v>2.7794840827698866</v>
      </c>
      <c r="R1922" s="3">
        <f t="shared" ca="1" si="218"/>
        <v>6.4583039405331277</v>
      </c>
    </row>
    <row r="1923" spans="7:18" x14ac:dyDescent="0.25">
      <c r="G1923" s="2">
        <f t="shared" ca="1" si="212"/>
        <v>0.69473525028878169</v>
      </c>
      <c r="H1923" s="3">
        <f t="shared" ca="1" si="213"/>
        <v>1</v>
      </c>
      <c r="I1923" s="3">
        <f t="shared" ca="1" si="214"/>
        <v>4.852756340141597</v>
      </c>
      <c r="J1923" s="3">
        <f t="shared" ca="1" si="215"/>
        <v>11.014486302299346</v>
      </c>
      <c r="P1923" s="3">
        <f t="shared" ca="1" si="216"/>
        <v>-12.10309582128723</v>
      </c>
      <c r="Q1923" s="3">
        <f t="shared" ca="1" si="217"/>
        <v>-6.5175575805764465</v>
      </c>
      <c r="R1923" s="3">
        <f t="shared" ca="1" si="218"/>
        <v>13.746398993023224</v>
      </c>
    </row>
    <row r="1924" spans="7:18" x14ac:dyDescent="0.25">
      <c r="G1924" s="2">
        <f t="shared" ref="G1924:G1987" ca="1" si="219">RAND()</f>
        <v>0.3052927649076449</v>
      </c>
      <c r="H1924" s="3">
        <f t="shared" ref="H1924:H1987" ca="1" si="220">VLOOKUP(G1924,$B$9:$C$169,2,TRUE)</f>
        <v>0</v>
      </c>
      <c r="I1924" s="3">
        <f t="shared" ref="I1924:I1987" ca="1" si="221">_xlfn.CHISQ.INV(RAND(),2*H1924+2)</f>
        <v>3.0537687417660284</v>
      </c>
      <c r="J1924" s="3">
        <f t="shared" ref="J1924:J1987" ca="1" si="222">$C$4*SQRT(I1924)</f>
        <v>8.7375178708916366</v>
      </c>
      <c r="P1924" s="3">
        <f t="shared" ref="P1924:P1987" ca="1" si="223">_xlfn.NORM.INV(RAND(),$C$3*COS($O$2),$C$4)</f>
        <v>-8.3711271267915208</v>
      </c>
      <c r="Q1924" s="3">
        <f t="shared" ref="Q1924:Q1987" ca="1" si="224">_xlfn.NORM.INV(RAND(),$C$3*SIN($O$2),$C$4)</f>
        <v>-6.893154276603946</v>
      </c>
      <c r="R1924" s="3">
        <f t="shared" ref="R1924:R1987" ca="1" si="225">SQRT(P1924^2+Q1924^2)</f>
        <v>10.843954318142812</v>
      </c>
    </row>
    <row r="1925" spans="7:18" x14ac:dyDescent="0.25">
      <c r="G1925" s="2">
        <f t="shared" ca="1" si="219"/>
        <v>0.43139810310229776</v>
      </c>
      <c r="H1925" s="3">
        <f t="shared" ca="1" si="220"/>
        <v>0</v>
      </c>
      <c r="I1925" s="3">
        <f t="shared" ca="1" si="221"/>
        <v>0.39475430738105799</v>
      </c>
      <c r="J1925" s="3">
        <f t="shared" ca="1" si="222"/>
        <v>3.1414738077097586</v>
      </c>
      <c r="P1925" s="3">
        <f t="shared" ca="1" si="223"/>
        <v>-14.516582499987207</v>
      </c>
      <c r="Q1925" s="3">
        <f t="shared" ca="1" si="224"/>
        <v>-4.0331096940469031</v>
      </c>
      <c r="R1925" s="3">
        <f t="shared" ca="1" si="225"/>
        <v>15.066424303169944</v>
      </c>
    </row>
    <row r="1926" spans="7:18" x14ac:dyDescent="0.25">
      <c r="G1926" s="2">
        <f t="shared" ca="1" si="219"/>
        <v>0.40309231185852334</v>
      </c>
      <c r="H1926" s="3">
        <f t="shared" ca="1" si="220"/>
        <v>0</v>
      </c>
      <c r="I1926" s="3">
        <f t="shared" ca="1" si="221"/>
        <v>2.1492356988793242</v>
      </c>
      <c r="J1926" s="3">
        <f t="shared" ca="1" si="222"/>
        <v>7.3301359108807187</v>
      </c>
      <c r="P1926" s="3">
        <f t="shared" ca="1" si="223"/>
        <v>-16.137739333976107</v>
      </c>
      <c r="Q1926" s="3">
        <f t="shared" ca="1" si="224"/>
        <v>6.0892449700950175</v>
      </c>
      <c r="R1926" s="3">
        <f t="shared" ca="1" si="225"/>
        <v>17.248348764945213</v>
      </c>
    </row>
    <row r="1927" spans="7:18" x14ac:dyDescent="0.25">
      <c r="G1927" s="2">
        <f t="shared" ca="1" si="219"/>
        <v>0.82812677091830078</v>
      </c>
      <c r="H1927" s="3">
        <f t="shared" ca="1" si="220"/>
        <v>1</v>
      </c>
      <c r="I1927" s="3">
        <f t="shared" ca="1" si="221"/>
        <v>1.813848337268156</v>
      </c>
      <c r="J1927" s="3">
        <f t="shared" ca="1" si="222"/>
        <v>6.7339593428906221</v>
      </c>
      <c r="P1927" s="3">
        <f t="shared" ca="1" si="223"/>
        <v>-11.003404435714559</v>
      </c>
      <c r="Q1927" s="3">
        <f t="shared" ca="1" si="224"/>
        <v>-6.3728566487073373</v>
      </c>
      <c r="R1927" s="3">
        <f t="shared" ca="1" si="225"/>
        <v>12.715667935302344</v>
      </c>
    </row>
    <row r="1928" spans="7:18" x14ac:dyDescent="0.25">
      <c r="G1928" s="2">
        <f t="shared" ca="1" si="219"/>
        <v>0.29761426451161344</v>
      </c>
      <c r="H1928" s="3">
        <f t="shared" ca="1" si="220"/>
        <v>0</v>
      </c>
      <c r="I1928" s="3">
        <f t="shared" ca="1" si="221"/>
        <v>0.84343136155746068</v>
      </c>
      <c r="J1928" s="3">
        <f t="shared" ca="1" si="222"/>
        <v>4.5919259618308867</v>
      </c>
      <c r="P1928" s="3">
        <f t="shared" ca="1" si="223"/>
        <v>-3.5556130369487788</v>
      </c>
      <c r="Q1928" s="3">
        <f t="shared" ca="1" si="224"/>
        <v>-7.231571806457791</v>
      </c>
      <c r="R1928" s="3">
        <f t="shared" ca="1" si="225"/>
        <v>8.0584126762331625</v>
      </c>
    </row>
    <row r="1929" spans="7:18" x14ac:dyDescent="0.25">
      <c r="G1929" s="2">
        <f t="shared" ca="1" si="219"/>
        <v>0.38359792647329016</v>
      </c>
      <c r="H1929" s="3">
        <f t="shared" ca="1" si="220"/>
        <v>0</v>
      </c>
      <c r="I1929" s="3">
        <f t="shared" ca="1" si="221"/>
        <v>0.95642459555393544</v>
      </c>
      <c r="J1929" s="3">
        <f t="shared" ca="1" si="222"/>
        <v>4.8898481457861642</v>
      </c>
      <c r="P1929" s="3">
        <f t="shared" ca="1" si="223"/>
        <v>-7.9136066595284893</v>
      </c>
      <c r="Q1929" s="3">
        <f t="shared" ca="1" si="224"/>
        <v>1.2284372421359322</v>
      </c>
      <c r="R1929" s="3">
        <f t="shared" ca="1" si="225"/>
        <v>8.0083848820845382</v>
      </c>
    </row>
    <row r="1930" spans="7:18" x14ac:dyDescent="0.25">
      <c r="G1930" s="2">
        <f t="shared" ca="1" si="219"/>
        <v>9.8404653251938257E-2</v>
      </c>
      <c r="H1930" s="3">
        <f t="shared" ca="1" si="220"/>
        <v>0</v>
      </c>
      <c r="I1930" s="3">
        <f t="shared" ca="1" si="221"/>
        <v>0.95332766685654957</v>
      </c>
      <c r="J1930" s="3">
        <f t="shared" ca="1" si="222"/>
        <v>4.8819249964961298</v>
      </c>
      <c r="P1930" s="3">
        <f t="shared" ca="1" si="223"/>
        <v>0.57959601178068354</v>
      </c>
      <c r="Q1930" s="3">
        <f t="shared" ca="1" si="224"/>
        <v>2.8686405707106064</v>
      </c>
      <c r="R1930" s="3">
        <f t="shared" ca="1" si="225"/>
        <v>2.9266072952821922</v>
      </c>
    </row>
    <row r="1931" spans="7:18" x14ac:dyDescent="0.25">
      <c r="G1931" s="2">
        <f t="shared" ca="1" si="219"/>
        <v>0.33307573338664431</v>
      </c>
      <c r="H1931" s="3">
        <f t="shared" ca="1" si="220"/>
        <v>0</v>
      </c>
      <c r="I1931" s="3">
        <f t="shared" ca="1" si="221"/>
        <v>0.39989401393695112</v>
      </c>
      <c r="J1931" s="3">
        <f t="shared" ca="1" si="222"/>
        <v>3.1618586857137965</v>
      </c>
      <c r="P1931" s="3">
        <f t="shared" ca="1" si="223"/>
        <v>-2.3784254756350709</v>
      </c>
      <c r="Q1931" s="3">
        <f t="shared" ca="1" si="224"/>
        <v>3.9791285930381917</v>
      </c>
      <c r="R1931" s="3">
        <f t="shared" ca="1" si="225"/>
        <v>4.6357709286680695</v>
      </c>
    </row>
    <row r="1932" spans="7:18" x14ac:dyDescent="0.25">
      <c r="G1932" s="2">
        <f t="shared" ca="1" si="219"/>
        <v>0.1560090750014087</v>
      </c>
      <c r="H1932" s="3">
        <f t="shared" ca="1" si="220"/>
        <v>0</v>
      </c>
      <c r="I1932" s="3">
        <f t="shared" ca="1" si="221"/>
        <v>3.7007496087704168</v>
      </c>
      <c r="J1932" s="3">
        <f t="shared" ca="1" si="222"/>
        <v>9.61866623910303</v>
      </c>
      <c r="P1932" s="3">
        <f t="shared" ca="1" si="223"/>
        <v>-1.7293640887229462</v>
      </c>
      <c r="Q1932" s="3">
        <f t="shared" ca="1" si="224"/>
        <v>3.7241396085259519</v>
      </c>
      <c r="R1932" s="3">
        <f t="shared" ca="1" si="225"/>
        <v>4.1060828017900928</v>
      </c>
    </row>
    <row r="1933" spans="7:18" x14ac:dyDescent="0.25">
      <c r="G1933" s="2">
        <f t="shared" ca="1" si="219"/>
        <v>0.41210572614622798</v>
      </c>
      <c r="H1933" s="3">
        <f t="shared" ca="1" si="220"/>
        <v>0</v>
      </c>
      <c r="I1933" s="3">
        <f t="shared" ca="1" si="221"/>
        <v>6.8321150298580727E-2</v>
      </c>
      <c r="J1933" s="3">
        <f t="shared" ca="1" si="222"/>
        <v>1.3069157422973059</v>
      </c>
      <c r="P1933" s="3">
        <f t="shared" ca="1" si="223"/>
        <v>-7.9029891155013496</v>
      </c>
      <c r="Q1933" s="3">
        <f t="shared" ca="1" si="224"/>
        <v>-0.10277308554383721</v>
      </c>
      <c r="R1933" s="3">
        <f t="shared" ca="1" si="225"/>
        <v>7.9036573348573889</v>
      </c>
    </row>
    <row r="1934" spans="7:18" x14ac:dyDescent="0.25">
      <c r="G1934" s="2">
        <f t="shared" ca="1" si="219"/>
        <v>0.74852437689676699</v>
      </c>
      <c r="H1934" s="3">
        <f t="shared" ca="1" si="220"/>
        <v>1</v>
      </c>
      <c r="I1934" s="3">
        <f t="shared" ca="1" si="221"/>
        <v>1.6183780081400465</v>
      </c>
      <c r="J1934" s="3">
        <f t="shared" ca="1" si="222"/>
        <v>6.3607743399291543</v>
      </c>
      <c r="P1934" s="3">
        <f t="shared" ca="1" si="223"/>
        <v>1.833844377655768</v>
      </c>
      <c r="Q1934" s="3">
        <f t="shared" ca="1" si="224"/>
        <v>2.0808217816469741</v>
      </c>
      <c r="R1934" s="3">
        <f t="shared" ca="1" si="225"/>
        <v>2.7735905408758805</v>
      </c>
    </row>
    <row r="1935" spans="7:18" x14ac:dyDescent="0.25">
      <c r="G1935" s="2">
        <f t="shared" ca="1" si="219"/>
        <v>0.31703922777129778</v>
      </c>
      <c r="H1935" s="3">
        <f t="shared" ca="1" si="220"/>
        <v>0</v>
      </c>
      <c r="I1935" s="3">
        <f t="shared" ca="1" si="221"/>
        <v>1.2247748770679998</v>
      </c>
      <c r="J1935" s="3">
        <f t="shared" ca="1" si="222"/>
        <v>5.5334773810597611</v>
      </c>
      <c r="P1935" s="3">
        <f t="shared" ca="1" si="223"/>
        <v>-8.5929296627627032</v>
      </c>
      <c r="Q1935" s="3">
        <f t="shared" ca="1" si="224"/>
        <v>2.8388843996669091</v>
      </c>
      <c r="R1935" s="3">
        <f t="shared" ca="1" si="225"/>
        <v>9.0497350692635905</v>
      </c>
    </row>
    <row r="1936" spans="7:18" x14ac:dyDescent="0.25">
      <c r="G1936" s="2">
        <f t="shared" ca="1" si="219"/>
        <v>0.20715487356453255</v>
      </c>
      <c r="H1936" s="3">
        <f t="shared" ca="1" si="220"/>
        <v>0</v>
      </c>
      <c r="I1936" s="3">
        <f t="shared" ca="1" si="221"/>
        <v>2.5159841883341758</v>
      </c>
      <c r="J1936" s="3">
        <f t="shared" ca="1" si="222"/>
        <v>7.930927102700819</v>
      </c>
      <c r="P1936" s="3">
        <f t="shared" ca="1" si="223"/>
        <v>-6.7490617947734544</v>
      </c>
      <c r="Q1936" s="3">
        <f t="shared" ca="1" si="224"/>
        <v>-1.8219122576289191</v>
      </c>
      <c r="R1936" s="3">
        <f t="shared" ca="1" si="225"/>
        <v>6.9906508555476572</v>
      </c>
    </row>
    <row r="1937" spans="7:18" x14ac:dyDescent="0.25">
      <c r="G1937" s="2">
        <f t="shared" ca="1" si="219"/>
        <v>0.8462645486743916</v>
      </c>
      <c r="H1937" s="3">
        <f t="shared" ca="1" si="220"/>
        <v>1</v>
      </c>
      <c r="I1937" s="3">
        <f t="shared" ca="1" si="221"/>
        <v>1.882347463830113</v>
      </c>
      <c r="J1937" s="3">
        <f t="shared" ca="1" si="222"/>
        <v>6.8599334250233666</v>
      </c>
      <c r="P1937" s="3">
        <f t="shared" ca="1" si="223"/>
        <v>-7.3931750047846343</v>
      </c>
      <c r="Q1937" s="3">
        <f t="shared" ca="1" si="224"/>
        <v>2.7272171119528736</v>
      </c>
      <c r="R1937" s="3">
        <f t="shared" ca="1" si="225"/>
        <v>7.8801490992937975</v>
      </c>
    </row>
    <row r="1938" spans="7:18" x14ac:dyDescent="0.25">
      <c r="G1938" s="2">
        <f t="shared" ca="1" si="219"/>
        <v>0.18583904400373807</v>
      </c>
      <c r="H1938" s="3">
        <f t="shared" ca="1" si="220"/>
        <v>0</v>
      </c>
      <c r="I1938" s="3">
        <f t="shared" ca="1" si="221"/>
        <v>1.0250740892210781</v>
      </c>
      <c r="J1938" s="3">
        <f t="shared" ca="1" si="222"/>
        <v>5.0622971298143842</v>
      </c>
      <c r="P1938" s="3">
        <f t="shared" ca="1" si="223"/>
        <v>-6.0820012880000682</v>
      </c>
      <c r="Q1938" s="3">
        <f t="shared" ca="1" si="224"/>
        <v>7.7809027214925752</v>
      </c>
      <c r="R1938" s="3">
        <f t="shared" ca="1" si="225"/>
        <v>9.8758891664783803</v>
      </c>
    </row>
    <row r="1939" spans="7:18" x14ac:dyDescent="0.25">
      <c r="G1939" s="2">
        <f t="shared" ca="1" si="219"/>
        <v>0.79748479512095183</v>
      </c>
      <c r="H1939" s="3">
        <f t="shared" ca="1" si="220"/>
        <v>1</v>
      </c>
      <c r="I1939" s="3">
        <f t="shared" ca="1" si="221"/>
        <v>0.9012480396948177</v>
      </c>
      <c r="J1939" s="3">
        <f t="shared" ca="1" si="222"/>
        <v>4.746704224235005</v>
      </c>
      <c r="P1939" s="3">
        <f t="shared" ca="1" si="223"/>
        <v>-5.426269366195748</v>
      </c>
      <c r="Q1939" s="3">
        <f t="shared" ca="1" si="224"/>
        <v>-7.1189680674190798</v>
      </c>
      <c r="R1939" s="3">
        <f t="shared" ca="1" si="225"/>
        <v>8.9512069342322178</v>
      </c>
    </row>
    <row r="1940" spans="7:18" x14ac:dyDescent="0.25">
      <c r="G1940" s="2">
        <f t="shared" ca="1" si="219"/>
        <v>0.82443241033618986</v>
      </c>
      <c r="H1940" s="3">
        <f t="shared" ca="1" si="220"/>
        <v>1</v>
      </c>
      <c r="I1940" s="3">
        <f t="shared" ca="1" si="221"/>
        <v>6.1696605502305761</v>
      </c>
      <c r="J1940" s="3">
        <f t="shared" ca="1" si="222"/>
        <v>12.41940070034639</v>
      </c>
      <c r="P1940" s="3">
        <f t="shared" ca="1" si="223"/>
        <v>1.3801990586838251</v>
      </c>
      <c r="Q1940" s="3">
        <f t="shared" ca="1" si="224"/>
        <v>-3.1605052444556327</v>
      </c>
      <c r="R1940" s="3">
        <f t="shared" ca="1" si="225"/>
        <v>3.4487306131130735</v>
      </c>
    </row>
    <row r="1941" spans="7:18" x14ac:dyDescent="0.25">
      <c r="G1941" s="2">
        <f t="shared" ca="1" si="219"/>
        <v>0.36126636404296941</v>
      </c>
      <c r="H1941" s="3">
        <f t="shared" ca="1" si="220"/>
        <v>0</v>
      </c>
      <c r="I1941" s="3">
        <f t="shared" ca="1" si="221"/>
        <v>0.44180370214692466</v>
      </c>
      <c r="J1941" s="3">
        <f t="shared" ca="1" si="222"/>
        <v>3.3234157960858757</v>
      </c>
      <c r="P1941" s="3">
        <f t="shared" ca="1" si="223"/>
        <v>0.82477672355493681</v>
      </c>
      <c r="Q1941" s="3">
        <f t="shared" ca="1" si="224"/>
        <v>7.1092223979213971</v>
      </c>
      <c r="R1941" s="3">
        <f t="shared" ca="1" si="225"/>
        <v>7.156905738293978</v>
      </c>
    </row>
    <row r="1942" spans="7:18" x14ac:dyDescent="0.25">
      <c r="G1942" s="2">
        <f t="shared" ca="1" si="219"/>
        <v>0.36083144268093981</v>
      </c>
      <c r="H1942" s="3">
        <f t="shared" ca="1" si="220"/>
        <v>0</v>
      </c>
      <c r="I1942" s="3">
        <f t="shared" ca="1" si="221"/>
        <v>3.4604471328542989</v>
      </c>
      <c r="J1942" s="3">
        <f t="shared" ca="1" si="222"/>
        <v>9.3011385497345138</v>
      </c>
      <c r="P1942" s="3">
        <f t="shared" ca="1" si="223"/>
        <v>-2.8757215591244072</v>
      </c>
      <c r="Q1942" s="3">
        <f t="shared" ca="1" si="224"/>
        <v>0.87417235584648356</v>
      </c>
      <c r="R1942" s="3">
        <f t="shared" ca="1" si="225"/>
        <v>3.0056533055791887</v>
      </c>
    </row>
    <row r="1943" spans="7:18" x14ac:dyDescent="0.25">
      <c r="G1943" s="2">
        <f t="shared" ca="1" si="219"/>
        <v>0.72028370659384267</v>
      </c>
      <c r="H1943" s="3">
        <f t="shared" ca="1" si="220"/>
        <v>1</v>
      </c>
      <c r="I1943" s="3">
        <f t="shared" ca="1" si="221"/>
        <v>1.5924878854393609</v>
      </c>
      <c r="J1943" s="3">
        <f t="shared" ca="1" si="222"/>
        <v>6.3096907321978959</v>
      </c>
      <c r="P1943" s="3">
        <f t="shared" ca="1" si="223"/>
        <v>-5.4039680781772477</v>
      </c>
      <c r="Q1943" s="3">
        <f t="shared" ca="1" si="224"/>
        <v>7.7856978384587716</v>
      </c>
      <c r="R1943" s="3">
        <f t="shared" ca="1" si="225"/>
        <v>9.4773393851724173</v>
      </c>
    </row>
    <row r="1944" spans="7:18" x14ac:dyDescent="0.25">
      <c r="G1944" s="2">
        <f t="shared" ca="1" si="219"/>
        <v>0.51380365267305161</v>
      </c>
      <c r="H1944" s="3">
        <f t="shared" ca="1" si="220"/>
        <v>0</v>
      </c>
      <c r="I1944" s="3">
        <f t="shared" ca="1" si="221"/>
        <v>0.25250520392265469</v>
      </c>
      <c r="J1944" s="3">
        <f t="shared" ca="1" si="222"/>
        <v>2.5124947956297077</v>
      </c>
      <c r="P1944" s="3">
        <f t="shared" ca="1" si="223"/>
        <v>-5.9497368026883546</v>
      </c>
      <c r="Q1944" s="3">
        <f t="shared" ca="1" si="224"/>
        <v>3.0927388338655781</v>
      </c>
      <c r="R1944" s="3">
        <f t="shared" ca="1" si="225"/>
        <v>6.705550053184635</v>
      </c>
    </row>
    <row r="1945" spans="7:18" x14ac:dyDescent="0.25">
      <c r="G1945" s="2">
        <f t="shared" ca="1" si="219"/>
        <v>0.32771459037726569</v>
      </c>
      <c r="H1945" s="3">
        <f t="shared" ca="1" si="220"/>
        <v>0</v>
      </c>
      <c r="I1945" s="3">
        <f t="shared" ca="1" si="221"/>
        <v>1.4093762146858557</v>
      </c>
      <c r="J1945" s="3">
        <f t="shared" ca="1" si="222"/>
        <v>5.935857593233381</v>
      </c>
      <c r="P1945" s="3">
        <f t="shared" ca="1" si="223"/>
        <v>-14.261420602435855</v>
      </c>
      <c r="Q1945" s="3">
        <f t="shared" ca="1" si="224"/>
        <v>-0.83847105432002311</v>
      </c>
      <c r="R1945" s="3">
        <f t="shared" ca="1" si="225"/>
        <v>14.286047434770557</v>
      </c>
    </row>
    <row r="1946" spans="7:18" x14ac:dyDescent="0.25">
      <c r="G1946" s="2">
        <f t="shared" ca="1" si="219"/>
        <v>0.28797003340540672</v>
      </c>
      <c r="H1946" s="3">
        <f t="shared" ca="1" si="220"/>
        <v>0</v>
      </c>
      <c r="I1946" s="3">
        <f t="shared" ca="1" si="221"/>
        <v>3.8050563981955422E-2</v>
      </c>
      <c r="J1946" s="3">
        <f t="shared" ca="1" si="222"/>
        <v>0.97532768829193273</v>
      </c>
      <c r="P1946" s="3">
        <f t="shared" ca="1" si="223"/>
        <v>-7.2885547347163318</v>
      </c>
      <c r="Q1946" s="3">
        <f t="shared" ca="1" si="224"/>
        <v>1.8441206217222788</v>
      </c>
      <c r="R1946" s="3">
        <f t="shared" ca="1" si="225"/>
        <v>7.518231905735365</v>
      </c>
    </row>
    <row r="1947" spans="7:18" x14ac:dyDescent="0.25">
      <c r="G1947" s="2">
        <f t="shared" ca="1" si="219"/>
        <v>9.7243664603614222E-2</v>
      </c>
      <c r="H1947" s="3">
        <f t="shared" ca="1" si="220"/>
        <v>0</v>
      </c>
      <c r="I1947" s="3">
        <f t="shared" ca="1" si="221"/>
        <v>2.9812112879461981</v>
      </c>
      <c r="J1947" s="3">
        <f t="shared" ca="1" si="222"/>
        <v>8.6330922732619371</v>
      </c>
      <c r="P1947" s="3">
        <f t="shared" ca="1" si="223"/>
        <v>-9.0105285354727176</v>
      </c>
      <c r="Q1947" s="3">
        <f t="shared" ca="1" si="224"/>
        <v>6.2115864070789772</v>
      </c>
      <c r="R1947" s="3">
        <f t="shared" ca="1" si="225"/>
        <v>10.944104814062063</v>
      </c>
    </row>
    <row r="1948" spans="7:18" x14ac:dyDescent="0.25">
      <c r="G1948" s="2">
        <f t="shared" ca="1" si="219"/>
        <v>0.62977231528086119</v>
      </c>
      <c r="H1948" s="3">
        <f t="shared" ca="1" si="220"/>
        <v>1</v>
      </c>
      <c r="I1948" s="3">
        <f t="shared" ca="1" si="221"/>
        <v>5.4323913492269682</v>
      </c>
      <c r="J1948" s="3">
        <f t="shared" ca="1" si="222"/>
        <v>11.653745480774591</v>
      </c>
      <c r="P1948" s="3">
        <f t="shared" ca="1" si="223"/>
        <v>-5.0556051452195945</v>
      </c>
      <c r="Q1948" s="3">
        <f t="shared" ca="1" si="224"/>
        <v>1.6010904587699388</v>
      </c>
      <c r="R1948" s="3">
        <f t="shared" ca="1" si="225"/>
        <v>5.3030777895044094</v>
      </c>
    </row>
    <row r="1949" spans="7:18" x14ac:dyDescent="0.25">
      <c r="G1949" s="2">
        <f t="shared" ca="1" si="219"/>
        <v>0.27262618132489258</v>
      </c>
      <c r="H1949" s="3">
        <f t="shared" ca="1" si="220"/>
        <v>0</v>
      </c>
      <c r="I1949" s="3">
        <f t="shared" ca="1" si="221"/>
        <v>0.32444881773816192</v>
      </c>
      <c r="J1949" s="3">
        <f t="shared" ca="1" si="222"/>
        <v>2.8480204429487594</v>
      </c>
      <c r="P1949" s="3">
        <f t="shared" ca="1" si="223"/>
        <v>-6.7489926390110409</v>
      </c>
      <c r="Q1949" s="3">
        <f t="shared" ca="1" si="224"/>
        <v>10.882898740048024</v>
      </c>
      <c r="R1949" s="3">
        <f t="shared" ca="1" si="225"/>
        <v>12.805716950938907</v>
      </c>
    </row>
    <row r="1950" spans="7:18" x14ac:dyDescent="0.25">
      <c r="G1950" s="2">
        <f t="shared" ca="1" si="219"/>
        <v>0.16051180475785021</v>
      </c>
      <c r="H1950" s="3">
        <f t="shared" ca="1" si="220"/>
        <v>0</v>
      </c>
      <c r="I1950" s="3">
        <f t="shared" ca="1" si="221"/>
        <v>0.18042326216307847</v>
      </c>
      <c r="J1950" s="3">
        <f t="shared" ca="1" si="222"/>
        <v>2.1238129753057264</v>
      </c>
      <c r="P1950" s="3">
        <f t="shared" ca="1" si="223"/>
        <v>-3.9061952449070283</v>
      </c>
      <c r="Q1950" s="3">
        <f t="shared" ca="1" si="224"/>
        <v>-7.4801207790815001</v>
      </c>
      <c r="R1950" s="3">
        <f t="shared" ca="1" si="225"/>
        <v>8.4386354442517018</v>
      </c>
    </row>
    <row r="1951" spans="7:18" x14ac:dyDescent="0.25">
      <c r="G1951" s="2">
        <f t="shared" ca="1" si="219"/>
        <v>0.27517483263742637</v>
      </c>
      <c r="H1951" s="3">
        <f t="shared" ca="1" si="220"/>
        <v>0</v>
      </c>
      <c r="I1951" s="3">
        <f t="shared" ca="1" si="221"/>
        <v>1.3658399271485766</v>
      </c>
      <c r="J1951" s="3">
        <f t="shared" ca="1" si="222"/>
        <v>5.8434577245595278</v>
      </c>
      <c r="P1951" s="3">
        <f t="shared" ca="1" si="223"/>
        <v>-5.9883761579520751</v>
      </c>
      <c r="Q1951" s="3">
        <f t="shared" ca="1" si="224"/>
        <v>-4.5175582262073277</v>
      </c>
      <c r="R1951" s="3">
        <f t="shared" ca="1" si="225"/>
        <v>7.501265315685238</v>
      </c>
    </row>
    <row r="1952" spans="7:18" x14ac:dyDescent="0.25">
      <c r="G1952" s="2">
        <f t="shared" ca="1" si="219"/>
        <v>0.38455791661449812</v>
      </c>
      <c r="H1952" s="3">
        <f t="shared" ca="1" si="220"/>
        <v>0</v>
      </c>
      <c r="I1952" s="3">
        <f t="shared" ca="1" si="221"/>
        <v>1.904776781356134</v>
      </c>
      <c r="J1952" s="3">
        <f t="shared" ca="1" si="222"/>
        <v>6.9006825411623849</v>
      </c>
      <c r="P1952" s="3">
        <f t="shared" ca="1" si="223"/>
        <v>-3.8633527259902545</v>
      </c>
      <c r="Q1952" s="3">
        <f t="shared" ca="1" si="224"/>
        <v>1.0887899156196184</v>
      </c>
      <c r="R1952" s="3">
        <f t="shared" ca="1" si="225"/>
        <v>4.0138457575959876</v>
      </c>
    </row>
    <row r="1953" spans="7:18" x14ac:dyDescent="0.25">
      <c r="G1953" s="2">
        <f t="shared" ca="1" si="219"/>
        <v>0.32045091883964849</v>
      </c>
      <c r="H1953" s="3">
        <f t="shared" ca="1" si="220"/>
        <v>0</v>
      </c>
      <c r="I1953" s="3">
        <f t="shared" ca="1" si="221"/>
        <v>0.37924944083718604</v>
      </c>
      <c r="J1953" s="3">
        <f t="shared" ca="1" si="222"/>
        <v>3.0791615775937533</v>
      </c>
      <c r="P1953" s="3">
        <f t="shared" ca="1" si="223"/>
        <v>-11.02525155006415</v>
      </c>
      <c r="Q1953" s="3">
        <f t="shared" ca="1" si="224"/>
        <v>-5.6664503267238242</v>
      </c>
      <c r="R1953" s="3">
        <f t="shared" ca="1" si="225"/>
        <v>12.39616194825723</v>
      </c>
    </row>
    <row r="1954" spans="7:18" x14ac:dyDescent="0.25">
      <c r="G1954" s="2">
        <f t="shared" ca="1" si="219"/>
        <v>0.96689981426284333</v>
      </c>
      <c r="H1954" s="3">
        <f t="shared" ca="1" si="220"/>
        <v>2</v>
      </c>
      <c r="I1954" s="3">
        <f t="shared" ca="1" si="221"/>
        <v>9.7454223051959943</v>
      </c>
      <c r="J1954" s="3">
        <f t="shared" ca="1" si="222"/>
        <v>15.608829476610342</v>
      </c>
      <c r="P1954" s="3">
        <f t="shared" ca="1" si="223"/>
        <v>-1.7627763243588039</v>
      </c>
      <c r="Q1954" s="3">
        <f t="shared" ca="1" si="224"/>
        <v>-0.35444146135419913</v>
      </c>
      <c r="R1954" s="3">
        <f t="shared" ca="1" si="225"/>
        <v>1.7980570400426221</v>
      </c>
    </row>
    <row r="1955" spans="7:18" x14ac:dyDescent="0.25">
      <c r="G1955" s="2">
        <f t="shared" ca="1" si="219"/>
        <v>0.28086413088049933</v>
      </c>
      <c r="H1955" s="3">
        <f t="shared" ca="1" si="220"/>
        <v>0</v>
      </c>
      <c r="I1955" s="3">
        <f t="shared" ca="1" si="221"/>
        <v>4.4125227397552722</v>
      </c>
      <c r="J1955" s="3">
        <f t="shared" ca="1" si="222"/>
        <v>10.503002832232401</v>
      </c>
      <c r="P1955" s="3">
        <f t="shared" ca="1" si="223"/>
        <v>9.4439041359204943</v>
      </c>
      <c r="Q1955" s="3">
        <f t="shared" ca="1" si="224"/>
        <v>8.8745829699607182</v>
      </c>
      <c r="R1955" s="3">
        <f t="shared" ca="1" si="225"/>
        <v>12.959380703535682</v>
      </c>
    </row>
    <row r="1956" spans="7:18" x14ac:dyDescent="0.25">
      <c r="G1956" s="2">
        <f t="shared" ca="1" si="219"/>
        <v>0.19613811016804095</v>
      </c>
      <c r="H1956" s="3">
        <f t="shared" ca="1" si="220"/>
        <v>0</v>
      </c>
      <c r="I1956" s="3">
        <f t="shared" ca="1" si="221"/>
        <v>1.2668513628724571</v>
      </c>
      <c r="J1956" s="3">
        <f t="shared" ca="1" si="222"/>
        <v>5.6277245909702645</v>
      </c>
      <c r="P1956" s="3">
        <f t="shared" ca="1" si="223"/>
        <v>-7.5642006832181643</v>
      </c>
      <c r="Q1956" s="3">
        <f t="shared" ca="1" si="224"/>
        <v>-5.1609229826552987</v>
      </c>
      <c r="R1956" s="3">
        <f t="shared" ca="1" si="225"/>
        <v>9.1570878563491895</v>
      </c>
    </row>
    <row r="1957" spans="7:18" x14ac:dyDescent="0.25">
      <c r="G1957" s="2">
        <f t="shared" ca="1" si="219"/>
        <v>0.56321143965188214</v>
      </c>
      <c r="H1957" s="3">
        <f t="shared" ca="1" si="220"/>
        <v>0</v>
      </c>
      <c r="I1957" s="3">
        <f t="shared" ca="1" si="221"/>
        <v>1.5575241655229208</v>
      </c>
      <c r="J1957" s="3">
        <f t="shared" ca="1" si="222"/>
        <v>6.2400403955481742</v>
      </c>
      <c r="P1957" s="3">
        <f t="shared" ca="1" si="223"/>
        <v>-8.8156962396264156</v>
      </c>
      <c r="Q1957" s="3">
        <f t="shared" ca="1" si="224"/>
        <v>3.1245721332981309</v>
      </c>
      <c r="R1957" s="3">
        <f t="shared" ca="1" si="225"/>
        <v>9.3530450231754241</v>
      </c>
    </row>
    <row r="1958" spans="7:18" x14ac:dyDescent="0.25">
      <c r="G1958" s="2">
        <f t="shared" ca="1" si="219"/>
        <v>0.63935940619734566</v>
      </c>
      <c r="H1958" s="3">
        <f t="shared" ca="1" si="220"/>
        <v>1</v>
      </c>
      <c r="I1958" s="3">
        <f t="shared" ca="1" si="221"/>
        <v>0.50417782451065773</v>
      </c>
      <c r="J1958" s="3">
        <f t="shared" ca="1" si="222"/>
        <v>3.5502740193915234</v>
      </c>
      <c r="P1958" s="3">
        <f t="shared" ca="1" si="223"/>
        <v>6.9583344518683958</v>
      </c>
      <c r="Q1958" s="3">
        <f t="shared" ca="1" si="224"/>
        <v>0.56002761407946355</v>
      </c>
      <c r="R1958" s="3">
        <f t="shared" ca="1" si="225"/>
        <v>6.98083442523816</v>
      </c>
    </row>
    <row r="1959" spans="7:18" x14ac:dyDescent="0.25">
      <c r="G1959" s="2">
        <f t="shared" ca="1" si="219"/>
        <v>0.58971791931927953</v>
      </c>
      <c r="H1959" s="3">
        <f t="shared" ca="1" si="220"/>
        <v>0</v>
      </c>
      <c r="I1959" s="3">
        <f t="shared" ca="1" si="221"/>
        <v>0.95888310654012765</v>
      </c>
      <c r="J1959" s="3">
        <f t="shared" ca="1" si="222"/>
        <v>4.8961288446591347</v>
      </c>
      <c r="P1959" s="3">
        <f t="shared" ca="1" si="223"/>
        <v>-2.6362791504038294</v>
      </c>
      <c r="Q1959" s="3">
        <f t="shared" ca="1" si="224"/>
        <v>-7.9875515269458992</v>
      </c>
      <c r="R1959" s="3">
        <f t="shared" ca="1" si="225"/>
        <v>8.411358222931046</v>
      </c>
    </row>
    <row r="1960" spans="7:18" x14ac:dyDescent="0.25">
      <c r="G1960" s="2">
        <f t="shared" ca="1" si="219"/>
        <v>0.52030925923970928</v>
      </c>
      <c r="H1960" s="3">
        <f t="shared" ca="1" si="220"/>
        <v>0</v>
      </c>
      <c r="I1960" s="3">
        <f t="shared" ca="1" si="221"/>
        <v>8.8174106583538148</v>
      </c>
      <c r="J1960" s="3">
        <f t="shared" ca="1" si="222"/>
        <v>14.847062553207129</v>
      </c>
      <c r="P1960" s="3">
        <f t="shared" ca="1" si="223"/>
        <v>-0.18168000518828986</v>
      </c>
      <c r="Q1960" s="3">
        <f t="shared" ca="1" si="224"/>
        <v>-3.9695912815851382</v>
      </c>
      <c r="R1960" s="3">
        <f t="shared" ca="1" si="225"/>
        <v>3.9737466661982817</v>
      </c>
    </row>
    <row r="1961" spans="7:18" x14ac:dyDescent="0.25">
      <c r="G1961" s="2">
        <f t="shared" ca="1" si="219"/>
        <v>0.12426444324711028</v>
      </c>
      <c r="H1961" s="3">
        <f t="shared" ca="1" si="220"/>
        <v>0</v>
      </c>
      <c r="I1961" s="3">
        <f t="shared" ca="1" si="221"/>
        <v>1.2426854605898954</v>
      </c>
      <c r="J1961" s="3">
        <f t="shared" ca="1" si="222"/>
        <v>5.5737901391017033</v>
      </c>
      <c r="P1961" s="3">
        <f t="shared" ca="1" si="223"/>
        <v>-1.741286160500739</v>
      </c>
      <c r="Q1961" s="3">
        <f t="shared" ca="1" si="224"/>
        <v>0.23464917186574655</v>
      </c>
      <c r="R1961" s="3">
        <f t="shared" ca="1" si="225"/>
        <v>1.7570252492803529</v>
      </c>
    </row>
    <row r="1962" spans="7:18" x14ac:dyDescent="0.25">
      <c r="G1962" s="2">
        <f t="shared" ca="1" si="219"/>
        <v>0.52878003209550362</v>
      </c>
      <c r="H1962" s="3">
        <f t="shared" ca="1" si="220"/>
        <v>0</v>
      </c>
      <c r="I1962" s="3">
        <f t="shared" ca="1" si="221"/>
        <v>3.6395336366696371</v>
      </c>
      <c r="J1962" s="3">
        <f t="shared" ca="1" si="222"/>
        <v>9.5387808925848034</v>
      </c>
      <c r="P1962" s="3">
        <f t="shared" ca="1" si="223"/>
        <v>-14.191411298913955</v>
      </c>
      <c r="Q1962" s="3">
        <f t="shared" ca="1" si="224"/>
        <v>6.5917001607194869</v>
      </c>
      <c r="R1962" s="3">
        <f t="shared" ca="1" si="225"/>
        <v>15.647576990185158</v>
      </c>
    </row>
    <row r="1963" spans="7:18" x14ac:dyDescent="0.25">
      <c r="G1963" s="2">
        <f t="shared" ca="1" si="219"/>
        <v>0.87124925081561988</v>
      </c>
      <c r="H1963" s="3">
        <f t="shared" ca="1" si="220"/>
        <v>1</v>
      </c>
      <c r="I1963" s="3">
        <f t="shared" ca="1" si="221"/>
        <v>3.4139405893689405</v>
      </c>
      <c r="J1963" s="3">
        <f t="shared" ca="1" si="222"/>
        <v>9.2384259879171786</v>
      </c>
      <c r="P1963" s="3">
        <f t="shared" ca="1" si="223"/>
        <v>0.45870927355329627</v>
      </c>
      <c r="Q1963" s="3">
        <f t="shared" ca="1" si="224"/>
        <v>-5.5133330640981191</v>
      </c>
      <c r="R1963" s="3">
        <f t="shared" ca="1" si="225"/>
        <v>5.5323824590605941</v>
      </c>
    </row>
    <row r="1964" spans="7:18" x14ac:dyDescent="0.25">
      <c r="G1964" s="2">
        <f t="shared" ca="1" si="219"/>
        <v>0.61293595761127861</v>
      </c>
      <c r="H1964" s="3">
        <f t="shared" ca="1" si="220"/>
        <v>1</v>
      </c>
      <c r="I1964" s="3">
        <f t="shared" ca="1" si="221"/>
        <v>7.3076638041532309</v>
      </c>
      <c r="J1964" s="3">
        <f t="shared" ca="1" si="222"/>
        <v>13.51634547885747</v>
      </c>
      <c r="P1964" s="3">
        <f t="shared" ca="1" si="223"/>
        <v>-2.5772623489956139</v>
      </c>
      <c r="Q1964" s="3">
        <f t="shared" ca="1" si="224"/>
        <v>-8.7369937351547282</v>
      </c>
      <c r="R1964" s="3">
        <f t="shared" ca="1" si="225"/>
        <v>9.1091899060060957</v>
      </c>
    </row>
    <row r="1965" spans="7:18" x14ac:dyDescent="0.25">
      <c r="G1965" s="2">
        <f t="shared" ca="1" si="219"/>
        <v>0.82506524408667192</v>
      </c>
      <c r="H1965" s="3">
        <f t="shared" ca="1" si="220"/>
        <v>1</v>
      </c>
      <c r="I1965" s="3">
        <f t="shared" ca="1" si="221"/>
        <v>4.5939814275059039</v>
      </c>
      <c r="J1965" s="3">
        <f t="shared" ca="1" si="222"/>
        <v>10.716787563801365</v>
      </c>
      <c r="P1965" s="3">
        <f t="shared" ca="1" si="223"/>
        <v>1.0413127105605016</v>
      </c>
      <c r="Q1965" s="3">
        <f t="shared" ca="1" si="224"/>
        <v>6.1267435735138385</v>
      </c>
      <c r="R1965" s="3">
        <f t="shared" ca="1" si="225"/>
        <v>6.214605295331955</v>
      </c>
    </row>
    <row r="1966" spans="7:18" x14ac:dyDescent="0.25">
      <c r="G1966" s="2">
        <f t="shared" ca="1" si="219"/>
        <v>0.25896487527473422</v>
      </c>
      <c r="H1966" s="3">
        <f t="shared" ca="1" si="220"/>
        <v>0</v>
      </c>
      <c r="I1966" s="3">
        <f t="shared" ca="1" si="221"/>
        <v>3.4060532438553444</v>
      </c>
      <c r="J1966" s="3">
        <f t="shared" ca="1" si="222"/>
        <v>9.2277478886445312</v>
      </c>
      <c r="P1966" s="3">
        <f t="shared" ca="1" si="223"/>
        <v>-4.1661341746205593</v>
      </c>
      <c r="Q1966" s="3">
        <f t="shared" ca="1" si="224"/>
        <v>-3.1296383572259248</v>
      </c>
      <c r="R1966" s="3">
        <f t="shared" ca="1" si="225"/>
        <v>5.2106919125929059</v>
      </c>
    </row>
    <row r="1967" spans="7:18" x14ac:dyDescent="0.25">
      <c r="G1967" s="2">
        <f t="shared" ca="1" si="219"/>
        <v>0.93348829038279935</v>
      </c>
      <c r="H1967" s="3">
        <f t="shared" ca="1" si="220"/>
        <v>2</v>
      </c>
      <c r="I1967" s="3">
        <f t="shared" ca="1" si="221"/>
        <v>8.6186017485940578</v>
      </c>
      <c r="J1967" s="3">
        <f t="shared" ca="1" si="222"/>
        <v>14.678727591819785</v>
      </c>
      <c r="P1967" s="3">
        <f t="shared" ca="1" si="223"/>
        <v>0.51527766361698735</v>
      </c>
      <c r="Q1967" s="3">
        <f t="shared" ca="1" si="224"/>
        <v>-9.2256593728415943</v>
      </c>
      <c r="R1967" s="3">
        <f t="shared" ca="1" si="225"/>
        <v>9.2400379833809421</v>
      </c>
    </row>
    <row r="1968" spans="7:18" x14ac:dyDescent="0.25">
      <c r="G1968" s="2">
        <f t="shared" ca="1" si="219"/>
        <v>0.4935352609880671</v>
      </c>
      <c r="H1968" s="3">
        <f t="shared" ca="1" si="220"/>
        <v>0</v>
      </c>
      <c r="I1968" s="3">
        <f t="shared" ca="1" si="221"/>
        <v>0.4155142230964281</v>
      </c>
      <c r="J1968" s="3">
        <f t="shared" ca="1" si="222"/>
        <v>3.2230196365226664</v>
      </c>
      <c r="P1968" s="3">
        <f t="shared" ca="1" si="223"/>
        <v>-5.4202748072614808</v>
      </c>
      <c r="Q1968" s="3">
        <f t="shared" ca="1" si="224"/>
        <v>-6.4132730154738349</v>
      </c>
      <c r="R1968" s="3">
        <f t="shared" ca="1" si="225"/>
        <v>8.3969905178723607</v>
      </c>
    </row>
    <row r="1969" spans="7:18" x14ac:dyDescent="0.25">
      <c r="G1969" s="2">
        <f t="shared" ca="1" si="219"/>
        <v>0.87428196275031911</v>
      </c>
      <c r="H1969" s="3">
        <f t="shared" ca="1" si="220"/>
        <v>1</v>
      </c>
      <c r="I1969" s="3">
        <f t="shared" ca="1" si="221"/>
        <v>3.731658841910813</v>
      </c>
      <c r="J1969" s="3">
        <f t="shared" ca="1" si="222"/>
        <v>9.6587510086848347</v>
      </c>
      <c r="P1969" s="3">
        <f t="shared" ca="1" si="223"/>
        <v>-8.4029240505521319</v>
      </c>
      <c r="Q1969" s="3">
        <f t="shared" ca="1" si="224"/>
        <v>3.1152351972673391</v>
      </c>
      <c r="R1969" s="3">
        <f t="shared" ca="1" si="225"/>
        <v>8.9617979743821898</v>
      </c>
    </row>
    <row r="1970" spans="7:18" x14ac:dyDescent="0.25">
      <c r="G1970" s="2">
        <f t="shared" ca="1" si="219"/>
        <v>0.20861994388830662</v>
      </c>
      <c r="H1970" s="3">
        <f t="shared" ca="1" si="220"/>
        <v>0</v>
      </c>
      <c r="I1970" s="3">
        <f t="shared" ca="1" si="221"/>
        <v>3.7600175874879262</v>
      </c>
      <c r="J1970" s="3">
        <f t="shared" ca="1" si="222"/>
        <v>9.6953823899420364</v>
      </c>
      <c r="P1970" s="3">
        <f t="shared" ca="1" si="223"/>
        <v>-6.8435487309672922</v>
      </c>
      <c r="Q1970" s="3">
        <f t="shared" ca="1" si="224"/>
        <v>5.5530689258393506</v>
      </c>
      <c r="R1970" s="3">
        <f t="shared" ca="1" si="225"/>
        <v>8.8131001201760224</v>
      </c>
    </row>
    <row r="1971" spans="7:18" x14ac:dyDescent="0.25">
      <c r="G1971" s="2">
        <f t="shared" ca="1" si="219"/>
        <v>0.78365321633224838</v>
      </c>
      <c r="H1971" s="3">
        <f t="shared" ca="1" si="220"/>
        <v>1</v>
      </c>
      <c r="I1971" s="3">
        <f t="shared" ca="1" si="221"/>
        <v>3.9374636380408372</v>
      </c>
      <c r="J1971" s="3">
        <f t="shared" ca="1" si="222"/>
        <v>9.921521604624008</v>
      </c>
      <c r="P1971" s="3">
        <f t="shared" ca="1" si="223"/>
        <v>-6.6527526739065905</v>
      </c>
      <c r="Q1971" s="3">
        <f t="shared" ca="1" si="224"/>
        <v>13.63355737543664</v>
      </c>
      <c r="R1971" s="3">
        <f t="shared" ca="1" si="225"/>
        <v>15.170135294370123</v>
      </c>
    </row>
    <row r="1972" spans="7:18" x14ac:dyDescent="0.25">
      <c r="G1972" s="2">
        <f t="shared" ca="1" si="219"/>
        <v>0.41768776422409626</v>
      </c>
      <c r="H1972" s="3">
        <f t="shared" ca="1" si="220"/>
        <v>0</v>
      </c>
      <c r="I1972" s="3">
        <f t="shared" ca="1" si="221"/>
        <v>0.69565514531375405</v>
      </c>
      <c r="J1972" s="3">
        <f t="shared" ca="1" si="222"/>
        <v>4.1702971875927322</v>
      </c>
      <c r="P1972" s="3">
        <f t="shared" ca="1" si="223"/>
        <v>-5.9527237893563161</v>
      </c>
      <c r="Q1972" s="3">
        <f t="shared" ca="1" si="224"/>
        <v>1.2474407312557265</v>
      </c>
      <c r="R1972" s="3">
        <f t="shared" ca="1" si="225"/>
        <v>6.0820250649240535</v>
      </c>
    </row>
    <row r="1973" spans="7:18" x14ac:dyDescent="0.25">
      <c r="G1973" s="2">
        <f t="shared" ca="1" si="219"/>
        <v>6.7433531011770187E-2</v>
      </c>
      <c r="H1973" s="3">
        <f t="shared" ca="1" si="220"/>
        <v>0</v>
      </c>
      <c r="I1973" s="3">
        <f t="shared" ca="1" si="221"/>
        <v>1.8891731247831152</v>
      </c>
      <c r="J1973" s="3">
        <f t="shared" ca="1" si="222"/>
        <v>6.8723597198908237</v>
      </c>
      <c r="P1973" s="3">
        <f t="shared" ca="1" si="223"/>
        <v>5.5265788481187208</v>
      </c>
      <c r="Q1973" s="3">
        <f t="shared" ca="1" si="224"/>
        <v>3.1608185378984821</v>
      </c>
      <c r="R1973" s="3">
        <f t="shared" ca="1" si="225"/>
        <v>6.3666197934222479</v>
      </c>
    </row>
    <row r="1974" spans="7:18" x14ac:dyDescent="0.25">
      <c r="G1974" s="2">
        <f t="shared" ca="1" si="219"/>
        <v>0.57156680196067366</v>
      </c>
      <c r="H1974" s="3">
        <f t="shared" ca="1" si="220"/>
        <v>0</v>
      </c>
      <c r="I1974" s="3">
        <f t="shared" ca="1" si="221"/>
        <v>3.937188375204101</v>
      </c>
      <c r="J1974" s="3">
        <f t="shared" ca="1" si="222"/>
        <v>9.9211747983846408</v>
      </c>
      <c r="P1974" s="3">
        <f t="shared" ca="1" si="223"/>
        <v>0.24213992830203512</v>
      </c>
      <c r="Q1974" s="3">
        <f t="shared" ca="1" si="224"/>
        <v>-3.93344576897326</v>
      </c>
      <c r="R1974" s="3">
        <f t="shared" ca="1" si="225"/>
        <v>3.9408916963463683</v>
      </c>
    </row>
    <row r="1975" spans="7:18" x14ac:dyDescent="0.25">
      <c r="G1975" s="2">
        <f t="shared" ca="1" si="219"/>
        <v>0.77597849342598324</v>
      </c>
      <c r="H1975" s="3">
        <f t="shared" ca="1" si="220"/>
        <v>1</v>
      </c>
      <c r="I1975" s="3">
        <f t="shared" ca="1" si="221"/>
        <v>1.9217796975282282</v>
      </c>
      <c r="J1975" s="3">
        <f t="shared" ca="1" si="222"/>
        <v>6.9314134516854287</v>
      </c>
      <c r="P1975" s="3">
        <f t="shared" ca="1" si="223"/>
        <v>-3.5968691635428196</v>
      </c>
      <c r="Q1975" s="3">
        <f t="shared" ca="1" si="224"/>
        <v>-5.8792316574494654</v>
      </c>
      <c r="R1975" s="3">
        <f t="shared" ca="1" si="225"/>
        <v>6.8922298758530403</v>
      </c>
    </row>
    <row r="1976" spans="7:18" x14ac:dyDescent="0.25">
      <c r="G1976" s="2">
        <f t="shared" ca="1" si="219"/>
        <v>0.94158262246977953</v>
      </c>
      <c r="H1976" s="3">
        <f t="shared" ca="1" si="220"/>
        <v>2</v>
      </c>
      <c r="I1976" s="3">
        <f t="shared" ca="1" si="221"/>
        <v>7.6308101598989326</v>
      </c>
      <c r="J1976" s="3">
        <f t="shared" ca="1" si="222"/>
        <v>13.811960541410235</v>
      </c>
      <c r="P1976" s="3">
        <f t="shared" ca="1" si="223"/>
        <v>-10.577788508587368</v>
      </c>
      <c r="Q1976" s="3">
        <f t="shared" ca="1" si="224"/>
        <v>-6.304871683390151</v>
      </c>
      <c r="R1976" s="3">
        <f t="shared" ca="1" si="225"/>
        <v>12.314260703607745</v>
      </c>
    </row>
    <row r="1977" spans="7:18" x14ac:dyDescent="0.25">
      <c r="G1977" s="2">
        <f t="shared" ca="1" si="219"/>
        <v>0.5779764397501983</v>
      </c>
      <c r="H1977" s="3">
        <f t="shared" ca="1" si="220"/>
        <v>0</v>
      </c>
      <c r="I1977" s="3">
        <f t="shared" ca="1" si="221"/>
        <v>3.5104017043794307</v>
      </c>
      <c r="J1977" s="3">
        <f t="shared" ca="1" si="222"/>
        <v>9.3680330171005348</v>
      </c>
      <c r="P1977" s="3">
        <f t="shared" ca="1" si="223"/>
        <v>-2.6860268611003342</v>
      </c>
      <c r="Q1977" s="3">
        <f t="shared" ca="1" si="224"/>
        <v>4.4611912654007275</v>
      </c>
      <c r="R1977" s="3">
        <f t="shared" ca="1" si="225"/>
        <v>5.2073954915139931</v>
      </c>
    </row>
    <row r="1978" spans="7:18" x14ac:dyDescent="0.25">
      <c r="G1978" s="2">
        <f t="shared" ca="1" si="219"/>
        <v>0.60432081284293604</v>
      </c>
      <c r="H1978" s="3">
        <f t="shared" ca="1" si="220"/>
        <v>0</v>
      </c>
      <c r="I1978" s="3">
        <f t="shared" ca="1" si="221"/>
        <v>0.53704805711096026</v>
      </c>
      <c r="J1978" s="3">
        <f t="shared" ca="1" si="222"/>
        <v>3.6641781381060072</v>
      </c>
      <c r="P1978" s="3">
        <f t="shared" ca="1" si="223"/>
        <v>-7.9330248273302022</v>
      </c>
      <c r="Q1978" s="3">
        <f t="shared" ca="1" si="224"/>
        <v>2.7304388378941429</v>
      </c>
      <c r="R1978" s="3">
        <f t="shared" ca="1" si="225"/>
        <v>8.3897663351560698</v>
      </c>
    </row>
    <row r="1979" spans="7:18" x14ac:dyDescent="0.25">
      <c r="G1979" s="2">
        <f t="shared" ca="1" si="219"/>
        <v>0.2681971199056935</v>
      </c>
      <c r="H1979" s="3">
        <f t="shared" ca="1" si="220"/>
        <v>0</v>
      </c>
      <c r="I1979" s="3">
        <f t="shared" ca="1" si="221"/>
        <v>0.67862691041095269</v>
      </c>
      <c r="J1979" s="3">
        <f t="shared" ca="1" si="222"/>
        <v>4.1189407327945151</v>
      </c>
      <c r="P1979" s="3">
        <f t="shared" ca="1" si="223"/>
        <v>-4.5111321381707432</v>
      </c>
      <c r="Q1979" s="3">
        <f t="shared" ca="1" si="224"/>
        <v>0.2276316996075767</v>
      </c>
      <c r="R1979" s="3">
        <f t="shared" ca="1" si="225"/>
        <v>4.5168716340740938</v>
      </c>
    </row>
    <row r="1980" spans="7:18" x14ac:dyDescent="0.25">
      <c r="G1980" s="2">
        <f t="shared" ca="1" si="219"/>
        <v>0.89028072973596029</v>
      </c>
      <c r="H1980" s="3">
        <f t="shared" ca="1" si="220"/>
        <v>1</v>
      </c>
      <c r="I1980" s="3">
        <f t="shared" ca="1" si="221"/>
        <v>6.7365826577077712</v>
      </c>
      <c r="J1980" s="3">
        <f t="shared" ca="1" si="222"/>
        <v>12.977463790845047</v>
      </c>
      <c r="P1980" s="3">
        <f t="shared" ca="1" si="223"/>
        <v>-4.2518526203155158</v>
      </c>
      <c r="Q1980" s="3">
        <f t="shared" ca="1" si="224"/>
        <v>-5.7358058162501671</v>
      </c>
      <c r="R1980" s="3">
        <f t="shared" ca="1" si="225"/>
        <v>7.1398682807607283</v>
      </c>
    </row>
    <row r="1981" spans="7:18" x14ac:dyDescent="0.25">
      <c r="G1981" s="2">
        <f t="shared" ca="1" si="219"/>
        <v>0.27396830891250734</v>
      </c>
      <c r="H1981" s="3">
        <f t="shared" ca="1" si="220"/>
        <v>0</v>
      </c>
      <c r="I1981" s="3">
        <f t="shared" ca="1" si="221"/>
        <v>1.2992777842810186</v>
      </c>
      <c r="J1981" s="3">
        <f t="shared" ca="1" si="222"/>
        <v>5.6992933427772838</v>
      </c>
      <c r="P1981" s="3">
        <f t="shared" ca="1" si="223"/>
        <v>-10.215706259907122</v>
      </c>
      <c r="Q1981" s="3">
        <f t="shared" ca="1" si="224"/>
        <v>4.0282949156912053</v>
      </c>
      <c r="R1981" s="3">
        <f t="shared" ca="1" si="225"/>
        <v>10.981248304108654</v>
      </c>
    </row>
    <row r="1982" spans="7:18" x14ac:dyDescent="0.25">
      <c r="G1982" s="2">
        <f t="shared" ca="1" si="219"/>
        <v>0.73766528654104746</v>
      </c>
      <c r="H1982" s="3">
        <f t="shared" ca="1" si="220"/>
        <v>1</v>
      </c>
      <c r="I1982" s="3">
        <f t="shared" ca="1" si="221"/>
        <v>1.4843901564556525</v>
      </c>
      <c r="J1982" s="3">
        <f t="shared" ca="1" si="222"/>
        <v>6.0917775658170017</v>
      </c>
      <c r="P1982" s="3">
        <f t="shared" ca="1" si="223"/>
        <v>-7.7772645729541443</v>
      </c>
      <c r="Q1982" s="3">
        <f t="shared" ca="1" si="224"/>
        <v>1.2987210174074979</v>
      </c>
      <c r="R1982" s="3">
        <f t="shared" ca="1" si="225"/>
        <v>7.8849553276339863</v>
      </c>
    </row>
    <row r="1983" spans="7:18" x14ac:dyDescent="0.25">
      <c r="G1983" s="2">
        <f t="shared" ca="1" si="219"/>
        <v>0.90763817585036044</v>
      </c>
      <c r="H1983" s="3">
        <f t="shared" ca="1" si="220"/>
        <v>1</v>
      </c>
      <c r="I1983" s="3">
        <f t="shared" ca="1" si="221"/>
        <v>9.0859963452122958</v>
      </c>
      <c r="J1983" s="3">
        <f t="shared" ca="1" si="222"/>
        <v>15.071493244874823</v>
      </c>
      <c r="P1983" s="3">
        <f t="shared" ca="1" si="223"/>
        <v>-1.9666029904209497</v>
      </c>
      <c r="Q1983" s="3">
        <f t="shared" ca="1" si="224"/>
        <v>2.2915709193082732</v>
      </c>
      <c r="R1983" s="3">
        <f t="shared" ca="1" si="225"/>
        <v>3.0197391609461874</v>
      </c>
    </row>
    <row r="1984" spans="7:18" x14ac:dyDescent="0.25">
      <c r="G1984" s="2">
        <f t="shared" ca="1" si="219"/>
        <v>0.62577187400684731</v>
      </c>
      <c r="H1984" s="3">
        <f t="shared" ca="1" si="220"/>
        <v>1</v>
      </c>
      <c r="I1984" s="3">
        <f t="shared" ca="1" si="221"/>
        <v>4.0655570019504408</v>
      </c>
      <c r="J1984" s="3">
        <f t="shared" ca="1" si="222"/>
        <v>10.081613216582008</v>
      </c>
      <c r="P1984" s="3">
        <f t="shared" ca="1" si="223"/>
        <v>0.33750655706412136</v>
      </c>
      <c r="Q1984" s="3">
        <f t="shared" ca="1" si="224"/>
        <v>6.295856704565403</v>
      </c>
      <c r="R1984" s="3">
        <f t="shared" ca="1" si="225"/>
        <v>6.3048966938786881</v>
      </c>
    </row>
    <row r="1985" spans="7:18" x14ac:dyDescent="0.25">
      <c r="G1985" s="2">
        <f t="shared" ca="1" si="219"/>
        <v>3.7300713521743023E-2</v>
      </c>
      <c r="H1985" s="3">
        <f t="shared" ca="1" si="220"/>
        <v>0</v>
      </c>
      <c r="I1985" s="3">
        <f t="shared" ca="1" si="221"/>
        <v>0.23944665093190223</v>
      </c>
      <c r="J1985" s="3">
        <f t="shared" ca="1" si="222"/>
        <v>2.4466643156137207</v>
      </c>
      <c r="P1985" s="3">
        <f t="shared" ca="1" si="223"/>
        <v>-6.8919169088983407</v>
      </c>
      <c r="Q1985" s="3">
        <f t="shared" ca="1" si="224"/>
        <v>-13.85479946213065</v>
      </c>
      <c r="R1985" s="3">
        <f t="shared" ca="1" si="225"/>
        <v>15.474300850604353</v>
      </c>
    </row>
    <row r="1986" spans="7:18" x14ac:dyDescent="0.25">
      <c r="G1986" s="2">
        <f t="shared" ca="1" si="219"/>
        <v>0.8050955299894903</v>
      </c>
      <c r="H1986" s="3">
        <f t="shared" ca="1" si="220"/>
        <v>1</v>
      </c>
      <c r="I1986" s="3">
        <f t="shared" ca="1" si="221"/>
        <v>1.8573690431184822</v>
      </c>
      <c r="J1986" s="3">
        <f t="shared" ca="1" si="222"/>
        <v>6.8142663638840872</v>
      </c>
      <c r="P1986" s="3">
        <f t="shared" ca="1" si="223"/>
        <v>-0.43528920350496847</v>
      </c>
      <c r="Q1986" s="3">
        <f t="shared" ca="1" si="224"/>
        <v>-0.28524416927252561</v>
      </c>
      <c r="R1986" s="3">
        <f t="shared" ca="1" si="225"/>
        <v>0.52042379537446504</v>
      </c>
    </row>
    <row r="1987" spans="7:18" x14ac:dyDescent="0.25">
      <c r="G1987" s="2">
        <f t="shared" ca="1" si="219"/>
        <v>0.97175130770950313</v>
      </c>
      <c r="H1987" s="3">
        <f t="shared" ca="1" si="220"/>
        <v>2</v>
      </c>
      <c r="I1987" s="3">
        <f t="shared" ca="1" si="221"/>
        <v>5.203229312121965</v>
      </c>
      <c r="J1987" s="3">
        <f t="shared" ca="1" si="222"/>
        <v>11.405294069117602</v>
      </c>
      <c r="P1987" s="3">
        <f t="shared" ca="1" si="223"/>
        <v>-3.5001014860423978</v>
      </c>
      <c r="Q1987" s="3">
        <f t="shared" ca="1" si="224"/>
        <v>0.53528575717995763</v>
      </c>
      <c r="R1987" s="3">
        <f t="shared" ca="1" si="225"/>
        <v>3.5407966976989687</v>
      </c>
    </row>
    <row r="1988" spans="7:18" x14ac:dyDescent="0.25">
      <c r="G1988" s="2">
        <f t="shared" ref="G1988:G2051" ca="1" si="226">RAND()</f>
        <v>0.12643557572525777</v>
      </c>
      <c r="H1988" s="3">
        <f t="shared" ref="H1988:H2051" ca="1" si="227">VLOOKUP(G1988,$B$9:$C$169,2,TRUE)</f>
        <v>0</v>
      </c>
      <c r="I1988" s="3">
        <f t="shared" ref="I1988:I2051" ca="1" si="228">_xlfn.CHISQ.INV(RAND(),2*H1988+2)</f>
        <v>0.23155986316345933</v>
      </c>
      <c r="J1988" s="3">
        <f t="shared" ref="J1988:J2051" ca="1" si="229">$C$4*SQRT(I1988)</f>
        <v>2.4060333703185588</v>
      </c>
      <c r="P1988" s="3">
        <f t="shared" ref="P1988:P2051" ca="1" si="230">_xlfn.NORM.INV(RAND(),$C$3*COS($O$2),$C$4)</f>
        <v>-11.420289975740619</v>
      </c>
      <c r="Q1988" s="3">
        <f t="shared" ref="Q1988:Q2051" ca="1" si="231">_xlfn.NORM.INV(RAND(),$C$3*SIN($O$2),$C$4)</f>
        <v>-1.0600022872859807</v>
      </c>
      <c r="R1988" s="3">
        <f t="shared" ref="R1988:R2051" ca="1" si="232">SQRT(P1988^2+Q1988^2)</f>
        <v>11.469377837487663</v>
      </c>
    </row>
    <row r="1989" spans="7:18" x14ac:dyDescent="0.25">
      <c r="G1989" s="2">
        <f t="shared" ca="1" si="226"/>
        <v>0.30890281542283671</v>
      </c>
      <c r="H1989" s="3">
        <f t="shared" ca="1" si="227"/>
        <v>0</v>
      </c>
      <c r="I1989" s="3">
        <f t="shared" ca="1" si="228"/>
        <v>9.943301641359259E-2</v>
      </c>
      <c r="J1989" s="3">
        <f t="shared" ca="1" si="229"/>
        <v>1.5766500595692801</v>
      </c>
      <c r="P1989" s="3">
        <f t="shared" ca="1" si="230"/>
        <v>-3.2322746417069901</v>
      </c>
      <c r="Q1989" s="3">
        <f t="shared" ca="1" si="231"/>
        <v>-3.0712947733620495</v>
      </c>
      <c r="R1989" s="3">
        <f t="shared" ca="1" si="232"/>
        <v>4.4587499306759844</v>
      </c>
    </row>
    <row r="1990" spans="7:18" x14ac:dyDescent="0.25">
      <c r="G1990" s="2">
        <f t="shared" ca="1" si="226"/>
        <v>0.65901141081810144</v>
      </c>
      <c r="H1990" s="3">
        <f t="shared" ca="1" si="227"/>
        <v>1</v>
      </c>
      <c r="I1990" s="3">
        <f t="shared" ca="1" si="228"/>
        <v>7.550051268655193</v>
      </c>
      <c r="J1990" s="3">
        <f t="shared" ca="1" si="229"/>
        <v>13.738678310389972</v>
      </c>
      <c r="P1990" s="3">
        <f t="shared" ca="1" si="230"/>
        <v>-5.8649781456678349</v>
      </c>
      <c r="Q1990" s="3">
        <f t="shared" ca="1" si="231"/>
        <v>2.2920019506887783</v>
      </c>
      <c r="R1990" s="3">
        <f t="shared" ca="1" si="232"/>
        <v>6.29692318447053</v>
      </c>
    </row>
    <row r="1991" spans="7:18" x14ac:dyDescent="0.25">
      <c r="G1991" s="2">
        <f t="shared" ca="1" si="226"/>
        <v>0.18872222945401429</v>
      </c>
      <c r="H1991" s="3">
        <f t="shared" ca="1" si="227"/>
        <v>0</v>
      </c>
      <c r="I1991" s="3">
        <f t="shared" ca="1" si="228"/>
        <v>3.8733127340460314</v>
      </c>
      <c r="J1991" s="3">
        <f t="shared" ca="1" si="229"/>
        <v>9.8403667792999858</v>
      </c>
      <c r="P1991" s="3">
        <f t="shared" ca="1" si="230"/>
        <v>-10.845564182260059</v>
      </c>
      <c r="Q1991" s="3">
        <f t="shared" ca="1" si="231"/>
        <v>3.0466700534190907</v>
      </c>
      <c r="R1991" s="3">
        <f t="shared" ca="1" si="232"/>
        <v>11.265365544265441</v>
      </c>
    </row>
    <row r="1992" spans="7:18" x14ac:dyDescent="0.25">
      <c r="G1992" s="2">
        <f t="shared" ca="1" si="226"/>
        <v>0.14673776972472918</v>
      </c>
      <c r="H1992" s="3">
        <f t="shared" ca="1" si="227"/>
        <v>0</v>
      </c>
      <c r="I1992" s="3">
        <f t="shared" ca="1" si="228"/>
        <v>0.89891152096925941</v>
      </c>
      <c r="J1992" s="3">
        <f t="shared" ca="1" si="229"/>
        <v>4.7405472283515424</v>
      </c>
      <c r="P1992" s="3">
        <f t="shared" ca="1" si="230"/>
        <v>-11.810354532587235</v>
      </c>
      <c r="Q1992" s="3">
        <f t="shared" ca="1" si="231"/>
        <v>-0.85678930581227841</v>
      </c>
      <c r="R1992" s="3">
        <f t="shared" ca="1" si="232"/>
        <v>11.841391898757433</v>
      </c>
    </row>
    <row r="1993" spans="7:18" x14ac:dyDescent="0.25">
      <c r="G1993" s="2">
        <f t="shared" ca="1" si="226"/>
        <v>0.81363153203087324</v>
      </c>
      <c r="H1993" s="3">
        <f t="shared" ca="1" si="227"/>
        <v>1</v>
      </c>
      <c r="I1993" s="3">
        <f t="shared" ca="1" si="228"/>
        <v>3.0083662791899877</v>
      </c>
      <c r="J1993" s="3">
        <f t="shared" ca="1" si="229"/>
        <v>8.672321314374237</v>
      </c>
      <c r="P1993" s="3">
        <f t="shared" ca="1" si="230"/>
        <v>-0.98795517759091656</v>
      </c>
      <c r="Q1993" s="3">
        <f t="shared" ca="1" si="231"/>
        <v>3.5367966096799801</v>
      </c>
      <c r="R1993" s="3">
        <f t="shared" ca="1" si="232"/>
        <v>3.6721908571277311</v>
      </c>
    </row>
    <row r="1994" spans="7:18" x14ac:dyDescent="0.25">
      <c r="G1994" s="2">
        <f t="shared" ca="1" si="226"/>
        <v>0.1519466094030999</v>
      </c>
      <c r="H1994" s="3">
        <f t="shared" ca="1" si="227"/>
        <v>0</v>
      </c>
      <c r="I1994" s="3">
        <f t="shared" ca="1" si="228"/>
        <v>4.2860809590634465</v>
      </c>
      <c r="J1994" s="3">
        <f t="shared" ca="1" si="229"/>
        <v>10.351426180801667</v>
      </c>
      <c r="P1994" s="3">
        <f t="shared" ca="1" si="230"/>
        <v>-2.8367795037546224</v>
      </c>
      <c r="Q1994" s="3">
        <f t="shared" ca="1" si="231"/>
        <v>-5.8705300738980641</v>
      </c>
      <c r="R1994" s="3">
        <f t="shared" ca="1" si="232"/>
        <v>6.520003167289409</v>
      </c>
    </row>
    <row r="1995" spans="7:18" x14ac:dyDescent="0.25">
      <c r="G1995" s="2">
        <f t="shared" ca="1" si="226"/>
        <v>0.4206636751674816</v>
      </c>
      <c r="H1995" s="3">
        <f t="shared" ca="1" si="227"/>
        <v>0</v>
      </c>
      <c r="I1995" s="3">
        <f t="shared" ca="1" si="228"/>
        <v>5.4214954220859264</v>
      </c>
      <c r="J1995" s="3">
        <f t="shared" ca="1" si="229"/>
        <v>11.642052463038816</v>
      </c>
      <c r="P1995" s="3">
        <f t="shared" ca="1" si="230"/>
        <v>-0.22690610878021644</v>
      </c>
      <c r="Q1995" s="3">
        <f t="shared" ca="1" si="231"/>
        <v>6.7080618079209531</v>
      </c>
      <c r="R1995" s="3">
        <f t="shared" ca="1" si="232"/>
        <v>6.7118983604558187</v>
      </c>
    </row>
    <row r="1996" spans="7:18" x14ac:dyDescent="0.25">
      <c r="G1996" s="2">
        <f t="shared" ca="1" si="226"/>
        <v>0.19085575919205877</v>
      </c>
      <c r="H1996" s="3">
        <f t="shared" ca="1" si="227"/>
        <v>0</v>
      </c>
      <c r="I1996" s="3">
        <f t="shared" ca="1" si="228"/>
        <v>1.453950476474509</v>
      </c>
      <c r="J1996" s="3">
        <f t="shared" ca="1" si="229"/>
        <v>6.0289934410200452</v>
      </c>
      <c r="P1996" s="3">
        <f t="shared" ca="1" si="230"/>
        <v>4.7007024407702094</v>
      </c>
      <c r="Q1996" s="3">
        <f t="shared" ca="1" si="231"/>
        <v>1.0517425760989432</v>
      </c>
      <c r="R1996" s="3">
        <f t="shared" ca="1" si="232"/>
        <v>4.8169249405655306</v>
      </c>
    </row>
    <row r="1997" spans="7:18" x14ac:dyDescent="0.25">
      <c r="G1997" s="2">
        <f t="shared" ca="1" si="226"/>
        <v>0.39961592465354312</v>
      </c>
      <c r="H1997" s="3">
        <f t="shared" ca="1" si="227"/>
        <v>0</v>
      </c>
      <c r="I1997" s="3">
        <f t="shared" ca="1" si="228"/>
        <v>0.18511605596061928</v>
      </c>
      <c r="J1997" s="3">
        <f t="shared" ca="1" si="229"/>
        <v>2.1512557725699382</v>
      </c>
      <c r="P1997" s="3">
        <f t="shared" ca="1" si="230"/>
        <v>-3.0764664370075652</v>
      </c>
      <c r="Q1997" s="3">
        <f t="shared" ca="1" si="231"/>
        <v>-7.6260867886806274</v>
      </c>
      <c r="R1997" s="3">
        <f t="shared" ca="1" si="232"/>
        <v>8.2232502969642862</v>
      </c>
    </row>
    <row r="1998" spans="7:18" x14ac:dyDescent="0.25">
      <c r="G1998" s="2">
        <f t="shared" ca="1" si="226"/>
        <v>0.13568341155172214</v>
      </c>
      <c r="H1998" s="3">
        <f t="shared" ca="1" si="227"/>
        <v>0</v>
      </c>
      <c r="I1998" s="3">
        <f t="shared" ca="1" si="228"/>
        <v>7.5618350996434289</v>
      </c>
      <c r="J1998" s="3">
        <f t="shared" ca="1" si="229"/>
        <v>13.749395531843779</v>
      </c>
      <c r="P1998" s="3">
        <f t="shared" ca="1" si="230"/>
        <v>-7.1929886545854052</v>
      </c>
      <c r="Q1998" s="3">
        <f t="shared" ca="1" si="231"/>
        <v>-6.2762200462220017</v>
      </c>
      <c r="R1998" s="3">
        <f t="shared" ca="1" si="232"/>
        <v>9.5462046832022853</v>
      </c>
    </row>
    <row r="1999" spans="7:18" x14ac:dyDescent="0.25">
      <c r="G1999" s="2">
        <f t="shared" ca="1" si="226"/>
        <v>3.1336770942151593E-2</v>
      </c>
      <c r="H1999" s="3">
        <f t="shared" ca="1" si="227"/>
        <v>0</v>
      </c>
      <c r="I1999" s="3">
        <f t="shared" ca="1" si="228"/>
        <v>1.9600453638184347</v>
      </c>
      <c r="J1999" s="3">
        <f t="shared" ca="1" si="229"/>
        <v>7.0000810063499177</v>
      </c>
      <c r="P1999" s="3">
        <f t="shared" ca="1" si="230"/>
        <v>-7.9079460482020005</v>
      </c>
      <c r="Q1999" s="3">
        <f t="shared" ca="1" si="231"/>
        <v>-9.0601119362759146</v>
      </c>
      <c r="R1999" s="3">
        <f t="shared" ca="1" si="232"/>
        <v>12.025857100395088</v>
      </c>
    </row>
    <row r="2000" spans="7:18" x14ac:dyDescent="0.25">
      <c r="G2000" s="2">
        <f t="shared" ca="1" si="226"/>
        <v>0.10094716005390403</v>
      </c>
      <c r="H2000" s="3">
        <f t="shared" ca="1" si="227"/>
        <v>0</v>
      </c>
      <c r="I2000" s="3">
        <f t="shared" ca="1" si="228"/>
        <v>4.2167527582559057</v>
      </c>
      <c r="J2000" s="3">
        <f t="shared" ca="1" si="229"/>
        <v>10.267366700201062</v>
      </c>
      <c r="P2000" s="3">
        <f t="shared" ca="1" si="230"/>
        <v>-8.279105360489476</v>
      </c>
      <c r="Q2000" s="3">
        <f t="shared" ca="1" si="231"/>
        <v>-8.5593049350280044</v>
      </c>
      <c r="R2000" s="3">
        <f t="shared" ca="1" si="232"/>
        <v>11.908202489917626</v>
      </c>
    </row>
    <row r="2001" spans="7:18" x14ac:dyDescent="0.25">
      <c r="G2001" s="2">
        <f t="shared" ca="1" si="226"/>
        <v>0.16104303382811636</v>
      </c>
      <c r="H2001" s="3">
        <f t="shared" ca="1" si="227"/>
        <v>0</v>
      </c>
      <c r="I2001" s="3">
        <f t="shared" ca="1" si="228"/>
        <v>0.17254116145915252</v>
      </c>
      <c r="J2001" s="3">
        <f t="shared" ca="1" si="229"/>
        <v>2.0769037138198807</v>
      </c>
      <c r="P2001" s="3">
        <f t="shared" ca="1" si="230"/>
        <v>-5.1531708369514737</v>
      </c>
      <c r="Q2001" s="3">
        <f t="shared" ca="1" si="231"/>
        <v>-7.9963664634192826</v>
      </c>
      <c r="R2001" s="3">
        <f t="shared" ca="1" si="232"/>
        <v>9.5129935505130963</v>
      </c>
    </row>
    <row r="2002" spans="7:18" x14ac:dyDescent="0.25">
      <c r="G2002" s="2">
        <f t="shared" ca="1" si="226"/>
        <v>0.31550951548556505</v>
      </c>
      <c r="H2002" s="3">
        <f t="shared" ca="1" si="227"/>
        <v>0</v>
      </c>
      <c r="I2002" s="3">
        <f t="shared" ca="1" si="228"/>
        <v>0.51224439188644488</v>
      </c>
      <c r="J2002" s="3">
        <f t="shared" ca="1" si="229"/>
        <v>3.5785625322412802</v>
      </c>
      <c r="P2002" s="3">
        <f t="shared" ca="1" si="230"/>
        <v>-2.3995564640881097</v>
      </c>
      <c r="Q2002" s="3">
        <f t="shared" ca="1" si="231"/>
        <v>0.89326314965272613</v>
      </c>
      <c r="R2002" s="3">
        <f t="shared" ca="1" si="232"/>
        <v>2.5604277531058246</v>
      </c>
    </row>
    <row r="2003" spans="7:18" x14ac:dyDescent="0.25">
      <c r="G2003" s="2">
        <f t="shared" ca="1" si="226"/>
        <v>0.93009380441799328</v>
      </c>
      <c r="H2003" s="3">
        <f t="shared" ca="1" si="227"/>
        <v>2</v>
      </c>
      <c r="I2003" s="3">
        <f t="shared" ca="1" si="228"/>
        <v>2.4508521928659706</v>
      </c>
      <c r="J2003" s="3">
        <f t="shared" ca="1" si="229"/>
        <v>7.8275989180366965</v>
      </c>
      <c r="P2003" s="3">
        <f t="shared" ca="1" si="230"/>
        <v>-6.5475187381148174</v>
      </c>
      <c r="Q2003" s="3">
        <f t="shared" ca="1" si="231"/>
        <v>3.5274015023955707</v>
      </c>
      <c r="R2003" s="3">
        <f t="shared" ca="1" si="232"/>
        <v>7.437241624760297</v>
      </c>
    </row>
    <row r="2004" spans="7:18" x14ac:dyDescent="0.25">
      <c r="G2004" s="2">
        <f t="shared" ca="1" si="226"/>
        <v>0.66715531631723324</v>
      </c>
      <c r="H2004" s="3">
        <f t="shared" ca="1" si="227"/>
        <v>1</v>
      </c>
      <c r="I2004" s="3">
        <f t="shared" ca="1" si="228"/>
        <v>4.8335051598687429</v>
      </c>
      <c r="J2004" s="3">
        <f t="shared" ca="1" si="229"/>
        <v>10.992617022198061</v>
      </c>
      <c r="P2004" s="3">
        <f t="shared" ca="1" si="230"/>
        <v>0.54666685173726393</v>
      </c>
      <c r="Q2004" s="3">
        <f t="shared" ca="1" si="231"/>
        <v>-4.1925892514613787</v>
      </c>
      <c r="R2004" s="3">
        <f t="shared" ca="1" si="232"/>
        <v>4.228078674558672</v>
      </c>
    </row>
    <row r="2005" spans="7:18" x14ac:dyDescent="0.25">
      <c r="G2005" s="2">
        <f t="shared" ca="1" si="226"/>
        <v>0.96239784590743482</v>
      </c>
      <c r="H2005" s="3">
        <f t="shared" ca="1" si="227"/>
        <v>2</v>
      </c>
      <c r="I2005" s="3">
        <f t="shared" ca="1" si="228"/>
        <v>3.3263922693333017</v>
      </c>
      <c r="J2005" s="3">
        <f t="shared" ca="1" si="229"/>
        <v>9.1191998954586211</v>
      </c>
      <c r="P2005" s="3">
        <f t="shared" ca="1" si="230"/>
        <v>-3.8801046188096633</v>
      </c>
      <c r="Q2005" s="3">
        <f t="shared" ca="1" si="231"/>
        <v>-1.9038725563744474</v>
      </c>
      <c r="R2005" s="3">
        <f t="shared" ca="1" si="232"/>
        <v>4.3220299124166015</v>
      </c>
    </row>
    <row r="2006" spans="7:18" x14ac:dyDescent="0.25">
      <c r="G2006" s="2">
        <f t="shared" ca="1" si="226"/>
        <v>0.56873198660584023</v>
      </c>
      <c r="H2006" s="3">
        <f t="shared" ca="1" si="227"/>
        <v>0</v>
      </c>
      <c r="I2006" s="3">
        <f t="shared" ca="1" si="228"/>
        <v>5.5827911440416456</v>
      </c>
      <c r="J2006" s="3">
        <f t="shared" ca="1" si="229"/>
        <v>11.813965405444574</v>
      </c>
      <c r="P2006" s="3">
        <f t="shared" ca="1" si="230"/>
        <v>-8.1508985289434808</v>
      </c>
      <c r="Q2006" s="3">
        <f t="shared" ca="1" si="231"/>
        <v>3.0820987504975048</v>
      </c>
      <c r="R2006" s="3">
        <f t="shared" ca="1" si="232"/>
        <v>8.714153977119711</v>
      </c>
    </row>
    <row r="2007" spans="7:18" x14ac:dyDescent="0.25">
      <c r="G2007" s="2">
        <f t="shared" ca="1" si="226"/>
        <v>0.24320577068705096</v>
      </c>
      <c r="H2007" s="3">
        <f t="shared" ca="1" si="227"/>
        <v>0</v>
      </c>
      <c r="I2007" s="3">
        <f t="shared" ca="1" si="228"/>
        <v>5.4304318049263074</v>
      </c>
      <c r="J2007" s="3">
        <f t="shared" ca="1" si="229"/>
        <v>11.65164345159762</v>
      </c>
      <c r="P2007" s="3">
        <f t="shared" ca="1" si="230"/>
        <v>-8.7638020687284914</v>
      </c>
      <c r="Q2007" s="3">
        <f t="shared" ca="1" si="231"/>
        <v>0.92951703215774728</v>
      </c>
      <c r="R2007" s="3">
        <f t="shared" ca="1" si="232"/>
        <v>8.8129579945056555</v>
      </c>
    </row>
    <row r="2008" spans="7:18" x14ac:dyDescent="0.25">
      <c r="G2008" s="2">
        <f t="shared" ca="1" si="226"/>
        <v>0.86801032854011861</v>
      </c>
      <c r="H2008" s="3">
        <f t="shared" ca="1" si="227"/>
        <v>1</v>
      </c>
      <c r="I2008" s="3">
        <f t="shared" ca="1" si="228"/>
        <v>1.7127603593299183</v>
      </c>
      <c r="J2008" s="3">
        <f t="shared" ca="1" si="229"/>
        <v>6.5436235361799326</v>
      </c>
      <c r="P2008" s="3">
        <f t="shared" ca="1" si="230"/>
        <v>-4.8126764299105247</v>
      </c>
      <c r="Q2008" s="3">
        <f t="shared" ca="1" si="231"/>
        <v>6.5912710000469819</v>
      </c>
      <c r="R2008" s="3">
        <f t="shared" ca="1" si="232"/>
        <v>8.1612932685375696</v>
      </c>
    </row>
    <row r="2009" spans="7:18" x14ac:dyDescent="0.25">
      <c r="G2009" s="2">
        <f t="shared" ca="1" si="226"/>
        <v>0.7545005104120196</v>
      </c>
      <c r="H2009" s="3">
        <f t="shared" ca="1" si="227"/>
        <v>1</v>
      </c>
      <c r="I2009" s="3">
        <f t="shared" ca="1" si="228"/>
        <v>2.9219734786133627</v>
      </c>
      <c r="J2009" s="3">
        <f t="shared" ca="1" si="229"/>
        <v>8.5468904851609082</v>
      </c>
      <c r="P2009" s="3">
        <f t="shared" ca="1" si="230"/>
        <v>-11.809242762955419</v>
      </c>
      <c r="Q2009" s="3">
        <f t="shared" ca="1" si="231"/>
        <v>-9.0784744376464435</v>
      </c>
      <c r="R2009" s="3">
        <f t="shared" ca="1" si="232"/>
        <v>14.895533315373935</v>
      </c>
    </row>
    <row r="2010" spans="7:18" x14ac:dyDescent="0.25">
      <c r="G2010" s="2">
        <f t="shared" ca="1" si="226"/>
        <v>0.63550238027432526</v>
      </c>
      <c r="H2010" s="3">
        <f t="shared" ca="1" si="227"/>
        <v>1</v>
      </c>
      <c r="I2010" s="3">
        <f t="shared" ca="1" si="228"/>
        <v>4.2847460312286687</v>
      </c>
      <c r="J2010" s="3">
        <f t="shared" ca="1" si="229"/>
        <v>10.349814045707134</v>
      </c>
      <c r="P2010" s="3">
        <f t="shared" ca="1" si="230"/>
        <v>-5.3638070759439813</v>
      </c>
      <c r="Q2010" s="3">
        <f t="shared" ca="1" si="231"/>
        <v>3.356550213163056</v>
      </c>
      <c r="R2010" s="3">
        <f t="shared" ca="1" si="232"/>
        <v>6.3274683469324193</v>
      </c>
    </row>
    <row r="2011" spans="7:18" x14ac:dyDescent="0.25">
      <c r="G2011" s="2">
        <f t="shared" ca="1" si="226"/>
        <v>0.8624706954468857</v>
      </c>
      <c r="H2011" s="3">
        <f t="shared" ca="1" si="227"/>
        <v>1</v>
      </c>
      <c r="I2011" s="3">
        <f t="shared" ca="1" si="228"/>
        <v>4.9741927296134909</v>
      </c>
      <c r="J2011" s="3">
        <f t="shared" ca="1" si="229"/>
        <v>11.151449154273056</v>
      </c>
      <c r="P2011" s="3">
        <f t="shared" ca="1" si="230"/>
        <v>-1.4031197363091858</v>
      </c>
      <c r="Q2011" s="3">
        <f t="shared" ca="1" si="231"/>
        <v>-4.4636070061113777</v>
      </c>
      <c r="R2011" s="3">
        <f t="shared" ca="1" si="232"/>
        <v>4.6789456610893589</v>
      </c>
    </row>
    <row r="2012" spans="7:18" x14ac:dyDescent="0.25">
      <c r="G2012" s="2">
        <f t="shared" ca="1" si="226"/>
        <v>0.42610879011007652</v>
      </c>
      <c r="H2012" s="3">
        <f t="shared" ca="1" si="227"/>
        <v>0</v>
      </c>
      <c r="I2012" s="3">
        <f t="shared" ca="1" si="228"/>
        <v>3.2977840941164458</v>
      </c>
      <c r="J2012" s="3">
        <f t="shared" ca="1" si="229"/>
        <v>9.0799010100832671</v>
      </c>
      <c r="P2012" s="3">
        <f t="shared" ca="1" si="230"/>
        <v>-4.933176901260298</v>
      </c>
      <c r="Q2012" s="3">
        <f t="shared" ca="1" si="231"/>
        <v>-7.3936418970639899</v>
      </c>
      <c r="R2012" s="3">
        <f t="shared" ca="1" si="232"/>
        <v>8.8883167608466866</v>
      </c>
    </row>
    <row r="2013" spans="7:18" x14ac:dyDescent="0.25">
      <c r="G2013" s="2">
        <f t="shared" ca="1" si="226"/>
        <v>0.44025395978996285</v>
      </c>
      <c r="H2013" s="3">
        <f t="shared" ca="1" si="227"/>
        <v>0</v>
      </c>
      <c r="I2013" s="3">
        <f t="shared" ca="1" si="228"/>
        <v>0.3720514881941443</v>
      </c>
      <c r="J2013" s="3">
        <f t="shared" ca="1" si="229"/>
        <v>3.049801174642965</v>
      </c>
      <c r="P2013" s="3">
        <f t="shared" ca="1" si="230"/>
        <v>-11.425437171349753</v>
      </c>
      <c r="Q2013" s="3">
        <f t="shared" ca="1" si="231"/>
        <v>-4.3270701600967465</v>
      </c>
      <c r="R2013" s="3">
        <f t="shared" ca="1" si="232"/>
        <v>12.217370859839702</v>
      </c>
    </row>
    <row r="2014" spans="7:18" x14ac:dyDescent="0.25">
      <c r="G2014" s="2">
        <f t="shared" ca="1" si="226"/>
        <v>0.28702710330087899</v>
      </c>
      <c r="H2014" s="3">
        <f t="shared" ca="1" si="227"/>
        <v>0</v>
      </c>
      <c r="I2014" s="3">
        <f t="shared" ca="1" si="228"/>
        <v>1.4129206346293406</v>
      </c>
      <c r="J2014" s="3">
        <f t="shared" ca="1" si="229"/>
        <v>5.9433169077320382</v>
      </c>
      <c r="P2014" s="3">
        <f t="shared" ca="1" si="230"/>
        <v>-6.6179965102832838</v>
      </c>
      <c r="Q2014" s="3">
        <f t="shared" ca="1" si="231"/>
        <v>-0.82855682888666238</v>
      </c>
      <c r="R2014" s="3">
        <f t="shared" ca="1" si="232"/>
        <v>6.6696614778275247</v>
      </c>
    </row>
    <row r="2015" spans="7:18" x14ac:dyDescent="0.25">
      <c r="G2015" s="2">
        <f t="shared" ca="1" si="226"/>
        <v>0.93378153838889155</v>
      </c>
      <c r="H2015" s="3">
        <f t="shared" ca="1" si="227"/>
        <v>2</v>
      </c>
      <c r="I2015" s="3">
        <f t="shared" ca="1" si="228"/>
        <v>4.2159275034126154</v>
      </c>
      <c r="J2015" s="3">
        <f t="shared" ca="1" si="229"/>
        <v>10.266361944979117</v>
      </c>
      <c r="P2015" s="3">
        <f t="shared" ca="1" si="230"/>
        <v>-4.4991260557919643</v>
      </c>
      <c r="Q2015" s="3">
        <f t="shared" ca="1" si="231"/>
        <v>2.5613841952268932</v>
      </c>
      <c r="R2015" s="3">
        <f t="shared" ca="1" si="232"/>
        <v>5.1771444118803833</v>
      </c>
    </row>
    <row r="2016" spans="7:18" x14ac:dyDescent="0.25">
      <c r="G2016" s="2">
        <f t="shared" ca="1" si="226"/>
        <v>0.89834262661763631</v>
      </c>
      <c r="H2016" s="3">
        <f t="shared" ca="1" si="227"/>
        <v>1</v>
      </c>
      <c r="I2016" s="3">
        <f t="shared" ca="1" si="228"/>
        <v>3.3217737492295525</v>
      </c>
      <c r="J2016" s="3">
        <f t="shared" ca="1" si="229"/>
        <v>9.1128669325706078</v>
      </c>
      <c r="P2016" s="3">
        <f t="shared" ca="1" si="230"/>
        <v>-16.623648607449752</v>
      </c>
      <c r="Q2016" s="3">
        <f t="shared" ca="1" si="231"/>
        <v>3.5097154473115397</v>
      </c>
      <c r="R2016" s="3">
        <f t="shared" ca="1" si="232"/>
        <v>16.990108756128176</v>
      </c>
    </row>
    <row r="2017" spans="7:18" x14ac:dyDescent="0.25">
      <c r="G2017" s="2">
        <f t="shared" ca="1" si="226"/>
        <v>0.71470952620965167</v>
      </c>
      <c r="H2017" s="3">
        <f t="shared" ca="1" si="227"/>
        <v>1</v>
      </c>
      <c r="I2017" s="3">
        <f t="shared" ca="1" si="228"/>
        <v>2.8051779192510073</v>
      </c>
      <c r="J2017" s="3">
        <f t="shared" ca="1" si="229"/>
        <v>8.3743326887146772</v>
      </c>
      <c r="P2017" s="3">
        <f t="shared" ca="1" si="230"/>
        <v>-0.92937923889329621</v>
      </c>
      <c r="Q2017" s="3">
        <f t="shared" ca="1" si="231"/>
        <v>-1.0220002770499599</v>
      </c>
      <c r="R2017" s="3">
        <f t="shared" ca="1" si="232"/>
        <v>1.3813871057658231</v>
      </c>
    </row>
    <row r="2018" spans="7:18" x14ac:dyDescent="0.25">
      <c r="G2018" s="2">
        <f t="shared" ca="1" si="226"/>
        <v>0.4493957216647656</v>
      </c>
      <c r="H2018" s="3">
        <f t="shared" ca="1" si="227"/>
        <v>0</v>
      </c>
      <c r="I2018" s="3">
        <f t="shared" ca="1" si="228"/>
        <v>3.2024880358358021</v>
      </c>
      <c r="J2018" s="3">
        <f t="shared" ca="1" si="229"/>
        <v>8.9477483701708476</v>
      </c>
      <c r="P2018" s="3">
        <f t="shared" ca="1" si="230"/>
        <v>3.5391397313725417</v>
      </c>
      <c r="Q2018" s="3">
        <f t="shared" ca="1" si="231"/>
        <v>-1.9721296829864015</v>
      </c>
      <c r="R2018" s="3">
        <f t="shared" ca="1" si="232"/>
        <v>4.0515189157519371</v>
      </c>
    </row>
    <row r="2019" spans="7:18" x14ac:dyDescent="0.25">
      <c r="G2019" s="2">
        <f t="shared" ca="1" si="226"/>
        <v>0.89633070331347897</v>
      </c>
      <c r="H2019" s="3">
        <f t="shared" ca="1" si="227"/>
        <v>1</v>
      </c>
      <c r="I2019" s="3">
        <f t="shared" ca="1" si="228"/>
        <v>1.4247796458839186</v>
      </c>
      <c r="J2019" s="3">
        <f t="shared" ca="1" si="229"/>
        <v>5.9682066944014238</v>
      </c>
      <c r="P2019" s="3">
        <f t="shared" ca="1" si="230"/>
        <v>-6.8907582168613297</v>
      </c>
      <c r="Q2019" s="3">
        <f t="shared" ca="1" si="231"/>
        <v>8.5720734979169286</v>
      </c>
      <c r="R2019" s="3">
        <f t="shared" ca="1" si="232"/>
        <v>10.998317728495195</v>
      </c>
    </row>
    <row r="2020" spans="7:18" x14ac:dyDescent="0.25">
      <c r="G2020" s="2">
        <f t="shared" ca="1" si="226"/>
        <v>2.5848541728185181E-2</v>
      </c>
      <c r="H2020" s="3">
        <f t="shared" ca="1" si="227"/>
        <v>0</v>
      </c>
      <c r="I2020" s="3">
        <f t="shared" ca="1" si="228"/>
        <v>2.8304910508062382</v>
      </c>
      <c r="J2020" s="3">
        <f t="shared" ca="1" si="229"/>
        <v>8.4120316374913831</v>
      </c>
      <c r="P2020" s="3">
        <f t="shared" ca="1" si="230"/>
        <v>6.6626569727475822</v>
      </c>
      <c r="Q2020" s="3">
        <f t="shared" ca="1" si="231"/>
        <v>-0.32259842489198132</v>
      </c>
      <c r="R2020" s="3">
        <f t="shared" ca="1" si="232"/>
        <v>6.6704623288228504</v>
      </c>
    </row>
    <row r="2021" spans="7:18" x14ac:dyDescent="0.25">
      <c r="G2021" s="2">
        <f t="shared" ca="1" si="226"/>
        <v>0.89109083876580486</v>
      </c>
      <c r="H2021" s="3">
        <f t="shared" ca="1" si="227"/>
        <v>1</v>
      </c>
      <c r="I2021" s="3">
        <f t="shared" ca="1" si="228"/>
        <v>3.3925537502067225</v>
      </c>
      <c r="J2021" s="3">
        <f t="shared" ca="1" si="229"/>
        <v>9.2094431837743613</v>
      </c>
      <c r="P2021" s="3">
        <f t="shared" ca="1" si="230"/>
        <v>-7.8802350536116457</v>
      </c>
      <c r="Q2021" s="3">
        <f t="shared" ca="1" si="231"/>
        <v>4.1224591291852226</v>
      </c>
      <c r="R2021" s="3">
        <f t="shared" ca="1" si="232"/>
        <v>8.8934118184177393</v>
      </c>
    </row>
    <row r="2022" spans="7:18" x14ac:dyDescent="0.25">
      <c r="G2022" s="2">
        <f t="shared" ca="1" si="226"/>
        <v>0.71122891368346186</v>
      </c>
      <c r="H2022" s="3">
        <f t="shared" ca="1" si="227"/>
        <v>1</v>
      </c>
      <c r="I2022" s="3">
        <f t="shared" ca="1" si="228"/>
        <v>0.26868933679509538</v>
      </c>
      <c r="J2022" s="3">
        <f t="shared" ca="1" si="229"/>
        <v>2.5917626087042356</v>
      </c>
      <c r="P2022" s="3">
        <f t="shared" ca="1" si="230"/>
        <v>-6.9401371407759642</v>
      </c>
      <c r="Q2022" s="3">
        <f t="shared" ca="1" si="231"/>
        <v>5.0472404229475032</v>
      </c>
      <c r="R2022" s="3">
        <f t="shared" ca="1" si="232"/>
        <v>8.5813833045618733</v>
      </c>
    </row>
    <row r="2023" spans="7:18" x14ac:dyDescent="0.25">
      <c r="G2023" s="2">
        <f t="shared" ca="1" si="226"/>
        <v>0.75908485911201329</v>
      </c>
      <c r="H2023" s="3">
        <f t="shared" ca="1" si="227"/>
        <v>1</v>
      </c>
      <c r="I2023" s="3">
        <f t="shared" ca="1" si="228"/>
        <v>4.6773522652013337</v>
      </c>
      <c r="J2023" s="3">
        <f t="shared" ca="1" si="229"/>
        <v>10.813593603887348</v>
      </c>
      <c r="P2023" s="3">
        <f t="shared" ca="1" si="230"/>
        <v>0.15822169840823985</v>
      </c>
      <c r="Q2023" s="3">
        <f t="shared" ca="1" si="231"/>
        <v>2.9691940700713357</v>
      </c>
      <c r="R2023" s="3">
        <f t="shared" ca="1" si="232"/>
        <v>2.9734067215222968</v>
      </c>
    </row>
    <row r="2024" spans="7:18" x14ac:dyDescent="0.25">
      <c r="G2024" s="2">
        <f t="shared" ca="1" si="226"/>
        <v>0.48024184378557244</v>
      </c>
      <c r="H2024" s="3">
        <f t="shared" ca="1" si="227"/>
        <v>0</v>
      </c>
      <c r="I2024" s="3">
        <f t="shared" ca="1" si="228"/>
        <v>3.6337604668454602</v>
      </c>
      <c r="J2024" s="3">
        <f t="shared" ca="1" si="229"/>
        <v>9.5312124974284611</v>
      </c>
      <c r="P2024" s="3">
        <f t="shared" ca="1" si="230"/>
        <v>-10.586004779716459</v>
      </c>
      <c r="Q2024" s="3">
        <f t="shared" ca="1" si="231"/>
        <v>-4.3182329864750066</v>
      </c>
      <c r="R2024" s="3">
        <f t="shared" ca="1" si="232"/>
        <v>11.432875111784462</v>
      </c>
    </row>
    <row r="2025" spans="7:18" x14ac:dyDescent="0.25">
      <c r="G2025" s="2">
        <f t="shared" ca="1" si="226"/>
        <v>0.11606675938898525</v>
      </c>
      <c r="H2025" s="3">
        <f t="shared" ca="1" si="227"/>
        <v>0</v>
      </c>
      <c r="I2025" s="3">
        <f t="shared" ca="1" si="228"/>
        <v>5.2909778321888794</v>
      </c>
      <c r="J2025" s="3">
        <f t="shared" ca="1" si="229"/>
        <v>11.501062811963161</v>
      </c>
      <c r="P2025" s="3">
        <f t="shared" ca="1" si="230"/>
        <v>0.31254186042348131</v>
      </c>
      <c r="Q2025" s="3">
        <f t="shared" ca="1" si="231"/>
        <v>-2.2062695425243777</v>
      </c>
      <c r="R2025" s="3">
        <f t="shared" ca="1" si="232"/>
        <v>2.2282970423145336</v>
      </c>
    </row>
    <row r="2026" spans="7:18" x14ac:dyDescent="0.25">
      <c r="G2026" s="2">
        <f t="shared" ca="1" si="226"/>
        <v>0.91403072535613528</v>
      </c>
      <c r="H2026" s="3">
        <f t="shared" ca="1" si="227"/>
        <v>2</v>
      </c>
      <c r="I2026" s="3">
        <f t="shared" ca="1" si="228"/>
        <v>4.901510969621012</v>
      </c>
      <c r="J2026" s="3">
        <f t="shared" ca="1" si="229"/>
        <v>11.069678145299678</v>
      </c>
      <c r="P2026" s="3">
        <f t="shared" ca="1" si="230"/>
        <v>-12.784076623246161</v>
      </c>
      <c r="Q2026" s="3">
        <f t="shared" ca="1" si="231"/>
        <v>-5.8513738127347814</v>
      </c>
      <c r="R2026" s="3">
        <f t="shared" ca="1" si="232"/>
        <v>14.05955869170108</v>
      </c>
    </row>
    <row r="2027" spans="7:18" x14ac:dyDescent="0.25">
      <c r="G2027" s="2">
        <f t="shared" ca="1" si="226"/>
        <v>0.9578884752543213</v>
      </c>
      <c r="H2027" s="3">
        <f t="shared" ca="1" si="227"/>
        <v>2</v>
      </c>
      <c r="I2027" s="3">
        <f t="shared" ca="1" si="228"/>
        <v>8.2672386176005386</v>
      </c>
      <c r="J2027" s="3">
        <f t="shared" ca="1" si="229"/>
        <v>14.376403077265659</v>
      </c>
      <c r="P2027" s="3">
        <f t="shared" ca="1" si="230"/>
        <v>-4.6062988805607166</v>
      </c>
      <c r="Q2027" s="3">
        <f t="shared" ca="1" si="231"/>
        <v>-5.399295894029267</v>
      </c>
      <c r="R2027" s="3">
        <f t="shared" ca="1" si="232"/>
        <v>7.0972097001805023</v>
      </c>
    </row>
    <row r="2028" spans="7:18" x14ac:dyDescent="0.25">
      <c r="G2028" s="2">
        <f t="shared" ca="1" si="226"/>
        <v>0.90807420158602914</v>
      </c>
      <c r="H2028" s="3">
        <f t="shared" ca="1" si="227"/>
        <v>1</v>
      </c>
      <c r="I2028" s="3">
        <f t="shared" ca="1" si="228"/>
        <v>6.5009952797926118</v>
      </c>
      <c r="J2028" s="3">
        <f t="shared" ca="1" si="229"/>
        <v>12.748524698756922</v>
      </c>
      <c r="P2028" s="3">
        <f t="shared" ca="1" si="230"/>
        <v>-4.874235837432221</v>
      </c>
      <c r="Q2028" s="3">
        <f t="shared" ca="1" si="231"/>
        <v>1.916196346818043</v>
      </c>
      <c r="R2028" s="3">
        <f t="shared" ca="1" si="232"/>
        <v>5.237364168975402</v>
      </c>
    </row>
    <row r="2029" spans="7:18" x14ac:dyDescent="0.25">
      <c r="G2029" s="2">
        <f t="shared" ca="1" si="226"/>
        <v>0.57255149183258436</v>
      </c>
      <c r="H2029" s="3">
        <f t="shared" ca="1" si="227"/>
        <v>0</v>
      </c>
      <c r="I2029" s="3">
        <f t="shared" ca="1" si="228"/>
        <v>1.5004854030298624</v>
      </c>
      <c r="J2029" s="3">
        <f t="shared" ca="1" si="229"/>
        <v>6.1247151015983237</v>
      </c>
      <c r="P2029" s="3">
        <f t="shared" ca="1" si="230"/>
        <v>-4.4876888621827007</v>
      </c>
      <c r="Q2029" s="3">
        <f t="shared" ca="1" si="231"/>
        <v>-0.43525687446208633</v>
      </c>
      <c r="R2029" s="3">
        <f t="shared" ca="1" si="232"/>
        <v>4.5087470399796405</v>
      </c>
    </row>
    <row r="2030" spans="7:18" x14ac:dyDescent="0.25">
      <c r="G2030" s="2">
        <f t="shared" ca="1" si="226"/>
        <v>0.43410755029736336</v>
      </c>
      <c r="H2030" s="3">
        <f t="shared" ca="1" si="227"/>
        <v>0</v>
      </c>
      <c r="I2030" s="3">
        <f t="shared" ca="1" si="228"/>
        <v>1.6828327613469862</v>
      </c>
      <c r="J2030" s="3">
        <f t="shared" ca="1" si="229"/>
        <v>6.4862022041927325</v>
      </c>
      <c r="P2030" s="3">
        <f t="shared" ca="1" si="230"/>
        <v>-1.7084505702016668</v>
      </c>
      <c r="Q2030" s="3">
        <f t="shared" ca="1" si="231"/>
        <v>-10.303628554131784</v>
      </c>
      <c r="R2030" s="3">
        <f t="shared" ca="1" si="232"/>
        <v>10.444307767025167</v>
      </c>
    </row>
    <row r="2031" spans="7:18" x14ac:dyDescent="0.25">
      <c r="G2031" s="2">
        <f t="shared" ca="1" si="226"/>
        <v>0.53619424126933046</v>
      </c>
      <c r="H2031" s="3">
        <f t="shared" ca="1" si="227"/>
        <v>0</v>
      </c>
      <c r="I2031" s="3">
        <f t="shared" ca="1" si="228"/>
        <v>0.85415124685614052</v>
      </c>
      <c r="J2031" s="3">
        <f t="shared" ca="1" si="229"/>
        <v>4.6210151667575721</v>
      </c>
      <c r="P2031" s="3">
        <f t="shared" ca="1" si="230"/>
        <v>-3.9416727365078286</v>
      </c>
      <c r="Q2031" s="3">
        <f t="shared" ca="1" si="231"/>
        <v>-6.0762465017907763</v>
      </c>
      <c r="R2031" s="3">
        <f t="shared" ca="1" si="232"/>
        <v>7.2427588329485166</v>
      </c>
    </row>
    <row r="2032" spans="7:18" x14ac:dyDescent="0.25">
      <c r="G2032" s="2">
        <f t="shared" ca="1" si="226"/>
        <v>7.257432063247371E-2</v>
      </c>
      <c r="H2032" s="3">
        <f t="shared" ca="1" si="227"/>
        <v>0</v>
      </c>
      <c r="I2032" s="3">
        <f t="shared" ca="1" si="228"/>
        <v>0.13101453653603909</v>
      </c>
      <c r="J2032" s="3">
        <f t="shared" ca="1" si="229"/>
        <v>1.8097965116004</v>
      </c>
      <c r="P2032" s="3">
        <f t="shared" ca="1" si="230"/>
        <v>-6.7932457798419748</v>
      </c>
      <c r="Q2032" s="3">
        <f t="shared" ca="1" si="231"/>
        <v>0.65909063837976656</v>
      </c>
      <c r="R2032" s="3">
        <f t="shared" ca="1" si="232"/>
        <v>6.8251438589190672</v>
      </c>
    </row>
    <row r="2033" spans="7:18" x14ac:dyDescent="0.25">
      <c r="G2033" s="2">
        <f t="shared" ca="1" si="226"/>
        <v>0.5833420474607669</v>
      </c>
      <c r="H2033" s="3">
        <f t="shared" ca="1" si="227"/>
        <v>0</v>
      </c>
      <c r="I2033" s="3">
        <f t="shared" ca="1" si="228"/>
        <v>2.5805342267203528</v>
      </c>
      <c r="J2033" s="3">
        <f t="shared" ca="1" si="229"/>
        <v>8.0320206466373598</v>
      </c>
      <c r="P2033" s="3">
        <f t="shared" ca="1" si="230"/>
        <v>0.96550475686409509</v>
      </c>
      <c r="Q2033" s="3">
        <f t="shared" ca="1" si="231"/>
        <v>-8.055806597464608</v>
      </c>
      <c r="R2033" s="3">
        <f t="shared" ca="1" si="232"/>
        <v>8.1134591495416739</v>
      </c>
    </row>
    <row r="2034" spans="7:18" x14ac:dyDescent="0.25">
      <c r="G2034" s="2">
        <f t="shared" ca="1" si="226"/>
        <v>0.53165480710272894</v>
      </c>
      <c r="H2034" s="3">
        <f t="shared" ca="1" si="227"/>
        <v>0</v>
      </c>
      <c r="I2034" s="3">
        <f t="shared" ca="1" si="228"/>
        <v>0.59818967616093965</v>
      </c>
      <c r="J2034" s="3">
        <f t="shared" ca="1" si="229"/>
        <v>3.8671361372498243</v>
      </c>
      <c r="P2034" s="3">
        <f t="shared" ca="1" si="230"/>
        <v>-4.2457507315115643</v>
      </c>
      <c r="Q2034" s="3">
        <f t="shared" ca="1" si="231"/>
        <v>-6.5576517565943959</v>
      </c>
      <c r="R2034" s="3">
        <f t="shared" ca="1" si="232"/>
        <v>7.8121185241198532</v>
      </c>
    </row>
    <row r="2035" spans="7:18" x14ac:dyDescent="0.25">
      <c r="G2035" s="2">
        <f t="shared" ca="1" si="226"/>
        <v>8.2894982049975141E-2</v>
      </c>
      <c r="H2035" s="3">
        <f t="shared" ca="1" si="227"/>
        <v>0</v>
      </c>
      <c r="I2035" s="3">
        <f t="shared" ca="1" si="228"/>
        <v>2.9598276523631317</v>
      </c>
      <c r="J2035" s="3">
        <f t="shared" ca="1" si="229"/>
        <v>8.6020748258241913</v>
      </c>
      <c r="P2035" s="3">
        <f t="shared" ca="1" si="230"/>
        <v>-13.086928123103821</v>
      </c>
      <c r="Q2035" s="3">
        <f t="shared" ca="1" si="231"/>
        <v>2.8840571352158104</v>
      </c>
      <c r="R2035" s="3">
        <f t="shared" ca="1" si="232"/>
        <v>13.400950461011147</v>
      </c>
    </row>
    <row r="2036" spans="7:18" x14ac:dyDescent="0.25">
      <c r="G2036" s="2">
        <f t="shared" ca="1" si="226"/>
        <v>0.68282037536384643</v>
      </c>
      <c r="H2036" s="3">
        <f t="shared" ca="1" si="227"/>
        <v>1</v>
      </c>
      <c r="I2036" s="3">
        <f t="shared" ca="1" si="228"/>
        <v>3.8754476924560342</v>
      </c>
      <c r="J2036" s="3">
        <f t="shared" ca="1" si="229"/>
        <v>9.8430783960812214</v>
      </c>
      <c r="P2036" s="3">
        <f t="shared" ca="1" si="230"/>
        <v>11.720401176523765</v>
      </c>
      <c r="Q2036" s="3">
        <f t="shared" ca="1" si="231"/>
        <v>3.0538173164973168</v>
      </c>
      <c r="R2036" s="3">
        <f t="shared" ca="1" si="232"/>
        <v>12.111713501449684</v>
      </c>
    </row>
    <row r="2037" spans="7:18" x14ac:dyDescent="0.25">
      <c r="G2037" s="2">
        <f t="shared" ca="1" si="226"/>
        <v>5.079781800279648E-2</v>
      </c>
      <c r="H2037" s="3">
        <f t="shared" ca="1" si="227"/>
        <v>0</v>
      </c>
      <c r="I2037" s="3">
        <f t="shared" ca="1" si="228"/>
        <v>0.55626536258713155</v>
      </c>
      <c r="J2037" s="3">
        <f t="shared" ca="1" si="229"/>
        <v>3.7291599676975897</v>
      </c>
      <c r="P2037" s="3">
        <f t="shared" ca="1" si="230"/>
        <v>1.3998700819578689</v>
      </c>
      <c r="Q2037" s="3">
        <f t="shared" ca="1" si="231"/>
        <v>-9.3989133299891705</v>
      </c>
      <c r="R2037" s="3">
        <f t="shared" ca="1" si="232"/>
        <v>9.5025895434354553</v>
      </c>
    </row>
    <row r="2038" spans="7:18" x14ac:dyDescent="0.25">
      <c r="G2038" s="2">
        <f t="shared" ca="1" si="226"/>
        <v>0.98349626630961284</v>
      </c>
      <c r="H2038" s="3">
        <f t="shared" ca="1" si="227"/>
        <v>2</v>
      </c>
      <c r="I2038" s="3">
        <f t="shared" ca="1" si="228"/>
        <v>2.2500001111658006</v>
      </c>
      <c r="J2038" s="3">
        <f t="shared" ca="1" si="229"/>
        <v>7.5000001852763321</v>
      </c>
      <c r="P2038" s="3">
        <f t="shared" ca="1" si="230"/>
        <v>-9.0253230631604566</v>
      </c>
      <c r="Q2038" s="3">
        <f t="shared" ca="1" si="231"/>
        <v>1.9296333579155762</v>
      </c>
      <c r="R2038" s="3">
        <f t="shared" ca="1" si="232"/>
        <v>9.2292979847004943</v>
      </c>
    </row>
    <row r="2039" spans="7:18" x14ac:dyDescent="0.25">
      <c r="G2039" s="2">
        <f t="shared" ca="1" si="226"/>
        <v>0.32791190699228268</v>
      </c>
      <c r="H2039" s="3">
        <f t="shared" ca="1" si="227"/>
        <v>0</v>
      </c>
      <c r="I2039" s="3">
        <f t="shared" ca="1" si="228"/>
        <v>0.53549328164309384</v>
      </c>
      <c r="J2039" s="3">
        <f t="shared" ca="1" si="229"/>
        <v>3.6588703230747797</v>
      </c>
      <c r="P2039" s="3">
        <f t="shared" ca="1" si="230"/>
        <v>-4.1972420022755106</v>
      </c>
      <c r="Q2039" s="3">
        <f t="shared" ca="1" si="231"/>
        <v>-7.7324516142471138</v>
      </c>
      <c r="R2039" s="3">
        <f t="shared" ca="1" si="232"/>
        <v>8.7981616484546663</v>
      </c>
    </row>
    <row r="2040" spans="7:18" x14ac:dyDescent="0.25">
      <c r="G2040" s="2">
        <f t="shared" ca="1" si="226"/>
        <v>0.55880876703546023</v>
      </c>
      <c r="H2040" s="3">
        <f t="shared" ca="1" si="227"/>
        <v>0</v>
      </c>
      <c r="I2040" s="3">
        <f t="shared" ca="1" si="228"/>
        <v>0.60643408742478844</v>
      </c>
      <c r="J2040" s="3">
        <f t="shared" ca="1" si="229"/>
        <v>3.8936938998359527</v>
      </c>
      <c r="P2040" s="3">
        <f t="shared" ca="1" si="230"/>
        <v>-6.7018239188025985</v>
      </c>
      <c r="Q2040" s="3">
        <f t="shared" ca="1" si="231"/>
        <v>5.3579016553219718</v>
      </c>
      <c r="R2040" s="3">
        <f t="shared" ca="1" si="232"/>
        <v>8.5803003436206442</v>
      </c>
    </row>
    <row r="2041" spans="7:18" x14ac:dyDescent="0.25">
      <c r="G2041" s="2">
        <f t="shared" ca="1" si="226"/>
        <v>0.60375207624548533</v>
      </c>
      <c r="H2041" s="3">
        <f t="shared" ca="1" si="227"/>
        <v>0</v>
      </c>
      <c r="I2041" s="3">
        <f t="shared" ca="1" si="228"/>
        <v>4.110422150156106</v>
      </c>
      <c r="J2041" s="3">
        <f t="shared" ca="1" si="229"/>
        <v>10.137088031279134</v>
      </c>
      <c r="P2041" s="3">
        <f t="shared" ca="1" si="230"/>
        <v>7.5748633865177766</v>
      </c>
      <c r="Q2041" s="3">
        <f t="shared" ca="1" si="231"/>
        <v>2.3110790981004423</v>
      </c>
      <c r="R2041" s="3">
        <f t="shared" ca="1" si="232"/>
        <v>7.9195733421747105</v>
      </c>
    </row>
    <row r="2042" spans="7:18" x14ac:dyDescent="0.25">
      <c r="G2042" s="2">
        <f t="shared" ca="1" si="226"/>
        <v>0.85156665547815114</v>
      </c>
      <c r="H2042" s="3">
        <f t="shared" ca="1" si="227"/>
        <v>1</v>
      </c>
      <c r="I2042" s="3">
        <f t="shared" ca="1" si="228"/>
        <v>5.751340011039014</v>
      </c>
      <c r="J2042" s="3">
        <f t="shared" ca="1" si="229"/>
        <v>11.990975784979943</v>
      </c>
      <c r="P2042" s="3">
        <f t="shared" ca="1" si="230"/>
        <v>-2.8882577897756772</v>
      </c>
      <c r="Q2042" s="3">
        <f t="shared" ca="1" si="231"/>
        <v>-8.8821724719305646</v>
      </c>
      <c r="R2042" s="3">
        <f t="shared" ca="1" si="232"/>
        <v>9.3399689978779374</v>
      </c>
    </row>
    <row r="2043" spans="7:18" x14ac:dyDescent="0.25">
      <c r="G2043" s="2">
        <f t="shared" ca="1" si="226"/>
        <v>0.76895169055752965</v>
      </c>
      <c r="H2043" s="3">
        <f t="shared" ca="1" si="227"/>
        <v>1</v>
      </c>
      <c r="I2043" s="3">
        <f t="shared" ca="1" si="228"/>
        <v>9.617668487844977</v>
      </c>
      <c r="J2043" s="3">
        <f t="shared" ca="1" si="229"/>
        <v>15.506183031169353</v>
      </c>
      <c r="P2043" s="3">
        <f t="shared" ca="1" si="230"/>
        <v>-5.8460609321156909</v>
      </c>
      <c r="Q2043" s="3">
        <f t="shared" ca="1" si="231"/>
        <v>-4.2833311888194761</v>
      </c>
      <c r="R2043" s="3">
        <f t="shared" ca="1" si="232"/>
        <v>7.2472998071780532</v>
      </c>
    </row>
    <row r="2044" spans="7:18" x14ac:dyDescent="0.25">
      <c r="G2044" s="2">
        <f t="shared" ca="1" si="226"/>
        <v>0.96604425944702044</v>
      </c>
      <c r="H2044" s="3">
        <f t="shared" ca="1" si="227"/>
        <v>2</v>
      </c>
      <c r="I2044" s="3">
        <f t="shared" ca="1" si="228"/>
        <v>3.6300285304325084</v>
      </c>
      <c r="J2044" s="3">
        <f t="shared" ca="1" si="229"/>
        <v>9.5263168780391041</v>
      </c>
      <c r="P2044" s="3">
        <f t="shared" ca="1" si="230"/>
        <v>-6.9938932965714251</v>
      </c>
      <c r="Q2044" s="3">
        <f t="shared" ca="1" si="231"/>
        <v>-3.2347539511584089</v>
      </c>
      <c r="R2044" s="3">
        <f t="shared" ca="1" si="232"/>
        <v>7.7057236239279732</v>
      </c>
    </row>
    <row r="2045" spans="7:18" x14ac:dyDescent="0.25">
      <c r="G2045" s="2">
        <f t="shared" ca="1" si="226"/>
        <v>0.38812280056706505</v>
      </c>
      <c r="H2045" s="3">
        <f t="shared" ca="1" si="227"/>
        <v>0</v>
      </c>
      <c r="I2045" s="3">
        <f t="shared" ca="1" si="228"/>
        <v>0.35284126920164455</v>
      </c>
      <c r="J2045" s="3">
        <f t="shared" ca="1" si="229"/>
        <v>2.9700221766918027</v>
      </c>
      <c r="P2045" s="3">
        <f t="shared" ca="1" si="230"/>
        <v>-7.0820221934929517</v>
      </c>
      <c r="Q2045" s="3">
        <f t="shared" ca="1" si="231"/>
        <v>4.2170580404887881</v>
      </c>
      <c r="R2045" s="3">
        <f t="shared" ca="1" si="232"/>
        <v>8.2424885117285935</v>
      </c>
    </row>
    <row r="2046" spans="7:18" x14ac:dyDescent="0.25">
      <c r="G2046" s="2">
        <f t="shared" ca="1" si="226"/>
        <v>0.68431328427411797</v>
      </c>
      <c r="H2046" s="3">
        <f t="shared" ca="1" si="227"/>
        <v>1</v>
      </c>
      <c r="I2046" s="3">
        <f t="shared" ca="1" si="228"/>
        <v>6.0053836983558933</v>
      </c>
      <c r="J2046" s="3">
        <f t="shared" ca="1" si="229"/>
        <v>12.252942196015509</v>
      </c>
      <c r="P2046" s="3">
        <f t="shared" ca="1" si="230"/>
        <v>7.2536866719344779</v>
      </c>
      <c r="Q2046" s="3">
        <f t="shared" ca="1" si="231"/>
        <v>2.1896938846581868</v>
      </c>
      <c r="R2046" s="3">
        <f t="shared" ca="1" si="232"/>
        <v>7.5769868445912811</v>
      </c>
    </row>
    <row r="2047" spans="7:18" x14ac:dyDescent="0.25">
      <c r="G2047" s="2">
        <f t="shared" ca="1" si="226"/>
        <v>0.55984932587856362</v>
      </c>
      <c r="H2047" s="3">
        <f t="shared" ca="1" si="227"/>
        <v>0</v>
      </c>
      <c r="I2047" s="3">
        <f t="shared" ca="1" si="228"/>
        <v>13.340223221312014</v>
      </c>
      <c r="J2047" s="3">
        <f t="shared" ca="1" si="229"/>
        <v>18.262135158102414</v>
      </c>
      <c r="P2047" s="3">
        <f t="shared" ca="1" si="230"/>
        <v>-12.060135532054778</v>
      </c>
      <c r="Q2047" s="3">
        <f t="shared" ca="1" si="231"/>
        <v>6.4845912955966529</v>
      </c>
      <c r="R2047" s="3">
        <f t="shared" ca="1" si="232"/>
        <v>13.692946845820225</v>
      </c>
    </row>
    <row r="2048" spans="7:18" x14ac:dyDescent="0.25">
      <c r="G2048" s="2">
        <f t="shared" ca="1" si="226"/>
        <v>0.8764610659095009</v>
      </c>
      <c r="H2048" s="3">
        <f t="shared" ca="1" si="227"/>
        <v>1</v>
      </c>
      <c r="I2048" s="3">
        <f t="shared" ca="1" si="228"/>
        <v>1.1388900399283186</v>
      </c>
      <c r="J2048" s="3">
        <f t="shared" ca="1" si="229"/>
        <v>5.3359395609590603</v>
      </c>
      <c r="P2048" s="3">
        <f t="shared" ca="1" si="230"/>
        <v>-1.1586587239480424</v>
      </c>
      <c r="Q2048" s="3">
        <f t="shared" ca="1" si="231"/>
        <v>6.2857299378231453</v>
      </c>
      <c r="R2048" s="3">
        <f t="shared" ca="1" si="232"/>
        <v>6.3916266231552568</v>
      </c>
    </row>
    <row r="2049" spans="7:18" x14ac:dyDescent="0.25">
      <c r="G2049" s="2">
        <f t="shared" ca="1" si="226"/>
        <v>0.60757287922583203</v>
      </c>
      <c r="H2049" s="3">
        <f t="shared" ca="1" si="227"/>
        <v>1</v>
      </c>
      <c r="I2049" s="3">
        <f t="shared" ca="1" si="228"/>
        <v>2.0051189455694782</v>
      </c>
      <c r="J2049" s="3">
        <f t="shared" ca="1" si="229"/>
        <v>7.0801111318422798</v>
      </c>
      <c r="P2049" s="3">
        <f t="shared" ca="1" si="230"/>
        <v>-4.3664798825985685</v>
      </c>
      <c r="Q2049" s="3">
        <f t="shared" ca="1" si="231"/>
        <v>-5.5950430069167911</v>
      </c>
      <c r="R2049" s="3">
        <f t="shared" ca="1" si="232"/>
        <v>7.0972285305171408</v>
      </c>
    </row>
    <row r="2050" spans="7:18" x14ac:dyDescent="0.25">
      <c r="G2050" s="2">
        <f t="shared" ca="1" si="226"/>
        <v>0.33314479114444862</v>
      </c>
      <c r="H2050" s="3">
        <f t="shared" ca="1" si="227"/>
        <v>0</v>
      </c>
      <c r="I2050" s="3">
        <f t="shared" ca="1" si="228"/>
        <v>1.6682722913104959</v>
      </c>
      <c r="J2050" s="3">
        <f t="shared" ca="1" si="229"/>
        <v>6.4580807739422399</v>
      </c>
      <c r="P2050" s="3">
        <f t="shared" ca="1" si="230"/>
        <v>-5.4892122134441141</v>
      </c>
      <c r="Q2050" s="3">
        <f t="shared" ca="1" si="231"/>
        <v>2.5299147347463822</v>
      </c>
      <c r="R2050" s="3">
        <f t="shared" ca="1" si="232"/>
        <v>6.0441640686955953</v>
      </c>
    </row>
    <row r="2051" spans="7:18" x14ac:dyDescent="0.25">
      <c r="G2051" s="2">
        <f t="shared" ca="1" si="226"/>
        <v>0.49811237437368194</v>
      </c>
      <c r="H2051" s="3">
        <f t="shared" ca="1" si="227"/>
        <v>0</v>
      </c>
      <c r="I2051" s="3">
        <f t="shared" ca="1" si="228"/>
        <v>6.1092472535966555</v>
      </c>
      <c r="J2051" s="3">
        <f t="shared" ca="1" si="229"/>
        <v>12.358445749361703</v>
      </c>
      <c r="P2051" s="3">
        <f t="shared" ca="1" si="230"/>
        <v>-7.3177140002928223</v>
      </c>
      <c r="Q2051" s="3">
        <f t="shared" ca="1" si="231"/>
        <v>-4.6178057405779809</v>
      </c>
      <c r="R2051" s="3">
        <f t="shared" ca="1" si="232"/>
        <v>8.6529225148383553</v>
      </c>
    </row>
    <row r="2052" spans="7:18" x14ac:dyDescent="0.25">
      <c r="G2052" s="2">
        <f t="shared" ref="G2052:G2115" ca="1" si="233">RAND()</f>
        <v>0.45697076351185673</v>
      </c>
      <c r="H2052" s="3">
        <f t="shared" ref="H2052:H2115" ca="1" si="234">VLOOKUP(G2052,$B$9:$C$169,2,TRUE)</f>
        <v>0</v>
      </c>
      <c r="I2052" s="3">
        <f t="shared" ref="I2052:I2115" ca="1" si="235">_xlfn.CHISQ.INV(RAND(),2*H2052+2)</f>
        <v>5.4655636883803771</v>
      </c>
      <c r="J2052" s="3">
        <f t="shared" ref="J2052:J2115" ca="1" si="236">$C$4*SQRT(I2052)</f>
        <v>11.689272526958614</v>
      </c>
      <c r="P2052" s="3">
        <f t="shared" ref="P2052:P2115" ca="1" si="237">_xlfn.NORM.INV(RAND(),$C$3*COS($O$2),$C$4)</f>
        <v>-3.4196554933741852</v>
      </c>
      <c r="Q2052" s="3">
        <f t="shared" ref="Q2052:Q2115" ca="1" si="238">_xlfn.NORM.INV(RAND(),$C$3*SIN($O$2),$C$4)</f>
        <v>5.90831102307589</v>
      </c>
      <c r="R2052" s="3">
        <f t="shared" ref="R2052:R2115" ca="1" si="239">SQRT(P2052^2+Q2052^2)</f>
        <v>6.8265791461583678</v>
      </c>
    </row>
    <row r="2053" spans="7:18" x14ac:dyDescent="0.25">
      <c r="G2053" s="2">
        <f t="shared" ca="1" si="233"/>
        <v>0.69856223736296441</v>
      </c>
      <c r="H2053" s="3">
        <f t="shared" ca="1" si="234"/>
        <v>1</v>
      </c>
      <c r="I2053" s="3">
        <f t="shared" ca="1" si="235"/>
        <v>2.8852570373226394</v>
      </c>
      <c r="J2053" s="3">
        <f t="shared" ca="1" si="236"/>
        <v>8.4930221907790866</v>
      </c>
      <c r="P2053" s="3">
        <f t="shared" ca="1" si="237"/>
        <v>-5.7639590750821714</v>
      </c>
      <c r="Q2053" s="3">
        <f t="shared" ca="1" si="238"/>
        <v>0.65119546372546</v>
      </c>
      <c r="R2053" s="3">
        <f t="shared" ca="1" si="239"/>
        <v>5.8006275308106741</v>
      </c>
    </row>
    <row r="2054" spans="7:18" x14ac:dyDescent="0.25">
      <c r="G2054" s="2">
        <f t="shared" ca="1" si="233"/>
        <v>0.79547899057864002</v>
      </c>
      <c r="H2054" s="3">
        <f t="shared" ca="1" si="234"/>
        <v>1</v>
      </c>
      <c r="I2054" s="3">
        <f t="shared" ca="1" si="235"/>
        <v>3.5644259342148348</v>
      </c>
      <c r="J2054" s="3">
        <f t="shared" ca="1" si="236"/>
        <v>9.439843661595825</v>
      </c>
      <c r="P2054" s="3">
        <f t="shared" ca="1" si="237"/>
        <v>-5.586628552676931</v>
      </c>
      <c r="Q2054" s="3">
        <f t="shared" ca="1" si="238"/>
        <v>-6.7498129726104859</v>
      </c>
      <c r="R2054" s="3">
        <f t="shared" ca="1" si="239"/>
        <v>8.7618715894953603</v>
      </c>
    </row>
    <row r="2055" spans="7:18" x14ac:dyDescent="0.25">
      <c r="G2055" s="2">
        <f t="shared" ca="1" si="233"/>
        <v>0.52861344279316791</v>
      </c>
      <c r="H2055" s="3">
        <f t="shared" ca="1" si="234"/>
        <v>0</v>
      </c>
      <c r="I2055" s="3">
        <f t="shared" ca="1" si="235"/>
        <v>0.74583317662183513</v>
      </c>
      <c r="J2055" s="3">
        <f t="shared" ca="1" si="236"/>
        <v>4.3180816823614947</v>
      </c>
      <c r="P2055" s="3">
        <f t="shared" ca="1" si="237"/>
        <v>-14.642989502055691</v>
      </c>
      <c r="Q2055" s="3">
        <f t="shared" ca="1" si="238"/>
        <v>0.97280255521182357</v>
      </c>
      <c r="R2055" s="3">
        <f t="shared" ca="1" si="239"/>
        <v>14.675267846575743</v>
      </c>
    </row>
    <row r="2056" spans="7:18" x14ac:dyDescent="0.25">
      <c r="G2056" s="2">
        <f t="shared" ca="1" si="233"/>
        <v>0.3289454179076311</v>
      </c>
      <c r="H2056" s="3">
        <f t="shared" ca="1" si="234"/>
        <v>0</v>
      </c>
      <c r="I2056" s="3">
        <f t="shared" ca="1" si="235"/>
        <v>1.7230692225900623</v>
      </c>
      <c r="J2056" s="3">
        <f t="shared" ca="1" si="236"/>
        <v>6.5632865673191167</v>
      </c>
      <c r="P2056" s="3">
        <f t="shared" ca="1" si="237"/>
        <v>-5.5717366511956872</v>
      </c>
      <c r="Q2056" s="3">
        <f t="shared" ca="1" si="238"/>
        <v>9.5427056685452119</v>
      </c>
      <c r="R2056" s="3">
        <f t="shared" ca="1" si="239"/>
        <v>11.050225372668299</v>
      </c>
    </row>
    <row r="2057" spans="7:18" x14ac:dyDescent="0.25">
      <c r="G2057" s="2">
        <f t="shared" ca="1" si="233"/>
        <v>0.49371027587472083</v>
      </c>
      <c r="H2057" s="3">
        <f t="shared" ca="1" si="234"/>
        <v>0</v>
      </c>
      <c r="I2057" s="3">
        <f t="shared" ca="1" si="235"/>
        <v>0.33225604100465722</v>
      </c>
      <c r="J2057" s="3">
        <f t="shared" ca="1" si="236"/>
        <v>2.8820827582004704</v>
      </c>
      <c r="P2057" s="3">
        <f t="shared" ca="1" si="237"/>
        <v>-9.6311080673958838</v>
      </c>
      <c r="Q2057" s="3">
        <f t="shared" ca="1" si="238"/>
        <v>-6.9082947977774793</v>
      </c>
      <c r="R2057" s="3">
        <f t="shared" ca="1" si="239"/>
        <v>11.852543170934137</v>
      </c>
    </row>
    <row r="2058" spans="7:18" x14ac:dyDescent="0.25">
      <c r="G2058" s="2">
        <f t="shared" ca="1" si="233"/>
        <v>0.17476299177252008</v>
      </c>
      <c r="H2058" s="3">
        <f t="shared" ca="1" si="234"/>
        <v>0</v>
      </c>
      <c r="I2058" s="3">
        <f t="shared" ca="1" si="235"/>
        <v>0.29133783423331344</v>
      </c>
      <c r="J2058" s="3">
        <f t="shared" ca="1" si="236"/>
        <v>2.698785996671992</v>
      </c>
      <c r="P2058" s="3">
        <f t="shared" ca="1" si="237"/>
        <v>1.4863160804013571</v>
      </c>
      <c r="Q2058" s="3">
        <f t="shared" ca="1" si="238"/>
        <v>-2.3928486713069614</v>
      </c>
      <c r="R2058" s="3">
        <f t="shared" ca="1" si="239"/>
        <v>2.8168883993930507</v>
      </c>
    </row>
    <row r="2059" spans="7:18" x14ac:dyDescent="0.25">
      <c r="G2059" s="2">
        <f t="shared" ca="1" si="233"/>
        <v>0.20448743086821952</v>
      </c>
      <c r="H2059" s="3">
        <f t="shared" ca="1" si="234"/>
        <v>0</v>
      </c>
      <c r="I2059" s="3">
        <f t="shared" ca="1" si="235"/>
        <v>0.42216739145402243</v>
      </c>
      <c r="J2059" s="3">
        <f t="shared" ca="1" si="236"/>
        <v>3.2487204844908653</v>
      </c>
      <c r="P2059" s="3">
        <f t="shared" ca="1" si="237"/>
        <v>-9.2828015847763261</v>
      </c>
      <c r="Q2059" s="3">
        <f t="shared" ca="1" si="238"/>
        <v>-5.1832357127755495</v>
      </c>
      <c r="R2059" s="3">
        <f t="shared" ca="1" si="239"/>
        <v>10.631854857762015</v>
      </c>
    </row>
    <row r="2060" spans="7:18" x14ac:dyDescent="0.25">
      <c r="G2060" s="2">
        <f t="shared" ca="1" si="233"/>
        <v>7.6584750256067258E-2</v>
      </c>
      <c r="H2060" s="3">
        <f t="shared" ca="1" si="234"/>
        <v>0</v>
      </c>
      <c r="I2060" s="3">
        <f t="shared" ca="1" si="235"/>
        <v>9.3165375518320798E-2</v>
      </c>
      <c r="J2060" s="3">
        <f t="shared" ca="1" si="236"/>
        <v>1.5261501852563595</v>
      </c>
      <c r="P2060" s="3">
        <f t="shared" ca="1" si="237"/>
        <v>-5.7289117821101314</v>
      </c>
      <c r="Q2060" s="3">
        <f t="shared" ca="1" si="238"/>
        <v>-7.2805091872938501</v>
      </c>
      <c r="R2060" s="3">
        <f t="shared" ca="1" si="239"/>
        <v>9.2642454756699131</v>
      </c>
    </row>
    <row r="2061" spans="7:18" x14ac:dyDescent="0.25">
      <c r="G2061" s="2">
        <f t="shared" ca="1" si="233"/>
        <v>0.5079219310077101</v>
      </c>
      <c r="H2061" s="3">
        <f t="shared" ca="1" si="234"/>
        <v>0</v>
      </c>
      <c r="I2061" s="3">
        <f t="shared" ca="1" si="235"/>
        <v>0.601192434066392</v>
      </c>
      <c r="J2061" s="3">
        <f t="shared" ca="1" si="236"/>
        <v>3.8768300003559353</v>
      </c>
      <c r="P2061" s="3">
        <f t="shared" ca="1" si="237"/>
        <v>-6.8864896722878379</v>
      </c>
      <c r="Q2061" s="3">
        <f t="shared" ca="1" si="238"/>
        <v>-3.8671391662209262</v>
      </c>
      <c r="R2061" s="3">
        <f t="shared" ca="1" si="239"/>
        <v>7.8980064153840077</v>
      </c>
    </row>
    <row r="2062" spans="7:18" x14ac:dyDescent="0.25">
      <c r="G2062" s="2">
        <f t="shared" ca="1" si="233"/>
        <v>0.10041492297708388</v>
      </c>
      <c r="H2062" s="3">
        <f t="shared" ca="1" si="234"/>
        <v>0</v>
      </c>
      <c r="I2062" s="3">
        <f t="shared" ca="1" si="235"/>
        <v>0.97797112056978641</v>
      </c>
      <c r="J2062" s="3">
        <f t="shared" ca="1" si="236"/>
        <v>4.9446211193826226</v>
      </c>
      <c r="P2062" s="3">
        <f t="shared" ca="1" si="237"/>
        <v>-6.1191085285769722</v>
      </c>
      <c r="Q2062" s="3">
        <f t="shared" ca="1" si="238"/>
        <v>3.1375264421177076</v>
      </c>
      <c r="R2062" s="3">
        <f t="shared" ca="1" si="239"/>
        <v>6.8765951865360835</v>
      </c>
    </row>
    <row r="2063" spans="7:18" x14ac:dyDescent="0.25">
      <c r="G2063" s="2">
        <f t="shared" ca="1" si="233"/>
        <v>6.0090149580579455E-3</v>
      </c>
      <c r="H2063" s="3">
        <f t="shared" ca="1" si="234"/>
        <v>0</v>
      </c>
      <c r="I2063" s="3">
        <f t="shared" ca="1" si="235"/>
        <v>3.4129178501483479</v>
      </c>
      <c r="J2063" s="3">
        <f t="shared" ca="1" si="236"/>
        <v>9.2370420727475686</v>
      </c>
      <c r="P2063" s="3">
        <f t="shared" ca="1" si="237"/>
        <v>9.2517363472954806E-2</v>
      </c>
      <c r="Q2063" s="3">
        <f t="shared" ca="1" si="238"/>
        <v>-2.7648589704494038</v>
      </c>
      <c r="R2063" s="3">
        <f t="shared" ca="1" si="239"/>
        <v>2.7664064395924406</v>
      </c>
    </row>
    <row r="2064" spans="7:18" x14ac:dyDescent="0.25">
      <c r="G2064" s="2">
        <f t="shared" ca="1" si="233"/>
        <v>0.278798962192361</v>
      </c>
      <c r="H2064" s="3">
        <f t="shared" ca="1" si="234"/>
        <v>0</v>
      </c>
      <c r="I2064" s="3">
        <f t="shared" ca="1" si="235"/>
        <v>3.0492900209220291</v>
      </c>
      <c r="J2064" s="3">
        <f t="shared" ca="1" si="236"/>
        <v>8.7311082070405437</v>
      </c>
      <c r="P2064" s="3">
        <f t="shared" ca="1" si="237"/>
        <v>-4.9679705339988027</v>
      </c>
      <c r="Q2064" s="3">
        <f t="shared" ca="1" si="238"/>
        <v>2.0334041793130138</v>
      </c>
      <c r="R2064" s="3">
        <f t="shared" ca="1" si="239"/>
        <v>5.3680037055806862</v>
      </c>
    </row>
    <row r="2065" spans="7:18" x14ac:dyDescent="0.25">
      <c r="G2065" s="2">
        <f t="shared" ca="1" si="233"/>
        <v>0.58698743294283873</v>
      </c>
      <c r="H2065" s="3">
        <f t="shared" ca="1" si="234"/>
        <v>0</v>
      </c>
      <c r="I2065" s="3">
        <f t="shared" ca="1" si="235"/>
        <v>2.6441857343151094</v>
      </c>
      <c r="J2065" s="3">
        <f t="shared" ca="1" si="236"/>
        <v>8.130476207324989</v>
      </c>
      <c r="P2065" s="3">
        <f t="shared" ca="1" si="237"/>
        <v>-3.5582158664451429</v>
      </c>
      <c r="Q2065" s="3">
        <f t="shared" ca="1" si="238"/>
        <v>-6.1150098979797143</v>
      </c>
      <c r="R2065" s="3">
        <f t="shared" ca="1" si="239"/>
        <v>7.0749025579587901</v>
      </c>
    </row>
    <row r="2066" spans="7:18" x14ac:dyDescent="0.25">
      <c r="G2066" s="2">
        <f t="shared" ca="1" si="233"/>
        <v>0.55356217643031469</v>
      </c>
      <c r="H2066" s="3">
        <f t="shared" ca="1" si="234"/>
        <v>0</v>
      </c>
      <c r="I2066" s="3">
        <f t="shared" ca="1" si="235"/>
        <v>2.1040751950227294</v>
      </c>
      <c r="J2066" s="3">
        <f t="shared" ca="1" si="236"/>
        <v>7.2527153449979149</v>
      </c>
      <c r="P2066" s="3">
        <f t="shared" ca="1" si="237"/>
        <v>-6.9692953566128653</v>
      </c>
      <c r="Q2066" s="3">
        <f t="shared" ca="1" si="238"/>
        <v>1.0958083355408588</v>
      </c>
      <c r="R2066" s="3">
        <f t="shared" ca="1" si="239"/>
        <v>7.0549184032096699</v>
      </c>
    </row>
    <row r="2067" spans="7:18" x14ac:dyDescent="0.25">
      <c r="G2067" s="2">
        <f t="shared" ca="1" si="233"/>
        <v>0.14253936831620639</v>
      </c>
      <c r="H2067" s="3">
        <f t="shared" ca="1" si="234"/>
        <v>0</v>
      </c>
      <c r="I2067" s="3">
        <f t="shared" ca="1" si="235"/>
        <v>0.67748211756595056</v>
      </c>
      <c r="J2067" s="3">
        <f t="shared" ca="1" si="236"/>
        <v>4.1154650939047901</v>
      </c>
      <c r="P2067" s="3">
        <f t="shared" ca="1" si="237"/>
        <v>-13.437816570291123</v>
      </c>
      <c r="Q2067" s="3">
        <f t="shared" ca="1" si="238"/>
        <v>-12.676349120797518</v>
      </c>
      <c r="R2067" s="3">
        <f t="shared" ca="1" si="239"/>
        <v>18.473352191985477</v>
      </c>
    </row>
    <row r="2068" spans="7:18" x14ac:dyDescent="0.25">
      <c r="G2068" s="2">
        <f t="shared" ca="1" si="233"/>
        <v>0.23494547210174221</v>
      </c>
      <c r="H2068" s="3">
        <f t="shared" ca="1" si="234"/>
        <v>0</v>
      </c>
      <c r="I2068" s="3">
        <f t="shared" ca="1" si="235"/>
        <v>1.4722293139772895</v>
      </c>
      <c r="J2068" s="3">
        <f t="shared" ca="1" si="236"/>
        <v>6.066772852961634</v>
      </c>
      <c r="P2068" s="3">
        <f t="shared" ca="1" si="237"/>
        <v>-11.915641883008629</v>
      </c>
      <c r="Q2068" s="3">
        <f t="shared" ca="1" si="238"/>
        <v>1.8952498427422875</v>
      </c>
      <c r="R2068" s="3">
        <f t="shared" ca="1" si="239"/>
        <v>12.065425539554088</v>
      </c>
    </row>
    <row r="2069" spans="7:18" x14ac:dyDescent="0.25">
      <c r="G2069" s="2">
        <f t="shared" ca="1" si="233"/>
        <v>0.43335315742519198</v>
      </c>
      <c r="H2069" s="3">
        <f t="shared" ca="1" si="234"/>
        <v>0</v>
      </c>
      <c r="I2069" s="3">
        <f t="shared" ca="1" si="235"/>
        <v>0.36502608593516433</v>
      </c>
      <c r="J2069" s="3">
        <f t="shared" ca="1" si="236"/>
        <v>3.0208694358378194</v>
      </c>
      <c r="P2069" s="3">
        <f t="shared" ca="1" si="237"/>
        <v>-11.260913208522041</v>
      </c>
      <c r="Q2069" s="3">
        <f t="shared" ca="1" si="238"/>
        <v>-3.7868669557755092</v>
      </c>
      <c r="R2069" s="3">
        <f t="shared" ca="1" si="239"/>
        <v>11.88059458236879</v>
      </c>
    </row>
    <row r="2070" spans="7:18" x14ac:dyDescent="0.25">
      <c r="G2070" s="2">
        <f t="shared" ca="1" si="233"/>
        <v>8.0615432135441756E-2</v>
      </c>
      <c r="H2070" s="3">
        <f t="shared" ca="1" si="234"/>
        <v>0</v>
      </c>
      <c r="I2070" s="3">
        <f t="shared" ca="1" si="235"/>
        <v>0.95004283397935962</v>
      </c>
      <c r="J2070" s="3">
        <f t="shared" ca="1" si="236"/>
        <v>4.8735070380049716</v>
      </c>
      <c r="P2070" s="3">
        <f t="shared" ca="1" si="237"/>
        <v>-1.9180550747580618</v>
      </c>
      <c r="Q2070" s="3">
        <f t="shared" ca="1" si="238"/>
        <v>-0.46275792278237182</v>
      </c>
      <c r="R2070" s="3">
        <f t="shared" ca="1" si="239"/>
        <v>1.9730889906192801</v>
      </c>
    </row>
    <row r="2071" spans="7:18" x14ac:dyDescent="0.25">
      <c r="G2071" s="2">
        <f t="shared" ca="1" si="233"/>
        <v>0.94236300548434038</v>
      </c>
      <c r="H2071" s="3">
        <f t="shared" ca="1" si="234"/>
        <v>2</v>
      </c>
      <c r="I2071" s="3">
        <f t="shared" ca="1" si="235"/>
        <v>6.9220626462274044</v>
      </c>
      <c r="J2071" s="3">
        <f t="shared" ca="1" si="236"/>
        <v>13.1549065430236</v>
      </c>
      <c r="P2071" s="3">
        <f t="shared" ca="1" si="237"/>
        <v>-1.6727350741572753</v>
      </c>
      <c r="Q2071" s="3">
        <f t="shared" ca="1" si="238"/>
        <v>6.0335283955012082</v>
      </c>
      <c r="R2071" s="3">
        <f t="shared" ca="1" si="239"/>
        <v>6.261110726351621</v>
      </c>
    </row>
    <row r="2072" spans="7:18" x14ac:dyDescent="0.25">
      <c r="G2072" s="2">
        <f t="shared" ca="1" si="233"/>
        <v>0.40292875169684372</v>
      </c>
      <c r="H2072" s="3">
        <f t="shared" ca="1" si="234"/>
        <v>0</v>
      </c>
      <c r="I2072" s="3">
        <f t="shared" ca="1" si="235"/>
        <v>0.93456324457664264</v>
      </c>
      <c r="J2072" s="3">
        <f t="shared" ca="1" si="236"/>
        <v>4.8336405652899002</v>
      </c>
      <c r="P2072" s="3">
        <f t="shared" ca="1" si="237"/>
        <v>-9.6031578551412622</v>
      </c>
      <c r="Q2072" s="3">
        <f t="shared" ca="1" si="238"/>
        <v>-3.8565056725606079</v>
      </c>
      <c r="R2072" s="3">
        <f t="shared" ca="1" si="239"/>
        <v>10.348588154586762</v>
      </c>
    </row>
    <row r="2073" spans="7:18" x14ac:dyDescent="0.25">
      <c r="G2073" s="2">
        <f t="shared" ca="1" si="233"/>
        <v>0.74674499309001885</v>
      </c>
      <c r="H2073" s="3">
        <f t="shared" ca="1" si="234"/>
        <v>1</v>
      </c>
      <c r="I2073" s="3">
        <f t="shared" ca="1" si="235"/>
        <v>1.9717117581589187</v>
      </c>
      <c r="J2073" s="3">
        <f t="shared" ca="1" si="236"/>
        <v>7.0208827047582112</v>
      </c>
      <c r="P2073" s="3">
        <f t="shared" ca="1" si="237"/>
        <v>-7.073149214202096</v>
      </c>
      <c r="Q2073" s="3">
        <f t="shared" ca="1" si="238"/>
        <v>5.7676985844783069</v>
      </c>
      <c r="R2073" s="3">
        <f t="shared" ca="1" si="239"/>
        <v>9.1266525499638025</v>
      </c>
    </row>
    <row r="2074" spans="7:18" x14ac:dyDescent="0.25">
      <c r="G2074" s="2">
        <f t="shared" ca="1" si="233"/>
        <v>0.52548263983336485</v>
      </c>
      <c r="H2074" s="3">
        <f t="shared" ca="1" si="234"/>
        <v>0</v>
      </c>
      <c r="I2074" s="3">
        <f t="shared" ca="1" si="235"/>
        <v>0.68782601179505087</v>
      </c>
      <c r="J2074" s="3">
        <f t="shared" ca="1" si="236"/>
        <v>4.1467638339886532</v>
      </c>
      <c r="P2074" s="3">
        <f t="shared" ca="1" si="237"/>
        <v>-4.8985298384419576</v>
      </c>
      <c r="Q2074" s="3">
        <f t="shared" ca="1" si="238"/>
        <v>0.31376574341747904</v>
      </c>
      <c r="R2074" s="3">
        <f t="shared" ca="1" si="239"/>
        <v>4.9085683778316174</v>
      </c>
    </row>
    <row r="2075" spans="7:18" x14ac:dyDescent="0.25">
      <c r="G2075" s="2">
        <f t="shared" ca="1" si="233"/>
        <v>0.77397334317027633</v>
      </c>
      <c r="H2075" s="3">
        <f t="shared" ca="1" si="234"/>
        <v>1</v>
      </c>
      <c r="I2075" s="3">
        <f t="shared" ca="1" si="235"/>
        <v>0.58294764711559688</v>
      </c>
      <c r="J2075" s="3">
        <f t="shared" ca="1" si="236"/>
        <v>3.8175504158936686</v>
      </c>
      <c r="P2075" s="3">
        <f t="shared" ca="1" si="237"/>
        <v>9.8725746048053686</v>
      </c>
      <c r="Q2075" s="3">
        <f t="shared" ca="1" si="238"/>
        <v>-1.6547757993360386</v>
      </c>
      <c r="R2075" s="3">
        <f t="shared" ca="1" si="239"/>
        <v>10.010295314001286</v>
      </c>
    </row>
    <row r="2076" spans="7:18" x14ac:dyDescent="0.25">
      <c r="G2076" s="2">
        <f t="shared" ca="1" si="233"/>
        <v>0.35605998601688704</v>
      </c>
      <c r="H2076" s="3">
        <f t="shared" ca="1" si="234"/>
        <v>0</v>
      </c>
      <c r="I2076" s="3">
        <f t="shared" ca="1" si="235"/>
        <v>0.81740523538674104</v>
      </c>
      <c r="J2076" s="3">
        <f t="shared" ca="1" si="236"/>
        <v>4.5205232976579737</v>
      </c>
      <c r="P2076" s="3">
        <f t="shared" ca="1" si="237"/>
        <v>-6.6297276976500452</v>
      </c>
      <c r="Q2076" s="3">
        <f t="shared" ca="1" si="238"/>
        <v>-4.7881438562846652</v>
      </c>
      <c r="R2076" s="3">
        <f t="shared" ca="1" si="239"/>
        <v>8.1779955327369045</v>
      </c>
    </row>
    <row r="2077" spans="7:18" x14ac:dyDescent="0.25">
      <c r="G2077" s="2">
        <f t="shared" ca="1" si="233"/>
        <v>0.75342612612399507</v>
      </c>
      <c r="H2077" s="3">
        <f t="shared" ca="1" si="234"/>
        <v>1</v>
      </c>
      <c r="I2077" s="3">
        <f t="shared" ca="1" si="235"/>
        <v>3.8674962974728957</v>
      </c>
      <c r="J2077" s="3">
        <f t="shared" ca="1" si="236"/>
        <v>9.8329755128761711</v>
      </c>
      <c r="P2077" s="3">
        <f t="shared" ca="1" si="237"/>
        <v>-6.3309924748002153</v>
      </c>
      <c r="Q2077" s="3">
        <f t="shared" ca="1" si="238"/>
        <v>-7.5305505990029822</v>
      </c>
      <c r="R2077" s="3">
        <f t="shared" ca="1" si="239"/>
        <v>9.8382243336956456</v>
      </c>
    </row>
    <row r="2078" spans="7:18" x14ac:dyDescent="0.25">
      <c r="G2078" s="2">
        <f t="shared" ca="1" si="233"/>
        <v>0.98905576073893675</v>
      </c>
      <c r="H2078" s="3">
        <f t="shared" ca="1" si="234"/>
        <v>3</v>
      </c>
      <c r="I2078" s="3">
        <f t="shared" ca="1" si="235"/>
        <v>3.6856365503388884</v>
      </c>
      <c r="J2078" s="3">
        <f t="shared" ca="1" si="236"/>
        <v>9.5990058734471155</v>
      </c>
      <c r="P2078" s="3">
        <f t="shared" ca="1" si="237"/>
        <v>-12.670088211198006</v>
      </c>
      <c r="Q2078" s="3">
        <f t="shared" ca="1" si="238"/>
        <v>3.4900512933422969</v>
      </c>
      <c r="R2078" s="3">
        <f t="shared" ca="1" si="239"/>
        <v>13.141978287521971</v>
      </c>
    </row>
    <row r="2079" spans="7:18" x14ac:dyDescent="0.25">
      <c r="G2079" s="2">
        <f t="shared" ca="1" si="233"/>
        <v>3.4390715232730296E-2</v>
      </c>
      <c r="H2079" s="3">
        <f t="shared" ca="1" si="234"/>
        <v>0</v>
      </c>
      <c r="I2079" s="3">
        <f t="shared" ca="1" si="235"/>
        <v>1.7378189426379063</v>
      </c>
      <c r="J2079" s="3">
        <f t="shared" ca="1" si="236"/>
        <v>6.5913180446666093</v>
      </c>
      <c r="P2079" s="3">
        <f t="shared" ca="1" si="237"/>
        <v>-2.2341684557173886</v>
      </c>
      <c r="Q2079" s="3">
        <f t="shared" ca="1" si="238"/>
        <v>-4.1981700181352695</v>
      </c>
      <c r="R2079" s="3">
        <f t="shared" ca="1" si="239"/>
        <v>4.7556429838343117</v>
      </c>
    </row>
    <row r="2080" spans="7:18" x14ac:dyDescent="0.25">
      <c r="G2080" s="2">
        <f t="shared" ca="1" si="233"/>
        <v>0.65045798849751713</v>
      </c>
      <c r="H2080" s="3">
        <f t="shared" ca="1" si="234"/>
        <v>1</v>
      </c>
      <c r="I2080" s="3">
        <f t="shared" ca="1" si="235"/>
        <v>2.6857238308395663</v>
      </c>
      <c r="J2080" s="3">
        <f t="shared" ca="1" si="236"/>
        <v>8.1940890751192814</v>
      </c>
      <c r="P2080" s="3">
        <f t="shared" ca="1" si="237"/>
        <v>-4.1323373879609875</v>
      </c>
      <c r="Q2080" s="3">
        <f t="shared" ca="1" si="238"/>
        <v>-5.6837210927244834</v>
      </c>
      <c r="R2080" s="3">
        <f t="shared" ca="1" si="239"/>
        <v>7.0271543136479817</v>
      </c>
    </row>
    <row r="2081" spans="7:18" x14ac:dyDescent="0.25">
      <c r="G2081" s="2">
        <f t="shared" ca="1" si="233"/>
        <v>0.70335315030131973</v>
      </c>
      <c r="H2081" s="3">
        <f t="shared" ca="1" si="234"/>
        <v>1</v>
      </c>
      <c r="I2081" s="3">
        <f t="shared" ca="1" si="235"/>
        <v>2.8278376773884575</v>
      </c>
      <c r="J2081" s="3">
        <f t="shared" ca="1" si="236"/>
        <v>8.4080878881414787</v>
      </c>
      <c r="P2081" s="3">
        <f t="shared" ca="1" si="237"/>
        <v>5.7380723698295792</v>
      </c>
      <c r="Q2081" s="3">
        <f t="shared" ca="1" si="238"/>
        <v>1.4672293690079463</v>
      </c>
      <c r="R2081" s="3">
        <f t="shared" ca="1" si="239"/>
        <v>5.9226882868070225</v>
      </c>
    </row>
    <row r="2082" spans="7:18" x14ac:dyDescent="0.25">
      <c r="G2082" s="2">
        <f t="shared" ca="1" si="233"/>
        <v>0.6483677119740664</v>
      </c>
      <c r="H2082" s="3">
        <f t="shared" ca="1" si="234"/>
        <v>1</v>
      </c>
      <c r="I2082" s="3">
        <f t="shared" ca="1" si="235"/>
        <v>1.5302530026570182</v>
      </c>
      <c r="J2082" s="3">
        <f t="shared" ca="1" si="236"/>
        <v>6.185169768601785</v>
      </c>
      <c r="P2082" s="3">
        <f t="shared" ca="1" si="237"/>
        <v>-11.546265149637964</v>
      </c>
      <c r="Q2082" s="3">
        <f t="shared" ca="1" si="238"/>
        <v>7.0748075542814126</v>
      </c>
      <c r="R2082" s="3">
        <f t="shared" ca="1" si="239"/>
        <v>13.541386222830422</v>
      </c>
    </row>
    <row r="2083" spans="7:18" x14ac:dyDescent="0.25">
      <c r="G2083" s="2">
        <f t="shared" ca="1" si="233"/>
        <v>0.46337823141192658</v>
      </c>
      <c r="H2083" s="3">
        <f t="shared" ca="1" si="234"/>
        <v>0</v>
      </c>
      <c r="I2083" s="3">
        <f t="shared" ca="1" si="235"/>
        <v>4.2941867556163205</v>
      </c>
      <c r="J2083" s="3">
        <f t="shared" ca="1" si="236"/>
        <v>10.361209817893275</v>
      </c>
      <c r="P2083" s="3">
        <f t="shared" ca="1" si="237"/>
        <v>2.7483776038166319E-2</v>
      </c>
      <c r="Q2083" s="3">
        <f t="shared" ca="1" si="238"/>
        <v>0.69955486749001916</v>
      </c>
      <c r="R2083" s="3">
        <f t="shared" ca="1" si="239"/>
        <v>0.70009454402551541</v>
      </c>
    </row>
    <row r="2084" spans="7:18" x14ac:dyDescent="0.25">
      <c r="G2084" s="2">
        <f t="shared" ca="1" si="233"/>
        <v>0.46320801256070165</v>
      </c>
      <c r="H2084" s="3">
        <f t="shared" ca="1" si="234"/>
        <v>0</v>
      </c>
      <c r="I2084" s="3">
        <f t="shared" ca="1" si="235"/>
        <v>1.4901348790585232</v>
      </c>
      <c r="J2084" s="3">
        <f t="shared" ca="1" si="236"/>
        <v>6.1035540446909353</v>
      </c>
      <c r="P2084" s="3">
        <f t="shared" ca="1" si="237"/>
        <v>-1.4218383916166926</v>
      </c>
      <c r="Q2084" s="3">
        <f t="shared" ca="1" si="238"/>
        <v>-0.43836331588356969</v>
      </c>
      <c r="R2084" s="3">
        <f t="shared" ca="1" si="239"/>
        <v>1.4878799711628561</v>
      </c>
    </row>
    <row r="2085" spans="7:18" x14ac:dyDescent="0.25">
      <c r="G2085" s="2">
        <f t="shared" ca="1" si="233"/>
        <v>0.57700902663584741</v>
      </c>
      <c r="H2085" s="3">
        <f t="shared" ca="1" si="234"/>
        <v>0</v>
      </c>
      <c r="I2085" s="3">
        <f t="shared" ca="1" si="235"/>
        <v>0.26217750212701885</v>
      </c>
      <c r="J2085" s="3">
        <f t="shared" ca="1" si="236"/>
        <v>2.5601635793783704</v>
      </c>
      <c r="P2085" s="3">
        <f t="shared" ca="1" si="237"/>
        <v>-15.509344864828286</v>
      </c>
      <c r="Q2085" s="3">
        <f t="shared" ca="1" si="238"/>
        <v>1.9945795413091056</v>
      </c>
      <c r="R2085" s="3">
        <f t="shared" ca="1" si="239"/>
        <v>15.637075355794138</v>
      </c>
    </row>
    <row r="2086" spans="7:18" x14ac:dyDescent="0.25">
      <c r="G2086" s="2">
        <f t="shared" ca="1" si="233"/>
        <v>0.60831977946736882</v>
      </c>
      <c r="H2086" s="3">
        <f t="shared" ca="1" si="234"/>
        <v>1</v>
      </c>
      <c r="I2086" s="3">
        <f t="shared" ca="1" si="235"/>
        <v>2.0885669134810341</v>
      </c>
      <c r="J2086" s="3">
        <f t="shared" ca="1" si="236"/>
        <v>7.2259375057514754</v>
      </c>
      <c r="P2086" s="3">
        <f t="shared" ca="1" si="237"/>
        <v>-5.319376230578114</v>
      </c>
      <c r="Q2086" s="3">
        <f t="shared" ca="1" si="238"/>
        <v>-5.0840577152513289</v>
      </c>
      <c r="R2086" s="3">
        <f t="shared" ca="1" si="239"/>
        <v>7.3582203238586148</v>
      </c>
    </row>
    <row r="2087" spans="7:18" x14ac:dyDescent="0.25">
      <c r="G2087" s="2">
        <f t="shared" ca="1" si="233"/>
        <v>0.91474314608296992</v>
      </c>
      <c r="H2087" s="3">
        <f t="shared" ca="1" si="234"/>
        <v>2</v>
      </c>
      <c r="I2087" s="3">
        <f t="shared" ca="1" si="235"/>
        <v>15.628592613776041</v>
      </c>
      <c r="J2087" s="3">
        <f t="shared" ca="1" si="236"/>
        <v>19.76650741391612</v>
      </c>
      <c r="P2087" s="3">
        <f t="shared" ca="1" si="237"/>
        <v>-13.901396237438131</v>
      </c>
      <c r="Q2087" s="3">
        <f t="shared" ca="1" si="238"/>
        <v>0.32533523995736224</v>
      </c>
      <c r="R2087" s="3">
        <f t="shared" ca="1" si="239"/>
        <v>13.905202636733387</v>
      </c>
    </row>
    <row r="2088" spans="7:18" x14ac:dyDescent="0.25">
      <c r="G2088" s="2">
        <f t="shared" ca="1" si="233"/>
        <v>0.95239138240446142</v>
      </c>
      <c r="H2088" s="3">
        <f t="shared" ca="1" si="234"/>
        <v>2</v>
      </c>
      <c r="I2088" s="3">
        <f t="shared" ca="1" si="235"/>
        <v>2.3242678878045737</v>
      </c>
      <c r="J2088" s="3">
        <f t="shared" ca="1" si="236"/>
        <v>7.6227749012491728</v>
      </c>
      <c r="P2088" s="3">
        <f t="shared" ca="1" si="237"/>
        <v>-6.4998746453730014</v>
      </c>
      <c r="Q2088" s="3">
        <f t="shared" ca="1" si="238"/>
        <v>0.57778147157278181</v>
      </c>
      <c r="R2088" s="3">
        <f t="shared" ca="1" si="239"/>
        <v>6.5255039525277745</v>
      </c>
    </row>
    <row r="2089" spans="7:18" x14ac:dyDescent="0.25">
      <c r="G2089" s="2">
        <f t="shared" ca="1" si="233"/>
        <v>0.85038195345085743</v>
      </c>
      <c r="H2089" s="3">
        <f t="shared" ca="1" si="234"/>
        <v>1</v>
      </c>
      <c r="I2089" s="3">
        <f t="shared" ca="1" si="235"/>
        <v>0.50432635331558939</v>
      </c>
      <c r="J2089" s="3">
        <f t="shared" ca="1" si="236"/>
        <v>3.5507969292666868</v>
      </c>
      <c r="P2089" s="3">
        <f t="shared" ca="1" si="237"/>
        <v>-12.918947213435793</v>
      </c>
      <c r="Q2089" s="3">
        <f t="shared" ca="1" si="238"/>
        <v>6.4579756694384125</v>
      </c>
      <c r="R2089" s="3">
        <f t="shared" ca="1" si="239"/>
        <v>14.443152247712373</v>
      </c>
    </row>
    <row r="2090" spans="7:18" x14ac:dyDescent="0.25">
      <c r="G2090" s="2">
        <f t="shared" ca="1" si="233"/>
        <v>0.87307597801985104</v>
      </c>
      <c r="H2090" s="3">
        <f t="shared" ca="1" si="234"/>
        <v>1</v>
      </c>
      <c r="I2090" s="3">
        <f t="shared" ca="1" si="235"/>
        <v>2.5227305718255337</v>
      </c>
      <c r="J2090" s="3">
        <f t="shared" ca="1" si="236"/>
        <v>7.9415530153514897</v>
      </c>
      <c r="P2090" s="3">
        <f t="shared" ca="1" si="237"/>
        <v>-8.2046959057627777</v>
      </c>
      <c r="Q2090" s="3">
        <f t="shared" ca="1" si="238"/>
        <v>-0.58534589671310178</v>
      </c>
      <c r="R2090" s="3">
        <f t="shared" ca="1" si="239"/>
        <v>8.2255495089896193</v>
      </c>
    </row>
    <row r="2091" spans="7:18" x14ac:dyDescent="0.25">
      <c r="G2091" s="2">
        <f t="shared" ca="1" si="233"/>
        <v>0.76166887829577312</v>
      </c>
      <c r="H2091" s="3">
        <f t="shared" ca="1" si="234"/>
        <v>1</v>
      </c>
      <c r="I2091" s="3">
        <f t="shared" ca="1" si="235"/>
        <v>2.6658917429698397</v>
      </c>
      <c r="J2091" s="3">
        <f t="shared" ca="1" si="236"/>
        <v>8.1637793682978703</v>
      </c>
      <c r="P2091" s="3">
        <f t="shared" ca="1" si="237"/>
        <v>0.31654132514328204</v>
      </c>
      <c r="Q2091" s="3">
        <f t="shared" ca="1" si="238"/>
        <v>2.0300940637146443</v>
      </c>
      <c r="R2091" s="3">
        <f t="shared" ca="1" si="239"/>
        <v>2.0546241306022139</v>
      </c>
    </row>
    <row r="2092" spans="7:18" x14ac:dyDescent="0.25">
      <c r="G2092" s="2">
        <f t="shared" ca="1" si="233"/>
        <v>0.2709615088274856</v>
      </c>
      <c r="H2092" s="3">
        <f t="shared" ca="1" si="234"/>
        <v>0</v>
      </c>
      <c r="I2092" s="3">
        <f t="shared" ca="1" si="235"/>
        <v>8.0547010235643313E-2</v>
      </c>
      <c r="J2092" s="3">
        <f t="shared" ca="1" si="236"/>
        <v>1.4190402587280893</v>
      </c>
      <c r="P2092" s="3">
        <f t="shared" ca="1" si="237"/>
        <v>-6.6625829444026472</v>
      </c>
      <c r="Q2092" s="3">
        <f t="shared" ca="1" si="238"/>
        <v>-3.6518445680196652</v>
      </c>
      <c r="R2092" s="3">
        <f t="shared" ca="1" si="239"/>
        <v>7.5977615282410511</v>
      </c>
    </row>
    <row r="2093" spans="7:18" x14ac:dyDescent="0.25">
      <c r="G2093" s="2">
        <f t="shared" ca="1" si="233"/>
        <v>0.66549315490012484</v>
      </c>
      <c r="H2093" s="3">
        <f t="shared" ca="1" si="234"/>
        <v>1</v>
      </c>
      <c r="I2093" s="3">
        <f t="shared" ca="1" si="235"/>
        <v>6.5427944112234817</v>
      </c>
      <c r="J2093" s="3">
        <f t="shared" ca="1" si="236"/>
        <v>12.789443313944007</v>
      </c>
      <c r="P2093" s="3">
        <f t="shared" ca="1" si="237"/>
        <v>-13.791035194718322</v>
      </c>
      <c r="Q2093" s="3">
        <f t="shared" ca="1" si="238"/>
        <v>-3.0554571394175714</v>
      </c>
      <c r="R2093" s="3">
        <f t="shared" ca="1" si="239"/>
        <v>14.125454685523479</v>
      </c>
    </row>
    <row r="2094" spans="7:18" x14ac:dyDescent="0.25">
      <c r="G2094" s="2">
        <f t="shared" ca="1" si="233"/>
        <v>0.19832405943216791</v>
      </c>
      <c r="H2094" s="3">
        <f t="shared" ca="1" si="234"/>
        <v>0</v>
      </c>
      <c r="I2094" s="3">
        <f t="shared" ca="1" si="235"/>
        <v>1.7897940081703929</v>
      </c>
      <c r="J2094" s="3">
        <f t="shared" ca="1" si="236"/>
        <v>6.6891591552496212</v>
      </c>
      <c r="P2094" s="3">
        <f t="shared" ca="1" si="237"/>
        <v>-11.010322229448208</v>
      </c>
      <c r="Q2094" s="3">
        <f t="shared" ca="1" si="238"/>
        <v>-1.2536774558654382</v>
      </c>
      <c r="R2094" s="3">
        <f t="shared" ca="1" si="239"/>
        <v>11.081466633962609</v>
      </c>
    </row>
    <row r="2095" spans="7:18" x14ac:dyDescent="0.25">
      <c r="G2095" s="2">
        <f t="shared" ca="1" si="233"/>
        <v>0.34526374324796028</v>
      </c>
      <c r="H2095" s="3">
        <f t="shared" ca="1" si="234"/>
        <v>0</v>
      </c>
      <c r="I2095" s="3">
        <f t="shared" ca="1" si="235"/>
        <v>3.3498396879357659</v>
      </c>
      <c r="J2095" s="3">
        <f t="shared" ca="1" si="236"/>
        <v>9.151283636648694</v>
      </c>
      <c r="P2095" s="3">
        <f t="shared" ca="1" si="237"/>
        <v>2.2327966953743026</v>
      </c>
      <c r="Q2095" s="3">
        <f t="shared" ca="1" si="238"/>
        <v>-20.730664090350551</v>
      </c>
      <c r="R2095" s="3">
        <f t="shared" ca="1" si="239"/>
        <v>20.850559098254998</v>
      </c>
    </row>
    <row r="2096" spans="7:18" x14ac:dyDescent="0.25">
      <c r="G2096" s="2">
        <f t="shared" ca="1" si="233"/>
        <v>0.75148877844723216</v>
      </c>
      <c r="H2096" s="3">
        <f t="shared" ca="1" si="234"/>
        <v>1</v>
      </c>
      <c r="I2096" s="3">
        <f t="shared" ca="1" si="235"/>
        <v>7.0339481893003375E-2</v>
      </c>
      <c r="J2096" s="3">
        <f t="shared" ca="1" si="236"/>
        <v>1.3260795780514398</v>
      </c>
      <c r="P2096" s="3">
        <f t="shared" ca="1" si="237"/>
        <v>-0.9283398711168438</v>
      </c>
      <c r="Q2096" s="3">
        <f t="shared" ca="1" si="238"/>
        <v>-0.63034361210378398</v>
      </c>
      <c r="R2096" s="3">
        <f t="shared" ca="1" si="239"/>
        <v>1.1221176344863688</v>
      </c>
    </row>
    <row r="2097" spans="7:18" x14ac:dyDescent="0.25">
      <c r="G2097" s="2">
        <f t="shared" ca="1" si="233"/>
        <v>0.76055223882507583</v>
      </c>
      <c r="H2097" s="3">
        <f t="shared" ca="1" si="234"/>
        <v>1</v>
      </c>
      <c r="I2097" s="3">
        <f t="shared" ca="1" si="235"/>
        <v>1.789818984543744</v>
      </c>
      <c r="J2097" s="3">
        <f t="shared" ca="1" si="236"/>
        <v>6.6892058283172595</v>
      </c>
      <c r="P2097" s="3">
        <f t="shared" ca="1" si="237"/>
        <v>-9.0239078683586413</v>
      </c>
      <c r="Q2097" s="3">
        <f t="shared" ca="1" si="238"/>
        <v>1.9889969770798619</v>
      </c>
      <c r="R2097" s="3">
        <f t="shared" ca="1" si="239"/>
        <v>9.2405098447790106</v>
      </c>
    </row>
    <row r="2098" spans="7:18" x14ac:dyDescent="0.25">
      <c r="G2098" s="2">
        <f t="shared" ca="1" si="233"/>
        <v>7.5832851802948631E-2</v>
      </c>
      <c r="H2098" s="3">
        <f t="shared" ca="1" si="234"/>
        <v>0</v>
      </c>
      <c r="I2098" s="3">
        <f t="shared" ca="1" si="235"/>
        <v>0.23557271873100699</v>
      </c>
      <c r="J2098" s="3">
        <f t="shared" ca="1" si="236"/>
        <v>2.4267917026962111</v>
      </c>
      <c r="P2098" s="3">
        <f t="shared" ca="1" si="237"/>
        <v>-0.81629252846934719</v>
      </c>
      <c r="Q2098" s="3">
        <f t="shared" ca="1" si="238"/>
        <v>5.6534134071115503</v>
      </c>
      <c r="R2098" s="3">
        <f t="shared" ca="1" si="239"/>
        <v>5.7120413727268735</v>
      </c>
    </row>
    <row r="2099" spans="7:18" x14ac:dyDescent="0.25">
      <c r="G2099" s="2">
        <f t="shared" ca="1" si="233"/>
        <v>0.72113865977409208</v>
      </c>
      <c r="H2099" s="3">
        <f t="shared" ca="1" si="234"/>
        <v>1</v>
      </c>
      <c r="I2099" s="3">
        <f t="shared" ca="1" si="235"/>
        <v>3.1568900421273804</v>
      </c>
      <c r="J2099" s="3">
        <f t="shared" ca="1" si="236"/>
        <v>8.8838196207028268</v>
      </c>
      <c r="P2099" s="3">
        <f t="shared" ca="1" si="237"/>
        <v>1.0701272931290431</v>
      </c>
      <c r="Q2099" s="3">
        <f t="shared" ca="1" si="238"/>
        <v>2.01562153351149</v>
      </c>
      <c r="R2099" s="3">
        <f t="shared" ca="1" si="239"/>
        <v>2.2820829498190691</v>
      </c>
    </row>
    <row r="2100" spans="7:18" x14ac:dyDescent="0.25">
      <c r="G2100" s="2">
        <f t="shared" ca="1" si="233"/>
        <v>0.37421365655951433</v>
      </c>
      <c r="H2100" s="3">
        <f t="shared" ca="1" si="234"/>
        <v>0</v>
      </c>
      <c r="I2100" s="3">
        <f t="shared" ca="1" si="235"/>
        <v>1.3981370785081695</v>
      </c>
      <c r="J2100" s="3">
        <f t="shared" ca="1" si="236"/>
        <v>5.9121423327508138</v>
      </c>
      <c r="P2100" s="3">
        <f t="shared" ca="1" si="237"/>
        <v>0.82921874145776453</v>
      </c>
      <c r="Q2100" s="3">
        <f t="shared" ca="1" si="238"/>
        <v>-2.1128005103483298</v>
      </c>
      <c r="R2100" s="3">
        <f t="shared" ca="1" si="239"/>
        <v>2.2696981556394151</v>
      </c>
    </row>
    <row r="2101" spans="7:18" x14ac:dyDescent="0.25">
      <c r="G2101" s="2">
        <f t="shared" ca="1" si="233"/>
        <v>1.1374684757325837E-2</v>
      </c>
      <c r="H2101" s="3">
        <f t="shared" ca="1" si="234"/>
        <v>0</v>
      </c>
      <c r="I2101" s="3">
        <f t="shared" ca="1" si="235"/>
        <v>2.0962581445188411</v>
      </c>
      <c r="J2101" s="3">
        <f t="shared" ca="1" si="236"/>
        <v>7.239230180963375</v>
      </c>
      <c r="P2101" s="3">
        <f t="shared" ca="1" si="237"/>
        <v>-7.3985999353083063</v>
      </c>
      <c r="Q2101" s="3">
        <f t="shared" ca="1" si="238"/>
        <v>-12.674392361820745</v>
      </c>
      <c r="R2101" s="3">
        <f t="shared" ca="1" si="239"/>
        <v>14.675813529209346</v>
      </c>
    </row>
    <row r="2102" spans="7:18" x14ac:dyDescent="0.25">
      <c r="G2102" s="2">
        <f t="shared" ca="1" si="233"/>
        <v>0.69045677759328072</v>
      </c>
      <c r="H2102" s="3">
        <f t="shared" ca="1" si="234"/>
        <v>1</v>
      </c>
      <c r="I2102" s="3">
        <f t="shared" ca="1" si="235"/>
        <v>0.86925714721471126</v>
      </c>
      <c r="J2102" s="3">
        <f t="shared" ca="1" si="236"/>
        <v>4.6616980468888993</v>
      </c>
      <c r="P2102" s="3">
        <f t="shared" ca="1" si="237"/>
        <v>-2.1095469041812827</v>
      </c>
      <c r="Q2102" s="3">
        <f t="shared" ca="1" si="238"/>
        <v>5.246688256402444</v>
      </c>
      <c r="R2102" s="3">
        <f t="shared" ca="1" si="239"/>
        <v>5.6549028109077302</v>
      </c>
    </row>
    <row r="2103" spans="7:18" x14ac:dyDescent="0.25">
      <c r="G2103" s="2">
        <f t="shared" ca="1" si="233"/>
        <v>0.25035112599946596</v>
      </c>
      <c r="H2103" s="3">
        <f t="shared" ca="1" si="234"/>
        <v>0</v>
      </c>
      <c r="I2103" s="3">
        <f t="shared" ca="1" si="235"/>
        <v>2.6993281936285212</v>
      </c>
      <c r="J2103" s="3">
        <f t="shared" ca="1" si="236"/>
        <v>8.2148161781450124</v>
      </c>
      <c r="P2103" s="3">
        <f t="shared" ca="1" si="237"/>
        <v>-0.72855298191446849</v>
      </c>
      <c r="Q2103" s="3">
        <f t="shared" ca="1" si="238"/>
        <v>-3.8629735324726364</v>
      </c>
      <c r="R2103" s="3">
        <f t="shared" ca="1" si="239"/>
        <v>3.9310754202941185</v>
      </c>
    </row>
    <row r="2104" spans="7:18" x14ac:dyDescent="0.25">
      <c r="G2104" s="2">
        <f t="shared" ca="1" si="233"/>
        <v>0.10939225449019896</v>
      </c>
      <c r="H2104" s="3">
        <f t="shared" ca="1" si="234"/>
        <v>0</v>
      </c>
      <c r="I2104" s="3">
        <f t="shared" ca="1" si="235"/>
        <v>2.3124522930906637</v>
      </c>
      <c r="J2104" s="3">
        <f t="shared" ca="1" si="236"/>
        <v>7.603374732792445</v>
      </c>
      <c r="P2104" s="3">
        <f t="shared" ca="1" si="237"/>
        <v>-10.55648373457935</v>
      </c>
      <c r="Q2104" s="3">
        <f t="shared" ca="1" si="238"/>
        <v>-1.0208769011590606</v>
      </c>
      <c r="R2104" s="3">
        <f t="shared" ca="1" si="239"/>
        <v>10.605731397963957</v>
      </c>
    </row>
    <row r="2105" spans="7:18" x14ac:dyDescent="0.25">
      <c r="G2105" s="2">
        <f t="shared" ca="1" si="233"/>
        <v>0.46107615112255806</v>
      </c>
      <c r="H2105" s="3">
        <f t="shared" ca="1" si="234"/>
        <v>0</v>
      </c>
      <c r="I2105" s="3">
        <f t="shared" ca="1" si="235"/>
        <v>0.96103631032576475</v>
      </c>
      <c r="J2105" s="3">
        <f t="shared" ca="1" si="236"/>
        <v>4.9016229718476021</v>
      </c>
      <c r="P2105" s="3">
        <f t="shared" ca="1" si="237"/>
        <v>-4.2357832454187561</v>
      </c>
      <c r="Q2105" s="3">
        <f t="shared" ca="1" si="238"/>
        <v>0.95180052813918437</v>
      </c>
      <c r="R2105" s="3">
        <f t="shared" ca="1" si="239"/>
        <v>4.3414034536698241</v>
      </c>
    </row>
    <row r="2106" spans="7:18" x14ac:dyDescent="0.25">
      <c r="G2106" s="2">
        <f t="shared" ca="1" si="233"/>
        <v>0.1344665507644659</v>
      </c>
      <c r="H2106" s="3">
        <f t="shared" ca="1" si="234"/>
        <v>0</v>
      </c>
      <c r="I2106" s="3">
        <f t="shared" ca="1" si="235"/>
        <v>3.1250394275612381</v>
      </c>
      <c r="J2106" s="3">
        <f t="shared" ca="1" si="236"/>
        <v>8.8388905236478053</v>
      </c>
      <c r="P2106" s="3">
        <f t="shared" ca="1" si="237"/>
        <v>-2.2394836097015682</v>
      </c>
      <c r="Q2106" s="3">
        <f t="shared" ca="1" si="238"/>
        <v>-1.3080285313100009</v>
      </c>
      <c r="R2106" s="3">
        <f t="shared" ca="1" si="239"/>
        <v>2.5934967663066333</v>
      </c>
    </row>
    <row r="2107" spans="7:18" x14ac:dyDescent="0.25">
      <c r="G2107" s="2">
        <f t="shared" ca="1" si="233"/>
        <v>0.46317694028731027</v>
      </c>
      <c r="H2107" s="3">
        <f t="shared" ca="1" si="234"/>
        <v>0</v>
      </c>
      <c r="I2107" s="3">
        <f t="shared" ca="1" si="235"/>
        <v>1.4386197698488725</v>
      </c>
      <c r="J2107" s="3">
        <f t="shared" ca="1" si="236"/>
        <v>5.9971238311562161</v>
      </c>
      <c r="P2107" s="3">
        <f t="shared" ca="1" si="237"/>
        <v>-2.2195705245767092</v>
      </c>
      <c r="Q2107" s="3">
        <f t="shared" ca="1" si="238"/>
        <v>-6.672557497176073</v>
      </c>
      <c r="R2107" s="3">
        <f t="shared" ca="1" si="239"/>
        <v>7.032035044472571</v>
      </c>
    </row>
    <row r="2108" spans="7:18" x14ac:dyDescent="0.25">
      <c r="G2108" s="2">
        <f t="shared" ca="1" si="233"/>
        <v>1.3011818876799142E-3</v>
      </c>
      <c r="H2108" s="3">
        <f t="shared" ca="1" si="234"/>
        <v>0</v>
      </c>
      <c r="I2108" s="3">
        <f t="shared" ca="1" si="235"/>
        <v>6.0951703682919751</v>
      </c>
      <c r="J2108" s="3">
        <f t="shared" ca="1" si="236"/>
        <v>12.344199415405576</v>
      </c>
      <c r="P2108" s="3">
        <f t="shared" ca="1" si="237"/>
        <v>-7.7318269802855095</v>
      </c>
      <c r="Q2108" s="3">
        <f t="shared" ca="1" si="238"/>
        <v>5.49190973579271</v>
      </c>
      <c r="R2108" s="3">
        <f t="shared" ca="1" si="239"/>
        <v>9.4837872708726287</v>
      </c>
    </row>
    <row r="2109" spans="7:18" x14ac:dyDescent="0.25">
      <c r="G2109" s="2">
        <f t="shared" ca="1" si="233"/>
        <v>0.30894974603186776</v>
      </c>
      <c r="H2109" s="3">
        <f t="shared" ca="1" si="234"/>
        <v>0</v>
      </c>
      <c r="I2109" s="3">
        <f t="shared" ca="1" si="235"/>
        <v>0.33412282796015885</v>
      </c>
      <c r="J2109" s="3">
        <f t="shared" ca="1" si="236"/>
        <v>2.8901679361248145</v>
      </c>
      <c r="P2109" s="3">
        <f t="shared" ca="1" si="237"/>
        <v>-5.7782348440789919</v>
      </c>
      <c r="Q2109" s="3">
        <f t="shared" ca="1" si="238"/>
        <v>3.8596662243522539</v>
      </c>
      <c r="R2109" s="3">
        <f t="shared" ca="1" si="239"/>
        <v>6.948742424117774</v>
      </c>
    </row>
    <row r="2110" spans="7:18" x14ac:dyDescent="0.25">
      <c r="G2110" s="2">
        <f t="shared" ca="1" si="233"/>
        <v>0.34568413565054845</v>
      </c>
      <c r="H2110" s="3">
        <f t="shared" ca="1" si="234"/>
        <v>0</v>
      </c>
      <c r="I2110" s="3">
        <f t="shared" ca="1" si="235"/>
        <v>1.3363745630817323</v>
      </c>
      <c r="J2110" s="3">
        <f t="shared" ca="1" si="236"/>
        <v>5.7800833970664565</v>
      </c>
      <c r="P2110" s="3">
        <f t="shared" ca="1" si="237"/>
        <v>-4.3451097744161036</v>
      </c>
      <c r="Q2110" s="3">
        <f t="shared" ca="1" si="238"/>
        <v>-4.4441044629365409</v>
      </c>
      <c r="R2110" s="3">
        <f t="shared" ca="1" si="239"/>
        <v>6.2153071870357977</v>
      </c>
    </row>
    <row r="2111" spans="7:18" x14ac:dyDescent="0.25">
      <c r="G2111" s="2">
        <f t="shared" ca="1" si="233"/>
        <v>0.62529618684935817</v>
      </c>
      <c r="H2111" s="3">
        <f t="shared" ca="1" si="234"/>
        <v>1</v>
      </c>
      <c r="I2111" s="3">
        <f t="shared" ca="1" si="235"/>
        <v>1.2010519974997542</v>
      </c>
      <c r="J2111" s="3">
        <f t="shared" ca="1" si="236"/>
        <v>5.4796258939359959</v>
      </c>
      <c r="P2111" s="3">
        <f t="shared" ca="1" si="237"/>
        <v>-3.3591033286227132</v>
      </c>
      <c r="Q2111" s="3">
        <f t="shared" ca="1" si="238"/>
        <v>-4.8776146469823827</v>
      </c>
      <c r="R2111" s="3">
        <f t="shared" ca="1" si="239"/>
        <v>5.9223897049097731</v>
      </c>
    </row>
    <row r="2112" spans="7:18" x14ac:dyDescent="0.25">
      <c r="G2112" s="2">
        <f t="shared" ca="1" si="233"/>
        <v>0.97669158497084996</v>
      </c>
      <c r="H2112" s="3">
        <f t="shared" ca="1" si="234"/>
        <v>2</v>
      </c>
      <c r="I2112" s="3">
        <f t="shared" ca="1" si="235"/>
        <v>4.4676253907755532</v>
      </c>
      <c r="J2112" s="3">
        <f t="shared" ca="1" si="236"/>
        <v>10.568379003867568</v>
      </c>
      <c r="P2112" s="3">
        <f t="shared" ca="1" si="237"/>
        <v>-3.4496116470504745</v>
      </c>
      <c r="Q2112" s="3">
        <f t="shared" ca="1" si="238"/>
        <v>6.7084571821085529E-2</v>
      </c>
      <c r="R2112" s="3">
        <f t="shared" ca="1" si="239"/>
        <v>3.4502638819723206</v>
      </c>
    </row>
    <row r="2113" spans="7:18" x14ac:dyDescent="0.25">
      <c r="G2113" s="2">
        <f t="shared" ca="1" si="233"/>
        <v>0.12932437024875043</v>
      </c>
      <c r="H2113" s="3">
        <f t="shared" ca="1" si="234"/>
        <v>0</v>
      </c>
      <c r="I2113" s="3">
        <f t="shared" ca="1" si="235"/>
        <v>0.5224790283261147</v>
      </c>
      <c r="J2113" s="3">
        <f t="shared" ca="1" si="236"/>
        <v>3.614135540921628</v>
      </c>
      <c r="P2113" s="3">
        <f t="shared" ca="1" si="237"/>
        <v>-6.3255393765228138</v>
      </c>
      <c r="Q2113" s="3">
        <f t="shared" ca="1" si="238"/>
        <v>-3.8252463498111946</v>
      </c>
      <c r="R2113" s="3">
        <f t="shared" ca="1" si="239"/>
        <v>7.3922228078355765</v>
      </c>
    </row>
    <row r="2114" spans="7:18" x14ac:dyDescent="0.25">
      <c r="G2114" s="2">
        <f t="shared" ca="1" si="233"/>
        <v>0.11963106296182457</v>
      </c>
      <c r="H2114" s="3">
        <f t="shared" ca="1" si="234"/>
        <v>0</v>
      </c>
      <c r="I2114" s="3">
        <f t="shared" ca="1" si="235"/>
        <v>0.50829276268455215</v>
      </c>
      <c r="J2114" s="3">
        <f t="shared" ca="1" si="236"/>
        <v>3.5647326782121831</v>
      </c>
      <c r="P2114" s="3">
        <f t="shared" ca="1" si="237"/>
        <v>-10.538465631713049</v>
      </c>
      <c r="Q2114" s="3">
        <f t="shared" ca="1" si="238"/>
        <v>9.5168149486958882</v>
      </c>
      <c r="R2114" s="3">
        <f t="shared" ca="1" si="239"/>
        <v>14.199613538350915</v>
      </c>
    </row>
    <row r="2115" spans="7:18" x14ac:dyDescent="0.25">
      <c r="G2115" s="2">
        <f t="shared" ca="1" si="233"/>
        <v>0.11969429572319168</v>
      </c>
      <c r="H2115" s="3">
        <f t="shared" ca="1" si="234"/>
        <v>0</v>
      </c>
      <c r="I2115" s="3">
        <f t="shared" ca="1" si="235"/>
        <v>1.2408428320010199</v>
      </c>
      <c r="J2115" s="3">
        <f t="shared" ca="1" si="236"/>
        <v>5.5696562551045723</v>
      </c>
      <c r="P2115" s="3">
        <f t="shared" ca="1" si="237"/>
        <v>2.7926031351919711</v>
      </c>
      <c r="Q2115" s="3">
        <f t="shared" ca="1" si="238"/>
        <v>1.5742059656613145</v>
      </c>
      <c r="R2115" s="3">
        <f t="shared" ca="1" si="239"/>
        <v>3.2057380886478697</v>
      </c>
    </row>
    <row r="2116" spans="7:18" x14ac:dyDescent="0.25">
      <c r="G2116" s="2">
        <f t="shared" ref="G2116:G2160" ca="1" si="240">RAND()</f>
        <v>0.80298789849795615</v>
      </c>
      <c r="H2116" s="3">
        <f t="shared" ref="H2116:H2160" ca="1" si="241">VLOOKUP(G2116,$B$9:$C$169,2,TRUE)</f>
        <v>1</v>
      </c>
      <c r="I2116" s="3">
        <f t="shared" ref="I2116:I2160" ca="1" si="242">_xlfn.CHISQ.INV(RAND(),2*H2116+2)</f>
        <v>5.0738556151076022</v>
      </c>
      <c r="J2116" s="3">
        <f t="shared" ref="J2116:J2160" ca="1" si="243">$C$4*SQRT(I2116)</f>
        <v>11.262610282598349</v>
      </c>
      <c r="P2116" s="3">
        <f t="shared" ref="P2116:P2160" ca="1" si="244">_xlfn.NORM.INV(RAND(),$C$3*COS($O$2),$C$4)</f>
        <v>3.8493550292602645</v>
      </c>
      <c r="Q2116" s="3">
        <f t="shared" ref="Q2116:Q2160" ca="1" si="245">_xlfn.NORM.INV(RAND(),$C$3*SIN($O$2),$C$4)</f>
        <v>-2.0423773151536562</v>
      </c>
      <c r="R2116" s="3">
        <f t="shared" ref="R2116:R2160" ca="1" si="246">SQRT(P2116^2+Q2116^2)</f>
        <v>4.3576185283644948</v>
      </c>
    </row>
    <row r="2117" spans="7:18" x14ac:dyDescent="0.25">
      <c r="G2117" s="2">
        <f t="shared" ca="1" si="240"/>
        <v>0.54250182509479339</v>
      </c>
      <c r="H2117" s="3">
        <f t="shared" ca="1" si="241"/>
        <v>0</v>
      </c>
      <c r="I2117" s="3">
        <f t="shared" ca="1" si="242"/>
        <v>1.4414709332444811</v>
      </c>
      <c r="J2117" s="3">
        <f t="shared" ca="1" si="243"/>
        <v>6.0030636620905522</v>
      </c>
      <c r="P2117" s="3">
        <f t="shared" ca="1" si="244"/>
        <v>-10.521712377232024</v>
      </c>
      <c r="Q2117" s="3">
        <f t="shared" ca="1" si="245"/>
        <v>-0.69263566768348828</v>
      </c>
      <c r="R2117" s="3">
        <f t="shared" ca="1" si="246"/>
        <v>10.54448555015108</v>
      </c>
    </row>
    <row r="2118" spans="7:18" x14ac:dyDescent="0.25">
      <c r="G2118" s="2">
        <f t="shared" ca="1" si="240"/>
        <v>0.95319296556048205</v>
      </c>
      <c r="H2118" s="3">
        <f t="shared" ca="1" si="241"/>
        <v>2</v>
      </c>
      <c r="I2118" s="3">
        <f t="shared" ca="1" si="242"/>
        <v>10.918772549857836</v>
      </c>
      <c r="J2118" s="3">
        <f t="shared" ca="1" si="243"/>
        <v>16.52178300748578</v>
      </c>
      <c r="P2118" s="3">
        <f t="shared" ca="1" si="244"/>
        <v>-6.2997970184757088</v>
      </c>
      <c r="Q2118" s="3">
        <f t="shared" ca="1" si="245"/>
        <v>7.569932558390807</v>
      </c>
      <c r="R2118" s="3">
        <f t="shared" ca="1" si="246"/>
        <v>9.8484172034180499</v>
      </c>
    </row>
    <row r="2119" spans="7:18" x14ac:dyDescent="0.25">
      <c r="G2119" s="2">
        <f t="shared" ca="1" si="240"/>
        <v>0.59170325225732889</v>
      </c>
      <c r="H2119" s="3">
        <f t="shared" ca="1" si="241"/>
        <v>0</v>
      </c>
      <c r="I2119" s="3">
        <f t="shared" ca="1" si="242"/>
        <v>2.5282238799881696</v>
      </c>
      <c r="J2119" s="3">
        <f t="shared" ca="1" si="243"/>
        <v>7.9501947774695578</v>
      </c>
      <c r="P2119" s="3">
        <f t="shared" ca="1" si="244"/>
        <v>-2.4096768010613228</v>
      </c>
      <c r="Q2119" s="3">
        <f t="shared" ca="1" si="245"/>
        <v>-3.1874677475786668</v>
      </c>
      <c r="R2119" s="3">
        <f t="shared" ca="1" si="246"/>
        <v>3.9958094208091746</v>
      </c>
    </row>
    <row r="2120" spans="7:18" x14ac:dyDescent="0.25">
      <c r="G2120" s="2">
        <f t="shared" ca="1" si="240"/>
        <v>0.86511550594093889</v>
      </c>
      <c r="H2120" s="3">
        <f t="shared" ca="1" si="241"/>
        <v>1</v>
      </c>
      <c r="I2120" s="3">
        <f t="shared" ca="1" si="242"/>
        <v>5.1199449052985004</v>
      </c>
      <c r="J2120" s="3">
        <f t="shared" ca="1" si="243"/>
        <v>11.313647627200634</v>
      </c>
      <c r="P2120" s="3">
        <f t="shared" ca="1" si="244"/>
        <v>-8.0090532041775226</v>
      </c>
      <c r="Q2120" s="3">
        <f t="shared" ca="1" si="245"/>
        <v>7.1068668964967685</v>
      </c>
      <c r="R2120" s="3">
        <f t="shared" ca="1" si="246"/>
        <v>10.707590313038123</v>
      </c>
    </row>
    <row r="2121" spans="7:18" x14ac:dyDescent="0.25">
      <c r="G2121" s="2">
        <f t="shared" ca="1" si="240"/>
        <v>0.86035129094168195</v>
      </c>
      <c r="H2121" s="3">
        <f t="shared" ca="1" si="241"/>
        <v>1</v>
      </c>
      <c r="I2121" s="3">
        <f t="shared" ca="1" si="242"/>
        <v>4.8797084758310376</v>
      </c>
      <c r="J2121" s="3">
        <f t="shared" ca="1" si="243"/>
        <v>11.045031095283342</v>
      </c>
      <c r="P2121" s="3">
        <f t="shared" ca="1" si="244"/>
        <v>-3.7922192087662143</v>
      </c>
      <c r="Q2121" s="3">
        <f t="shared" ca="1" si="245"/>
        <v>6.9288414981088637</v>
      </c>
      <c r="R2121" s="3">
        <f t="shared" ca="1" si="246"/>
        <v>7.8987195818848344</v>
      </c>
    </row>
    <row r="2122" spans="7:18" x14ac:dyDescent="0.25">
      <c r="G2122" s="2">
        <f t="shared" ca="1" si="240"/>
        <v>0.55851016592429614</v>
      </c>
      <c r="H2122" s="3">
        <f t="shared" ca="1" si="241"/>
        <v>0</v>
      </c>
      <c r="I2122" s="3">
        <f t="shared" ca="1" si="242"/>
        <v>1.1801621104792366</v>
      </c>
      <c r="J2122" s="3">
        <f t="shared" ca="1" si="243"/>
        <v>5.4317633197683524</v>
      </c>
      <c r="P2122" s="3">
        <f t="shared" ca="1" si="244"/>
        <v>0.58047928223757062</v>
      </c>
      <c r="Q2122" s="3">
        <f t="shared" ca="1" si="245"/>
        <v>-8.8724156326059607</v>
      </c>
      <c r="R2122" s="3">
        <f t="shared" ca="1" si="246"/>
        <v>8.8913843328706506</v>
      </c>
    </row>
    <row r="2123" spans="7:18" x14ac:dyDescent="0.25">
      <c r="G2123" s="2">
        <f t="shared" ca="1" si="240"/>
        <v>0.54116575012530321</v>
      </c>
      <c r="H2123" s="3">
        <f t="shared" ca="1" si="241"/>
        <v>0</v>
      </c>
      <c r="I2123" s="3">
        <f t="shared" ca="1" si="242"/>
        <v>0.50670737730378912</v>
      </c>
      <c r="J2123" s="3">
        <f t="shared" ca="1" si="243"/>
        <v>3.559169064907528</v>
      </c>
      <c r="P2123" s="3">
        <f t="shared" ca="1" si="244"/>
        <v>0.20231439893039216</v>
      </c>
      <c r="Q2123" s="3">
        <f t="shared" ca="1" si="245"/>
        <v>2.9198513940779351</v>
      </c>
      <c r="R2123" s="3">
        <f t="shared" ca="1" si="246"/>
        <v>2.9268521109740795</v>
      </c>
    </row>
    <row r="2124" spans="7:18" x14ac:dyDescent="0.25">
      <c r="G2124" s="2">
        <f t="shared" ca="1" si="240"/>
        <v>3.2333149118699556E-2</v>
      </c>
      <c r="H2124" s="3">
        <f t="shared" ca="1" si="241"/>
        <v>0</v>
      </c>
      <c r="I2124" s="3">
        <f t="shared" ca="1" si="242"/>
        <v>0.92408926305489603</v>
      </c>
      <c r="J2124" s="3">
        <f t="shared" ca="1" si="243"/>
        <v>4.8064780844577246</v>
      </c>
      <c r="P2124" s="3">
        <f t="shared" ca="1" si="244"/>
        <v>5.605608489877234E-2</v>
      </c>
      <c r="Q2124" s="3">
        <f t="shared" ca="1" si="245"/>
        <v>-12.360490383223208</v>
      </c>
      <c r="R2124" s="3">
        <f t="shared" ca="1" si="246"/>
        <v>12.360617492601557</v>
      </c>
    </row>
    <row r="2125" spans="7:18" x14ac:dyDescent="0.25">
      <c r="G2125" s="2">
        <f t="shared" ca="1" si="240"/>
        <v>0.28548285628973225</v>
      </c>
      <c r="H2125" s="3">
        <f t="shared" ca="1" si="241"/>
        <v>0</v>
      </c>
      <c r="I2125" s="3">
        <f t="shared" ca="1" si="242"/>
        <v>2.6854164572683672</v>
      </c>
      <c r="J2125" s="3">
        <f t="shared" ca="1" si="243"/>
        <v>8.1936201664288291</v>
      </c>
      <c r="P2125" s="3">
        <f t="shared" ca="1" si="244"/>
        <v>-0.42315967980736247</v>
      </c>
      <c r="Q2125" s="3">
        <f t="shared" ca="1" si="245"/>
        <v>10.329553098062846</v>
      </c>
      <c r="R2125" s="3">
        <f t="shared" ca="1" si="246"/>
        <v>10.338217028110524</v>
      </c>
    </row>
    <row r="2126" spans="7:18" x14ac:dyDescent="0.25">
      <c r="G2126" s="2">
        <f t="shared" ca="1" si="240"/>
        <v>0.95823999889948763</v>
      </c>
      <c r="H2126" s="3">
        <f t="shared" ca="1" si="241"/>
        <v>2</v>
      </c>
      <c r="I2126" s="3">
        <f t="shared" ca="1" si="242"/>
        <v>1.3015111718037375</v>
      </c>
      <c r="J2126" s="3">
        <f t="shared" ca="1" si="243"/>
        <v>5.7041896265020364</v>
      </c>
      <c r="P2126" s="3">
        <f t="shared" ca="1" si="244"/>
        <v>-7.7770323776284824</v>
      </c>
      <c r="Q2126" s="3">
        <f t="shared" ca="1" si="245"/>
        <v>2.5362390549629139</v>
      </c>
      <c r="R2126" s="3">
        <f t="shared" ca="1" si="246"/>
        <v>8.180143100618773</v>
      </c>
    </row>
    <row r="2127" spans="7:18" x14ac:dyDescent="0.25">
      <c r="G2127" s="2">
        <f t="shared" ca="1" si="240"/>
        <v>0.25065306483229854</v>
      </c>
      <c r="H2127" s="3">
        <f t="shared" ca="1" si="241"/>
        <v>0</v>
      </c>
      <c r="I2127" s="3">
        <f t="shared" ca="1" si="242"/>
        <v>0.46154331531226211</v>
      </c>
      <c r="J2127" s="3">
        <f t="shared" ca="1" si="243"/>
        <v>3.3968489637907884</v>
      </c>
      <c r="P2127" s="3">
        <f t="shared" ca="1" si="244"/>
        <v>-4.4287342609093123</v>
      </c>
      <c r="Q2127" s="3">
        <f t="shared" ca="1" si="245"/>
        <v>-2.7316318644068138</v>
      </c>
      <c r="R2127" s="3">
        <f t="shared" ca="1" si="246"/>
        <v>5.2034123223510358</v>
      </c>
    </row>
    <row r="2128" spans="7:18" x14ac:dyDescent="0.25">
      <c r="G2128" s="2">
        <f t="shared" ca="1" si="240"/>
        <v>0.58341840133307299</v>
      </c>
      <c r="H2128" s="3">
        <f t="shared" ca="1" si="241"/>
        <v>0</v>
      </c>
      <c r="I2128" s="3">
        <f t="shared" ca="1" si="242"/>
        <v>6.0023377532573106E-2</v>
      </c>
      <c r="J2128" s="3">
        <f t="shared" ca="1" si="243"/>
        <v>1.2249834440980529</v>
      </c>
      <c r="P2128" s="3">
        <f t="shared" ca="1" si="244"/>
        <v>-4.9940253236713641</v>
      </c>
      <c r="Q2128" s="3">
        <f t="shared" ca="1" si="245"/>
        <v>-4.7235887391702018</v>
      </c>
      <c r="R2128" s="3">
        <f t="shared" ca="1" si="246"/>
        <v>6.8740511716371744</v>
      </c>
    </row>
    <row r="2129" spans="7:18" x14ac:dyDescent="0.25">
      <c r="G2129" s="2">
        <f t="shared" ca="1" si="240"/>
        <v>0.22864040083161763</v>
      </c>
      <c r="H2129" s="3">
        <f t="shared" ca="1" si="241"/>
        <v>0</v>
      </c>
      <c r="I2129" s="3">
        <f t="shared" ca="1" si="242"/>
        <v>1.8039860209315115</v>
      </c>
      <c r="J2129" s="3">
        <f t="shared" ca="1" si="243"/>
        <v>6.7156273365403321</v>
      </c>
      <c r="P2129" s="3">
        <f t="shared" ca="1" si="244"/>
        <v>-6.882679901456358</v>
      </c>
      <c r="Q2129" s="3">
        <f t="shared" ca="1" si="245"/>
        <v>1.2293307292902576</v>
      </c>
      <c r="R2129" s="3">
        <f t="shared" ca="1" si="246"/>
        <v>6.9916047276636437</v>
      </c>
    </row>
    <row r="2130" spans="7:18" x14ac:dyDescent="0.25">
      <c r="G2130" s="2">
        <f t="shared" ca="1" si="240"/>
        <v>0.85633818156610353</v>
      </c>
      <c r="H2130" s="3">
        <f t="shared" ca="1" si="241"/>
        <v>1</v>
      </c>
      <c r="I2130" s="3">
        <f t="shared" ca="1" si="242"/>
        <v>3.5613401814792001</v>
      </c>
      <c r="J2130" s="3">
        <f t="shared" ca="1" si="243"/>
        <v>9.4357567018750537</v>
      </c>
      <c r="P2130" s="3">
        <f t="shared" ca="1" si="244"/>
        <v>-15.879556641391492</v>
      </c>
      <c r="Q2130" s="3">
        <f t="shared" ca="1" si="245"/>
        <v>0.36331522449628401</v>
      </c>
      <c r="R2130" s="3">
        <f t="shared" ca="1" si="246"/>
        <v>15.883712320471918</v>
      </c>
    </row>
    <row r="2131" spans="7:18" x14ac:dyDescent="0.25">
      <c r="G2131" s="2">
        <f t="shared" ca="1" si="240"/>
        <v>0.7366538639801784</v>
      </c>
      <c r="H2131" s="3">
        <f t="shared" ca="1" si="241"/>
        <v>1</v>
      </c>
      <c r="I2131" s="3">
        <f t="shared" ca="1" si="242"/>
        <v>5.8711661093572198</v>
      </c>
      <c r="J2131" s="3">
        <f t="shared" ca="1" si="243"/>
        <v>12.115244641934826</v>
      </c>
      <c r="P2131" s="3">
        <f t="shared" ca="1" si="244"/>
        <v>-9.82700571905219</v>
      </c>
      <c r="Q2131" s="3">
        <f t="shared" ca="1" si="245"/>
        <v>-1.623289297765609</v>
      </c>
      <c r="R2131" s="3">
        <f t="shared" ca="1" si="246"/>
        <v>9.9601761804962479</v>
      </c>
    </row>
    <row r="2132" spans="7:18" x14ac:dyDescent="0.25">
      <c r="G2132" s="2">
        <f t="shared" ca="1" si="240"/>
        <v>0.51816549295755077</v>
      </c>
      <c r="H2132" s="3">
        <f t="shared" ca="1" si="241"/>
        <v>0</v>
      </c>
      <c r="I2132" s="3">
        <f t="shared" ca="1" si="242"/>
        <v>3.6360381318785993</v>
      </c>
      <c r="J2132" s="3">
        <f t="shared" ca="1" si="243"/>
        <v>9.5341991429256918</v>
      </c>
      <c r="P2132" s="3">
        <f t="shared" ca="1" si="244"/>
        <v>-12.800418811386692</v>
      </c>
      <c r="Q2132" s="3">
        <f t="shared" ca="1" si="245"/>
        <v>-1.7541595136709252E-2</v>
      </c>
      <c r="R2132" s="3">
        <f t="shared" ca="1" si="246"/>
        <v>12.800430830814337</v>
      </c>
    </row>
    <row r="2133" spans="7:18" x14ac:dyDescent="0.25">
      <c r="G2133" s="2">
        <f t="shared" ca="1" si="240"/>
        <v>0.6002095474743897</v>
      </c>
      <c r="H2133" s="3">
        <f t="shared" ca="1" si="241"/>
        <v>0</v>
      </c>
      <c r="I2133" s="3">
        <f t="shared" ca="1" si="242"/>
        <v>0.64394658675519989</v>
      </c>
      <c r="J2133" s="3">
        <f t="shared" ca="1" si="243"/>
        <v>4.0123141288887139</v>
      </c>
      <c r="P2133" s="3">
        <f t="shared" ca="1" si="244"/>
        <v>2.2873317559520148</v>
      </c>
      <c r="Q2133" s="3">
        <f t="shared" ca="1" si="245"/>
        <v>-6.0254740131045255</v>
      </c>
      <c r="R2133" s="3">
        <f t="shared" ca="1" si="246"/>
        <v>6.4450154107173772</v>
      </c>
    </row>
    <row r="2134" spans="7:18" x14ac:dyDescent="0.25">
      <c r="G2134" s="2">
        <f t="shared" ca="1" si="240"/>
        <v>0.50789047853119629</v>
      </c>
      <c r="H2134" s="3">
        <f t="shared" ca="1" si="241"/>
        <v>0</v>
      </c>
      <c r="I2134" s="3">
        <f t="shared" ca="1" si="242"/>
        <v>0.78105489832038755</v>
      </c>
      <c r="J2134" s="3">
        <f t="shared" ca="1" si="243"/>
        <v>4.4188655170767177</v>
      </c>
      <c r="P2134" s="3">
        <f t="shared" ca="1" si="244"/>
        <v>-5.2950391523302054</v>
      </c>
      <c r="Q2134" s="3">
        <f t="shared" ca="1" si="245"/>
        <v>2.8074679744567903</v>
      </c>
      <c r="R2134" s="3">
        <f t="shared" ca="1" si="246"/>
        <v>5.9932725661620205</v>
      </c>
    </row>
    <row r="2135" spans="7:18" x14ac:dyDescent="0.25">
      <c r="G2135" s="2">
        <f t="shared" ca="1" si="240"/>
        <v>1.7109380425314402E-2</v>
      </c>
      <c r="H2135" s="3">
        <f t="shared" ca="1" si="241"/>
        <v>0</v>
      </c>
      <c r="I2135" s="3">
        <f t="shared" ca="1" si="242"/>
        <v>0.26842920318218239</v>
      </c>
      <c r="J2135" s="3">
        <f t="shared" ca="1" si="243"/>
        <v>2.590507687607694</v>
      </c>
      <c r="P2135" s="3">
        <f t="shared" ca="1" si="244"/>
        <v>1.2821849558664482</v>
      </c>
      <c r="Q2135" s="3">
        <f t="shared" ca="1" si="245"/>
        <v>9.4346698616029077</v>
      </c>
      <c r="R2135" s="3">
        <f t="shared" ca="1" si="246"/>
        <v>9.521396623315745</v>
      </c>
    </row>
    <row r="2136" spans="7:18" x14ac:dyDescent="0.25">
      <c r="G2136" s="2">
        <f t="shared" ca="1" si="240"/>
        <v>0.54530503577277678</v>
      </c>
      <c r="H2136" s="3">
        <f t="shared" ca="1" si="241"/>
        <v>0</v>
      </c>
      <c r="I2136" s="3">
        <f t="shared" ca="1" si="242"/>
        <v>0.62784150851941911</v>
      </c>
      <c r="J2136" s="3">
        <f t="shared" ca="1" si="243"/>
        <v>3.9618225241655485</v>
      </c>
      <c r="P2136" s="3">
        <f t="shared" ca="1" si="244"/>
        <v>-7.8643446443462874</v>
      </c>
      <c r="Q2136" s="3">
        <f t="shared" ca="1" si="245"/>
        <v>3.7830862489967916</v>
      </c>
      <c r="R2136" s="3">
        <f t="shared" ca="1" si="246"/>
        <v>8.726950111717537</v>
      </c>
    </row>
    <row r="2137" spans="7:18" x14ac:dyDescent="0.25">
      <c r="G2137" s="2">
        <f t="shared" ca="1" si="240"/>
        <v>0.19181862498846403</v>
      </c>
      <c r="H2137" s="3">
        <f t="shared" ca="1" si="241"/>
        <v>0</v>
      </c>
      <c r="I2137" s="3">
        <f t="shared" ca="1" si="242"/>
        <v>0.72238767932779246</v>
      </c>
      <c r="J2137" s="3">
        <f t="shared" ca="1" si="243"/>
        <v>4.2496696322414067</v>
      </c>
      <c r="P2137" s="3">
        <f t="shared" ca="1" si="244"/>
        <v>-6.8886790688172805</v>
      </c>
      <c r="Q2137" s="3">
        <f t="shared" ca="1" si="245"/>
        <v>11.815513833318303</v>
      </c>
      <c r="R2137" s="3">
        <f t="shared" ca="1" si="246"/>
        <v>13.676997713624781</v>
      </c>
    </row>
    <row r="2138" spans="7:18" x14ac:dyDescent="0.25">
      <c r="G2138" s="2">
        <f t="shared" ca="1" si="240"/>
        <v>0.68548663667075971</v>
      </c>
      <c r="H2138" s="3">
        <f t="shared" ca="1" si="241"/>
        <v>1</v>
      </c>
      <c r="I2138" s="3">
        <f t="shared" ca="1" si="242"/>
        <v>1.4003008347458947</v>
      </c>
      <c r="J2138" s="3">
        <f t="shared" ca="1" si="243"/>
        <v>5.9167153783706183</v>
      </c>
      <c r="P2138" s="3">
        <f t="shared" ca="1" si="244"/>
        <v>-16.962074402778526</v>
      </c>
      <c r="Q2138" s="3">
        <f t="shared" ca="1" si="245"/>
        <v>3.8015023244202184</v>
      </c>
      <c r="R2138" s="3">
        <f t="shared" ca="1" si="246"/>
        <v>17.382847521852305</v>
      </c>
    </row>
    <row r="2139" spans="7:18" x14ac:dyDescent="0.25">
      <c r="G2139" s="2">
        <f t="shared" ca="1" si="240"/>
        <v>0.99459313649683367</v>
      </c>
      <c r="H2139" s="3">
        <f t="shared" ca="1" si="241"/>
        <v>3</v>
      </c>
      <c r="I2139" s="3">
        <f t="shared" ca="1" si="242"/>
        <v>7.256189511067948</v>
      </c>
      <c r="J2139" s="3">
        <f t="shared" ca="1" si="243"/>
        <v>13.468657608562877</v>
      </c>
      <c r="P2139" s="3">
        <f t="shared" ca="1" si="244"/>
        <v>-5.1463762687054722</v>
      </c>
      <c r="Q2139" s="3">
        <f t="shared" ca="1" si="245"/>
        <v>3.1250965305658736</v>
      </c>
      <c r="R2139" s="3">
        <f t="shared" ca="1" si="246"/>
        <v>6.0209149657215493</v>
      </c>
    </row>
    <row r="2140" spans="7:18" x14ac:dyDescent="0.25">
      <c r="G2140" s="2">
        <f t="shared" ca="1" si="240"/>
        <v>0.91308073734794015</v>
      </c>
      <c r="H2140" s="3">
        <f t="shared" ca="1" si="241"/>
        <v>2</v>
      </c>
      <c r="I2140" s="3">
        <f t="shared" ca="1" si="242"/>
        <v>7.8585215989823354</v>
      </c>
      <c r="J2140" s="3">
        <f t="shared" ca="1" si="243"/>
        <v>14.016527386430578</v>
      </c>
      <c r="P2140" s="3">
        <f t="shared" ca="1" si="244"/>
        <v>-0.21223838583468613</v>
      </c>
      <c r="Q2140" s="3">
        <f t="shared" ca="1" si="245"/>
        <v>3.3020091104515457</v>
      </c>
      <c r="R2140" s="3">
        <f t="shared" ca="1" si="246"/>
        <v>3.3088229475036468</v>
      </c>
    </row>
    <row r="2141" spans="7:18" x14ac:dyDescent="0.25">
      <c r="G2141" s="2">
        <f t="shared" ca="1" si="240"/>
        <v>0.89364587412212848</v>
      </c>
      <c r="H2141" s="3">
        <f t="shared" ca="1" si="241"/>
        <v>1</v>
      </c>
      <c r="I2141" s="3">
        <f t="shared" ca="1" si="242"/>
        <v>1.2062432445858451</v>
      </c>
      <c r="J2141" s="3">
        <f t="shared" ca="1" si="243"/>
        <v>5.4914552820401008</v>
      </c>
      <c r="P2141" s="3">
        <f t="shared" ca="1" si="244"/>
        <v>-3.3931358146847916</v>
      </c>
      <c r="Q2141" s="3">
        <f t="shared" ca="1" si="245"/>
        <v>-3.4416879208466056</v>
      </c>
      <c r="R2141" s="3">
        <f t="shared" ca="1" si="246"/>
        <v>4.8330721494095306</v>
      </c>
    </row>
    <row r="2142" spans="7:18" x14ac:dyDescent="0.25">
      <c r="G2142" s="2">
        <f t="shared" ca="1" si="240"/>
        <v>0.84338300950638723</v>
      </c>
      <c r="H2142" s="3">
        <f t="shared" ca="1" si="241"/>
        <v>1</v>
      </c>
      <c r="I2142" s="3">
        <f t="shared" ca="1" si="242"/>
        <v>8.1143833229398918</v>
      </c>
      <c r="J2142" s="3">
        <f t="shared" ca="1" si="243"/>
        <v>14.242878328255751</v>
      </c>
      <c r="P2142" s="3">
        <f t="shared" ca="1" si="244"/>
        <v>-0.76379928176248413</v>
      </c>
      <c r="Q2142" s="3">
        <f t="shared" ca="1" si="245"/>
        <v>-4.7084480291128816</v>
      </c>
      <c r="R2142" s="3">
        <f t="shared" ca="1" si="246"/>
        <v>4.7699970844517159</v>
      </c>
    </row>
    <row r="2143" spans="7:18" x14ac:dyDescent="0.25">
      <c r="G2143" s="2">
        <f t="shared" ca="1" si="240"/>
        <v>0.18456525925281597</v>
      </c>
      <c r="H2143" s="3">
        <f t="shared" ca="1" si="241"/>
        <v>0</v>
      </c>
      <c r="I2143" s="3">
        <f t="shared" ca="1" si="242"/>
        <v>1.9498173229173048</v>
      </c>
      <c r="J2143" s="3">
        <f t="shared" ca="1" si="243"/>
        <v>6.9817929697845251</v>
      </c>
      <c r="P2143" s="3">
        <f t="shared" ca="1" si="244"/>
        <v>2.7316293671668372</v>
      </c>
      <c r="Q2143" s="3">
        <f t="shared" ca="1" si="245"/>
        <v>3.5923270677058032</v>
      </c>
      <c r="R2143" s="3">
        <f t="shared" ca="1" si="246"/>
        <v>4.5129383732707975</v>
      </c>
    </row>
    <row r="2144" spans="7:18" x14ac:dyDescent="0.25">
      <c r="G2144" s="2">
        <f t="shared" ca="1" si="240"/>
        <v>0.6791007052915532</v>
      </c>
      <c r="H2144" s="3">
        <f t="shared" ca="1" si="241"/>
        <v>1</v>
      </c>
      <c r="I2144" s="3">
        <f t="shared" ca="1" si="242"/>
        <v>1.7200735366907518</v>
      </c>
      <c r="J2144" s="3">
        <f t="shared" ca="1" si="243"/>
        <v>6.5575787008063271</v>
      </c>
      <c r="P2144" s="3">
        <f t="shared" ca="1" si="244"/>
        <v>-3.4059363061359802</v>
      </c>
      <c r="Q2144" s="3">
        <f t="shared" ca="1" si="245"/>
        <v>-4.3947906226963598</v>
      </c>
      <c r="R2144" s="3">
        <f t="shared" ca="1" si="246"/>
        <v>5.5600887347950723</v>
      </c>
    </row>
    <row r="2145" spans="7:18" x14ac:dyDescent="0.25">
      <c r="G2145" s="2">
        <f t="shared" ca="1" si="240"/>
        <v>0.93893987997881434</v>
      </c>
      <c r="H2145" s="3">
        <f t="shared" ca="1" si="241"/>
        <v>2</v>
      </c>
      <c r="I2145" s="3">
        <f t="shared" ca="1" si="242"/>
        <v>12.225121081804433</v>
      </c>
      <c r="J2145" s="3">
        <f t="shared" ca="1" si="243"/>
        <v>17.482220312223241</v>
      </c>
      <c r="P2145" s="3">
        <f t="shared" ca="1" si="244"/>
        <v>6.8796057424655981</v>
      </c>
      <c r="Q2145" s="3">
        <f t="shared" ca="1" si="245"/>
        <v>2.0153551465283468</v>
      </c>
      <c r="R2145" s="3">
        <f t="shared" ca="1" si="246"/>
        <v>7.1687259355065267</v>
      </c>
    </row>
    <row r="2146" spans="7:18" x14ac:dyDescent="0.25">
      <c r="G2146" s="2">
        <f t="shared" ca="1" si="240"/>
        <v>0.88324623370310562</v>
      </c>
      <c r="H2146" s="3">
        <f t="shared" ca="1" si="241"/>
        <v>1</v>
      </c>
      <c r="I2146" s="3">
        <f t="shared" ca="1" si="242"/>
        <v>2.1865347834742899</v>
      </c>
      <c r="J2146" s="3">
        <f t="shared" ca="1" si="243"/>
        <v>7.3934680351548998</v>
      </c>
      <c r="P2146" s="3">
        <f t="shared" ca="1" si="244"/>
        <v>-6.2137243470511594</v>
      </c>
      <c r="Q2146" s="3">
        <f t="shared" ca="1" si="245"/>
        <v>7.1026108734545703</v>
      </c>
      <c r="R2146" s="3">
        <f t="shared" ca="1" si="246"/>
        <v>9.4370255632191355</v>
      </c>
    </row>
    <row r="2147" spans="7:18" x14ac:dyDescent="0.25">
      <c r="G2147" s="2">
        <f t="shared" ca="1" si="240"/>
        <v>0.69636982336978714</v>
      </c>
      <c r="H2147" s="3">
        <f t="shared" ca="1" si="241"/>
        <v>1</v>
      </c>
      <c r="I2147" s="3">
        <f t="shared" ca="1" si="242"/>
        <v>1.0500750764734486</v>
      </c>
      <c r="J2147" s="3">
        <f t="shared" ca="1" si="243"/>
        <v>5.1236585475455145</v>
      </c>
      <c r="P2147" s="3">
        <f t="shared" ca="1" si="244"/>
        <v>-6.1108582887686973</v>
      </c>
      <c r="Q2147" s="3">
        <f t="shared" ca="1" si="245"/>
        <v>1.5919134476625711</v>
      </c>
      <c r="R2147" s="3">
        <f t="shared" ca="1" si="246"/>
        <v>6.3148062084486822</v>
      </c>
    </row>
    <row r="2148" spans="7:18" x14ac:dyDescent="0.25">
      <c r="G2148" s="2">
        <f t="shared" ca="1" si="240"/>
        <v>9.3906646551574546E-2</v>
      </c>
      <c r="H2148" s="3">
        <f t="shared" ca="1" si="241"/>
        <v>0</v>
      </c>
      <c r="I2148" s="3">
        <f t="shared" ca="1" si="242"/>
        <v>1.3017277385125963</v>
      </c>
      <c r="J2148" s="3">
        <f t="shared" ca="1" si="243"/>
        <v>5.7046641849292854</v>
      </c>
      <c r="P2148" s="3">
        <f t="shared" ca="1" si="244"/>
        <v>-1.7033860529768896</v>
      </c>
      <c r="Q2148" s="3">
        <f t="shared" ca="1" si="245"/>
        <v>-6.2996749976196122</v>
      </c>
      <c r="R2148" s="3">
        <f t="shared" ca="1" si="246"/>
        <v>6.5259044676665203</v>
      </c>
    </row>
    <row r="2149" spans="7:18" x14ac:dyDescent="0.25">
      <c r="G2149" s="2">
        <f t="shared" ca="1" si="240"/>
        <v>0.1385024369006882</v>
      </c>
      <c r="H2149" s="3">
        <f t="shared" ca="1" si="241"/>
        <v>0</v>
      </c>
      <c r="I2149" s="3">
        <f t="shared" ca="1" si="242"/>
        <v>0.22186033332888472</v>
      </c>
      <c r="J2149" s="3">
        <f t="shared" ca="1" si="243"/>
        <v>2.3551026162828057</v>
      </c>
      <c r="P2149" s="3">
        <f t="shared" ca="1" si="244"/>
        <v>-6.402035470522133</v>
      </c>
      <c r="Q2149" s="3">
        <f t="shared" ca="1" si="245"/>
        <v>3.499747898480893</v>
      </c>
      <c r="R2149" s="3">
        <f t="shared" ca="1" si="246"/>
        <v>7.2961834899312237</v>
      </c>
    </row>
    <row r="2150" spans="7:18" x14ac:dyDescent="0.25">
      <c r="G2150" s="2">
        <f t="shared" ca="1" si="240"/>
        <v>0.83314383169591044</v>
      </c>
      <c r="H2150" s="3">
        <f t="shared" ca="1" si="241"/>
        <v>1</v>
      </c>
      <c r="I2150" s="3">
        <f t="shared" ca="1" si="242"/>
        <v>5.8703809796025181</v>
      </c>
      <c r="J2150" s="3">
        <f t="shared" ca="1" si="243"/>
        <v>12.114434550983507</v>
      </c>
      <c r="P2150" s="3">
        <f t="shared" ca="1" si="244"/>
        <v>-8.2159732734854174</v>
      </c>
      <c r="Q2150" s="3">
        <f t="shared" ca="1" si="245"/>
        <v>6.2256825809621184</v>
      </c>
      <c r="R2150" s="3">
        <f t="shared" ca="1" si="246"/>
        <v>10.308314140999091</v>
      </c>
    </row>
    <row r="2151" spans="7:18" x14ac:dyDescent="0.25">
      <c r="G2151" s="2">
        <f t="shared" ca="1" si="240"/>
        <v>0.48736753566265201</v>
      </c>
      <c r="H2151" s="3">
        <f t="shared" ca="1" si="241"/>
        <v>0</v>
      </c>
      <c r="I2151" s="3">
        <f t="shared" ca="1" si="242"/>
        <v>1.1311341647939313</v>
      </c>
      <c r="J2151" s="3">
        <f t="shared" ca="1" si="243"/>
        <v>5.3177395686370605</v>
      </c>
      <c r="P2151" s="3">
        <f t="shared" ca="1" si="244"/>
        <v>-13.040616019681924</v>
      </c>
      <c r="Q2151" s="3">
        <f t="shared" ca="1" si="245"/>
        <v>4.4612185897926899</v>
      </c>
      <c r="R2151" s="3">
        <f t="shared" ca="1" si="246"/>
        <v>13.782602710616624</v>
      </c>
    </row>
    <row r="2152" spans="7:18" x14ac:dyDescent="0.25">
      <c r="G2152" s="2">
        <f t="shared" ca="1" si="240"/>
        <v>0.27756473992216102</v>
      </c>
      <c r="H2152" s="3">
        <f t="shared" ca="1" si="241"/>
        <v>0</v>
      </c>
      <c r="I2152" s="3">
        <f t="shared" ca="1" si="242"/>
        <v>0.54508981395638756</v>
      </c>
      <c r="J2152" s="3">
        <f t="shared" ca="1" si="243"/>
        <v>3.6915099009632479</v>
      </c>
      <c r="P2152" s="3">
        <f t="shared" ca="1" si="244"/>
        <v>-6.2435880932214527</v>
      </c>
      <c r="Q2152" s="3">
        <f t="shared" ca="1" si="245"/>
        <v>-1.758354957884438</v>
      </c>
      <c r="R2152" s="3">
        <f t="shared" ca="1" si="246"/>
        <v>6.4864631684557859</v>
      </c>
    </row>
    <row r="2153" spans="7:18" x14ac:dyDescent="0.25">
      <c r="G2153" s="2">
        <f t="shared" ca="1" si="240"/>
        <v>0.67299452545056393</v>
      </c>
      <c r="H2153" s="3">
        <f t="shared" ca="1" si="241"/>
        <v>1</v>
      </c>
      <c r="I2153" s="3">
        <f t="shared" ca="1" si="242"/>
        <v>0.99075422747705688</v>
      </c>
      <c r="J2153" s="3">
        <f t="shared" ca="1" si="243"/>
        <v>4.9768318925724646</v>
      </c>
      <c r="P2153" s="3">
        <f t="shared" ca="1" si="244"/>
        <v>-8.4243245313487449</v>
      </c>
      <c r="Q2153" s="3">
        <f t="shared" ca="1" si="245"/>
        <v>3.9009965353500262</v>
      </c>
      <c r="R2153" s="3">
        <f t="shared" ca="1" si="246"/>
        <v>9.2836963424218677</v>
      </c>
    </row>
    <row r="2154" spans="7:18" x14ac:dyDescent="0.25">
      <c r="G2154" s="2">
        <f t="shared" ca="1" si="240"/>
        <v>0.40762295576969965</v>
      </c>
      <c r="H2154" s="3">
        <f t="shared" ca="1" si="241"/>
        <v>0</v>
      </c>
      <c r="I2154" s="3">
        <f t="shared" ca="1" si="242"/>
        <v>0.51656645689376512</v>
      </c>
      <c r="J2154" s="3">
        <f t="shared" ca="1" si="243"/>
        <v>3.5936278914690272</v>
      </c>
      <c r="P2154" s="3">
        <f t="shared" ca="1" si="244"/>
        <v>0.43567228482868625</v>
      </c>
      <c r="Q2154" s="3">
        <f t="shared" ca="1" si="245"/>
        <v>-2.3273051256177522</v>
      </c>
      <c r="R2154" s="3">
        <f t="shared" ca="1" si="246"/>
        <v>2.3677329848389808</v>
      </c>
    </row>
    <row r="2155" spans="7:18" x14ac:dyDescent="0.25">
      <c r="G2155" s="2">
        <f t="shared" ca="1" si="240"/>
        <v>0.31783002421249262</v>
      </c>
      <c r="H2155" s="3">
        <f t="shared" ca="1" si="241"/>
        <v>0</v>
      </c>
      <c r="I2155" s="3">
        <f t="shared" ca="1" si="242"/>
        <v>0.65785540063109926</v>
      </c>
      <c r="J2155" s="3">
        <f t="shared" ca="1" si="243"/>
        <v>4.0554142841117331</v>
      </c>
      <c r="P2155" s="3">
        <f t="shared" ca="1" si="244"/>
        <v>-9.4798023870425041</v>
      </c>
      <c r="Q2155" s="3">
        <f t="shared" ca="1" si="245"/>
        <v>-6.1370605421589302</v>
      </c>
      <c r="R2155" s="3">
        <f t="shared" ca="1" si="246"/>
        <v>11.292925457803253</v>
      </c>
    </row>
    <row r="2156" spans="7:18" x14ac:dyDescent="0.25">
      <c r="G2156" s="2">
        <f t="shared" ca="1" si="240"/>
        <v>0.84139863919082036</v>
      </c>
      <c r="H2156" s="3">
        <f t="shared" ca="1" si="241"/>
        <v>1</v>
      </c>
      <c r="I2156" s="3">
        <f t="shared" ca="1" si="242"/>
        <v>7.3958264992155209</v>
      </c>
      <c r="J2156" s="3">
        <f t="shared" ca="1" si="243"/>
        <v>13.597634444284346</v>
      </c>
      <c r="P2156" s="3">
        <f t="shared" ca="1" si="244"/>
        <v>-5.6048075208113861</v>
      </c>
      <c r="Q2156" s="3">
        <f t="shared" ca="1" si="245"/>
        <v>9.1600754675616418</v>
      </c>
      <c r="R2156" s="3">
        <f t="shared" ca="1" si="246"/>
        <v>10.738754579408569</v>
      </c>
    </row>
    <row r="2157" spans="7:18" x14ac:dyDescent="0.25">
      <c r="G2157" s="2">
        <f t="shared" ca="1" si="240"/>
        <v>0.77868032314884039</v>
      </c>
      <c r="H2157" s="3">
        <f t="shared" ca="1" si="241"/>
        <v>1</v>
      </c>
      <c r="I2157" s="3">
        <f t="shared" ca="1" si="242"/>
        <v>7.5315098292349258</v>
      </c>
      <c r="J2157" s="3">
        <f t="shared" ca="1" si="243"/>
        <v>13.721798195968091</v>
      </c>
      <c r="P2157" s="3">
        <f t="shared" ca="1" si="244"/>
        <v>-5.1274931484707382</v>
      </c>
      <c r="Q2157" s="3">
        <f t="shared" ca="1" si="245"/>
        <v>7.1326608871587549</v>
      </c>
      <c r="R2157" s="3">
        <f t="shared" ca="1" si="246"/>
        <v>8.7844201469885697</v>
      </c>
    </row>
    <row r="2158" spans="7:18" x14ac:dyDescent="0.25">
      <c r="G2158" s="2">
        <f t="shared" ca="1" si="240"/>
        <v>0.66356887164634382</v>
      </c>
      <c r="H2158" s="3">
        <f t="shared" ca="1" si="241"/>
        <v>1</v>
      </c>
      <c r="I2158" s="3">
        <f t="shared" ca="1" si="242"/>
        <v>1.7727066668374856</v>
      </c>
      <c r="J2158" s="3">
        <f t="shared" ca="1" si="243"/>
        <v>6.6571515433357185</v>
      </c>
      <c r="P2158" s="3">
        <f t="shared" ca="1" si="244"/>
        <v>-1.8984072471494891</v>
      </c>
      <c r="Q2158" s="3">
        <f t="shared" ca="1" si="245"/>
        <v>-0.61268160121521276</v>
      </c>
      <c r="R2158" s="3">
        <f t="shared" ca="1" si="246"/>
        <v>1.9948255112909847</v>
      </c>
    </row>
    <row r="2159" spans="7:18" x14ac:dyDescent="0.25">
      <c r="G2159" s="2">
        <f t="shared" ca="1" si="240"/>
        <v>2.8482908864299272E-2</v>
      </c>
      <c r="H2159" s="3">
        <f t="shared" ca="1" si="241"/>
        <v>0</v>
      </c>
      <c r="I2159" s="3">
        <f t="shared" ca="1" si="242"/>
        <v>0.32743935177496203</v>
      </c>
      <c r="J2159" s="3">
        <f t="shared" ca="1" si="243"/>
        <v>2.8611158302966433</v>
      </c>
      <c r="P2159" s="3">
        <f t="shared" ca="1" si="244"/>
        <v>-8.8208757373267481</v>
      </c>
      <c r="Q2159" s="3">
        <f t="shared" ca="1" si="245"/>
        <v>5.312375316946266</v>
      </c>
      <c r="R2159" s="3">
        <f t="shared" ca="1" si="246"/>
        <v>10.2970471632143</v>
      </c>
    </row>
    <row r="2160" spans="7:18" x14ac:dyDescent="0.25">
      <c r="G2160" s="2">
        <f t="shared" ca="1" si="240"/>
        <v>0.57822252786356165</v>
      </c>
      <c r="H2160" s="3">
        <f t="shared" ca="1" si="241"/>
        <v>0</v>
      </c>
      <c r="I2160" s="3">
        <f t="shared" ca="1" si="242"/>
        <v>3.3753079468703406</v>
      </c>
      <c r="J2160" s="3">
        <f t="shared" ca="1" si="243"/>
        <v>9.186005588489401</v>
      </c>
      <c r="P2160" s="3">
        <f t="shared" ca="1" si="244"/>
        <v>-10.755912842897436</v>
      </c>
      <c r="Q2160" s="3">
        <f t="shared" ca="1" si="245"/>
        <v>1.5822570675127581</v>
      </c>
      <c r="R2160" s="3">
        <f t="shared" ca="1" si="246"/>
        <v>10.871669536538539</v>
      </c>
    </row>
  </sheetData>
  <mergeCells count="2">
    <mergeCell ref="L10:M10"/>
    <mergeCell ref="L16:M16"/>
  </mergeCells>
  <dataValidations count="1">
    <dataValidation type="whole" allowBlank="1" showInputMessage="1" showErrorMessage="1" sqref="C6">
      <formula1>0</formula1>
      <formula2>80</formula2>
    </dataValidation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RICE</vt:lpstr>
      <vt:lpstr>Pruebas RICE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2021-05-09T21:56:18Z</dcterms:created>
  <dcterms:modified xsi:type="dcterms:W3CDTF">2021-12-09T00:24:02Z</dcterms:modified>
</cp:coreProperties>
</file>