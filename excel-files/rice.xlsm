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UARIO\Desktop\Fitter\Recursos\Excel-Distributions\"/>
    </mc:Choice>
  </mc:AlternateContent>
  <bookViews>
    <workbookView xWindow="0" yWindow="0" windowWidth="20490" windowHeight="7050"/>
  </bookViews>
  <sheets>
    <sheet name="RICE" sheetId="3" r:id="rId1"/>
    <sheet name="Pruebas RICE" sheetId="2" r:id="rId2"/>
  </sheets>
  <functionGroups builtInGroupCount="18"/>
  <externalReferences>
    <externalReference r:id="rId3"/>
    <externalReference r:id="rId4"/>
  </externalReferences>
  <definedNames>
    <definedName name="_xlchart.0" hidden="1">'Pruebas RICE'!$Q$3:$Q$2160</definedName>
    <definedName name="_xlchart.1" hidden="1">'Pruebas RICE'!$I$3:$I$2160</definedName>
    <definedName name="_xlchart.2" hidden="1">'Pruebas RICE'!$Q$3:$Q$2160</definedName>
    <definedName name="_xlchart.v1.11" hidden="1">'[1]Gen. Extreme Value'!#REF!</definedName>
    <definedName name="_xlchart.v1.6" hidden="1">#REF!</definedName>
    <definedName name="PROB">'[2]Probabilidades Origen-Destino'!$D$5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E4" i="3"/>
  <c r="E5" i="3"/>
  <c r="G5" i="3" s="1"/>
  <c r="E6" i="3"/>
  <c r="G6" i="3" s="1"/>
  <c r="E7" i="3"/>
  <c r="E8" i="3"/>
  <c r="E9" i="3"/>
  <c r="G9" i="3" s="1"/>
  <c r="E10" i="3"/>
  <c r="G10" i="3" s="1"/>
  <c r="E11" i="3"/>
  <c r="E12" i="3"/>
  <c r="E13" i="3"/>
  <c r="G13" i="3" s="1"/>
  <c r="E14" i="3"/>
  <c r="G14" i="3" s="1"/>
  <c r="E15" i="3"/>
  <c r="E16" i="3"/>
  <c r="E17" i="3"/>
  <c r="G17" i="3" s="1"/>
  <c r="E18" i="3"/>
  <c r="G18" i="3" s="1"/>
  <c r="E19" i="3"/>
  <c r="E20" i="3"/>
  <c r="E21" i="3"/>
  <c r="G21" i="3" s="1"/>
  <c r="E22" i="3"/>
  <c r="G22" i="3" s="1"/>
  <c r="E23" i="3"/>
  <c r="E24" i="3"/>
  <c r="E25" i="3"/>
  <c r="G25" i="3" s="1"/>
  <c r="E26" i="3"/>
  <c r="G26" i="3" s="1"/>
  <c r="E27" i="3"/>
  <c r="E28" i="3"/>
  <c r="E29" i="3"/>
  <c r="G29" i="3" s="1"/>
  <c r="E30" i="3"/>
  <c r="G30" i="3" s="1"/>
  <c r="E31" i="3"/>
  <c r="E32" i="3"/>
  <c r="E33" i="3"/>
  <c r="G33" i="3" s="1"/>
  <c r="E34" i="3"/>
  <c r="G34" i="3" s="1"/>
  <c r="E35" i="3"/>
  <c r="E36" i="3"/>
  <c r="E37" i="3"/>
  <c r="G37" i="3" s="1"/>
  <c r="E38" i="3"/>
  <c r="G38" i="3" s="1"/>
  <c r="E39" i="3"/>
  <c r="E40" i="3"/>
  <c r="E41" i="3"/>
  <c r="G41" i="3" s="1"/>
  <c r="E42" i="3"/>
  <c r="G42" i="3" s="1"/>
  <c r="E43" i="3"/>
  <c r="E44" i="3"/>
  <c r="E45" i="3"/>
  <c r="G45" i="3" s="1"/>
  <c r="E46" i="3"/>
  <c r="G46" i="3" s="1"/>
  <c r="E47" i="3"/>
  <c r="E48" i="3"/>
  <c r="E49" i="3"/>
  <c r="G49" i="3" s="1"/>
  <c r="E50" i="3"/>
  <c r="G50" i="3" s="1"/>
  <c r="E51" i="3"/>
  <c r="E52" i="3"/>
  <c r="E53" i="3"/>
  <c r="G53" i="3" s="1"/>
  <c r="E54" i="3"/>
  <c r="G54" i="3" s="1"/>
  <c r="E55" i="3"/>
  <c r="E56" i="3"/>
  <c r="E57" i="3"/>
  <c r="G57" i="3" s="1"/>
  <c r="E58" i="3"/>
  <c r="G58" i="3" s="1"/>
  <c r="E59" i="3"/>
  <c r="E60" i="3"/>
  <c r="E61" i="3"/>
  <c r="G61" i="3" s="1"/>
  <c r="E62" i="3"/>
  <c r="G62" i="3" s="1"/>
  <c r="E63" i="3"/>
  <c r="E64" i="3"/>
  <c r="E65" i="3"/>
  <c r="G65" i="3" s="1"/>
  <c r="E66" i="3"/>
  <c r="G66" i="3" s="1"/>
  <c r="E67" i="3"/>
  <c r="E68" i="3"/>
  <c r="E69" i="3"/>
  <c r="G69" i="3" s="1"/>
  <c r="E70" i="3"/>
  <c r="G70" i="3" s="1"/>
  <c r="E71" i="3"/>
  <c r="E72" i="3"/>
  <c r="E73" i="3"/>
  <c r="G73" i="3" s="1"/>
  <c r="E74" i="3"/>
  <c r="G74" i="3" s="1"/>
  <c r="E75" i="3"/>
  <c r="E76" i="3"/>
  <c r="E77" i="3"/>
  <c r="G77" i="3" s="1"/>
  <c r="E78" i="3"/>
  <c r="G78" i="3" s="1"/>
  <c r="E79" i="3"/>
  <c r="E80" i="3"/>
  <c r="E81" i="3"/>
  <c r="G81" i="3" s="1"/>
  <c r="E82" i="3"/>
  <c r="G82" i="3" s="1"/>
  <c r="E83" i="3"/>
  <c r="E84" i="3"/>
  <c r="E85" i="3"/>
  <c r="G85" i="3" s="1"/>
  <c r="E86" i="3"/>
  <c r="G86" i="3" s="1"/>
  <c r="E87" i="3"/>
  <c r="E88" i="3"/>
  <c r="E89" i="3"/>
  <c r="G89" i="3" s="1"/>
  <c r="E90" i="3"/>
  <c r="G90" i="3" s="1"/>
  <c r="E91" i="3"/>
  <c r="E92" i="3"/>
  <c r="E93" i="3"/>
  <c r="G93" i="3" s="1"/>
  <c r="E94" i="3"/>
  <c r="G94" i="3" s="1"/>
  <c r="E95" i="3"/>
  <c r="E96" i="3"/>
  <c r="E97" i="3"/>
  <c r="G97" i="3" s="1"/>
  <c r="E98" i="3"/>
  <c r="G98" i="3" s="1"/>
  <c r="E99" i="3"/>
  <c r="E100" i="3"/>
  <c r="E101" i="3"/>
  <c r="G101" i="3" s="1"/>
  <c r="E102" i="3"/>
  <c r="G102" i="3" s="1"/>
  <c r="E103" i="3"/>
  <c r="E104" i="3"/>
  <c r="E105" i="3"/>
  <c r="G105" i="3" s="1"/>
  <c r="E106" i="3"/>
  <c r="G106" i="3" s="1"/>
  <c r="E107" i="3"/>
  <c r="E108" i="3"/>
  <c r="E109" i="3"/>
  <c r="G109" i="3" s="1"/>
  <c r="E110" i="3"/>
  <c r="G110" i="3" s="1"/>
  <c r="E111" i="3"/>
  <c r="E112" i="3"/>
  <c r="E113" i="3"/>
  <c r="G113" i="3" s="1"/>
  <c r="E114" i="3"/>
  <c r="G114" i="3" s="1"/>
  <c r="E115" i="3"/>
  <c r="E116" i="3"/>
  <c r="E117" i="3"/>
  <c r="G117" i="3" s="1"/>
  <c r="E118" i="3"/>
  <c r="G118" i="3" s="1"/>
  <c r="E119" i="3"/>
  <c r="E120" i="3"/>
  <c r="E121" i="3"/>
  <c r="G121" i="3" s="1"/>
  <c r="E122" i="3"/>
  <c r="G122" i="3" s="1"/>
  <c r="E123" i="3"/>
  <c r="E124" i="3"/>
  <c r="E125" i="3"/>
  <c r="G125" i="3" s="1"/>
  <c r="E126" i="3"/>
  <c r="G126" i="3" s="1"/>
  <c r="E127" i="3"/>
  <c r="E128" i="3"/>
  <c r="E129" i="3"/>
  <c r="G129" i="3" s="1"/>
  <c r="E130" i="3"/>
  <c r="G130" i="3" s="1"/>
  <c r="E131" i="3"/>
  <c r="E132" i="3"/>
  <c r="E133" i="3"/>
  <c r="G133" i="3" s="1"/>
  <c r="E134" i="3"/>
  <c r="G134" i="3" s="1"/>
  <c r="E135" i="3"/>
  <c r="E136" i="3"/>
  <c r="E137" i="3"/>
  <c r="G137" i="3" s="1"/>
  <c r="E138" i="3"/>
  <c r="G138" i="3" s="1"/>
  <c r="E139" i="3"/>
  <c r="E140" i="3"/>
  <c r="E141" i="3"/>
  <c r="G141" i="3" s="1"/>
  <c r="E142" i="3"/>
  <c r="G142" i="3" s="1"/>
  <c r="E143" i="3"/>
  <c r="E144" i="3"/>
  <c r="E145" i="3"/>
  <c r="G145" i="3" s="1"/>
  <c r="E146" i="3"/>
  <c r="G146" i="3" s="1"/>
  <c r="E147" i="3"/>
  <c r="E148" i="3"/>
  <c r="E149" i="3"/>
  <c r="G149" i="3" s="1"/>
  <c r="E150" i="3"/>
  <c r="G150" i="3" s="1"/>
  <c r="E151" i="3"/>
  <c r="E152" i="3"/>
  <c r="E153" i="3"/>
  <c r="G153" i="3" s="1"/>
  <c r="E154" i="3"/>
  <c r="G154" i="3" s="1"/>
  <c r="E155" i="3"/>
  <c r="E156" i="3"/>
  <c r="E157" i="3"/>
  <c r="G157" i="3" s="1"/>
  <c r="E158" i="3"/>
  <c r="G158" i="3" s="1"/>
  <c r="E159" i="3"/>
  <c r="E160" i="3"/>
  <c r="E161" i="3"/>
  <c r="G161" i="3" s="1"/>
  <c r="E162" i="3"/>
  <c r="G162" i="3" s="1"/>
  <c r="E163" i="3"/>
  <c r="E164" i="3"/>
  <c r="E165" i="3"/>
  <c r="G165" i="3" s="1"/>
  <c r="E166" i="3"/>
  <c r="G166" i="3" s="1"/>
  <c r="E167" i="3"/>
  <c r="E168" i="3"/>
  <c r="E169" i="3"/>
  <c r="G169" i="3" s="1"/>
  <c r="E170" i="3"/>
  <c r="G170" i="3" s="1"/>
  <c r="E171" i="3"/>
  <c r="E172" i="3"/>
  <c r="E173" i="3"/>
  <c r="G173" i="3" s="1"/>
  <c r="E174" i="3"/>
  <c r="G174" i="3" s="1"/>
  <c r="E175" i="3"/>
  <c r="E176" i="3"/>
  <c r="E177" i="3"/>
  <c r="G177" i="3" s="1"/>
  <c r="E178" i="3"/>
  <c r="G178" i="3" s="1"/>
  <c r="E179" i="3"/>
  <c r="E180" i="3"/>
  <c r="E181" i="3"/>
  <c r="G181" i="3" s="1"/>
  <c r="E182" i="3"/>
  <c r="G182" i="3" s="1"/>
  <c r="E183" i="3"/>
  <c r="E184" i="3"/>
  <c r="E185" i="3"/>
  <c r="G185" i="3" s="1"/>
  <c r="E186" i="3"/>
  <c r="G186" i="3" s="1"/>
  <c r="E187" i="3"/>
  <c r="E188" i="3"/>
  <c r="E189" i="3"/>
  <c r="G189" i="3" s="1"/>
  <c r="E190" i="3"/>
  <c r="G190" i="3" s="1"/>
  <c r="E191" i="3"/>
  <c r="E192" i="3"/>
  <c r="E193" i="3"/>
  <c r="G193" i="3" s="1"/>
  <c r="E194" i="3"/>
  <c r="G194" i="3" s="1"/>
  <c r="E195" i="3"/>
  <c r="E196" i="3"/>
  <c r="E197" i="3"/>
  <c r="G197" i="3" s="1"/>
  <c r="E198" i="3"/>
  <c r="G198" i="3" s="1"/>
  <c r="E199" i="3"/>
  <c r="E200" i="3"/>
  <c r="E201" i="3"/>
  <c r="G201" i="3" s="1"/>
  <c r="E202" i="3"/>
  <c r="G202" i="3" s="1"/>
  <c r="E203" i="3"/>
  <c r="E204" i="3"/>
  <c r="E205" i="3"/>
  <c r="G205" i="3" s="1"/>
  <c r="E206" i="3"/>
  <c r="G206" i="3" s="1"/>
  <c r="E207" i="3"/>
  <c r="E208" i="3"/>
  <c r="E209" i="3"/>
  <c r="G209" i="3" s="1"/>
  <c r="E210" i="3"/>
  <c r="G210" i="3" s="1"/>
  <c r="E211" i="3"/>
  <c r="E212" i="3"/>
  <c r="E213" i="3"/>
  <c r="G213" i="3" s="1"/>
  <c r="E214" i="3"/>
  <c r="G214" i="3" s="1"/>
  <c r="E215" i="3"/>
  <c r="E216" i="3"/>
  <c r="E217" i="3"/>
  <c r="G217" i="3" s="1"/>
  <c r="E218" i="3"/>
  <c r="G218" i="3" s="1"/>
  <c r="E219" i="3"/>
  <c r="E220" i="3"/>
  <c r="E221" i="3"/>
  <c r="G221" i="3" s="1"/>
  <c r="E222" i="3"/>
  <c r="G222" i="3" s="1"/>
  <c r="E223" i="3"/>
  <c r="E224" i="3"/>
  <c r="E225" i="3"/>
  <c r="G225" i="3" s="1"/>
  <c r="E226" i="3"/>
  <c r="G226" i="3" s="1"/>
  <c r="E227" i="3"/>
  <c r="E228" i="3"/>
  <c r="E229" i="3"/>
  <c r="G229" i="3" s="1"/>
  <c r="E230" i="3"/>
  <c r="G230" i="3" s="1"/>
  <c r="E231" i="3"/>
  <c r="E232" i="3"/>
  <c r="E233" i="3"/>
  <c r="G233" i="3" s="1"/>
  <c r="E234" i="3"/>
  <c r="G234" i="3" s="1"/>
  <c r="E235" i="3"/>
  <c r="E236" i="3"/>
  <c r="E237" i="3"/>
  <c r="G237" i="3" s="1"/>
  <c r="E238" i="3"/>
  <c r="G238" i="3" s="1"/>
  <c r="E239" i="3"/>
  <c r="E240" i="3"/>
  <c r="E241" i="3"/>
  <c r="G241" i="3" s="1"/>
  <c r="E242" i="3"/>
  <c r="G242" i="3" s="1"/>
  <c r="E243" i="3"/>
  <c r="E244" i="3"/>
  <c r="E245" i="3"/>
  <c r="G245" i="3" s="1"/>
  <c r="E246" i="3"/>
  <c r="G246" i="3" s="1"/>
  <c r="E247" i="3"/>
  <c r="E248" i="3"/>
  <c r="E249" i="3"/>
  <c r="G249" i="3" s="1"/>
  <c r="E250" i="3"/>
  <c r="G250" i="3" s="1"/>
  <c r="E251" i="3"/>
  <c r="E252" i="3"/>
  <c r="E253" i="3"/>
  <c r="G253" i="3" s="1"/>
  <c r="E254" i="3"/>
  <c r="G254" i="3" s="1"/>
  <c r="E255" i="3"/>
  <c r="E256" i="3"/>
  <c r="E257" i="3"/>
  <c r="G257" i="3" s="1"/>
  <c r="E258" i="3"/>
  <c r="G258" i="3" s="1"/>
  <c r="E259" i="3"/>
  <c r="E260" i="3"/>
  <c r="E261" i="3"/>
  <c r="G261" i="3" s="1"/>
  <c r="E262" i="3"/>
  <c r="G262" i="3" s="1"/>
  <c r="E263" i="3"/>
  <c r="E264" i="3"/>
  <c r="E265" i="3"/>
  <c r="G265" i="3" s="1"/>
  <c r="E266" i="3"/>
  <c r="G266" i="3" s="1"/>
  <c r="E267" i="3"/>
  <c r="E268" i="3"/>
  <c r="E269" i="3"/>
  <c r="G269" i="3" s="1"/>
  <c r="E270" i="3"/>
  <c r="G270" i="3" s="1"/>
  <c r="E271" i="3"/>
  <c r="E272" i="3"/>
  <c r="E273" i="3"/>
  <c r="G273" i="3" s="1"/>
  <c r="E274" i="3"/>
  <c r="G274" i="3" s="1"/>
  <c r="E275" i="3"/>
  <c r="E276" i="3"/>
  <c r="E277" i="3"/>
  <c r="G277" i="3" s="1"/>
  <c r="E278" i="3"/>
  <c r="G278" i="3" s="1"/>
  <c r="E279" i="3"/>
  <c r="E280" i="3"/>
  <c r="E281" i="3"/>
  <c r="G281" i="3" s="1"/>
  <c r="E282" i="3"/>
  <c r="G282" i="3" s="1"/>
  <c r="E283" i="3"/>
  <c r="E284" i="3"/>
  <c r="E285" i="3"/>
  <c r="G285" i="3" s="1"/>
  <c r="E286" i="3"/>
  <c r="G286" i="3" s="1"/>
  <c r="E287" i="3"/>
  <c r="E288" i="3"/>
  <c r="E289" i="3"/>
  <c r="G289" i="3" s="1"/>
  <c r="E290" i="3"/>
  <c r="G290" i="3" s="1"/>
  <c r="E291" i="3"/>
  <c r="E292" i="3"/>
  <c r="E293" i="3"/>
  <c r="G293" i="3" s="1"/>
  <c r="E294" i="3"/>
  <c r="G294" i="3" s="1"/>
  <c r="E295" i="3"/>
  <c r="E296" i="3"/>
  <c r="E297" i="3"/>
  <c r="G297" i="3" s="1"/>
  <c r="E298" i="3"/>
  <c r="G298" i="3" s="1"/>
  <c r="E299" i="3"/>
  <c r="E300" i="3"/>
  <c r="E301" i="3"/>
  <c r="G301" i="3" s="1"/>
  <c r="E302" i="3"/>
  <c r="G302" i="3" s="1"/>
  <c r="E303" i="3"/>
  <c r="E304" i="3"/>
  <c r="E305" i="3"/>
  <c r="G305" i="3" s="1"/>
  <c r="E306" i="3"/>
  <c r="G306" i="3" s="1"/>
  <c r="E307" i="3"/>
  <c r="E308" i="3"/>
  <c r="E309" i="3"/>
  <c r="G309" i="3" s="1"/>
  <c r="E310" i="3"/>
  <c r="G310" i="3" s="1"/>
  <c r="E311" i="3"/>
  <c r="E312" i="3"/>
  <c r="E313" i="3"/>
  <c r="G313" i="3" s="1"/>
  <c r="E314" i="3"/>
  <c r="G314" i="3" s="1"/>
  <c r="E315" i="3"/>
  <c r="E316" i="3"/>
  <c r="E317" i="3"/>
  <c r="G317" i="3" s="1"/>
  <c r="E318" i="3"/>
  <c r="G318" i="3" s="1"/>
  <c r="E319" i="3"/>
  <c r="E320" i="3"/>
  <c r="E321" i="3"/>
  <c r="G321" i="3" s="1"/>
  <c r="E322" i="3"/>
  <c r="G322" i="3" s="1"/>
  <c r="E323" i="3"/>
  <c r="E324" i="3"/>
  <c r="E325" i="3"/>
  <c r="G325" i="3" s="1"/>
  <c r="E326" i="3"/>
  <c r="G326" i="3" s="1"/>
  <c r="E327" i="3"/>
  <c r="E328" i="3"/>
  <c r="E329" i="3"/>
  <c r="G329" i="3" s="1"/>
  <c r="E330" i="3"/>
  <c r="G330" i="3" s="1"/>
  <c r="E331" i="3"/>
  <c r="E332" i="3"/>
  <c r="E333" i="3"/>
  <c r="G333" i="3" s="1"/>
  <c r="E334" i="3"/>
  <c r="G334" i="3" s="1"/>
  <c r="E335" i="3"/>
  <c r="E336" i="3"/>
  <c r="E337" i="3"/>
  <c r="G337" i="3" s="1"/>
  <c r="E338" i="3"/>
  <c r="G338" i="3" s="1"/>
  <c r="E339" i="3"/>
  <c r="E340" i="3"/>
  <c r="E341" i="3"/>
  <c r="G341" i="3" s="1"/>
  <c r="E342" i="3"/>
  <c r="G342" i="3" s="1"/>
  <c r="E343" i="3"/>
  <c r="E344" i="3"/>
  <c r="E345" i="3"/>
  <c r="G345" i="3" s="1"/>
  <c r="E346" i="3"/>
  <c r="G346" i="3" s="1"/>
  <c r="E347" i="3"/>
  <c r="E348" i="3"/>
  <c r="E349" i="3"/>
  <c r="G349" i="3" s="1"/>
  <c r="E350" i="3"/>
  <c r="G350" i="3" s="1"/>
  <c r="E351" i="3"/>
  <c r="E352" i="3"/>
  <c r="E353" i="3"/>
  <c r="G353" i="3" s="1"/>
  <c r="E354" i="3"/>
  <c r="G354" i="3" s="1"/>
  <c r="E355" i="3"/>
  <c r="E356" i="3"/>
  <c r="E357" i="3"/>
  <c r="G357" i="3" s="1"/>
  <c r="E358" i="3"/>
  <c r="G358" i="3" s="1"/>
  <c r="E359" i="3"/>
  <c r="E360" i="3"/>
  <c r="E361" i="3"/>
  <c r="G361" i="3" s="1"/>
  <c r="E362" i="3"/>
  <c r="G362" i="3" s="1"/>
  <c r="E363" i="3"/>
  <c r="E364" i="3"/>
  <c r="E365" i="3"/>
  <c r="G365" i="3" s="1"/>
  <c r="E366" i="3"/>
  <c r="G366" i="3" s="1"/>
  <c r="E367" i="3"/>
  <c r="E368" i="3"/>
  <c r="E369" i="3"/>
  <c r="G369" i="3" s="1"/>
  <c r="E370" i="3"/>
  <c r="G370" i="3" s="1"/>
  <c r="E371" i="3"/>
  <c r="E372" i="3"/>
  <c r="E373" i="3"/>
  <c r="G373" i="3" s="1"/>
  <c r="E374" i="3"/>
  <c r="G374" i="3" s="1"/>
  <c r="E375" i="3"/>
  <c r="E376" i="3"/>
  <c r="E377" i="3"/>
  <c r="G377" i="3" s="1"/>
  <c r="E378" i="3"/>
  <c r="G378" i="3" s="1"/>
  <c r="E379" i="3"/>
  <c r="E380" i="3"/>
  <c r="E381" i="3"/>
  <c r="G381" i="3" s="1"/>
  <c r="E382" i="3"/>
  <c r="G382" i="3" s="1"/>
  <c r="E383" i="3"/>
  <c r="E384" i="3"/>
  <c r="E385" i="3"/>
  <c r="G385" i="3" s="1"/>
  <c r="E386" i="3"/>
  <c r="G386" i="3" s="1"/>
  <c r="E387" i="3"/>
  <c r="E388" i="3"/>
  <c r="E389" i="3"/>
  <c r="G389" i="3" s="1"/>
  <c r="E390" i="3"/>
  <c r="G390" i="3" s="1"/>
  <c r="E391" i="3"/>
  <c r="E392" i="3"/>
  <c r="E393" i="3"/>
  <c r="G393" i="3" s="1"/>
  <c r="E394" i="3"/>
  <c r="G394" i="3" s="1"/>
  <c r="E395" i="3"/>
  <c r="E396" i="3"/>
  <c r="E397" i="3"/>
  <c r="G397" i="3" s="1"/>
  <c r="E398" i="3"/>
  <c r="G398" i="3" s="1"/>
  <c r="E399" i="3"/>
  <c r="E400" i="3"/>
  <c r="E401" i="3"/>
  <c r="G401" i="3" s="1"/>
  <c r="E402" i="3"/>
  <c r="G402" i="3" s="1"/>
  <c r="E403" i="3"/>
  <c r="E404" i="3"/>
  <c r="E405" i="3"/>
  <c r="G405" i="3" s="1"/>
  <c r="E406" i="3"/>
  <c r="G406" i="3" s="1"/>
  <c r="E407" i="3"/>
  <c r="E408" i="3"/>
  <c r="E409" i="3"/>
  <c r="G409" i="3" s="1"/>
  <c r="E410" i="3"/>
  <c r="G410" i="3" s="1"/>
  <c r="E411" i="3"/>
  <c r="E412" i="3"/>
  <c r="E413" i="3"/>
  <c r="G413" i="3" s="1"/>
  <c r="E414" i="3"/>
  <c r="G414" i="3" s="1"/>
  <c r="E415" i="3"/>
  <c r="E416" i="3"/>
  <c r="E417" i="3"/>
  <c r="G417" i="3" s="1"/>
  <c r="E418" i="3"/>
  <c r="G418" i="3" s="1"/>
  <c r="E419" i="3"/>
  <c r="E420" i="3"/>
  <c r="E421" i="3"/>
  <c r="G421" i="3" s="1"/>
  <c r="E422" i="3"/>
  <c r="G422" i="3" s="1"/>
  <c r="E423" i="3"/>
  <c r="E424" i="3"/>
  <c r="E425" i="3"/>
  <c r="G425" i="3" s="1"/>
  <c r="E426" i="3"/>
  <c r="G426" i="3" s="1"/>
  <c r="E427" i="3"/>
  <c r="E428" i="3"/>
  <c r="E429" i="3"/>
  <c r="G429" i="3" s="1"/>
  <c r="E430" i="3"/>
  <c r="G430" i="3" s="1"/>
  <c r="E431" i="3"/>
  <c r="E432" i="3"/>
  <c r="E433" i="3"/>
  <c r="G433" i="3" s="1"/>
  <c r="E434" i="3"/>
  <c r="G434" i="3" s="1"/>
  <c r="E435" i="3"/>
  <c r="E436" i="3"/>
  <c r="G436" i="3" s="1"/>
  <c r="E437" i="3"/>
  <c r="G437" i="3" s="1"/>
  <c r="E438" i="3"/>
  <c r="G438" i="3" s="1"/>
  <c r="E439" i="3"/>
  <c r="E440" i="3"/>
  <c r="G440" i="3" s="1"/>
  <c r="E441" i="3"/>
  <c r="G441" i="3" s="1"/>
  <c r="E442" i="3"/>
  <c r="G442" i="3" s="1"/>
  <c r="E443" i="3"/>
  <c r="E444" i="3"/>
  <c r="G444" i="3" s="1"/>
  <c r="E445" i="3"/>
  <c r="G445" i="3" s="1"/>
  <c r="E446" i="3"/>
  <c r="G446" i="3" s="1"/>
  <c r="E447" i="3"/>
  <c r="E448" i="3"/>
  <c r="G448" i="3" s="1"/>
  <c r="E449" i="3"/>
  <c r="G449" i="3" s="1"/>
  <c r="E450" i="3"/>
  <c r="G450" i="3" s="1"/>
  <c r="E451" i="3"/>
  <c r="E452" i="3"/>
  <c r="G452" i="3" s="1"/>
  <c r="E453" i="3"/>
  <c r="G453" i="3" s="1"/>
  <c r="E454" i="3"/>
  <c r="G454" i="3" s="1"/>
  <c r="E455" i="3"/>
  <c r="E456" i="3"/>
  <c r="G456" i="3" s="1"/>
  <c r="E457" i="3"/>
  <c r="G457" i="3" s="1"/>
  <c r="E458" i="3"/>
  <c r="G458" i="3" s="1"/>
  <c r="E459" i="3"/>
  <c r="E460" i="3"/>
  <c r="G460" i="3" s="1"/>
  <c r="E461" i="3"/>
  <c r="G461" i="3" s="1"/>
  <c r="E462" i="3"/>
  <c r="G462" i="3" s="1"/>
  <c r="E463" i="3"/>
  <c r="E464" i="3"/>
  <c r="G464" i="3" s="1"/>
  <c r="E465" i="3"/>
  <c r="G465" i="3" s="1"/>
  <c r="E466" i="3"/>
  <c r="G466" i="3" s="1"/>
  <c r="E467" i="3"/>
  <c r="E468" i="3"/>
  <c r="G468" i="3" s="1"/>
  <c r="E469" i="3"/>
  <c r="G469" i="3" s="1"/>
  <c r="E470" i="3"/>
  <c r="G470" i="3" s="1"/>
  <c r="E471" i="3"/>
  <c r="E472" i="3"/>
  <c r="G472" i="3" s="1"/>
  <c r="E473" i="3"/>
  <c r="G473" i="3" s="1"/>
  <c r="E474" i="3"/>
  <c r="G474" i="3" s="1"/>
  <c r="E475" i="3"/>
  <c r="E476" i="3"/>
  <c r="G476" i="3" s="1"/>
  <c r="E477" i="3"/>
  <c r="G477" i="3" s="1"/>
  <c r="E478" i="3"/>
  <c r="G478" i="3" s="1"/>
  <c r="E479" i="3"/>
  <c r="E480" i="3"/>
  <c r="G480" i="3" s="1"/>
  <c r="E481" i="3"/>
  <c r="G481" i="3" s="1"/>
  <c r="E482" i="3"/>
  <c r="G482" i="3" s="1"/>
  <c r="E483" i="3"/>
  <c r="E484" i="3"/>
  <c r="G484" i="3" s="1"/>
  <c r="E485" i="3"/>
  <c r="G485" i="3" s="1"/>
  <c r="E486" i="3"/>
  <c r="G486" i="3" s="1"/>
  <c r="E487" i="3"/>
  <c r="E488" i="3"/>
  <c r="G488" i="3" s="1"/>
  <c r="E489" i="3"/>
  <c r="G489" i="3" s="1"/>
  <c r="E490" i="3"/>
  <c r="G490" i="3" s="1"/>
  <c r="E491" i="3"/>
  <c r="E492" i="3"/>
  <c r="G492" i="3" s="1"/>
  <c r="E493" i="3"/>
  <c r="G493" i="3" s="1"/>
  <c r="E494" i="3"/>
  <c r="G494" i="3" s="1"/>
  <c r="E495" i="3"/>
  <c r="E496" i="3"/>
  <c r="G496" i="3" s="1"/>
  <c r="E497" i="3"/>
  <c r="G497" i="3" s="1"/>
  <c r="E498" i="3"/>
  <c r="G498" i="3" s="1"/>
  <c r="E499" i="3"/>
  <c r="E500" i="3"/>
  <c r="G500" i="3" s="1"/>
  <c r="E501" i="3"/>
  <c r="G501" i="3" s="1"/>
  <c r="E502" i="3"/>
  <c r="G502" i="3" s="1"/>
  <c r="E503" i="3"/>
  <c r="E504" i="3"/>
  <c r="G504" i="3" s="1"/>
  <c r="E505" i="3"/>
  <c r="G505" i="3" s="1"/>
  <c r="E506" i="3"/>
  <c r="G506" i="3" s="1"/>
  <c r="E507" i="3"/>
  <c r="E508" i="3"/>
  <c r="G508" i="3" s="1"/>
  <c r="E509" i="3"/>
  <c r="G509" i="3" s="1"/>
  <c r="E510" i="3"/>
  <c r="G510" i="3" s="1"/>
  <c r="E511" i="3"/>
  <c r="E512" i="3"/>
  <c r="G512" i="3" s="1"/>
  <c r="E513" i="3"/>
  <c r="G513" i="3" s="1"/>
  <c r="E514" i="3"/>
  <c r="G514" i="3" s="1"/>
  <c r="E515" i="3"/>
  <c r="E516" i="3"/>
  <c r="G516" i="3" s="1"/>
  <c r="E517" i="3"/>
  <c r="G517" i="3" s="1"/>
  <c r="E518" i="3"/>
  <c r="G518" i="3" s="1"/>
  <c r="E519" i="3"/>
  <c r="E520" i="3"/>
  <c r="G520" i="3" s="1"/>
  <c r="E521" i="3"/>
  <c r="G521" i="3" s="1"/>
  <c r="E522" i="3"/>
  <c r="G522" i="3" s="1"/>
  <c r="E523" i="3"/>
  <c r="E524" i="3"/>
  <c r="G524" i="3" s="1"/>
  <c r="E525" i="3"/>
  <c r="G525" i="3" s="1"/>
  <c r="E526" i="3"/>
  <c r="G526" i="3" s="1"/>
  <c r="E527" i="3"/>
  <c r="E528" i="3"/>
  <c r="G528" i="3" s="1"/>
  <c r="E529" i="3"/>
  <c r="G529" i="3" s="1"/>
  <c r="E530" i="3"/>
  <c r="G530" i="3" s="1"/>
  <c r="E531" i="3"/>
  <c r="E532" i="3"/>
  <c r="G532" i="3" s="1"/>
  <c r="E533" i="3"/>
  <c r="G533" i="3" s="1"/>
  <c r="E534" i="3"/>
  <c r="G534" i="3" s="1"/>
  <c r="E535" i="3"/>
  <c r="E536" i="3"/>
  <c r="G536" i="3" s="1"/>
  <c r="E537" i="3"/>
  <c r="G537" i="3" s="1"/>
  <c r="E538" i="3"/>
  <c r="G538" i="3" s="1"/>
  <c r="E539" i="3"/>
  <c r="E540" i="3"/>
  <c r="G540" i="3" s="1"/>
  <c r="E541" i="3"/>
  <c r="G541" i="3" s="1"/>
  <c r="E542" i="3"/>
  <c r="G542" i="3" s="1"/>
  <c r="E543" i="3"/>
  <c r="E544" i="3"/>
  <c r="G544" i="3" s="1"/>
  <c r="E545" i="3"/>
  <c r="G545" i="3" s="1"/>
  <c r="E546" i="3"/>
  <c r="G546" i="3" s="1"/>
  <c r="E547" i="3"/>
  <c r="E548" i="3"/>
  <c r="G548" i="3" s="1"/>
  <c r="E549" i="3"/>
  <c r="G549" i="3" s="1"/>
  <c r="E550" i="3"/>
  <c r="G550" i="3" s="1"/>
  <c r="E551" i="3"/>
  <c r="E552" i="3"/>
  <c r="G552" i="3" s="1"/>
  <c r="E553" i="3"/>
  <c r="G553" i="3" s="1"/>
  <c r="E554" i="3"/>
  <c r="G554" i="3" s="1"/>
  <c r="E555" i="3"/>
  <c r="E556" i="3"/>
  <c r="G556" i="3" s="1"/>
  <c r="E557" i="3"/>
  <c r="G557" i="3" s="1"/>
  <c r="E558" i="3"/>
  <c r="G558" i="3" s="1"/>
  <c r="E559" i="3"/>
  <c r="E560" i="3"/>
  <c r="G560" i="3" s="1"/>
  <c r="E561" i="3"/>
  <c r="G561" i="3" s="1"/>
  <c r="E562" i="3"/>
  <c r="G562" i="3" s="1"/>
  <c r="E563" i="3"/>
  <c r="E564" i="3"/>
  <c r="G564" i="3" s="1"/>
  <c r="E565" i="3"/>
  <c r="G565" i="3" s="1"/>
  <c r="E566" i="3"/>
  <c r="G566" i="3" s="1"/>
  <c r="E567" i="3"/>
  <c r="E568" i="3"/>
  <c r="G568" i="3" s="1"/>
  <c r="E569" i="3"/>
  <c r="G569" i="3" s="1"/>
  <c r="E570" i="3"/>
  <c r="G570" i="3" s="1"/>
  <c r="E571" i="3"/>
  <c r="E572" i="3"/>
  <c r="G572" i="3" s="1"/>
  <c r="E573" i="3"/>
  <c r="G573" i="3" s="1"/>
  <c r="E574" i="3"/>
  <c r="G574" i="3" s="1"/>
  <c r="E575" i="3"/>
  <c r="E576" i="3"/>
  <c r="G576" i="3" s="1"/>
  <c r="E577" i="3"/>
  <c r="G577" i="3" s="1"/>
  <c r="E578" i="3"/>
  <c r="G578" i="3" s="1"/>
  <c r="E579" i="3"/>
  <c r="E580" i="3"/>
  <c r="G580" i="3" s="1"/>
  <c r="E581" i="3"/>
  <c r="G581" i="3" s="1"/>
  <c r="E582" i="3"/>
  <c r="G582" i="3" s="1"/>
  <c r="E583" i="3"/>
  <c r="E584" i="3"/>
  <c r="G584" i="3" s="1"/>
  <c r="E585" i="3"/>
  <c r="G585" i="3" s="1"/>
  <c r="E586" i="3"/>
  <c r="G586" i="3" s="1"/>
  <c r="E587" i="3"/>
  <c r="E588" i="3"/>
  <c r="G588" i="3" s="1"/>
  <c r="E589" i="3"/>
  <c r="G589" i="3" s="1"/>
  <c r="E590" i="3"/>
  <c r="G590" i="3" s="1"/>
  <c r="E591" i="3"/>
  <c r="E592" i="3"/>
  <c r="G592" i="3" s="1"/>
  <c r="E593" i="3"/>
  <c r="G593" i="3" s="1"/>
  <c r="E594" i="3"/>
  <c r="G594" i="3" s="1"/>
  <c r="E595" i="3"/>
  <c r="E596" i="3"/>
  <c r="G596" i="3" s="1"/>
  <c r="E597" i="3"/>
  <c r="G597" i="3" s="1"/>
  <c r="E598" i="3"/>
  <c r="G598" i="3" s="1"/>
  <c r="E599" i="3"/>
  <c r="E600" i="3"/>
  <c r="G600" i="3" s="1"/>
  <c r="E601" i="3"/>
  <c r="G601" i="3" s="1"/>
  <c r="E602" i="3"/>
  <c r="G602" i="3" s="1"/>
  <c r="E603" i="3"/>
  <c r="E604" i="3"/>
  <c r="G604" i="3" s="1"/>
  <c r="E605" i="3"/>
  <c r="G605" i="3" s="1"/>
  <c r="E606" i="3"/>
  <c r="G606" i="3" s="1"/>
  <c r="E607" i="3"/>
  <c r="E608" i="3"/>
  <c r="G608" i="3" s="1"/>
  <c r="E609" i="3"/>
  <c r="G609" i="3" s="1"/>
  <c r="E610" i="3"/>
  <c r="G610" i="3" s="1"/>
  <c r="E611" i="3"/>
  <c r="E612" i="3"/>
  <c r="G612" i="3" s="1"/>
  <c r="E613" i="3"/>
  <c r="G613" i="3" s="1"/>
  <c r="E614" i="3"/>
  <c r="G614" i="3" s="1"/>
  <c r="E615" i="3"/>
  <c r="E616" i="3"/>
  <c r="G616" i="3" s="1"/>
  <c r="E617" i="3"/>
  <c r="G617" i="3" s="1"/>
  <c r="E618" i="3"/>
  <c r="G618" i="3" s="1"/>
  <c r="E619" i="3"/>
  <c r="E620" i="3"/>
  <c r="G620" i="3" s="1"/>
  <c r="E621" i="3"/>
  <c r="G621" i="3" s="1"/>
  <c r="E622" i="3"/>
  <c r="G622" i="3" s="1"/>
  <c r="E623" i="3"/>
  <c r="E624" i="3"/>
  <c r="G624" i="3" s="1"/>
  <c r="E625" i="3"/>
  <c r="G625" i="3" s="1"/>
  <c r="E626" i="3"/>
  <c r="G626" i="3" s="1"/>
  <c r="E627" i="3"/>
  <c r="E628" i="3"/>
  <c r="G628" i="3" s="1"/>
  <c r="E629" i="3"/>
  <c r="G629" i="3" s="1"/>
  <c r="E630" i="3"/>
  <c r="G630" i="3" s="1"/>
  <c r="E631" i="3"/>
  <c r="E632" i="3"/>
  <c r="G632" i="3" s="1"/>
  <c r="E633" i="3"/>
  <c r="G633" i="3" s="1"/>
  <c r="E634" i="3"/>
  <c r="G634" i="3" s="1"/>
  <c r="E635" i="3"/>
  <c r="E636" i="3"/>
  <c r="G636" i="3" s="1"/>
  <c r="E637" i="3"/>
  <c r="G637" i="3" s="1"/>
  <c r="E638" i="3"/>
  <c r="G638" i="3" s="1"/>
  <c r="E639" i="3"/>
  <c r="E640" i="3"/>
  <c r="G640" i="3" s="1"/>
  <c r="E641" i="3"/>
  <c r="G641" i="3" s="1"/>
  <c r="E642" i="3"/>
  <c r="G642" i="3" s="1"/>
  <c r="E643" i="3"/>
  <c r="E644" i="3"/>
  <c r="G644" i="3" s="1"/>
  <c r="E645" i="3"/>
  <c r="G645" i="3" s="1"/>
  <c r="E646" i="3"/>
  <c r="G646" i="3" s="1"/>
  <c r="E647" i="3"/>
  <c r="E648" i="3"/>
  <c r="G648" i="3" s="1"/>
  <c r="E649" i="3"/>
  <c r="G649" i="3" s="1"/>
  <c r="E650" i="3"/>
  <c r="G650" i="3" s="1"/>
  <c r="E651" i="3"/>
  <c r="E652" i="3"/>
  <c r="G652" i="3" s="1"/>
  <c r="E653" i="3"/>
  <c r="G653" i="3" s="1"/>
  <c r="E654" i="3"/>
  <c r="G654" i="3" s="1"/>
  <c r="E655" i="3"/>
  <c r="E656" i="3"/>
  <c r="G656" i="3" s="1"/>
  <c r="E657" i="3"/>
  <c r="G657" i="3" s="1"/>
  <c r="E658" i="3"/>
  <c r="G658" i="3" s="1"/>
  <c r="E659" i="3"/>
  <c r="E660" i="3"/>
  <c r="G660" i="3" s="1"/>
  <c r="E661" i="3"/>
  <c r="G661" i="3" s="1"/>
  <c r="E662" i="3"/>
  <c r="G662" i="3" s="1"/>
  <c r="E663" i="3"/>
  <c r="E664" i="3"/>
  <c r="G664" i="3" s="1"/>
  <c r="E665" i="3"/>
  <c r="G665" i="3" s="1"/>
  <c r="E666" i="3"/>
  <c r="G666" i="3" s="1"/>
  <c r="E667" i="3"/>
  <c r="E668" i="3"/>
  <c r="G668" i="3" s="1"/>
  <c r="E669" i="3"/>
  <c r="G669" i="3" s="1"/>
  <c r="E670" i="3"/>
  <c r="G670" i="3" s="1"/>
  <c r="E671" i="3"/>
  <c r="E672" i="3"/>
  <c r="G672" i="3" s="1"/>
  <c r="E673" i="3"/>
  <c r="G673" i="3" s="1"/>
  <c r="E674" i="3"/>
  <c r="G674" i="3" s="1"/>
  <c r="E675" i="3"/>
  <c r="E676" i="3"/>
  <c r="G676" i="3" s="1"/>
  <c r="E677" i="3"/>
  <c r="G677" i="3" s="1"/>
  <c r="E678" i="3"/>
  <c r="G678" i="3" s="1"/>
  <c r="E679" i="3"/>
  <c r="E680" i="3"/>
  <c r="G680" i="3" s="1"/>
  <c r="E681" i="3"/>
  <c r="G681" i="3" s="1"/>
  <c r="E682" i="3"/>
  <c r="G682" i="3" s="1"/>
  <c r="E683" i="3"/>
  <c r="E684" i="3"/>
  <c r="G684" i="3" s="1"/>
  <c r="E685" i="3"/>
  <c r="G685" i="3" s="1"/>
  <c r="E686" i="3"/>
  <c r="G686" i="3" s="1"/>
  <c r="E687" i="3"/>
  <c r="E688" i="3"/>
  <c r="G688" i="3" s="1"/>
  <c r="E689" i="3"/>
  <c r="G689" i="3" s="1"/>
  <c r="E690" i="3"/>
  <c r="G690" i="3" s="1"/>
  <c r="E691" i="3"/>
  <c r="E692" i="3"/>
  <c r="G692" i="3" s="1"/>
  <c r="E693" i="3"/>
  <c r="G693" i="3" s="1"/>
  <c r="E694" i="3"/>
  <c r="G694" i="3" s="1"/>
  <c r="E695" i="3"/>
  <c r="E696" i="3"/>
  <c r="G696" i="3" s="1"/>
  <c r="E697" i="3"/>
  <c r="G697" i="3" s="1"/>
  <c r="E698" i="3"/>
  <c r="G698" i="3" s="1"/>
  <c r="E699" i="3"/>
  <c r="E700" i="3"/>
  <c r="G700" i="3" s="1"/>
  <c r="E701" i="3"/>
  <c r="G701" i="3" s="1"/>
  <c r="E702" i="3"/>
  <c r="G702" i="3" s="1"/>
  <c r="E703" i="3"/>
  <c r="E704" i="3"/>
  <c r="G704" i="3" s="1"/>
  <c r="E705" i="3"/>
  <c r="G705" i="3" s="1"/>
  <c r="E706" i="3"/>
  <c r="G706" i="3" s="1"/>
  <c r="E707" i="3"/>
  <c r="E708" i="3"/>
  <c r="G708" i="3" s="1"/>
  <c r="E709" i="3"/>
  <c r="G709" i="3" s="1"/>
  <c r="E710" i="3"/>
  <c r="G710" i="3" s="1"/>
  <c r="E711" i="3"/>
  <c r="E712" i="3"/>
  <c r="G712" i="3" s="1"/>
  <c r="E713" i="3"/>
  <c r="G713" i="3" s="1"/>
  <c r="E714" i="3"/>
  <c r="G714" i="3" s="1"/>
  <c r="E715" i="3"/>
  <c r="E716" i="3"/>
  <c r="G716" i="3" s="1"/>
  <c r="E717" i="3"/>
  <c r="G717" i="3" s="1"/>
  <c r="E718" i="3"/>
  <c r="G718" i="3" s="1"/>
  <c r="E719" i="3"/>
  <c r="E720" i="3"/>
  <c r="G720" i="3" s="1"/>
  <c r="E721" i="3"/>
  <c r="G721" i="3" s="1"/>
  <c r="E722" i="3"/>
  <c r="G722" i="3" s="1"/>
  <c r="E723" i="3"/>
  <c r="E724" i="3"/>
  <c r="G724" i="3" s="1"/>
  <c r="E725" i="3"/>
  <c r="G725" i="3" s="1"/>
  <c r="E726" i="3"/>
  <c r="G726" i="3" s="1"/>
  <c r="E727" i="3"/>
  <c r="E728" i="3"/>
  <c r="G728" i="3" s="1"/>
  <c r="E729" i="3"/>
  <c r="G729" i="3" s="1"/>
  <c r="E730" i="3"/>
  <c r="G730" i="3" s="1"/>
  <c r="E731" i="3"/>
  <c r="E732" i="3"/>
  <c r="G732" i="3" s="1"/>
  <c r="E733" i="3"/>
  <c r="G733" i="3" s="1"/>
  <c r="E734" i="3"/>
  <c r="G734" i="3" s="1"/>
  <c r="E735" i="3"/>
  <c r="E736" i="3"/>
  <c r="G736" i="3" s="1"/>
  <c r="E737" i="3"/>
  <c r="G737" i="3" s="1"/>
  <c r="E738" i="3"/>
  <c r="G738" i="3" s="1"/>
  <c r="E739" i="3"/>
  <c r="E740" i="3"/>
  <c r="G740" i="3" s="1"/>
  <c r="E741" i="3"/>
  <c r="G741" i="3" s="1"/>
  <c r="E742" i="3"/>
  <c r="G742" i="3" s="1"/>
  <c r="E743" i="3"/>
  <c r="E744" i="3"/>
  <c r="G744" i="3" s="1"/>
  <c r="E745" i="3"/>
  <c r="G745" i="3" s="1"/>
  <c r="E746" i="3"/>
  <c r="G746" i="3" s="1"/>
  <c r="E747" i="3"/>
  <c r="E748" i="3"/>
  <c r="G748" i="3" s="1"/>
  <c r="E749" i="3"/>
  <c r="G749" i="3" s="1"/>
  <c r="E750" i="3"/>
  <c r="G750" i="3" s="1"/>
  <c r="E751" i="3"/>
  <c r="E752" i="3"/>
  <c r="G752" i="3" s="1"/>
  <c r="E753" i="3"/>
  <c r="G753" i="3" s="1"/>
  <c r="E754" i="3"/>
  <c r="G754" i="3" s="1"/>
  <c r="E755" i="3"/>
  <c r="E756" i="3"/>
  <c r="G756" i="3" s="1"/>
  <c r="E757" i="3"/>
  <c r="G757" i="3" s="1"/>
  <c r="E758" i="3"/>
  <c r="G758" i="3" s="1"/>
  <c r="E759" i="3"/>
  <c r="E760" i="3"/>
  <c r="G760" i="3" s="1"/>
  <c r="E761" i="3"/>
  <c r="G761" i="3" s="1"/>
  <c r="E762" i="3"/>
  <c r="G762" i="3" s="1"/>
  <c r="E763" i="3"/>
  <c r="E764" i="3"/>
  <c r="G764" i="3" s="1"/>
  <c r="E765" i="3"/>
  <c r="G765" i="3" s="1"/>
  <c r="E766" i="3"/>
  <c r="G766" i="3" s="1"/>
  <c r="E767" i="3"/>
  <c r="E768" i="3"/>
  <c r="G768" i="3" s="1"/>
  <c r="E769" i="3"/>
  <c r="G769" i="3" s="1"/>
  <c r="E770" i="3"/>
  <c r="G770" i="3" s="1"/>
  <c r="E771" i="3"/>
  <c r="E772" i="3"/>
  <c r="G772" i="3" s="1"/>
  <c r="E773" i="3"/>
  <c r="G773" i="3" s="1"/>
  <c r="E774" i="3"/>
  <c r="G774" i="3" s="1"/>
  <c r="E775" i="3"/>
  <c r="E776" i="3"/>
  <c r="G776" i="3" s="1"/>
  <c r="E777" i="3"/>
  <c r="G777" i="3" s="1"/>
  <c r="E778" i="3"/>
  <c r="G778" i="3" s="1"/>
  <c r="E779" i="3"/>
  <c r="E780" i="3"/>
  <c r="G780" i="3" s="1"/>
  <c r="E781" i="3"/>
  <c r="G781" i="3" s="1"/>
  <c r="E782" i="3"/>
  <c r="G782" i="3" s="1"/>
  <c r="E783" i="3"/>
  <c r="E784" i="3"/>
  <c r="G784" i="3" s="1"/>
  <c r="E785" i="3"/>
  <c r="G785" i="3" s="1"/>
  <c r="E786" i="3"/>
  <c r="G786" i="3" s="1"/>
  <c r="E787" i="3"/>
  <c r="E788" i="3"/>
  <c r="G788" i="3" s="1"/>
  <c r="E789" i="3"/>
  <c r="G789" i="3" s="1"/>
  <c r="E790" i="3"/>
  <c r="G790" i="3" s="1"/>
  <c r="E791" i="3"/>
  <c r="E792" i="3"/>
  <c r="G792" i="3" s="1"/>
  <c r="E793" i="3"/>
  <c r="G793" i="3" s="1"/>
  <c r="E794" i="3"/>
  <c r="G794" i="3" s="1"/>
  <c r="E795" i="3"/>
  <c r="E796" i="3"/>
  <c r="G796" i="3" s="1"/>
  <c r="E797" i="3"/>
  <c r="G797" i="3" s="1"/>
  <c r="E798" i="3"/>
  <c r="G798" i="3" s="1"/>
  <c r="E799" i="3"/>
  <c r="E800" i="3"/>
  <c r="G800" i="3" s="1"/>
  <c r="E801" i="3"/>
  <c r="G801" i="3" s="1"/>
  <c r="E802" i="3"/>
  <c r="G802" i="3" s="1"/>
  <c r="E803" i="3"/>
  <c r="E804" i="3"/>
  <c r="G804" i="3" s="1"/>
  <c r="E805" i="3"/>
  <c r="G805" i="3" s="1"/>
  <c r="E806" i="3"/>
  <c r="G806" i="3" s="1"/>
  <c r="E807" i="3"/>
  <c r="E808" i="3"/>
  <c r="G808" i="3" s="1"/>
  <c r="E809" i="3"/>
  <c r="G809" i="3" s="1"/>
  <c r="E810" i="3"/>
  <c r="G810" i="3" s="1"/>
  <c r="E811" i="3"/>
  <c r="E812" i="3"/>
  <c r="G812" i="3" s="1"/>
  <c r="E813" i="3"/>
  <c r="G813" i="3" s="1"/>
  <c r="E814" i="3"/>
  <c r="G814" i="3" s="1"/>
  <c r="E815" i="3"/>
  <c r="E816" i="3"/>
  <c r="G816" i="3" s="1"/>
  <c r="E817" i="3"/>
  <c r="G817" i="3" s="1"/>
  <c r="E818" i="3"/>
  <c r="G818" i="3" s="1"/>
  <c r="E819" i="3"/>
  <c r="E820" i="3"/>
  <c r="G820" i="3" s="1"/>
  <c r="E821" i="3"/>
  <c r="G821" i="3" s="1"/>
  <c r="E822" i="3"/>
  <c r="G822" i="3" s="1"/>
  <c r="E823" i="3"/>
  <c r="E824" i="3"/>
  <c r="G824" i="3" s="1"/>
  <c r="E825" i="3"/>
  <c r="G825" i="3" s="1"/>
  <c r="E826" i="3"/>
  <c r="G826" i="3" s="1"/>
  <c r="E827" i="3"/>
  <c r="E828" i="3"/>
  <c r="G828" i="3" s="1"/>
  <c r="E829" i="3"/>
  <c r="G829" i="3" s="1"/>
  <c r="E830" i="3"/>
  <c r="G830" i="3" s="1"/>
  <c r="E831" i="3"/>
  <c r="E832" i="3"/>
  <c r="G832" i="3" s="1"/>
  <c r="E833" i="3"/>
  <c r="G833" i="3" s="1"/>
  <c r="E834" i="3"/>
  <c r="G834" i="3" s="1"/>
  <c r="E835" i="3"/>
  <c r="E836" i="3"/>
  <c r="G836" i="3" s="1"/>
  <c r="E837" i="3"/>
  <c r="G837" i="3" s="1"/>
  <c r="E838" i="3"/>
  <c r="G838" i="3" s="1"/>
  <c r="E839" i="3"/>
  <c r="E840" i="3"/>
  <c r="G840" i="3" s="1"/>
  <c r="E841" i="3"/>
  <c r="G841" i="3" s="1"/>
  <c r="E842" i="3"/>
  <c r="G842" i="3" s="1"/>
  <c r="E843" i="3"/>
  <c r="E844" i="3"/>
  <c r="G844" i="3" s="1"/>
  <c r="E845" i="3"/>
  <c r="G845" i="3" s="1"/>
  <c r="E846" i="3"/>
  <c r="G846" i="3" s="1"/>
  <c r="E847" i="3"/>
  <c r="E848" i="3"/>
  <c r="G848" i="3" s="1"/>
  <c r="E849" i="3"/>
  <c r="G849" i="3" s="1"/>
  <c r="E850" i="3"/>
  <c r="G850" i="3" s="1"/>
  <c r="E851" i="3"/>
  <c r="E852" i="3"/>
  <c r="G852" i="3" s="1"/>
  <c r="E853" i="3"/>
  <c r="G853" i="3" s="1"/>
  <c r="E854" i="3"/>
  <c r="G854" i="3" s="1"/>
  <c r="E855" i="3"/>
  <c r="E856" i="3"/>
  <c r="G856" i="3" s="1"/>
  <c r="E857" i="3"/>
  <c r="G857" i="3" s="1"/>
  <c r="E858" i="3"/>
  <c r="G858" i="3" s="1"/>
  <c r="E859" i="3"/>
  <c r="E860" i="3"/>
  <c r="G860" i="3" s="1"/>
  <c r="E861" i="3"/>
  <c r="G861" i="3" s="1"/>
  <c r="E862" i="3"/>
  <c r="G862" i="3" s="1"/>
  <c r="E863" i="3"/>
  <c r="E864" i="3"/>
  <c r="G864" i="3" s="1"/>
  <c r="E865" i="3"/>
  <c r="G865" i="3" s="1"/>
  <c r="E866" i="3"/>
  <c r="G866" i="3" s="1"/>
  <c r="E867" i="3"/>
  <c r="E868" i="3"/>
  <c r="G868" i="3" s="1"/>
  <c r="E869" i="3"/>
  <c r="G869" i="3" s="1"/>
  <c r="E870" i="3"/>
  <c r="G870" i="3" s="1"/>
  <c r="E871" i="3"/>
  <c r="E872" i="3"/>
  <c r="G872" i="3" s="1"/>
  <c r="E873" i="3"/>
  <c r="G873" i="3" s="1"/>
  <c r="E874" i="3"/>
  <c r="G874" i="3" s="1"/>
  <c r="E875" i="3"/>
  <c r="E876" i="3"/>
  <c r="G876" i="3" s="1"/>
  <c r="E877" i="3"/>
  <c r="G877" i="3" s="1"/>
  <c r="E878" i="3"/>
  <c r="G878" i="3" s="1"/>
  <c r="E879" i="3"/>
  <c r="E880" i="3"/>
  <c r="G880" i="3" s="1"/>
  <c r="E881" i="3"/>
  <c r="G881" i="3" s="1"/>
  <c r="E882" i="3"/>
  <c r="G882" i="3" s="1"/>
  <c r="E883" i="3"/>
  <c r="E884" i="3"/>
  <c r="G884" i="3" s="1"/>
  <c r="E885" i="3"/>
  <c r="G885" i="3" s="1"/>
  <c r="E886" i="3"/>
  <c r="G886" i="3" s="1"/>
  <c r="E887" i="3"/>
  <c r="E888" i="3"/>
  <c r="G888" i="3" s="1"/>
  <c r="E889" i="3"/>
  <c r="G889" i="3" s="1"/>
  <c r="E890" i="3"/>
  <c r="G890" i="3" s="1"/>
  <c r="E891" i="3"/>
  <c r="E892" i="3"/>
  <c r="G892" i="3" s="1"/>
  <c r="E893" i="3"/>
  <c r="G893" i="3" s="1"/>
  <c r="E894" i="3"/>
  <c r="G894" i="3" s="1"/>
  <c r="E895" i="3"/>
  <c r="E896" i="3"/>
  <c r="G896" i="3" s="1"/>
  <c r="E897" i="3"/>
  <c r="G897" i="3" s="1"/>
  <c r="E898" i="3"/>
  <c r="G898" i="3" s="1"/>
  <c r="E899" i="3"/>
  <c r="E900" i="3"/>
  <c r="G900" i="3" s="1"/>
  <c r="E901" i="3"/>
  <c r="G901" i="3" s="1"/>
  <c r="E902" i="3"/>
  <c r="G902" i="3" s="1"/>
  <c r="E903" i="3"/>
  <c r="E904" i="3"/>
  <c r="G904" i="3" s="1"/>
  <c r="E905" i="3"/>
  <c r="G905" i="3" s="1"/>
  <c r="E906" i="3"/>
  <c r="G906" i="3" s="1"/>
  <c r="E907" i="3"/>
  <c r="E908" i="3"/>
  <c r="G908" i="3" s="1"/>
  <c r="E909" i="3"/>
  <c r="G909" i="3" s="1"/>
  <c r="E910" i="3"/>
  <c r="G910" i="3" s="1"/>
  <c r="E911" i="3"/>
  <c r="E912" i="3"/>
  <c r="G912" i="3" s="1"/>
  <c r="E913" i="3"/>
  <c r="G913" i="3" s="1"/>
  <c r="E914" i="3"/>
  <c r="G914" i="3" s="1"/>
  <c r="E915" i="3"/>
  <c r="E916" i="3"/>
  <c r="G916" i="3" s="1"/>
  <c r="E917" i="3"/>
  <c r="G917" i="3" s="1"/>
  <c r="E918" i="3"/>
  <c r="G918" i="3" s="1"/>
  <c r="E919" i="3"/>
  <c r="E920" i="3"/>
  <c r="G920" i="3" s="1"/>
  <c r="E921" i="3"/>
  <c r="G921" i="3" s="1"/>
  <c r="E922" i="3"/>
  <c r="G922" i="3" s="1"/>
  <c r="E923" i="3"/>
  <c r="E924" i="3"/>
  <c r="G924" i="3" s="1"/>
  <c r="E925" i="3"/>
  <c r="G925" i="3" s="1"/>
  <c r="E926" i="3"/>
  <c r="G926" i="3" s="1"/>
  <c r="E927" i="3"/>
  <c r="E928" i="3"/>
  <c r="G928" i="3" s="1"/>
  <c r="E929" i="3"/>
  <c r="G929" i="3" s="1"/>
  <c r="E930" i="3"/>
  <c r="G930" i="3" s="1"/>
  <c r="E931" i="3"/>
  <c r="E932" i="3"/>
  <c r="G932" i="3" s="1"/>
  <c r="E933" i="3"/>
  <c r="G933" i="3" s="1"/>
  <c r="E934" i="3"/>
  <c r="G934" i="3" s="1"/>
  <c r="E935" i="3"/>
  <c r="E936" i="3"/>
  <c r="G936" i="3" s="1"/>
  <c r="E937" i="3"/>
  <c r="G937" i="3" s="1"/>
  <c r="E938" i="3"/>
  <c r="G938" i="3" s="1"/>
  <c r="E939" i="3"/>
  <c r="E940" i="3"/>
  <c r="G940" i="3" s="1"/>
  <c r="E941" i="3"/>
  <c r="G941" i="3" s="1"/>
  <c r="E942" i="3"/>
  <c r="G942" i="3" s="1"/>
  <c r="E943" i="3"/>
  <c r="E944" i="3"/>
  <c r="G944" i="3" s="1"/>
  <c r="E945" i="3"/>
  <c r="G945" i="3" s="1"/>
  <c r="E946" i="3"/>
  <c r="G946" i="3" s="1"/>
  <c r="E947" i="3"/>
  <c r="E948" i="3"/>
  <c r="G948" i="3" s="1"/>
  <c r="E949" i="3"/>
  <c r="G949" i="3" s="1"/>
  <c r="E950" i="3"/>
  <c r="G950" i="3" s="1"/>
  <c r="E951" i="3"/>
  <c r="E952" i="3"/>
  <c r="G952" i="3" s="1"/>
  <c r="E953" i="3"/>
  <c r="G953" i="3" s="1"/>
  <c r="E954" i="3"/>
  <c r="G954" i="3" s="1"/>
  <c r="E955" i="3"/>
  <c r="E956" i="3"/>
  <c r="G956" i="3" s="1"/>
  <c r="E957" i="3"/>
  <c r="G957" i="3" s="1"/>
  <c r="E958" i="3"/>
  <c r="G958" i="3" s="1"/>
  <c r="E959" i="3"/>
  <c r="E960" i="3"/>
  <c r="G960" i="3" s="1"/>
  <c r="E961" i="3"/>
  <c r="G961" i="3" s="1"/>
  <c r="E962" i="3"/>
  <c r="G962" i="3" s="1"/>
  <c r="E963" i="3"/>
  <c r="E964" i="3"/>
  <c r="G964" i="3" s="1"/>
  <c r="E965" i="3"/>
  <c r="G965" i="3" s="1"/>
  <c r="E966" i="3"/>
  <c r="G966" i="3" s="1"/>
  <c r="E967" i="3"/>
  <c r="E968" i="3"/>
  <c r="G968" i="3" s="1"/>
  <c r="E969" i="3"/>
  <c r="G969" i="3" s="1"/>
  <c r="E970" i="3"/>
  <c r="G970" i="3" s="1"/>
  <c r="E971" i="3"/>
  <c r="E972" i="3"/>
  <c r="G972" i="3" s="1"/>
  <c r="E973" i="3"/>
  <c r="G973" i="3" s="1"/>
  <c r="E974" i="3"/>
  <c r="G974" i="3" s="1"/>
  <c r="E975" i="3"/>
  <c r="E976" i="3"/>
  <c r="G976" i="3" s="1"/>
  <c r="E977" i="3"/>
  <c r="G977" i="3" s="1"/>
  <c r="E978" i="3"/>
  <c r="G978" i="3" s="1"/>
  <c r="E979" i="3"/>
  <c r="E980" i="3"/>
  <c r="G980" i="3" s="1"/>
  <c r="E981" i="3"/>
  <c r="G981" i="3" s="1"/>
  <c r="E982" i="3"/>
  <c r="G982" i="3" s="1"/>
  <c r="E983" i="3"/>
  <c r="E984" i="3"/>
  <c r="G984" i="3" s="1"/>
  <c r="E985" i="3"/>
  <c r="G985" i="3" s="1"/>
  <c r="E986" i="3"/>
  <c r="G986" i="3" s="1"/>
  <c r="E987" i="3"/>
  <c r="E988" i="3"/>
  <c r="G988" i="3" s="1"/>
  <c r="E989" i="3"/>
  <c r="G989" i="3" s="1"/>
  <c r="E990" i="3"/>
  <c r="G990" i="3" s="1"/>
  <c r="E991" i="3"/>
  <c r="E992" i="3"/>
  <c r="G992" i="3" s="1"/>
  <c r="E993" i="3"/>
  <c r="G993" i="3" s="1"/>
  <c r="E994" i="3"/>
  <c r="G994" i="3" s="1"/>
  <c r="E995" i="3"/>
  <c r="E996" i="3"/>
  <c r="G996" i="3" s="1"/>
  <c r="E997" i="3"/>
  <c r="G997" i="3" s="1"/>
  <c r="E998" i="3"/>
  <c r="G998" i="3" s="1"/>
  <c r="E999" i="3"/>
  <c r="E1000" i="3"/>
  <c r="G1000" i="3" s="1"/>
  <c r="E1001" i="3"/>
  <c r="G1001" i="3" s="1"/>
  <c r="E1002" i="3"/>
  <c r="G1002" i="3" s="1"/>
  <c r="E1003" i="3"/>
  <c r="E1004" i="3"/>
  <c r="G1004" i="3" s="1"/>
  <c r="E1005" i="3"/>
  <c r="G1005" i="3" s="1"/>
  <c r="E1006" i="3"/>
  <c r="G1006" i="3" s="1"/>
  <c r="E1007" i="3"/>
  <c r="E1008" i="3"/>
  <c r="G1008" i="3" s="1"/>
  <c r="E1009" i="3"/>
  <c r="G1009" i="3" s="1"/>
  <c r="E1010" i="3"/>
  <c r="G1010" i="3" s="1"/>
  <c r="E1011" i="3"/>
  <c r="E1012" i="3"/>
  <c r="G1012" i="3" s="1"/>
  <c r="E1013" i="3"/>
  <c r="G1013" i="3" s="1"/>
  <c r="E1014" i="3"/>
  <c r="G1014" i="3" s="1"/>
  <c r="E1015" i="3"/>
  <c r="E1016" i="3"/>
  <c r="G1016" i="3" s="1"/>
  <c r="E1017" i="3"/>
  <c r="G1017" i="3" s="1"/>
  <c r="E1018" i="3"/>
  <c r="G1018" i="3" s="1"/>
  <c r="E1019" i="3"/>
  <c r="E1020" i="3"/>
  <c r="G1020" i="3" s="1"/>
  <c r="E1021" i="3"/>
  <c r="G1021" i="3" s="1"/>
  <c r="E1022" i="3"/>
  <c r="G1022" i="3" s="1"/>
  <c r="E1023" i="3"/>
  <c r="E1024" i="3"/>
  <c r="G1024" i="3" s="1"/>
  <c r="E1025" i="3"/>
  <c r="G1025" i="3" s="1"/>
  <c r="E1026" i="3"/>
  <c r="G1026" i="3" s="1"/>
  <c r="E1027" i="3"/>
  <c r="E1028" i="3"/>
  <c r="G1028" i="3" s="1"/>
  <c r="E1029" i="3"/>
  <c r="G1029" i="3" s="1"/>
  <c r="E1030" i="3"/>
  <c r="G1030" i="3" s="1"/>
  <c r="E1031" i="3"/>
  <c r="E1032" i="3"/>
  <c r="G1032" i="3" s="1"/>
  <c r="E1033" i="3"/>
  <c r="G1033" i="3" s="1"/>
  <c r="E1034" i="3"/>
  <c r="G1034" i="3" s="1"/>
  <c r="E1035" i="3"/>
  <c r="E1036" i="3"/>
  <c r="G1036" i="3" s="1"/>
  <c r="E1037" i="3"/>
  <c r="G1037" i="3" s="1"/>
  <c r="E1038" i="3"/>
  <c r="G1038" i="3" s="1"/>
  <c r="E1039" i="3"/>
  <c r="E1040" i="3"/>
  <c r="G1040" i="3" s="1"/>
  <c r="E1041" i="3"/>
  <c r="G1041" i="3" s="1"/>
  <c r="E1042" i="3"/>
  <c r="G1042" i="3" s="1"/>
  <c r="E1043" i="3"/>
  <c r="E1044" i="3"/>
  <c r="G1044" i="3" s="1"/>
  <c r="E1045" i="3"/>
  <c r="G1045" i="3" s="1"/>
  <c r="E1046" i="3"/>
  <c r="G1046" i="3" s="1"/>
  <c r="E1047" i="3"/>
  <c r="E1048" i="3"/>
  <c r="G1048" i="3" s="1"/>
  <c r="E1049" i="3"/>
  <c r="G1049" i="3" s="1"/>
  <c r="E1050" i="3"/>
  <c r="G1050" i="3" s="1"/>
  <c r="E1051" i="3"/>
  <c r="E1052" i="3"/>
  <c r="G1052" i="3" s="1"/>
  <c r="E1053" i="3"/>
  <c r="G1053" i="3" s="1"/>
  <c r="E1054" i="3"/>
  <c r="G1054" i="3" s="1"/>
  <c r="E1055" i="3"/>
  <c r="E1056" i="3"/>
  <c r="G1056" i="3" s="1"/>
  <c r="E1057" i="3"/>
  <c r="G1057" i="3" s="1"/>
  <c r="E1058" i="3"/>
  <c r="G1058" i="3" s="1"/>
  <c r="E1059" i="3"/>
  <c r="E1060" i="3"/>
  <c r="G1060" i="3" s="1"/>
  <c r="E1061" i="3"/>
  <c r="G1061" i="3" s="1"/>
  <c r="E1062" i="3"/>
  <c r="G1062" i="3" s="1"/>
  <c r="E1063" i="3"/>
  <c r="E1064" i="3"/>
  <c r="G1064" i="3" s="1"/>
  <c r="E1065" i="3"/>
  <c r="G1065" i="3" s="1"/>
  <c r="E1066" i="3"/>
  <c r="G1066" i="3" s="1"/>
  <c r="E1067" i="3"/>
  <c r="E1068" i="3"/>
  <c r="G1068" i="3" s="1"/>
  <c r="E1069" i="3"/>
  <c r="G1069" i="3" s="1"/>
  <c r="E1070" i="3"/>
  <c r="G1070" i="3" s="1"/>
  <c r="E1071" i="3"/>
  <c r="E1072" i="3"/>
  <c r="G1072" i="3" s="1"/>
  <c r="E1073" i="3"/>
  <c r="G1073" i="3" s="1"/>
  <c r="E1074" i="3"/>
  <c r="G1074" i="3" s="1"/>
  <c r="E1075" i="3"/>
  <c r="E1076" i="3"/>
  <c r="G1076" i="3" s="1"/>
  <c r="E1077" i="3"/>
  <c r="G1077" i="3" s="1"/>
  <c r="E1078" i="3"/>
  <c r="G1078" i="3" s="1"/>
  <c r="E1079" i="3"/>
  <c r="E1080" i="3"/>
  <c r="G1080" i="3" s="1"/>
  <c r="E1081" i="3"/>
  <c r="G1081" i="3" s="1"/>
  <c r="E1082" i="3"/>
  <c r="G1082" i="3" s="1"/>
  <c r="E1083" i="3"/>
  <c r="E1084" i="3"/>
  <c r="G1084" i="3" s="1"/>
  <c r="E1085" i="3"/>
  <c r="G1085" i="3" s="1"/>
  <c r="E1086" i="3"/>
  <c r="G1086" i="3" s="1"/>
  <c r="E1087" i="3"/>
  <c r="E1088" i="3"/>
  <c r="G1088" i="3" s="1"/>
  <c r="E1089" i="3"/>
  <c r="G1089" i="3" s="1"/>
  <c r="E1090" i="3"/>
  <c r="G1090" i="3" s="1"/>
  <c r="E1091" i="3"/>
  <c r="E1092" i="3"/>
  <c r="G1092" i="3" s="1"/>
  <c r="E1093" i="3"/>
  <c r="G1093" i="3" s="1"/>
  <c r="E1094" i="3"/>
  <c r="G1094" i="3" s="1"/>
  <c r="E1095" i="3"/>
  <c r="E1096" i="3"/>
  <c r="G1096" i="3" s="1"/>
  <c r="E1097" i="3"/>
  <c r="G1097" i="3" s="1"/>
  <c r="E1098" i="3"/>
  <c r="G1098" i="3" s="1"/>
  <c r="E1099" i="3"/>
  <c r="E1100" i="3"/>
  <c r="G1100" i="3" s="1"/>
  <c r="E1101" i="3"/>
  <c r="G1101" i="3" s="1"/>
  <c r="E1102" i="3"/>
  <c r="G1102" i="3" s="1"/>
  <c r="E1103" i="3"/>
  <c r="E1104" i="3"/>
  <c r="G1104" i="3" s="1"/>
  <c r="E1105" i="3"/>
  <c r="G1105" i="3" s="1"/>
  <c r="E1106" i="3"/>
  <c r="G1106" i="3" s="1"/>
  <c r="E1107" i="3"/>
  <c r="E1108" i="3"/>
  <c r="G1108" i="3" s="1"/>
  <c r="E1109" i="3"/>
  <c r="G1109" i="3" s="1"/>
  <c r="E1110" i="3"/>
  <c r="G1110" i="3" s="1"/>
  <c r="E1111" i="3"/>
  <c r="E1112" i="3"/>
  <c r="G1112" i="3" s="1"/>
  <c r="E1113" i="3"/>
  <c r="G1113" i="3" s="1"/>
  <c r="E1114" i="3"/>
  <c r="G1114" i="3" s="1"/>
  <c r="E1115" i="3"/>
  <c r="E1116" i="3"/>
  <c r="G1116" i="3" s="1"/>
  <c r="E1117" i="3"/>
  <c r="G1117" i="3" s="1"/>
  <c r="E1118" i="3"/>
  <c r="G1118" i="3" s="1"/>
  <c r="E1119" i="3"/>
  <c r="E1120" i="3"/>
  <c r="G1120" i="3" s="1"/>
  <c r="E1121" i="3"/>
  <c r="G1121" i="3" s="1"/>
  <c r="E1122" i="3"/>
  <c r="G1122" i="3" s="1"/>
  <c r="E1123" i="3"/>
  <c r="E1124" i="3"/>
  <c r="G1124" i="3" s="1"/>
  <c r="E1125" i="3"/>
  <c r="G1125" i="3" s="1"/>
  <c r="E1126" i="3"/>
  <c r="G1126" i="3" s="1"/>
  <c r="E1127" i="3"/>
  <c r="E1128" i="3"/>
  <c r="G1128" i="3" s="1"/>
  <c r="E1129" i="3"/>
  <c r="G1129" i="3" s="1"/>
  <c r="E1130" i="3"/>
  <c r="G1130" i="3" s="1"/>
  <c r="E1131" i="3"/>
  <c r="E1132" i="3"/>
  <c r="G1132" i="3" s="1"/>
  <c r="E1133" i="3"/>
  <c r="G1133" i="3" s="1"/>
  <c r="E1134" i="3"/>
  <c r="G1134" i="3" s="1"/>
  <c r="E1135" i="3"/>
  <c r="E1136" i="3"/>
  <c r="G1136" i="3" s="1"/>
  <c r="E1137" i="3"/>
  <c r="G1137" i="3" s="1"/>
  <c r="E1138" i="3"/>
  <c r="G1138" i="3" s="1"/>
  <c r="E1139" i="3"/>
  <c r="E1140" i="3"/>
  <c r="G1140" i="3" s="1"/>
  <c r="E1141" i="3"/>
  <c r="G1141" i="3" s="1"/>
  <c r="E1142" i="3"/>
  <c r="G1142" i="3" s="1"/>
  <c r="E1143" i="3"/>
  <c r="E1144" i="3"/>
  <c r="G1144" i="3" s="1"/>
  <c r="E1145" i="3"/>
  <c r="G1145" i="3" s="1"/>
  <c r="E1146" i="3"/>
  <c r="G1146" i="3" s="1"/>
  <c r="E1147" i="3"/>
  <c r="E1148" i="3"/>
  <c r="G1148" i="3" s="1"/>
  <c r="E1149" i="3"/>
  <c r="G1149" i="3" s="1"/>
  <c r="E1150" i="3"/>
  <c r="G1150" i="3" s="1"/>
  <c r="E1151" i="3"/>
  <c r="E1152" i="3"/>
  <c r="G1152" i="3" s="1"/>
  <c r="E1153" i="3"/>
  <c r="G1153" i="3" s="1"/>
  <c r="E1154" i="3"/>
  <c r="G1154" i="3" s="1"/>
  <c r="E1155" i="3"/>
  <c r="E1156" i="3"/>
  <c r="G1156" i="3" s="1"/>
  <c r="E1157" i="3"/>
  <c r="G1157" i="3" s="1"/>
  <c r="E1158" i="3"/>
  <c r="G1158" i="3" s="1"/>
  <c r="E1159" i="3"/>
  <c r="E1160" i="3"/>
  <c r="G1160" i="3" s="1"/>
  <c r="E1161" i="3"/>
  <c r="G1161" i="3" s="1"/>
  <c r="E1162" i="3"/>
  <c r="G1162" i="3" s="1"/>
  <c r="E1163" i="3"/>
  <c r="E1164" i="3"/>
  <c r="G1164" i="3" s="1"/>
  <c r="E1165" i="3"/>
  <c r="G1165" i="3" s="1"/>
  <c r="E1166" i="3"/>
  <c r="G1166" i="3" s="1"/>
  <c r="E1167" i="3"/>
  <c r="E1168" i="3"/>
  <c r="G1168" i="3" s="1"/>
  <c r="E1169" i="3"/>
  <c r="G1169" i="3" s="1"/>
  <c r="E1170" i="3"/>
  <c r="G1170" i="3" s="1"/>
  <c r="E1171" i="3"/>
  <c r="E1172" i="3"/>
  <c r="G1172" i="3" s="1"/>
  <c r="E1173" i="3"/>
  <c r="G1173" i="3" s="1"/>
  <c r="E1174" i="3"/>
  <c r="G1174" i="3" s="1"/>
  <c r="E1175" i="3"/>
  <c r="E1176" i="3"/>
  <c r="G1176" i="3" s="1"/>
  <c r="E1177" i="3"/>
  <c r="G1177" i="3" s="1"/>
  <c r="E1178" i="3"/>
  <c r="G1178" i="3" s="1"/>
  <c r="E1179" i="3"/>
  <c r="E1180" i="3"/>
  <c r="G1180" i="3" s="1"/>
  <c r="E1181" i="3"/>
  <c r="G1181" i="3" s="1"/>
  <c r="E1182" i="3"/>
  <c r="G1182" i="3" s="1"/>
  <c r="E1183" i="3"/>
  <c r="E1184" i="3"/>
  <c r="G1184" i="3" s="1"/>
  <c r="E1185" i="3"/>
  <c r="G1185" i="3" s="1"/>
  <c r="E1186" i="3"/>
  <c r="G1186" i="3" s="1"/>
  <c r="E1187" i="3"/>
  <c r="E1188" i="3"/>
  <c r="G1188" i="3" s="1"/>
  <c r="E1189" i="3"/>
  <c r="G1189" i="3" s="1"/>
  <c r="E1190" i="3"/>
  <c r="G1190" i="3" s="1"/>
  <c r="E1191" i="3"/>
  <c r="E1192" i="3"/>
  <c r="G1192" i="3" s="1"/>
  <c r="E1193" i="3"/>
  <c r="G1193" i="3" s="1"/>
  <c r="E1194" i="3"/>
  <c r="G1194" i="3" s="1"/>
  <c r="E1195" i="3"/>
  <c r="E1196" i="3"/>
  <c r="G1196" i="3" s="1"/>
  <c r="E1197" i="3"/>
  <c r="G1197" i="3" s="1"/>
  <c r="E1198" i="3"/>
  <c r="G1198" i="3" s="1"/>
  <c r="E1199" i="3"/>
  <c r="E1200" i="3"/>
  <c r="G1200" i="3" s="1"/>
  <c r="E1201" i="3"/>
  <c r="G1201" i="3" s="1"/>
  <c r="E1202" i="3"/>
  <c r="G1202" i="3" s="1"/>
  <c r="E1203" i="3"/>
  <c r="E1204" i="3"/>
  <c r="G1204" i="3" s="1"/>
  <c r="E1205" i="3"/>
  <c r="G1205" i="3" s="1"/>
  <c r="E1206" i="3"/>
  <c r="G1206" i="3" s="1"/>
  <c r="E1207" i="3"/>
  <c r="E1208" i="3"/>
  <c r="G1208" i="3" s="1"/>
  <c r="E1209" i="3"/>
  <c r="G1209" i="3" s="1"/>
  <c r="E1210" i="3"/>
  <c r="G1210" i="3" s="1"/>
  <c r="E1211" i="3"/>
  <c r="E1212" i="3"/>
  <c r="G1212" i="3" s="1"/>
  <c r="E1213" i="3"/>
  <c r="G1213" i="3" s="1"/>
  <c r="E1214" i="3"/>
  <c r="G1214" i="3" s="1"/>
  <c r="E1215" i="3"/>
  <c r="E1216" i="3"/>
  <c r="G1216" i="3" s="1"/>
  <c r="E1217" i="3"/>
  <c r="G1217" i="3" s="1"/>
  <c r="E1218" i="3"/>
  <c r="G1218" i="3" s="1"/>
  <c r="E1219" i="3"/>
  <c r="E1220" i="3"/>
  <c r="G1220" i="3" s="1"/>
  <c r="E1221" i="3"/>
  <c r="G1221" i="3" s="1"/>
  <c r="E1222" i="3"/>
  <c r="G1222" i="3" s="1"/>
  <c r="E1223" i="3"/>
  <c r="E1224" i="3"/>
  <c r="G1224" i="3" s="1"/>
  <c r="E1225" i="3"/>
  <c r="G1225" i="3" s="1"/>
  <c r="E1226" i="3"/>
  <c r="G1226" i="3" s="1"/>
  <c r="E1227" i="3"/>
  <c r="E1228" i="3"/>
  <c r="G1228" i="3" s="1"/>
  <c r="E1229" i="3"/>
  <c r="G1229" i="3" s="1"/>
  <c r="E1230" i="3"/>
  <c r="G1230" i="3" s="1"/>
  <c r="E1231" i="3"/>
  <c r="E1232" i="3"/>
  <c r="G1232" i="3" s="1"/>
  <c r="E1233" i="3"/>
  <c r="G1233" i="3" s="1"/>
  <c r="E1234" i="3"/>
  <c r="G1234" i="3" s="1"/>
  <c r="E1235" i="3"/>
  <c r="E1236" i="3"/>
  <c r="G1236" i="3" s="1"/>
  <c r="E1237" i="3"/>
  <c r="G1237" i="3" s="1"/>
  <c r="E1238" i="3"/>
  <c r="G1238" i="3" s="1"/>
  <c r="E1239" i="3"/>
  <c r="E1240" i="3"/>
  <c r="G1240" i="3" s="1"/>
  <c r="E1241" i="3"/>
  <c r="G1241" i="3" s="1"/>
  <c r="E1242" i="3"/>
  <c r="G1242" i="3" s="1"/>
  <c r="E1243" i="3"/>
  <c r="E1244" i="3"/>
  <c r="G1244" i="3" s="1"/>
  <c r="E1245" i="3"/>
  <c r="G1245" i="3" s="1"/>
  <c r="E1246" i="3"/>
  <c r="G1246" i="3" s="1"/>
  <c r="E1247" i="3"/>
  <c r="E1248" i="3"/>
  <c r="G1248" i="3" s="1"/>
  <c r="E1249" i="3"/>
  <c r="G1249" i="3" s="1"/>
  <c r="E1250" i="3"/>
  <c r="G1250" i="3" s="1"/>
  <c r="E1251" i="3"/>
  <c r="E1252" i="3"/>
  <c r="G1252" i="3" s="1"/>
  <c r="E1253" i="3"/>
  <c r="G1253" i="3" s="1"/>
  <c r="E1254" i="3"/>
  <c r="G1254" i="3" s="1"/>
  <c r="E1255" i="3"/>
  <c r="E1256" i="3"/>
  <c r="G1256" i="3" s="1"/>
  <c r="E1257" i="3"/>
  <c r="G1257" i="3" s="1"/>
  <c r="E1258" i="3"/>
  <c r="G1258" i="3" s="1"/>
  <c r="E1259" i="3"/>
  <c r="E1260" i="3"/>
  <c r="G1260" i="3" s="1"/>
  <c r="E1261" i="3"/>
  <c r="G1261" i="3" s="1"/>
  <c r="E1262" i="3"/>
  <c r="G1262" i="3" s="1"/>
  <c r="E1263" i="3"/>
  <c r="E1264" i="3"/>
  <c r="G1264" i="3" s="1"/>
  <c r="E1265" i="3"/>
  <c r="G1265" i="3" s="1"/>
  <c r="E1266" i="3"/>
  <c r="G1266" i="3" s="1"/>
  <c r="E1267" i="3"/>
  <c r="E1268" i="3"/>
  <c r="G1268" i="3" s="1"/>
  <c r="E1269" i="3"/>
  <c r="G1269" i="3" s="1"/>
  <c r="E1270" i="3"/>
  <c r="G1270" i="3" s="1"/>
  <c r="E1271" i="3"/>
  <c r="E1272" i="3"/>
  <c r="G1272" i="3" s="1"/>
  <c r="E1273" i="3"/>
  <c r="G1273" i="3" s="1"/>
  <c r="E1274" i="3"/>
  <c r="G1274" i="3" s="1"/>
  <c r="E1275" i="3"/>
  <c r="E1276" i="3"/>
  <c r="G1276" i="3" s="1"/>
  <c r="E1277" i="3"/>
  <c r="G1277" i="3" s="1"/>
  <c r="E1278" i="3"/>
  <c r="G1278" i="3" s="1"/>
  <c r="E1279" i="3"/>
  <c r="E1280" i="3"/>
  <c r="G1280" i="3" s="1"/>
  <c r="E1281" i="3"/>
  <c r="G1281" i="3" s="1"/>
  <c r="E1282" i="3"/>
  <c r="G1282" i="3" s="1"/>
  <c r="E1283" i="3"/>
  <c r="E1284" i="3"/>
  <c r="G1284" i="3" s="1"/>
  <c r="E1285" i="3"/>
  <c r="G1285" i="3" s="1"/>
  <c r="E1286" i="3"/>
  <c r="G1286" i="3" s="1"/>
  <c r="E1287" i="3"/>
  <c r="E1288" i="3"/>
  <c r="G1288" i="3" s="1"/>
  <c r="E1289" i="3"/>
  <c r="G1289" i="3" s="1"/>
  <c r="E1290" i="3"/>
  <c r="G1290" i="3" s="1"/>
  <c r="E1291" i="3"/>
  <c r="E1292" i="3"/>
  <c r="G1292" i="3" s="1"/>
  <c r="E1293" i="3"/>
  <c r="G1293" i="3" s="1"/>
  <c r="E1294" i="3"/>
  <c r="G1294" i="3" s="1"/>
  <c r="E1295" i="3"/>
  <c r="E1296" i="3"/>
  <c r="G1296" i="3" s="1"/>
  <c r="E1297" i="3"/>
  <c r="G1297" i="3" s="1"/>
  <c r="E1298" i="3"/>
  <c r="G1298" i="3" s="1"/>
  <c r="E1299" i="3"/>
  <c r="E1300" i="3"/>
  <c r="G1300" i="3" s="1"/>
  <c r="E1301" i="3"/>
  <c r="G1301" i="3" s="1"/>
  <c r="E1302" i="3"/>
  <c r="G1302" i="3" s="1"/>
  <c r="E1303" i="3"/>
  <c r="E1304" i="3"/>
  <c r="G1304" i="3" s="1"/>
  <c r="E1305" i="3"/>
  <c r="G1305" i="3" s="1"/>
  <c r="E1306" i="3"/>
  <c r="G1306" i="3" s="1"/>
  <c r="E1307" i="3"/>
  <c r="E1308" i="3"/>
  <c r="G1308" i="3" s="1"/>
  <c r="E1309" i="3"/>
  <c r="G1309" i="3" s="1"/>
  <c r="E1310" i="3"/>
  <c r="G1310" i="3" s="1"/>
  <c r="E1311" i="3"/>
  <c r="E1312" i="3"/>
  <c r="G1312" i="3" s="1"/>
  <c r="E1313" i="3"/>
  <c r="G1313" i="3" s="1"/>
  <c r="E1314" i="3"/>
  <c r="G1314" i="3" s="1"/>
  <c r="E1315" i="3"/>
  <c r="E1316" i="3"/>
  <c r="G1316" i="3" s="1"/>
  <c r="E1317" i="3"/>
  <c r="G1317" i="3" s="1"/>
  <c r="E1318" i="3"/>
  <c r="G1318" i="3" s="1"/>
  <c r="E1319" i="3"/>
  <c r="E1320" i="3"/>
  <c r="G1320" i="3" s="1"/>
  <c r="E1321" i="3"/>
  <c r="G1321" i="3" s="1"/>
  <c r="E1322" i="3"/>
  <c r="G1322" i="3" s="1"/>
  <c r="E1323" i="3"/>
  <c r="E1324" i="3"/>
  <c r="G1324" i="3" s="1"/>
  <c r="E1325" i="3"/>
  <c r="G1325" i="3" s="1"/>
  <c r="E1326" i="3"/>
  <c r="G1326" i="3" s="1"/>
  <c r="E1327" i="3"/>
  <c r="E1328" i="3"/>
  <c r="G1328" i="3" s="1"/>
  <c r="E1329" i="3"/>
  <c r="G1329" i="3" s="1"/>
  <c r="E1330" i="3"/>
  <c r="G1330" i="3" s="1"/>
  <c r="E1331" i="3"/>
  <c r="E1332" i="3"/>
  <c r="G1332" i="3" s="1"/>
  <c r="E1333" i="3"/>
  <c r="G1333" i="3" s="1"/>
  <c r="E1334" i="3"/>
  <c r="G1334" i="3" s="1"/>
  <c r="E1335" i="3"/>
  <c r="E1336" i="3"/>
  <c r="G1336" i="3" s="1"/>
  <c r="E1337" i="3"/>
  <c r="G1337" i="3" s="1"/>
  <c r="E1338" i="3"/>
  <c r="G1338" i="3" s="1"/>
  <c r="E1339" i="3"/>
  <c r="E1340" i="3"/>
  <c r="G1340" i="3" s="1"/>
  <c r="E1341" i="3"/>
  <c r="G1341" i="3" s="1"/>
  <c r="E1342" i="3"/>
  <c r="G1342" i="3" s="1"/>
  <c r="E1343" i="3"/>
  <c r="E1344" i="3"/>
  <c r="G1344" i="3" s="1"/>
  <c r="E1345" i="3"/>
  <c r="G1345" i="3" s="1"/>
  <c r="E1346" i="3"/>
  <c r="G1346" i="3" s="1"/>
  <c r="E1347" i="3"/>
  <c r="E1348" i="3"/>
  <c r="G1348" i="3" s="1"/>
  <c r="E1349" i="3"/>
  <c r="G1349" i="3" s="1"/>
  <c r="E1350" i="3"/>
  <c r="G1350" i="3" s="1"/>
  <c r="E1351" i="3"/>
  <c r="E1352" i="3"/>
  <c r="G1352" i="3" s="1"/>
  <c r="E1353" i="3"/>
  <c r="G1353" i="3" s="1"/>
  <c r="E1354" i="3"/>
  <c r="G1354" i="3" s="1"/>
  <c r="E1355" i="3"/>
  <c r="E1356" i="3"/>
  <c r="G1356" i="3" s="1"/>
  <c r="E1357" i="3"/>
  <c r="G1357" i="3" s="1"/>
  <c r="E1358" i="3"/>
  <c r="G1358" i="3" s="1"/>
  <c r="E1359" i="3"/>
  <c r="E1360" i="3"/>
  <c r="G1360" i="3" s="1"/>
  <c r="E1361" i="3"/>
  <c r="G1361" i="3" s="1"/>
  <c r="E1362" i="3"/>
  <c r="G1362" i="3" s="1"/>
  <c r="E1363" i="3"/>
  <c r="E1364" i="3"/>
  <c r="G1364" i="3" s="1"/>
  <c r="E1365" i="3"/>
  <c r="G1365" i="3" s="1"/>
  <c r="E1366" i="3"/>
  <c r="G1366" i="3" s="1"/>
  <c r="E1367" i="3"/>
  <c r="E1368" i="3"/>
  <c r="G1368" i="3" s="1"/>
  <c r="E1369" i="3"/>
  <c r="G1369" i="3" s="1"/>
  <c r="E1370" i="3"/>
  <c r="G1370" i="3" s="1"/>
  <c r="E1371" i="3"/>
  <c r="E1372" i="3"/>
  <c r="G1372" i="3" s="1"/>
  <c r="E1373" i="3"/>
  <c r="G1373" i="3" s="1"/>
  <c r="E1374" i="3"/>
  <c r="G1374" i="3" s="1"/>
  <c r="E1375" i="3"/>
  <c r="E1376" i="3"/>
  <c r="G1376" i="3" s="1"/>
  <c r="E1377" i="3"/>
  <c r="G1377" i="3" s="1"/>
  <c r="E1378" i="3"/>
  <c r="G1378" i="3" s="1"/>
  <c r="E1379" i="3"/>
  <c r="E1380" i="3"/>
  <c r="G1380" i="3" s="1"/>
  <c r="E1381" i="3"/>
  <c r="G1381" i="3" s="1"/>
  <c r="E1382" i="3"/>
  <c r="G1382" i="3" s="1"/>
  <c r="E1383" i="3"/>
  <c r="E1384" i="3"/>
  <c r="G1384" i="3" s="1"/>
  <c r="E1385" i="3"/>
  <c r="G1385" i="3" s="1"/>
  <c r="E1386" i="3"/>
  <c r="G1386" i="3" s="1"/>
  <c r="E1387" i="3"/>
  <c r="E1388" i="3"/>
  <c r="G1388" i="3" s="1"/>
  <c r="E1389" i="3"/>
  <c r="G1389" i="3" s="1"/>
  <c r="E1390" i="3"/>
  <c r="G1390" i="3" s="1"/>
  <c r="E1391" i="3"/>
  <c r="E1392" i="3"/>
  <c r="G1392" i="3" s="1"/>
  <c r="E1393" i="3"/>
  <c r="G1393" i="3" s="1"/>
  <c r="E1394" i="3"/>
  <c r="G1394" i="3" s="1"/>
  <c r="E1395" i="3"/>
  <c r="E1396" i="3"/>
  <c r="G1396" i="3" s="1"/>
  <c r="E1397" i="3"/>
  <c r="G1397" i="3" s="1"/>
  <c r="E1398" i="3"/>
  <c r="G1398" i="3" s="1"/>
  <c r="E1399" i="3"/>
  <c r="E1400" i="3"/>
  <c r="G1400" i="3" s="1"/>
  <c r="E1401" i="3"/>
  <c r="G1401" i="3" s="1"/>
  <c r="E1402" i="3"/>
  <c r="G1402" i="3" s="1"/>
  <c r="E1403" i="3"/>
  <c r="E1404" i="3"/>
  <c r="G1404" i="3" s="1"/>
  <c r="E1405" i="3"/>
  <c r="G1405" i="3" s="1"/>
  <c r="E1406" i="3"/>
  <c r="G1406" i="3" s="1"/>
  <c r="E1407" i="3"/>
  <c r="E1408" i="3"/>
  <c r="G1408" i="3" s="1"/>
  <c r="E1409" i="3"/>
  <c r="G1409" i="3" s="1"/>
  <c r="E1410" i="3"/>
  <c r="G1410" i="3" s="1"/>
  <c r="E1411" i="3"/>
  <c r="E1412" i="3"/>
  <c r="G1412" i="3" s="1"/>
  <c r="E1413" i="3"/>
  <c r="G1413" i="3" s="1"/>
  <c r="E1414" i="3"/>
  <c r="G1414" i="3" s="1"/>
  <c r="E1415" i="3"/>
  <c r="E1416" i="3"/>
  <c r="G1416" i="3" s="1"/>
  <c r="E1417" i="3"/>
  <c r="G1417" i="3" s="1"/>
  <c r="E1418" i="3"/>
  <c r="G1418" i="3" s="1"/>
  <c r="E1419" i="3"/>
  <c r="E1420" i="3"/>
  <c r="G1420" i="3" s="1"/>
  <c r="E1421" i="3"/>
  <c r="G1421" i="3" s="1"/>
  <c r="E1422" i="3"/>
  <c r="G1422" i="3" s="1"/>
  <c r="E1423" i="3"/>
  <c r="E1424" i="3"/>
  <c r="G1424" i="3" s="1"/>
  <c r="E1425" i="3"/>
  <c r="G1425" i="3" s="1"/>
  <c r="E1426" i="3"/>
  <c r="G1426" i="3" s="1"/>
  <c r="E1427" i="3"/>
  <c r="E1428" i="3"/>
  <c r="G1428" i="3" s="1"/>
  <c r="E1429" i="3"/>
  <c r="G1429" i="3" s="1"/>
  <c r="E1430" i="3"/>
  <c r="G1430" i="3" s="1"/>
  <c r="E1431" i="3"/>
  <c r="E1432" i="3"/>
  <c r="G1432" i="3" s="1"/>
  <c r="E1433" i="3"/>
  <c r="G1433" i="3" s="1"/>
  <c r="E1434" i="3"/>
  <c r="G1434" i="3" s="1"/>
  <c r="E1435" i="3"/>
  <c r="E1436" i="3"/>
  <c r="G1436" i="3" s="1"/>
  <c r="E1437" i="3"/>
  <c r="G1437" i="3" s="1"/>
  <c r="E1438" i="3"/>
  <c r="G1438" i="3" s="1"/>
  <c r="E1439" i="3"/>
  <c r="E1440" i="3"/>
  <c r="G1440" i="3" s="1"/>
  <c r="E1441" i="3"/>
  <c r="G1441" i="3" s="1"/>
  <c r="E1442" i="3"/>
  <c r="G1442" i="3" s="1"/>
  <c r="E1443" i="3"/>
  <c r="E1444" i="3"/>
  <c r="G1444" i="3" s="1"/>
  <c r="E1445" i="3"/>
  <c r="G1445" i="3" s="1"/>
  <c r="E1446" i="3"/>
  <c r="G1446" i="3" s="1"/>
  <c r="E1447" i="3"/>
  <c r="E1448" i="3"/>
  <c r="G1448" i="3" s="1"/>
  <c r="E1449" i="3"/>
  <c r="G1449" i="3" s="1"/>
  <c r="E1450" i="3"/>
  <c r="G1450" i="3" s="1"/>
  <c r="E1451" i="3"/>
  <c r="E1452" i="3"/>
  <c r="G1452" i="3" s="1"/>
  <c r="E1453" i="3"/>
  <c r="G1453" i="3" s="1"/>
  <c r="E1454" i="3"/>
  <c r="G1454" i="3" s="1"/>
  <c r="E1455" i="3"/>
  <c r="E1456" i="3"/>
  <c r="G1456" i="3" s="1"/>
  <c r="E1457" i="3"/>
  <c r="G1457" i="3" s="1"/>
  <c r="E1458" i="3"/>
  <c r="G1458" i="3" s="1"/>
  <c r="E1459" i="3"/>
  <c r="E1460" i="3"/>
  <c r="G1460" i="3" s="1"/>
  <c r="E1461" i="3"/>
  <c r="G1461" i="3" s="1"/>
  <c r="E1462" i="3"/>
  <c r="G1462" i="3" s="1"/>
  <c r="E1463" i="3"/>
  <c r="E1464" i="3"/>
  <c r="G1464" i="3" s="1"/>
  <c r="E1465" i="3"/>
  <c r="G1465" i="3" s="1"/>
  <c r="E1466" i="3"/>
  <c r="G1466" i="3" s="1"/>
  <c r="E1467" i="3"/>
  <c r="E1468" i="3"/>
  <c r="G1468" i="3" s="1"/>
  <c r="E1469" i="3"/>
  <c r="G1469" i="3" s="1"/>
  <c r="E1470" i="3"/>
  <c r="G1470" i="3" s="1"/>
  <c r="E1471" i="3"/>
  <c r="E1472" i="3"/>
  <c r="G1472" i="3" s="1"/>
  <c r="E1473" i="3"/>
  <c r="G1473" i="3" s="1"/>
  <c r="E1474" i="3"/>
  <c r="G1474" i="3" s="1"/>
  <c r="E1475" i="3"/>
  <c r="E1476" i="3"/>
  <c r="G1476" i="3" s="1"/>
  <c r="E1477" i="3"/>
  <c r="G1477" i="3" s="1"/>
  <c r="E1478" i="3"/>
  <c r="G1478" i="3" s="1"/>
  <c r="E1479" i="3"/>
  <c r="E1480" i="3"/>
  <c r="G1480" i="3" s="1"/>
  <c r="E1481" i="3"/>
  <c r="G1481" i="3" s="1"/>
  <c r="E1482" i="3"/>
  <c r="G1482" i="3" s="1"/>
  <c r="E1483" i="3"/>
  <c r="E1484" i="3"/>
  <c r="G1484" i="3" s="1"/>
  <c r="E1485" i="3"/>
  <c r="G1485" i="3" s="1"/>
  <c r="E1486" i="3"/>
  <c r="G1486" i="3" s="1"/>
  <c r="E1487" i="3"/>
  <c r="E1488" i="3"/>
  <c r="G1488" i="3" s="1"/>
  <c r="E1489" i="3"/>
  <c r="G1489" i="3" s="1"/>
  <c r="E1490" i="3"/>
  <c r="G1490" i="3" s="1"/>
  <c r="E1491" i="3"/>
  <c r="E1492" i="3"/>
  <c r="G1492" i="3" s="1"/>
  <c r="E1493" i="3"/>
  <c r="G1493" i="3" s="1"/>
  <c r="E1494" i="3"/>
  <c r="G1494" i="3" s="1"/>
  <c r="E1495" i="3"/>
  <c r="E1496" i="3"/>
  <c r="G1496" i="3" s="1"/>
  <c r="E1497" i="3"/>
  <c r="G1497" i="3" s="1"/>
  <c r="E1498" i="3"/>
  <c r="G1498" i="3" s="1"/>
  <c r="E1499" i="3"/>
  <c r="E1500" i="3"/>
  <c r="G1500" i="3" s="1"/>
  <c r="E1501" i="3"/>
  <c r="G1501" i="3" s="1"/>
  <c r="E1502" i="3"/>
  <c r="G1502" i="3" s="1"/>
  <c r="E1503" i="3"/>
  <c r="E1504" i="3"/>
  <c r="G1504" i="3" s="1"/>
  <c r="E1505" i="3"/>
  <c r="G1505" i="3" s="1"/>
  <c r="E1506" i="3"/>
  <c r="G1506" i="3" s="1"/>
  <c r="E1507" i="3"/>
  <c r="E1508" i="3"/>
  <c r="G1508" i="3" s="1"/>
  <c r="E1509" i="3"/>
  <c r="G1509" i="3" s="1"/>
  <c r="E1510" i="3"/>
  <c r="G1510" i="3" s="1"/>
  <c r="E1511" i="3"/>
  <c r="E1512" i="3"/>
  <c r="G1512" i="3" s="1"/>
  <c r="E1513" i="3"/>
  <c r="G1513" i="3" s="1"/>
  <c r="E1514" i="3"/>
  <c r="G1514" i="3" s="1"/>
  <c r="E1515" i="3"/>
  <c r="E1516" i="3"/>
  <c r="G1516" i="3" s="1"/>
  <c r="E1517" i="3"/>
  <c r="G1517" i="3" s="1"/>
  <c r="E1518" i="3"/>
  <c r="G1518" i="3" s="1"/>
  <c r="E1519" i="3"/>
  <c r="E1520" i="3"/>
  <c r="G1520" i="3" s="1"/>
  <c r="E1521" i="3"/>
  <c r="G1521" i="3" s="1"/>
  <c r="E1522" i="3"/>
  <c r="G1522" i="3" s="1"/>
  <c r="E1523" i="3"/>
  <c r="E1524" i="3"/>
  <c r="G1524" i="3" s="1"/>
  <c r="E1525" i="3"/>
  <c r="G1525" i="3" s="1"/>
  <c r="E1526" i="3"/>
  <c r="G1526" i="3" s="1"/>
  <c r="E1527" i="3"/>
  <c r="E1528" i="3"/>
  <c r="G1528" i="3" s="1"/>
  <c r="E1529" i="3"/>
  <c r="G1529" i="3" s="1"/>
  <c r="E1530" i="3"/>
  <c r="G1530" i="3" s="1"/>
  <c r="E1531" i="3"/>
  <c r="E1532" i="3"/>
  <c r="G1532" i="3" s="1"/>
  <c r="E1533" i="3"/>
  <c r="G1533" i="3" s="1"/>
  <c r="E1534" i="3"/>
  <c r="G1534" i="3" s="1"/>
  <c r="E1535" i="3"/>
  <c r="E1536" i="3"/>
  <c r="G1536" i="3" s="1"/>
  <c r="E1537" i="3"/>
  <c r="G1537" i="3" s="1"/>
  <c r="E1538" i="3"/>
  <c r="G1538" i="3" s="1"/>
  <c r="E1539" i="3"/>
  <c r="E1540" i="3"/>
  <c r="G1540" i="3" s="1"/>
  <c r="E1541" i="3"/>
  <c r="G1541" i="3" s="1"/>
  <c r="E1542" i="3"/>
  <c r="G1542" i="3" s="1"/>
  <c r="E1543" i="3"/>
  <c r="E1544" i="3"/>
  <c r="G1544" i="3" s="1"/>
  <c r="E1545" i="3"/>
  <c r="G1545" i="3" s="1"/>
  <c r="E1546" i="3"/>
  <c r="G1546" i="3" s="1"/>
  <c r="E1547" i="3"/>
  <c r="E1548" i="3"/>
  <c r="G1548" i="3" s="1"/>
  <c r="E1549" i="3"/>
  <c r="G1549" i="3" s="1"/>
  <c r="E1550" i="3"/>
  <c r="G1550" i="3" s="1"/>
  <c r="E1551" i="3"/>
  <c r="E1552" i="3"/>
  <c r="G1552" i="3" s="1"/>
  <c r="E1553" i="3"/>
  <c r="G1553" i="3" s="1"/>
  <c r="E1554" i="3"/>
  <c r="G1554" i="3" s="1"/>
  <c r="E1555" i="3"/>
  <c r="E1556" i="3"/>
  <c r="G1556" i="3" s="1"/>
  <c r="E1557" i="3"/>
  <c r="G1557" i="3" s="1"/>
  <c r="E1558" i="3"/>
  <c r="G1558" i="3" s="1"/>
  <c r="E1559" i="3"/>
  <c r="E1560" i="3"/>
  <c r="G1560" i="3" s="1"/>
  <c r="E1561" i="3"/>
  <c r="G1561" i="3" s="1"/>
  <c r="E1562" i="3"/>
  <c r="G1562" i="3" s="1"/>
  <c r="E1563" i="3"/>
  <c r="E1564" i="3"/>
  <c r="G1564" i="3" s="1"/>
  <c r="E1565" i="3"/>
  <c r="G1565" i="3" s="1"/>
  <c r="E1566" i="3"/>
  <c r="G1566" i="3" s="1"/>
  <c r="E1567" i="3"/>
  <c r="E1568" i="3"/>
  <c r="G1568" i="3" s="1"/>
  <c r="E1569" i="3"/>
  <c r="G1569" i="3" s="1"/>
  <c r="E1570" i="3"/>
  <c r="G1570" i="3" s="1"/>
  <c r="E1571" i="3"/>
  <c r="E1572" i="3"/>
  <c r="G1572" i="3" s="1"/>
  <c r="E1573" i="3"/>
  <c r="G1573" i="3" s="1"/>
  <c r="E1574" i="3"/>
  <c r="G1574" i="3" s="1"/>
  <c r="E1575" i="3"/>
  <c r="E1576" i="3"/>
  <c r="G1576" i="3" s="1"/>
  <c r="E1577" i="3"/>
  <c r="G1577" i="3" s="1"/>
  <c r="E1578" i="3"/>
  <c r="G1578" i="3" s="1"/>
  <c r="E1579" i="3"/>
  <c r="E1580" i="3"/>
  <c r="G1580" i="3" s="1"/>
  <c r="E1581" i="3"/>
  <c r="G1581" i="3" s="1"/>
  <c r="E1582" i="3"/>
  <c r="G1582" i="3" s="1"/>
  <c r="E1583" i="3"/>
  <c r="E1584" i="3"/>
  <c r="G1584" i="3" s="1"/>
  <c r="E1585" i="3"/>
  <c r="G1585" i="3" s="1"/>
  <c r="E1586" i="3"/>
  <c r="G1586" i="3" s="1"/>
  <c r="E1587" i="3"/>
  <c r="E1588" i="3"/>
  <c r="G1588" i="3" s="1"/>
  <c r="E1589" i="3"/>
  <c r="G1589" i="3" s="1"/>
  <c r="E1590" i="3"/>
  <c r="G1590" i="3" s="1"/>
  <c r="E1591" i="3"/>
  <c r="E1592" i="3"/>
  <c r="G1592" i="3" s="1"/>
  <c r="E1593" i="3"/>
  <c r="G1593" i="3" s="1"/>
  <c r="E1594" i="3"/>
  <c r="G1594" i="3" s="1"/>
  <c r="E1595" i="3"/>
  <c r="E1596" i="3"/>
  <c r="G1596" i="3" s="1"/>
  <c r="E1597" i="3"/>
  <c r="G1597" i="3" s="1"/>
  <c r="E1598" i="3"/>
  <c r="G1598" i="3" s="1"/>
  <c r="E1599" i="3"/>
  <c r="E1600" i="3"/>
  <c r="G1600" i="3" s="1"/>
  <c r="E1601" i="3"/>
  <c r="G1601" i="3" s="1"/>
  <c r="E1602" i="3"/>
  <c r="G1602" i="3" s="1"/>
  <c r="E1603" i="3"/>
  <c r="E1604" i="3"/>
  <c r="G1604" i="3" s="1"/>
  <c r="E1605" i="3"/>
  <c r="G1605" i="3" s="1"/>
  <c r="E1606" i="3"/>
  <c r="G1606" i="3" s="1"/>
  <c r="E1607" i="3"/>
  <c r="E1608" i="3"/>
  <c r="G1608" i="3" s="1"/>
  <c r="E1609" i="3"/>
  <c r="G1609" i="3" s="1"/>
  <c r="E1610" i="3"/>
  <c r="G1610" i="3" s="1"/>
  <c r="E1611" i="3"/>
  <c r="E1612" i="3"/>
  <c r="G1612" i="3" s="1"/>
  <c r="E1613" i="3"/>
  <c r="G1613" i="3" s="1"/>
  <c r="E1614" i="3"/>
  <c r="G1614" i="3" s="1"/>
  <c r="E1615" i="3"/>
  <c r="E1616" i="3"/>
  <c r="G1616" i="3" s="1"/>
  <c r="E1617" i="3"/>
  <c r="G1617" i="3" s="1"/>
  <c r="E1618" i="3"/>
  <c r="G1618" i="3" s="1"/>
  <c r="E1619" i="3"/>
  <c r="E1620" i="3"/>
  <c r="G1620" i="3" s="1"/>
  <c r="E1621" i="3"/>
  <c r="G1621" i="3" s="1"/>
  <c r="E1622" i="3"/>
  <c r="G1622" i="3" s="1"/>
  <c r="E1623" i="3"/>
  <c r="E1624" i="3"/>
  <c r="G1624" i="3" s="1"/>
  <c r="E1625" i="3"/>
  <c r="G1625" i="3" s="1"/>
  <c r="E1626" i="3"/>
  <c r="G1626" i="3" s="1"/>
  <c r="E1627" i="3"/>
  <c r="E1628" i="3"/>
  <c r="G1628" i="3" s="1"/>
  <c r="E1629" i="3"/>
  <c r="G1629" i="3" s="1"/>
  <c r="E1630" i="3"/>
  <c r="G1630" i="3" s="1"/>
  <c r="E1631" i="3"/>
  <c r="E1632" i="3"/>
  <c r="G1632" i="3" s="1"/>
  <c r="E1633" i="3"/>
  <c r="G1633" i="3" s="1"/>
  <c r="E1634" i="3"/>
  <c r="G1634" i="3" s="1"/>
  <c r="E1635" i="3"/>
  <c r="E1636" i="3"/>
  <c r="G1636" i="3" s="1"/>
  <c r="E1637" i="3"/>
  <c r="G1637" i="3" s="1"/>
  <c r="E1638" i="3"/>
  <c r="G1638" i="3" s="1"/>
  <c r="E1639" i="3"/>
  <c r="E1640" i="3"/>
  <c r="G1640" i="3" s="1"/>
  <c r="E1641" i="3"/>
  <c r="G1641" i="3" s="1"/>
  <c r="E1642" i="3"/>
  <c r="G1642" i="3" s="1"/>
  <c r="E1643" i="3"/>
  <c r="E1644" i="3"/>
  <c r="G1644" i="3" s="1"/>
  <c r="E1645" i="3"/>
  <c r="G1645" i="3" s="1"/>
  <c r="E1646" i="3"/>
  <c r="G1646" i="3" s="1"/>
  <c r="E1647" i="3"/>
  <c r="E1648" i="3"/>
  <c r="G1648" i="3" s="1"/>
  <c r="E1649" i="3"/>
  <c r="G1649" i="3" s="1"/>
  <c r="E1650" i="3"/>
  <c r="G1650" i="3" s="1"/>
  <c r="E1651" i="3"/>
  <c r="E1652" i="3"/>
  <c r="G1652" i="3" s="1"/>
  <c r="E1653" i="3"/>
  <c r="G1653" i="3" s="1"/>
  <c r="E1654" i="3"/>
  <c r="G1654" i="3" s="1"/>
  <c r="E1655" i="3"/>
  <c r="E1656" i="3"/>
  <c r="G1656" i="3" s="1"/>
  <c r="E1657" i="3"/>
  <c r="G1657" i="3" s="1"/>
  <c r="E1658" i="3"/>
  <c r="G1658" i="3" s="1"/>
  <c r="E1659" i="3"/>
  <c r="E1660" i="3"/>
  <c r="G1660" i="3" s="1"/>
  <c r="E1661" i="3"/>
  <c r="G1661" i="3" s="1"/>
  <c r="E1662" i="3"/>
  <c r="G1662" i="3" s="1"/>
  <c r="E1663" i="3"/>
  <c r="E1664" i="3"/>
  <c r="G1664" i="3" s="1"/>
  <c r="E1665" i="3"/>
  <c r="G1665" i="3" s="1"/>
  <c r="E1666" i="3"/>
  <c r="G1666" i="3" s="1"/>
  <c r="E1667" i="3"/>
  <c r="E1668" i="3"/>
  <c r="G1668" i="3" s="1"/>
  <c r="E1669" i="3"/>
  <c r="G1669" i="3" s="1"/>
  <c r="E1670" i="3"/>
  <c r="G1670" i="3" s="1"/>
  <c r="E1671" i="3"/>
  <c r="E1672" i="3"/>
  <c r="G1672" i="3" s="1"/>
  <c r="E1673" i="3"/>
  <c r="G1673" i="3" s="1"/>
  <c r="E1674" i="3"/>
  <c r="G1674" i="3" s="1"/>
  <c r="E1675" i="3"/>
  <c r="E1676" i="3"/>
  <c r="G1676" i="3" s="1"/>
  <c r="E1677" i="3"/>
  <c r="G1677" i="3" s="1"/>
  <c r="E1678" i="3"/>
  <c r="G1678" i="3" s="1"/>
  <c r="E1679" i="3"/>
  <c r="E1680" i="3"/>
  <c r="G1680" i="3" s="1"/>
  <c r="E1681" i="3"/>
  <c r="G1681" i="3" s="1"/>
  <c r="E1682" i="3"/>
  <c r="G1682" i="3" s="1"/>
  <c r="E1683" i="3"/>
  <c r="E1684" i="3"/>
  <c r="G1684" i="3" s="1"/>
  <c r="E1685" i="3"/>
  <c r="G1685" i="3" s="1"/>
  <c r="E1686" i="3"/>
  <c r="G1686" i="3" s="1"/>
  <c r="E1687" i="3"/>
  <c r="E1688" i="3"/>
  <c r="G1688" i="3" s="1"/>
  <c r="E1689" i="3"/>
  <c r="G1689" i="3" s="1"/>
  <c r="E1690" i="3"/>
  <c r="G1690" i="3" s="1"/>
  <c r="E1691" i="3"/>
  <c r="E1692" i="3"/>
  <c r="G1692" i="3" s="1"/>
  <c r="E1693" i="3"/>
  <c r="G1693" i="3" s="1"/>
  <c r="E1694" i="3"/>
  <c r="G1694" i="3" s="1"/>
  <c r="E1695" i="3"/>
  <c r="E1696" i="3"/>
  <c r="G1696" i="3" s="1"/>
  <c r="E1697" i="3"/>
  <c r="G1697" i="3" s="1"/>
  <c r="E1698" i="3"/>
  <c r="G1698" i="3" s="1"/>
  <c r="E1699" i="3"/>
  <c r="E1700" i="3"/>
  <c r="G1700" i="3" s="1"/>
  <c r="E1701" i="3"/>
  <c r="G1701" i="3" s="1"/>
  <c r="E1702" i="3"/>
  <c r="G1702" i="3" s="1"/>
  <c r="E1703" i="3"/>
  <c r="E1704" i="3"/>
  <c r="G1704" i="3" s="1"/>
  <c r="E1705" i="3"/>
  <c r="G1705" i="3" s="1"/>
  <c r="E1706" i="3"/>
  <c r="G1706" i="3" s="1"/>
  <c r="E1707" i="3"/>
  <c r="E1708" i="3"/>
  <c r="G1708" i="3" s="1"/>
  <c r="E1709" i="3"/>
  <c r="G1709" i="3" s="1"/>
  <c r="E1710" i="3"/>
  <c r="G1710" i="3" s="1"/>
  <c r="E1711" i="3"/>
  <c r="E1712" i="3"/>
  <c r="G1712" i="3" s="1"/>
  <c r="E1713" i="3"/>
  <c r="G1713" i="3" s="1"/>
  <c r="E1714" i="3"/>
  <c r="G1714" i="3" s="1"/>
  <c r="E1715" i="3"/>
  <c r="E1716" i="3"/>
  <c r="G1716" i="3" s="1"/>
  <c r="E1717" i="3"/>
  <c r="G1717" i="3" s="1"/>
  <c r="E1718" i="3"/>
  <c r="G1718" i="3" s="1"/>
  <c r="E1719" i="3"/>
  <c r="E1720" i="3"/>
  <c r="G1720" i="3" s="1"/>
  <c r="E1721" i="3"/>
  <c r="G1721" i="3" s="1"/>
  <c r="E1722" i="3"/>
  <c r="G1722" i="3" s="1"/>
  <c r="E1723" i="3"/>
  <c r="E1724" i="3"/>
  <c r="G1724" i="3" s="1"/>
  <c r="E1725" i="3"/>
  <c r="G1725" i="3" s="1"/>
  <c r="E1726" i="3"/>
  <c r="G1726" i="3" s="1"/>
  <c r="E1727" i="3"/>
  <c r="E1728" i="3"/>
  <c r="G1728" i="3" s="1"/>
  <c r="E1729" i="3"/>
  <c r="G1729" i="3" s="1"/>
  <c r="E1730" i="3"/>
  <c r="G1730" i="3" s="1"/>
  <c r="E1731" i="3"/>
  <c r="E1732" i="3"/>
  <c r="G1732" i="3" s="1"/>
  <c r="E1733" i="3"/>
  <c r="G1733" i="3" s="1"/>
  <c r="E1734" i="3"/>
  <c r="G1734" i="3" s="1"/>
  <c r="E1735" i="3"/>
  <c r="E1736" i="3"/>
  <c r="G1736" i="3" s="1"/>
  <c r="E1737" i="3"/>
  <c r="G1737" i="3" s="1"/>
  <c r="E1738" i="3"/>
  <c r="G1738" i="3" s="1"/>
  <c r="E1739" i="3"/>
  <c r="E1740" i="3"/>
  <c r="G1740" i="3" s="1"/>
  <c r="E1741" i="3"/>
  <c r="G1741" i="3" s="1"/>
  <c r="E1742" i="3"/>
  <c r="G1742" i="3" s="1"/>
  <c r="E1743" i="3"/>
  <c r="E1744" i="3"/>
  <c r="G1744" i="3" s="1"/>
  <c r="E1745" i="3"/>
  <c r="G1745" i="3" s="1"/>
  <c r="E1746" i="3"/>
  <c r="G1746" i="3" s="1"/>
  <c r="E1747" i="3"/>
  <c r="E1748" i="3"/>
  <c r="G1748" i="3" s="1"/>
  <c r="E1749" i="3"/>
  <c r="G1749" i="3" s="1"/>
  <c r="E1750" i="3"/>
  <c r="G1750" i="3" s="1"/>
  <c r="E1751" i="3"/>
  <c r="E1752" i="3"/>
  <c r="G1752" i="3" s="1"/>
  <c r="E1753" i="3"/>
  <c r="G1753" i="3" s="1"/>
  <c r="E1754" i="3"/>
  <c r="G1754" i="3" s="1"/>
  <c r="E1755" i="3"/>
  <c r="E1756" i="3"/>
  <c r="G1756" i="3" s="1"/>
  <c r="E1757" i="3"/>
  <c r="G1757" i="3" s="1"/>
  <c r="E1758" i="3"/>
  <c r="G1758" i="3" s="1"/>
  <c r="E1759" i="3"/>
  <c r="E1760" i="3"/>
  <c r="G1760" i="3" s="1"/>
  <c r="E1761" i="3"/>
  <c r="G1761" i="3" s="1"/>
  <c r="E1762" i="3"/>
  <c r="G1762" i="3" s="1"/>
  <c r="E1763" i="3"/>
  <c r="E1764" i="3"/>
  <c r="G1764" i="3" s="1"/>
  <c r="E1765" i="3"/>
  <c r="G1765" i="3" s="1"/>
  <c r="E1766" i="3"/>
  <c r="G1766" i="3" s="1"/>
  <c r="E1767" i="3"/>
  <c r="E1768" i="3"/>
  <c r="G1768" i="3" s="1"/>
  <c r="E1769" i="3"/>
  <c r="G1769" i="3" s="1"/>
  <c r="E1770" i="3"/>
  <c r="G1770" i="3" s="1"/>
  <c r="E1771" i="3"/>
  <c r="E1772" i="3"/>
  <c r="G1772" i="3" s="1"/>
  <c r="E1773" i="3"/>
  <c r="G1773" i="3" s="1"/>
  <c r="E1774" i="3"/>
  <c r="G1774" i="3" s="1"/>
  <c r="E1775" i="3"/>
  <c r="E1776" i="3"/>
  <c r="G1776" i="3" s="1"/>
  <c r="E1777" i="3"/>
  <c r="G1777" i="3" s="1"/>
  <c r="E1778" i="3"/>
  <c r="G1778" i="3" s="1"/>
  <c r="E1779" i="3"/>
  <c r="E1780" i="3"/>
  <c r="G1780" i="3" s="1"/>
  <c r="E1781" i="3"/>
  <c r="G1781" i="3" s="1"/>
  <c r="E1782" i="3"/>
  <c r="G1782" i="3" s="1"/>
  <c r="E1783" i="3"/>
  <c r="E1784" i="3"/>
  <c r="G1784" i="3" s="1"/>
  <c r="E1785" i="3"/>
  <c r="G1785" i="3" s="1"/>
  <c r="E1786" i="3"/>
  <c r="G1786" i="3" s="1"/>
  <c r="E1787" i="3"/>
  <c r="E1788" i="3"/>
  <c r="G1788" i="3" s="1"/>
  <c r="E1789" i="3"/>
  <c r="G1789" i="3" s="1"/>
  <c r="E1790" i="3"/>
  <c r="G1790" i="3" s="1"/>
  <c r="E1791" i="3"/>
  <c r="E1792" i="3"/>
  <c r="G1792" i="3" s="1"/>
  <c r="E1793" i="3"/>
  <c r="G1793" i="3" s="1"/>
  <c r="E1794" i="3"/>
  <c r="G1794" i="3" s="1"/>
  <c r="E1795" i="3"/>
  <c r="E1796" i="3"/>
  <c r="G1796" i="3" s="1"/>
  <c r="E1797" i="3"/>
  <c r="G1797" i="3" s="1"/>
  <c r="E1798" i="3"/>
  <c r="G1798" i="3" s="1"/>
  <c r="E1799" i="3"/>
  <c r="E1800" i="3"/>
  <c r="G1800" i="3" s="1"/>
  <c r="E1801" i="3"/>
  <c r="G1801" i="3" s="1"/>
  <c r="E1802" i="3"/>
  <c r="G1802" i="3" s="1"/>
  <c r="E1803" i="3"/>
  <c r="E1804" i="3"/>
  <c r="G1804" i="3" s="1"/>
  <c r="E1805" i="3"/>
  <c r="G1805" i="3" s="1"/>
  <c r="E1806" i="3"/>
  <c r="G1806" i="3" s="1"/>
  <c r="E1807" i="3"/>
  <c r="E1808" i="3"/>
  <c r="G1808" i="3" s="1"/>
  <c r="E1809" i="3"/>
  <c r="G1809" i="3" s="1"/>
  <c r="E1810" i="3"/>
  <c r="G1810" i="3" s="1"/>
  <c r="E1811" i="3"/>
  <c r="E1812" i="3"/>
  <c r="G1812" i="3" s="1"/>
  <c r="E1813" i="3"/>
  <c r="G1813" i="3" s="1"/>
  <c r="E1814" i="3"/>
  <c r="G1814" i="3" s="1"/>
  <c r="E1815" i="3"/>
  <c r="E1816" i="3"/>
  <c r="G1816" i="3" s="1"/>
  <c r="E1817" i="3"/>
  <c r="G1817" i="3" s="1"/>
  <c r="E1818" i="3"/>
  <c r="G1818" i="3" s="1"/>
  <c r="E1819" i="3"/>
  <c r="E1820" i="3"/>
  <c r="G1820" i="3" s="1"/>
  <c r="E1821" i="3"/>
  <c r="G1821" i="3" s="1"/>
  <c r="E1822" i="3"/>
  <c r="G1822" i="3" s="1"/>
  <c r="E1823" i="3"/>
  <c r="E1824" i="3"/>
  <c r="G1824" i="3" s="1"/>
  <c r="E1825" i="3"/>
  <c r="G1825" i="3" s="1"/>
  <c r="E1826" i="3"/>
  <c r="G1826" i="3" s="1"/>
  <c r="E1827" i="3"/>
  <c r="E1828" i="3"/>
  <c r="G1828" i="3" s="1"/>
  <c r="E1829" i="3"/>
  <c r="G1829" i="3" s="1"/>
  <c r="E1830" i="3"/>
  <c r="G1830" i="3" s="1"/>
  <c r="E1831" i="3"/>
  <c r="E1832" i="3"/>
  <c r="G1832" i="3" s="1"/>
  <c r="E1833" i="3"/>
  <c r="G1833" i="3" s="1"/>
  <c r="E1834" i="3"/>
  <c r="G1834" i="3" s="1"/>
  <c r="E1835" i="3"/>
  <c r="E1836" i="3"/>
  <c r="G1836" i="3" s="1"/>
  <c r="E1837" i="3"/>
  <c r="G1837" i="3" s="1"/>
  <c r="E1838" i="3"/>
  <c r="G1838" i="3" s="1"/>
  <c r="E1839" i="3"/>
  <c r="E1840" i="3"/>
  <c r="G1840" i="3" s="1"/>
  <c r="E1841" i="3"/>
  <c r="G1841" i="3" s="1"/>
  <c r="E1842" i="3"/>
  <c r="G1842" i="3" s="1"/>
  <c r="E1843" i="3"/>
  <c r="E1844" i="3"/>
  <c r="G1844" i="3" s="1"/>
  <c r="E1845" i="3"/>
  <c r="G1845" i="3" s="1"/>
  <c r="E1846" i="3"/>
  <c r="G1846" i="3" s="1"/>
  <c r="E1847" i="3"/>
  <c r="E1848" i="3"/>
  <c r="G1848" i="3" s="1"/>
  <c r="E1849" i="3"/>
  <c r="G1849" i="3" s="1"/>
  <c r="E1850" i="3"/>
  <c r="G1850" i="3" s="1"/>
  <c r="E1851" i="3"/>
  <c r="E1852" i="3"/>
  <c r="G1852" i="3" s="1"/>
  <c r="E1853" i="3"/>
  <c r="G1853" i="3" s="1"/>
  <c r="E1854" i="3"/>
  <c r="G1854" i="3" s="1"/>
  <c r="E1855" i="3"/>
  <c r="E1856" i="3"/>
  <c r="G1856" i="3" s="1"/>
  <c r="E1857" i="3"/>
  <c r="G1857" i="3" s="1"/>
  <c r="E1858" i="3"/>
  <c r="G1858" i="3" s="1"/>
  <c r="E1859" i="3"/>
  <c r="E1860" i="3"/>
  <c r="G1860" i="3" s="1"/>
  <c r="E1861" i="3"/>
  <c r="G1861" i="3" s="1"/>
  <c r="E1862" i="3"/>
  <c r="G1862" i="3" s="1"/>
  <c r="E1863" i="3"/>
  <c r="E1864" i="3"/>
  <c r="G1864" i="3" s="1"/>
  <c r="E1865" i="3"/>
  <c r="G1865" i="3" s="1"/>
  <c r="E1866" i="3"/>
  <c r="G1866" i="3" s="1"/>
  <c r="E1867" i="3"/>
  <c r="E1868" i="3"/>
  <c r="G1868" i="3" s="1"/>
  <c r="E1869" i="3"/>
  <c r="G1869" i="3" s="1"/>
  <c r="E1870" i="3"/>
  <c r="G1870" i="3" s="1"/>
  <c r="E1871" i="3"/>
  <c r="E1872" i="3"/>
  <c r="G1872" i="3" s="1"/>
  <c r="E1873" i="3"/>
  <c r="G1873" i="3" s="1"/>
  <c r="E1874" i="3"/>
  <c r="G1874" i="3" s="1"/>
  <c r="E1875" i="3"/>
  <c r="E1876" i="3"/>
  <c r="G1876" i="3" s="1"/>
  <c r="E1877" i="3"/>
  <c r="G1877" i="3" s="1"/>
  <c r="E1878" i="3"/>
  <c r="G1878" i="3" s="1"/>
  <c r="E1879" i="3"/>
  <c r="E1880" i="3"/>
  <c r="G1880" i="3" s="1"/>
  <c r="E1881" i="3"/>
  <c r="G1881" i="3" s="1"/>
  <c r="E1882" i="3"/>
  <c r="G1882" i="3" s="1"/>
  <c r="E1883" i="3"/>
  <c r="E1884" i="3"/>
  <c r="G1884" i="3" s="1"/>
  <c r="E1885" i="3"/>
  <c r="G1885" i="3" s="1"/>
  <c r="E1886" i="3"/>
  <c r="G1886" i="3" s="1"/>
  <c r="E1887" i="3"/>
  <c r="E1888" i="3"/>
  <c r="G1888" i="3" s="1"/>
  <c r="E1889" i="3"/>
  <c r="G1889" i="3" s="1"/>
  <c r="E1890" i="3"/>
  <c r="G1890" i="3" s="1"/>
  <c r="E1891" i="3"/>
  <c r="E1892" i="3"/>
  <c r="G1892" i="3" s="1"/>
  <c r="E1893" i="3"/>
  <c r="G1893" i="3" s="1"/>
  <c r="E1894" i="3"/>
  <c r="G1894" i="3" s="1"/>
  <c r="E1895" i="3"/>
  <c r="E1896" i="3"/>
  <c r="G1896" i="3" s="1"/>
  <c r="E1897" i="3"/>
  <c r="G1897" i="3" s="1"/>
  <c r="E1898" i="3"/>
  <c r="G1898" i="3" s="1"/>
  <c r="E1899" i="3"/>
  <c r="E1900" i="3"/>
  <c r="G1900" i="3" s="1"/>
  <c r="E1901" i="3"/>
  <c r="G1901" i="3" s="1"/>
  <c r="E1902" i="3"/>
  <c r="G1902" i="3" s="1"/>
  <c r="E1903" i="3"/>
  <c r="E1904" i="3"/>
  <c r="G1904" i="3" s="1"/>
  <c r="E1905" i="3"/>
  <c r="G1905" i="3" s="1"/>
  <c r="E1906" i="3"/>
  <c r="G1906" i="3" s="1"/>
  <c r="E1907" i="3"/>
  <c r="E1908" i="3"/>
  <c r="G1908" i="3" s="1"/>
  <c r="E1909" i="3"/>
  <c r="G1909" i="3" s="1"/>
  <c r="E1910" i="3"/>
  <c r="G1910" i="3" s="1"/>
  <c r="E1911" i="3"/>
  <c r="E1912" i="3"/>
  <c r="G1912" i="3" s="1"/>
  <c r="E1913" i="3"/>
  <c r="G1913" i="3" s="1"/>
  <c r="E1914" i="3"/>
  <c r="G1914" i="3" s="1"/>
  <c r="E1915" i="3"/>
  <c r="E1916" i="3"/>
  <c r="G1916" i="3" s="1"/>
  <c r="E1917" i="3"/>
  <c r="G1917" i="3" s="1"/>
  <c r="E1918" i="3"/>
  <c r="G1918" i="3" s="1"/>
  <c r="E1919" i="3"/>
  <c r="E1920" i="3"/>
  <c r="G1920" i="3" s="1"/>
  <c r="E1921" i="3"/>
  <c r="G1921" i="3" s="1"/>
  <c r="E1922" i="3"/>
  <c r="G1922" i="3" s="1"/>
  <c r="E1923" i="3"/>
  <c r="E1924" i="3"/>
  <c r="G1924" i="3" s="1"/>
  <c r="E1925" i="3"/>
  <c r="G1925" i="3" s="1"/>
  <c r="E1926" i="3"/>
  <c r="G1926" i="3" s="1"/>
  <c r="E1927" i="3"/>
  <c r="E1928" i="3"/>
  <c r="G1928" i="3" s="1"/>
  <c r="E1929" i="3"/>
  <c r="G1929" i="3" s="1"/>
  <c r="E1930" i="3"/>
  <c r="G1930" i="3" s="1"/>
  <c r="E1931" i="3"/>
  <c r="E1932" i="3"/>
  <c r="G1932" i="3" s="1"/>
  <c r="E1933" i="3"/>
  <c r="G1933" i="3" s="1"/>
  <c r="E1934" i="3"/>
  <c r="G1934" i="3" s="1"/>
  <c r="E1935" i="3"/>
  <c r="E1936" i="3"/>
  <c r="G1936" i="3" s="1"/>
  <c r="E1937" i="3"/>
  <c r="G1937" i="3" s="1"/>
  <c r="E1938" i="3"/>
  <c r="G1938" i="3" s="1"/>
  <c r="E1939" i="3"/>
  <c r="E1940" i="3"/>
  <c r="G1940" i="3" s="1"/>
  <c r="E1941" i="3"/>
  <c r="G1941" i="3" s="1"/>
  <c r="E1942" i="3"/>
  <c r="G1942" i="3" s="1"/>
  <c r="E1943" i="3"/>
  <c r="E1944" i="3"/>
  <c r="G1944" i="3" s="1"/>
  <c r="E1945" i="3"/>
  <c r="G1945" i="3" s="1"/>
  <c r="E1946" i="3"/>
  <c r="G1946" i="3" s="1"/>
  <c r="E1947" i="3"/>
  <c r="E1948" i="3"/>
  <c r="G1948" i="3" s="1"/>
  <c r="E1949" i="3"/>
  <c r="G1949" i="3" s="1"/>
  <c r="E1950" i="3"/>
  <c r="G1950" i="3" s="1"/>
  <c r="E1951" i="3"/>
  <c r="E1952" i="3"/>
  <c r="G1952" i="3" s="1"/>
  <c r="E1953" i="3"/>
  <c r="G1953" i="3" s="1"/>
  <c r="E1954" i="3"/>
  <c r="G1954" i="3" s="1"/>
  <c r="E1955" i="3"/>
  <c r="E1956" i="3"/>
  <c r="G1956" i="3" s="1"/>
  <c r="E1957" i="3"/>
  <c r="G1957" i="3" s="1"/>
  <c r="E1958" i="3"/>
  <c r="G1958" i="3" s="1"/>
  <c r="E1959" i="3"/>
  <c r="E1960" i="3"/>
  <c r="G1960" i="3" s="1"/>
  <c r="E1961" i="3"/>
  <c r="G1961" i="3" s="1"/>
  <c r="E1962" i="3"/>
  <c r="G1962" i="3" s="1"/>
  <c r="E1963" i="3"/>
  <c r="E1964" i="3"/>
  <c r="G1964" i="3" s="1"/>
  <c r="E1965" i="3"/>
  <c r="G1965" i="3" s="1"/>
  <c r="E1966" i="3"/>
  <c r="G1966" i="3" s="1"/>
  <c r="E1967" i="3"/>
  <c r="E1968" i="3"/>
  <c r="G1968" i="3" s="1"/>
  <c r="E1969" i="3"/>
  <c r="G1969" i="3" s="1"/>
  <c r="E1970" i="3"/>
  <c r="G1970" i="3" s="1"/>
  <c r="E1971" i="3"/>
  <c r="E1972" i="3"/>
  <c r="G1972" i="3" s="1"/>
  <c r="E1973" i="3"/>
  <c r="G1973" i="3" s="1"/>
  <c r="E1974" i="3"/>
  <c r="G1974" i="3" s="1"/>
  <c r="E1975" i="3"/>
  <c r="E1976" i="3"/>
  <c r="G1976" i="3" s="1"/>
  <c r="E1977" i="3"/>
  <c r="G1977" i="3" s="1"/>
  <c r="E1978" i="3"/>
  <c r="G1978" i="3" s="1"/>
  <c r="E1979" i="3"/>
  <c r="E1980" i="3"/>
  <c r="G1980" i="3" s="1"/>
  <c r="E1981" i="3"/>
  <c r="G1981" i="3" s="1"/>
  <c r="E1982" i="3"/>
  <c r="G1982" i="3" s="1"/>
  <c r="E1983" i="3"/>
  <c r="E1984" i="3"/>
  <c r="G1984" i="3" s="1"/>
  <c r="E1985" i="3"/>
  <c r="G1985" i="3" s="1"/>
  <c r="E1986" i="3"/>
  <c r="G1986" i="3" s="1"/>
  <c r="E1987" i="3"/>
  <c r="E1988" i="3"/>
  <c r="G1988" i="3" s="1"/>
  <c r="E1989" i="3"/>
  <c r="G1989" i="3" s="1"/>
  <c r="E1990" i="3"/>
  <c r="G1990" i="3" s="1"/>
  <c r="E1991" i="3"/>
  <c r="E1992" i="3"/>
  <c r="G1992" i="3" s="1"/>
  <c r="E1993" i="3"/>
  <c r="G1993" i="3" s="1"/>
  <c r="E1994" i="3"/>
  <c r="G1994" i="3" s="1"/>
  <c r="E1995" i="3"/>
  <c r="E1996" i="3"/>
  <c r="G1996" i="3" s="1"/>
  <c r="E1997" i="3"/>
  <c r="G1997" i="3" s="1"/>
  <c r="E1998" i="3"/>
  <c r="G1998" i="3" s="1"/>
  <c r="E1999" i="3"/>
  <c r="E2000" i="3"/>
  <c r="G2000" i="3" s="1"/>
  <c r="E2001" i="3"/>
  <c r="G2001" i="3" s="1"/>
  <c r="E2002" i="3"/>
  <c r="G2002" i="3" s="1"/>
  <c r="E2003" i="3"/>
  <c r="E2004" i="3"/>
  <c r="G2004" i="3" s="1"/>
  <c r="E2005" i="3"/>
  <c r="G2005" i="3" s="1"/>
  <c r="E2006" i="3"/>
  <c r="G2006" i="3" s="1"/>
  <c r="E2007" i="3"/>
  <c r="E2008" i="3"/>
  <c r="G2008" i="3" s="1"/>
  <c r="E2009" i="3"/>
  <c r="G2009" i="3" s="1"/>
  <c r="E2010" i="3"/>
  <c r="G2010" i="3" s="1"/>
  <c r="E2011" i="3"/>
  <c r="E2012" i="3"/>
  <c r="G2012" i="3" s="1"/>
  <c r="E2013" i="3"/>
  <c r="G2013" i="3" s="1"/>
  <c r="E2014" i="3"/>
  <c r="G2014" i="3" s="1"/>
  <c r="E2015" i="3"/>
  <c r="E2016" i="3"/>
  <c r="G2016" i="3" s="1"/>
  <c r="E2017" i="3"/>
  <c r="G2017" i="3" s="1"/>
  <c r="E2018" i="3"/>
  <c r="G2018" i="3" s="1"/>
  <c r="E2019" i="3"/>
  <c r="E2020" i="3"/>
  <c r="G2020" i="3" s="1"/>
  <c r="E2021" i="3"/>
  <c r="G2021" i="3" s="1"/>
  <c r="E2022" i="3"/>
  <c r="G2022" i="3" s="1"/>
  <c r="E2023" i="3"/>
  <c r="E2024" i="3"/>
  <c r="G2024" i="3" s="1"/>
  <c r="E2025" i="3"/>
  <c r="G2025" i="3" s="1"/>
  <c r="E2026" i="3"/>
  <c r="G2026" i="3" s="1"/>
  <c r="E2027" i="3"/>
  <c r="E2028" i="3"/>
  <c r="G2028" i="3" s="1"/>
  <c r="E2029" i="3"/>
  <c r="G2029" i="3" s="1"/>
  <c r="E2030" i="3"/>
  <c r="G2030" i="3" s="1"/>
  <c r="E2031" i="3"/>
  <c r="E2032" i="3"/>
  <c r="G2032" i="3" s="1"/>
  <c r="E2033" i="3"/>
  <c r="G2033" i="3" s="1"/>
  <c r="E2034" i="3"/>
  <c r="G2034" i="3" s="1"/>
  <c r="E2035" i="3"/>
  <c r="E2036" i="3"/>
  <c r="G2036" i="3" s="1"/>
  <c r="E2037" i="3"/>
  <c r="G2037" i="3" s="1"/>
  <c r="E2038" i="3"/>
  <c r="G2038" i="3" s="1"/>
  <c r="E2039" i="3"/>
  <c r="E2040" i="3"/>
  <c r="G2040" i="3" s="1"/>
  <c r="E2041" i="3"/>
  <c r="G2041" i="3" s="1"/>
  <c r="E2042" i="3"/>
  <c r="G2042" i="3" s="1"/>
  <c r="E2043" i="3"/>
  <c r="E2044" i="3"/>
  <c r="G2044" i="3" s="1"/>
  <c r="E2045" i="3"/>
  <c r="G2045" i="3" s="1"/>
  <c r="E2046" i="3"/>
  <c r="G2046" i="3" s="1"/>
  <c r="E2047" i="3"/>
  <c r="E2048" i="3"/>
  <c r="G2048" i="3" s="1"/>
  <c r="E2049" i="3"/>
  <c r="G2049" i="3" s="1"/>
  <c r="E2050" i="3"/>
  <c r="G2050" i="3" s="1"/>
  <c r="E2051" i="3"/>
  <c r="E2052" i="3"/>
  <c r="G2052" i="3" s="1"/>
  <c r="E2053" i="3"/>
  <c r="G2053" i="3" s="1"/>
  <c r="E2054" i="3"/>
  <c r="G2054" i="3" s="1"/>
  <c r="E2055" i="3"/>
  <c r="E2056" i="3"/>
  <c r="G2056" i="3" s="1"/>
  <c r="E2057" i="3"/>
  <c r="G2057" i="3" s="1"/>
  <c r="E2058" i="3"/>
  <c r="G2058" i="3" s="1"/>
  <c r="E2059" i="3"/>
  <c r="E2060" i="3"/>
  <c r="G2060" i="3" s="1"/>
  <c r="E2061" i="3"/>
  <c r="G2061" i="3" s="1"/>
  <c r="E2062" i="3"/>
  <c r="G2062" i="3" s="1"/>
  <c r="E2063" i="3"/>
  <c r="E2064" i="3"/>
  <c r="G2064" i="3" s="1"/>
  <c r="E2065" i="3"/>
  <c r="G2065" i="3" s="1"/>
  <c r="E2066" i="3"/>
  <c r="G2066" i="3" s="1"/>
  <c r="E2067" i="3"/>
  <c r="E2068" i="3"/>
  <c r="G2068" i="3" s="1"/>
  <c r="E2069" i="3"/>
  <c r="G2069" i="3" s="1"/>
  <c r="E2070" i="3"/>
  <c r="G2070" i="3" s="1"/>
  <c r="E2071" i="3"/>
  <c r="E2072" i="3"/>
  <c r="G2072" i="3" s="1"/>
  <c r="E2073" i="3"/>
  <c r="G2073" i="3" s="1"/>
  <c r="E2074" i="3"/>
  <c r="G2074" i="3" s="1"/>
  <c r="E2075" i="3"/>
  <c r="E2076" i="3"/>
  <c r="G2076" i="3" s="1"/>
  <c r="E2077" i="3"/>
  <c r="G2077" i="3" s="1"/>
  <c r="E2078" i="3"/>
  <c r="G2078" i="3" s="1"/>
  <c r="E2079" i="3"/>
  <c r="E2080" i="3"/>
  <c r="G2080" i="3" s="1"/>
  <c r="E2081" i="3"/>
  <c r="G2081" i="3" s="1"/>
  <c r="E2082" i="3"/>
  <c r="G2082" i="3" s="1"/>
  <c r="E2083" i="3"/>
  <c r="E2084" i="3"/>
  <c r="G2084" i="3" s="1"/>
  <c r="E2085" i="3"/>
  <c r="G2085" i="3" s="1"/>
  <c r="E2086" i="3"/>
  <c r="G2086" i="3" s="1"/>
  <c r="E2087" i="3"/>
  <c r="E2088" i="3"/>
  <c r="G2088" i="3" s="1"/>
  <c r="E2089" i="3"/>
  <c r="G2089" i="3" s="1"/>
  <c r="E2090" i="3"/>
  <c r="G2090" i="3" s="1"/>
  <c r="E2091" i="3"/>
  <c r="E2092" i="3"/>
  <c r="G2092" i="3" s="1"/>
  <c r="E2093" i="3"/>
  <c r="G2093" i="3" s="1"/>
  <c r="E2094" i="3"/>
  <c r="G2094" i="3" s="1"/>
  <c r="E2095" i="3"/>
  <c r="E2096" i="3"/>
  <c r="G2096" i="3" s="1"/>
  <c r="E2097" i="3"/>
  <c r="G2097" i="3" s="1"/>
  <c r="E2098" i="3"/>
  <c r="G2098" i="3" s="1"/>
  <c r="E2099" i="3"/>
  <c r="E2100" i="3"/>
  <c r="G2100" i="3" s="1"/>
  <c r="E2101" i="3"/>
  <c r="G2101" i="3" s="1"/>
  <c r="E2102" i="3"/>
  <c r="G2102" i="3" s="1"/>
  <c r="E2103" i="3"/>
  <c r="E2104" i="3"/>
  <c r="G2104" i="3" s="1"/>
  <c r="E2105" i="3"/>
  <c r="G2105" i="3" s="1"/>
  <c r="E2106" i="3"/>
  <c r="G2106" i="3" s="1"/>
  <c r="E2107" i="3"/>
  <c r="E2108" i="3"/>
  <c r="G2108" i="3" s="1"/>
  <c r="E2109" i="3"/>
  <c r="G2109" i="3" s="1"/>
  <c r="E2110" i="3"/>
  <c r="G2110" i="3" s="1"/>
  <c r="E2111" i="3"/>
  <c r="E2112" i="3"/>
  <c r="G2112" i="3" s="1"/>
  <c r="E2113" i="3"/>
  <c r="G2113" i="3" s="1"/>
  <c r="E2114" i="3"/>
  <c r="G2114" i="3" s="1"/>
  <c r="E2115" i="3"/>
  <c r="E2116" i="3"/>
  <c r="G2116" i="3" s="1"/>
  <c r="E2117" i="3"/>
  <c r="G2117" i="3" s="1"/>
  <c r="E2118" i="3"/>
  <c r="G2118" i="3" s="1"/>
  <c r="E2119" i="3"/>
  <c r="E2120" i="3"/>
  <c r="G2120" i="3" s="1"/>
  <c r="E2121" i="3"/>
  <c r="G2121" i="3" s="1"/>
  <c r="E2122" i="3"/>
  <c r="G2122" i="3" s="1"/>
  <c r="E2123" i="3"/>
  <c r="E2124" i="3"/>
  <c r="G2124" i="3" s="1"/>
  <c r="E2125" i="3"/>
  <c r="G2125" i="3" s="1"/>
  <c r="E2126" i="3"/>
  <c r="G2126" i="3" s="1"/>
  <c r="E2127" i="3"/>
  <c r="E2128" i="3"/>
  <c r="G2128" i="3" s="1"/>
  <c r="E2129" i="3"/>
  <c r="G2129" i="3" s="1"/>
  <c r="E2130" i="3"/>
  <c r="G2130" i="3" s="1"/>
  <c r="E2131" i="3"/>
  <c r="E2132" i="3"/>
  <c r="G2132" i="3" s="1"/>
  <c r="E2133" i="3"/>
  <c r="G2133" i="3" s="1"/>
  <c r="E2134" i="3"/>
  <c r="G2134" i="3" s="1"/>
  <c r="E2135" i="3"/>
  <c r="E2136" i="3"/>
  <c r="G2136" i="3" s="1"/>
  <c r="E2137" i="3"/>
  <c r="G2137" i="3" s="1"/>
  <c r="E2138" i="3"/>
  <c r="G2138" i="3" s="1"/>
  <c r="E2139" i="3"/>
  <c r="E2140" i="3"/>
  <c r="G2140" i="3" s="1"/>
  <c r="E2141" i="3"/>
  <c r="G2141" i="3" s="1"/>
  <c r="E2142" i="3"/>
  <c r="G2142" i="3" s="1"/>
  <c r="E2143" i="3"/>
  <c r="E2144" i="3"/>
  <c r="G2144" i="3" s="1"/>
  <c r="E2145" i="3"/>
  <c r="G2145" i="3" s="1"/>
  <c r="E2146" i="3"/>
  <c r="G2146" i="3" s="1"/>
  <c r="E2147" i="3"/>
  <c r="E2148" i="3"/>
  <c r="G2148" i="3" s="1"/>
  <c r="E2149" i="3"/>
  <c r="G2149" i="3" s="1"/>
  <c r="E2150" i="3"/>
  <c r="G2150" i="3" s="1"/>
  <c r="E2151" i="3"/>
  <c r="E2152" i="3"/>
  <c r="G2152" i="3" s="1"/>
  <c r="E2153" i="3"/>
  <c r="G2153" i="3" s="1"/>
  <c r="E2154" i="3"/>
  <c r="G2154" i="3" s="1"/>
  <c r="E2155" i="3"/>
  <c r="E2156" i="3"/>
  <c r="G2156" i="3" s="1"/>
  <c r="E2157" i="3"/>
  <c r="G2157" i="3" s="1"/>
  <c r="E2158" i="3"/>
  <c r="G2158" i="3" s="1"/>
  <c r="E2159" i="3"/>
  <c r="E2160" i="3"/>
  <c r="G2160" i="3" s="1"/>
  <c r="F3" i="3"/>
  <c r="E3" i="3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2109" i="2"/>
  <c r="P2110" i="2"/>
  <c r="P2111" i="2"/>
  <c r="P2112" i="2"/>
  <c r="P2113" i="2"/>
  <c r="P2114" i="2"/>
  <c r="P2115" i="2"/>
  <c r="P2116" i="2"/>
  <c r="P2117" i="2"/>
  <c r="P2118" i="2"/>
  <c r="P2119" i="2"/>
  <c r="P2120" i="2"/>
  <c r="P2121" i="2"/>
  <c r="P2122" i="2"/>
  <c r="P2123" i="2"/>
  <c r="P2124" i="2"/>
  <c r="P2125" i="2"/>
  <c r="P2126" i="2"/>
  <c r="P2127" i="2"/>
  <c r="P2128" i="2"/>
  <c r="P2129" i="2"/>
  <c r="P2130" i="2"/>
  <c r="P2131" i="2"/>
  <c r="P2132" i="2"/>
  <c r="P2133" i="2"/>
  <c r="P2134" i="2"/>
  <c r="P2135" i="2"/>
  <c r="P2136" i="2"/>
  <c r="P2137" i="2"/>
  <c r="P2138" i="2"/>
  <c r="P2139" i="2"/>
  <c r="P2140" i="2"/>
  <c r="P2141" i="2"/>
  <c r="P2142" i="2"/>
  <c r="P2143" i="2"/>
  <c r="P2144" i="2"/>
  <c r="P2145" i="2"/>
  <c r="P2146" i="2"/>
  <c r="P2147" i="2"/>
  <c r="P2148" i="2"/>
  <c r="P2149" i="2"/>
  <c r="P2150" i="2"/>
  <c r="P2151" i="2"/>
  <c r="P2152" i="2"/>
  <c r="P2153" i="2"/>
  <c r="P2154" i="2"/>
  <c r="P2155" i="2"/>
  <c r="P2156" i="2"/>
  <c r="P2157" i="2"/>
  <c r="P2158" i="2"/>
  <c r="P2159" i="2"/>
  <c r="P2160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2111" i="2"/>
  <c r="O2112" i="2"/>
  <c r="O2113" i="2"/>
  <c r="O2114" i="2"/>
  <c r="O2115" i="2"/>
  <c r="O2116" i="2"/>
  <c r="O2117" i="2"/>
  <c r="O2118" i="2"/>
  <c r="O2119" i="2"/>
  <c r="O2120" i="2"/>
  <c r="O2121" i="2"/>
  <c r="O2122" i="2"/>
  <c r="O2123" i="2"/>
  <c r="O2124" i="2"/>
  <c r="O2125" i="2"/>
  <c r="O2126" i="2"/>
  <c r="O2127" i="2"/>
  <c r="O2128" i="2"/>
  <c r="O2129" i="2"/>
  <c r="O2130" i="2"/>
  <c r="O2131" i="2"/>
  <c r="O2132" i="2"/>
  <c r="O2133" i="2"/>
  <c r="O2134" i="2"/>
  <c r="O2135" i="2"/>
  <c r="O2136" i="2"/>
  <c r="O2137" i="2"/>
  <c r="O2138" i="2"/>
  <c r="O2139" i="2"/>
  <c r="O2140" i="2"/>
  <c r="O2141" i="2"/>
  <c r="O2142" i="2"/>
  <c r="O2143" i="2"/>
  <c r="O2144" i="2"/>
  <c r="O2145" i="2"/>
  <c r="O2146" i="2"/>
  <c r="O2147" i="2"/>
  <c r="O2148" i="2"/>
  <c r="O2149" i="2"/>
  <c r="O2150" i="2"/>
  <c r="O2151" i="2"/>
  <c r="O2152" i="2"/>
  <c r="O2153" i="2"/>
  <c r="O2154" i="2"/>
  <c r="O2155" i="2"/>
  <c r="O2156" i="2"/>
  <c r="O2157" i="2"/>
  <c r="O2158" i="2"/>
  <c r="O2159" i="2"/>
  <c r="O2160" i="2"/>
  <c r="O3" i="2"/>
  <c r="P3" i="2"/>
  <c r="N2" i="2"/>
  <c r="C6" i="2"/>
  <c r="D10" i="2" s="1"/>
  <c r="B9" i="2"/>
  <c r="G432" i="3" l="1"/>
  <c r="G428" i="3"/>
  <c r="G424" i="3"/>
  <c r="G420" i="3"/>
  <c r="G416" i="3"/>
  <c r="G412" i="3"/>
  <c r="G408" i="3"/>
  <c r="G404" i="3"/>
  <c r="G400" i="3"/>
  <c r="G396" i="3"/>
  <c r="G392" i="3"/>
  <c r="G388" i="3"/>
  <c r="G384" i="3"/>
  <c r="G380" i="3"/>
  <c r="G376" i="3"/>
  <c r="G372" i="3"/>
  <c r="G368" i="3"/>
  <c r="G364" i="3"/>
  <c r="G360" i="3"/>
  <c r="G356" i="3"/>
  <c r="G352" i="3"/>
  <c r="G348" i="3"/>
  <c r="G344" i="3"/>
  <c r="G340" i="3"/>
  <c r="G336" i="3"/>
  <c r="G332" i="3"/>
  <c r="G328" i="3"/>
  <c r="G324" i="3"/>
  <c r="G320" i="3"/>
  <c r="G316" i="3"/>
  <c r="G312" i="3"/>
  <c r="G308" i="3"/>
  <c r="G304" i="3"/>
  <c r="G300" i="3"/>
  <c r="G296" i="3"/>
  <c r="G292" i="3"/>
  <c r="G288" i="3"/>
  <c r="G284" i="3"/>
  <c r="G280" i="3"/>
  <c r="G276" i="3"/>
  <c r="G272" i="3"/>
  <c r="G268" i="3"/>
  <c r="G264" i="3"/>
  <c r="G260" i="3"/>
  <c r="G256" i="3"/>
  <c r="G252" i="3"/>
  <c r="G248" i="3"/>
  <c r="G244" i="3"/>
  <c r="G240" i="3"/>
  <c r="G236" i="3"/>
  <c r="G232" i="3"/>
  <c r="G228" i="3"/>
  <c r="G224" i="3"/>
  <c r="G220" i="3"/>
  <c r="G216" i="3"/>
  <c r="G212" i="3"/>
  <c r="G208" i="3"/>
  <c r="G204" i="3"/>
  <c r="G200" i="3"/>
  <c r="G196" i="3"/>
  <c r="G192" i="3"/>
  <c r="G188" i="3"/>
  <c r="G184" i="3"/>
  <c r="G180" i="3"/>
  <c r="G176" i="3"/>
  <c r="G172" i="3"/>
  <c r="G168" i="3"/>
  <c r="G164" i="3"/>
  <c r="G160" i="3"/>
  <c r="G156" i="3"/>
  <c r="G152" i="3"/>
  <c r="G148" i="3"/>
  <c r="G144" i="3"/>
  <c r="G140" i="3"/>
  <c r="G136" i="3"/>
  <c r="G132" i="3"/>
  <c r="G128" i="3"/>
  <c r="G124" i="3"/>
  <c r="G120" i="3"/>
  <c r="G116" i="3"/>
  <c r="G112" i="3"/>
  <c r="G108" i="3"/>
  <c r="G104" i="3"/>
  <c r="G100" i="3"/>
  <c r="G96" i="3"/>
  <c r="G92" i="3"/>
  <c r="G88" i="3"/>
  <c r="G84" i="3"/>
  <c r="G80" i="3"/>
  <c r="G76" i="3"/>
  <c r="G72" i="3"/>
  <c r="G68" i="3"/>
  <c r="G64" i="3"/>
  <c r="G60" i="3"/>
  <c r="G56" i="3"/>
  <c r="G52" i="3"/>
  <c r="G48" i="3"/>
  <c r="G44" i="3"/>
  <c r="G40" i="3"/>
  <c r="G36" i="3"/>
  <c r="G32" i="3"/>
  <c r="G28" i="3"/>
  <c r="G24" i="3"/>
  <c r="G20" i="3"/>
  <c r="G16" i="3"/>
  <c r="G12" i="3"/>
  <c r="G8" i="3"/>
  <c r="G4" i="3"/>
  <c r="G3" i="3"/>
  <c r="G2159" i="3"/>
  <c r="G2155" i="3"/>
  <c r="G2151" i="3"/>
  <c r="G2147" i="3"/>
  <c r="G2143" i="3"/>
  <c r="G2139" i="3"/>
  <c r="G2135" i="3"/>
  <c r="G2131" i="3"/>
  <c r="G2127" i="3"/>
  <c r="G2123" i="3"/>
  <c r="G2119" i="3"/>
  <c r="G2115" i="3"/>
  <c r="G2111" i="3"/>
  <c r="G2107" i="3"/>
  <c r="G2103" i="3"/>
  <c r="G2099" i="3"/>
  <c r="G2095" i="3"/>
  <c r="G2091" i="3"/>
  <c r="G2087" i="3"/>
  <c r="G2083" i="3"/>
  <c r="G2079" i="3"/>
  <c r="G2075" i="3"/>
  <c r="G2071" i="3"/>
  <c r="G2067" i="3"/>
  <c r="G2063" i="3"/>
  <c r="G2059" i="3"/>
  <c r="G2055" i="3"/>
  <c r="G2051" i="3"/>
  <c r="G2047" i="3"/>
  <c r="G2043" i="3"/>
  <c r="G2039" i="3"/>
  <c r="G2035" i="3"/>
  <c r="G2031" i="3"/>
  <c r="G2027" i="3"/>
  <c r="G2023" i="3"/>
  <c r="G2019" i="3"/>
  <c r="G2015" i="3"/>
  <c r="G2011" i="3"/>
  <c r="G2007" i="3"/>
  <c r="G2003" i="3"/>
  <c r="G1999" i="3"/>
  <c r="G1995" i="3"/>
  <c r="G1991" i="3"/>
  <c r="G1987" i="3"/>
  <c r="G1983" i="3"/>
  <c r="G1979" i="3"/>
  <c r="G1975" i="3"/>
  <c r="G1971" i="3"/>
  <c r="G1967" i="3"/>
  <c r="G1963" i="3"/>
  <c r="G1959" i="3"/>
  <c r="G1955" i="3"/>
  <c r="G1951" i="3"/>
  <c r="G1947" i="3"/>
  <c r="G1943" i="3"/>
  <c r="G1939" i="3"/>
  <c r="G1935" i="3"/>
  <c r="G1931" i="3"/>
  <c r="G1927" i="3"/>
  <c r="G1923" i="3"/>
  <c r="G1919" i="3"/>
  <c r="G1915" i="3"/>
  <c r="G1911" i="3"/>
  <c r="G1907" i="3"/>
  <c r="G1903" i="3"/>
  <c r="G1899" i="3"/>
  <c r="G1895" i="3"/>
  <c r="G1891" i="3"/>
  <c r="G1887" i="3"/>
  <c r="G1883" i="3"/>
  <c r="G1879" i="3"/>
  <c r="G1875" i="3"/>
  <c r="G1871" i="3"/>
  <c r="G1867" i="3"/>
  <c r="G1863" i="3"/>
  <c r="G1859" i="3"/>
  <c r="G1855" i="3"/>
  <c r="G1851" i="3"/>
  <c r="G1847" i="3"/>
  <c r="G1843" i="3"/>
  <c r="G1839" i="3"/>
  <c r="G1835" i="3"/>
  <c r="G1831" i="3"/>
  <c r="G1827" i="3"/>
  <c r="G1823" i="3"/>
  <c r="G1819" i="3"/>
  <c r="G1815" i="3"/>
  <c r="G1811" i="3"/>
  <c r="G1807" i="3"/>
  <c r="G1803" i="3"/>
  <c r="G1799" i="3"/>
  <c r="G1795" i="3"/>
  <c r="G1791" i="3"/>
  <c r="G1787" i="3"/>
  <c r="G1783" i="3"/>
  <c r="G1779" i="3"/>
  <c r="G1775" i="3"/>
  <c r="G1771" i="3"/>
  <c r="G1767" i="3"/>
  <c r="G1763" i="3"/>
  <c r="G1759" i="3"/>
  <c r="G1755" i="3"/>
  <c r="G1751" i="3"/>
  <c r="G1747" i="3"/>
  <c r="G1743" i="3"/>
  <c r="G1739" i="3"/>
  <c r="G1735" i="3"/>
  <c r="G1731" i="3"/>
  <c r="G1727" i="3"/>
  <c r="G1723" i="3"/>
  <c r="G1719" i="3"/>
  <c r="G1715" i="3"/>
  <c r="G1711" i="3"/>
  <c r="G1707" i="3"/>
  <c r="G1703" i="3"/>
  <c r="G1699" i="3"/>
  <c r="G1695" i="3"/>
  <c r="G1691" i="3"/>
  <c r="G1687" i="3"/>
  <c r="G1683" i="3"/>
  <c r="G1679" i="3"/>
  <c r="G1675" i="3"/>
  <c r="G1671" i="3"/>
  <c r="G1667" i="3"/>
  <c r="G1663" i="3"/>
  <c r="G1659" i="3"/>
  <c r="G1655" i="3"/>
  <c r="G1651" i="3"/>
  <c r="G1647" i="3"/>
  <c r="G1643" i="3"/>
  <c r="G1639" i="3"/>
  <c r="G1635" i="3"/>
  <c r="G1631" i="3"/>
  <c r="G1627" i="3"/>
  <c r="G1623" i="3"/>
  <c r="G1619" i="3"/>
  <c r="G1615" i="3"/>
  <c r="G1611" i="3"/>
  <c r="G1607" i="3"/>
  <c r="G1603" i="3"/>
  <c r="G1599" i="3"/>
  <c r="G1595" i="3"/>
  <c r="G1591" i="3"/>
  <c r="G1587" i="3"/>
  <c r="G1583" i="3"/>
  <c r="G1579" i="3"/>
  <c r="G1575" i="3"/>
  <c r="G1571" i="3"/>
  <c r="G1567" i="3"/>
  <c r="G1563" i="3"/>
  <c r="G1559" i="3"/>
  <c r="G1555" i="3"/>
  <c r="G1551" i="3"/>
  <c r="G1547" i="3"/>
  <c r="G1543" i="3"/>
  <c r="G1539" i="3"/>
  <c r="G1535" i="3"/>
  <c r="G1531" i="3"/>
  <c r="G1527" i="3"/>
  <c r="G1523" i="3"/>
  <c r="G1519" i="3"/>
  <c r="G1515" i="3"/>
  <c r="G1511" i="3"/>
  <c r="G1507" i="3"/>
  <c r="G1503" i="3"/>
  <c r="G1499" i="3"/>
  <c r="G1495" i="3"/>
  <c r="G1491" i="3"/>
  <c r="G1487" i="3"/>
  <c r="G1483" i="3"/>
  <c r="G1479" i="3"/>
  <c r="G1475" i="3"/>
  <c r="G1471" i="3"/>
  <c r="G1467" i="3"/>
  <c r="G1463" i="3"/>
  <c r="G1459" i="3"/>
  <c r="G1455" i="3"/>
  <c r="G1451" i="3"/>
  <c r="G1447" i="3"/>
  <c r="G1443" i="3"/>
  <c r="G1439" i="3"/>
  <c r="G1435" i="3"/>
  <c r="G1431" i="3"/>
  <c r="G1427" i="3"/>
  <c r="G1423" i="3"/>
  <c r="G1419" i="3"/>
  <c r="G1415" i="3"/>
  <c r="G1411" i="3"/>
  <c r="G1407" i="3"/>
  <c r="G1403" i="3"/>
  <c r="G1399" i="3"/>
  <c r="G1395" i="3"/>
  <c r="G1391" i="3"/>
  <c r="G1387" i="3"/>
  <c r="G1383" i="3"/>
  <c r="G1379" i="3"/>
  <c r="G1375" i="3"/>
  <c r="G1371" i="3"/>
  <c r="G1367" i="3"/>
  <c r="G1363" i="3"/>
  <c r="G1359" i="3"/>
  <c r="G1355" i="3"/>
  <c r="G1351" i="3"/>
  <c r="G1347" i="3"/>
  <c r="G1343" i="3"/>
  <c r="G1339" i="3"/>
  <c r="G1335" i="3"/>
  <c r="G1331" i="3"/>
  <c r="G1327" i="3"/>
  <c r="G1323" i="3"/>
  <c r="G1319" i="3"/>
  <c r="G1315" i="3"/>
  <c r="G1311" i="3"/>
  <c r="G1307" i="3"/>
  <c r="G1303" i="3"/>
  <c r="G1299" i="3"/>
  <c r="G1295" i="3"/>
  <c r="G1291" i="3"/>
  <c r="G1287" i="3"/>
  <c r="G1283" i="3"/>
  <c r="G1279" i="3"/>
  <c r="G1275" i="3"/>
  <c r="G1271" i="3"/>
  <c r="G1267" i="3"/>
  <c r="G1263" i="3"/>
  <c r="G1259" i="3"/>
  <c r="G1255" i="3"/>
  <c r="G1251" i="3"/>
  <c r="G1247" i="3"/>
  <c r="G1243" i="3"/>
  <c r="G1239" i="3"/>
  <c r="G1235" i="3"/>
  <c r="G1231" i="3"/>
  <c r="G1227" i="3"/>
  <c r="G1223" i="3"/>
  <c r="G1219" i="3"/>
  <c r="G1215" i="3"/>
  <c r="G1211" i="3"/>
  <c r="G1207" i="3"/>
  <c r="G1203" i="3"/>
  <c r="G1199" i="3"/>
  <c r="G1195" i="3"/>
  <c r="G1191" i="3"/>
  <c r="G1187" i="3"/>
  <c r="G1183" i="3"/>
  <c r="G1179" i="3"/>
  <c r="G1175" i="3"/>
  <c r="G1171" i="3"/>
  <c r="G1167" i="3"/>
  <c r="G1163" i="3"/>
  <c r="G1159" i="3"/>
  <c r="G1155" i="3"/>
  <c r="G1151" i="3"/>
  <c r="G1147" i="3"/>
  <c r="G1143" i="3"/>
  <c r="G1139" i="3"/>
  <c r="G1135" i="3"/>
  <c r="G1131" i="3"/>
  <c r="G1127" i="3"/>
  <c r="G1123" i="3"/>
  <c r="G1119" i="3"/>
  <c r="G1115" i="3"/>
  <c r="G1111" i="3"/>
  <c r="G1107" i="3"/>
  <c r="G1103" i="3"/>
  <c r="G1099" i="3"/>
  <c r="G1095" i="3"/>
  <c r="G1091" i="3"/>
  <c r="G1087" i="3"/>
  <c r="G1083" i="3"/>
  <c r="G1079" i="3"/>
  <c r="G1075" i="3"/>
  <c r="G1071" i="3"/>
  <c r="G1067" i="3"/>
  <c r="G1063" i="3"/>
  <c r="G1059" i="3"/>
  <c r="G1055" i="3"/>
  <c r="G1051" i="3"/>
  <c r="G1047" i="3"/>
  <c r="G1043" i="3"/>
  <c r="G1039" i="3"/>
  <c r="G1035" i="3"/>
  <c r="G1031" i="3"/>
  <c r="G1027" i="3"/>
  <c r="G1023" i="3"/>
  <c r="G1019" i="3"/>
  <c r="G1015" i="3"/>
  <c r="G1011" i="3"/>
  <c r="G1007" i="3"/>
  <c r="G1003" i="3"/>
  <c r="G999" i="3"/>
  <c r="G995" i="3"/>
  <c r="G991" i="3"/>
  <c r="G987" i="3"/>
  <c r="G983" i="3"/>
  <c r="G979" i="3"/>
  <c r="G975" i="3"/>
  <c r="G971" i="3"/>
  <c r="G967" i="3"/>
  <c r="G963" i="3"/>
  <c r="G959" i="3"/>
  <c r="G955" i="3"/>
  <c r="G951" i="3"/>
  <c r="G947" i="3"/>
  <c r="G943" i="3"/>
  <c r="G939" i="3"/>
  <c r="G935" i="3"/>
  <c r="G931" i="3"/>
  <c r="G927" i="3"/>
  <c r="G923" i="3"/>
  <c r="G919" i="3"/>
  <c r="G915" i="3"/>
  <c r="G911" i="3"/>
  <c r="G907" i="3"/>
  <c r="G903" i="3"/>
  <c r="G899" i="3"/>
  <c r="G895" i="3"/>
  <c r="G891" i="3"/>
  <c r="G887" i="3"/>
  <c r="G883" i="3"/>
  <c r="G879" i="3"/>
  <c r="G875" i="3"/>
  <c r="G871" i="3"/>
  <c r="G867" i="3"/>
  <c r="G863" i="3"/>
  <c r="G859" i="3"/>
  <c r="G855" i="3"/>
  <c r="G851" i="3"/>
  <c r="G847" i="3"/>
  <c r="G843" i="3"/>
  <c r="G839" i="3"/>
  <c r="G835" i="3"/>
  <c r="G831" i="3"/>
  <c r="G827" i="3"/>
  <c r="G823" i="3"/>
  <c r="G819" i="3"/>
  <c r="G815" i="3"/>
  <c r="G811" i="3"/>
  <c r="G807" i="3"/>
  <c r="G803" i="3"/>
  <c r="G799" i="3"/>
  <c r="G795" i="3"/>
  <c r="G791" i="3"/>
  <c r="G787" i="3"/>
  <c r="G783" i="3"/>
  <c r="G779" i="3"/>
  <c r="G775" i="3"/>
  <c r="G771" i="3"/>
  <c r="G767" i="3"/>
  <c r="G763" i="3"/>
  <c r="G759" i="3"/>
  <c r="G755" i="3"/>
  <c r="G751" i="3"/>
  <c r="G747" i="3"/>
  <c r="G743" i="3"/>
  <c r="G739" i="3"/>
  <c r="G735" i="3"/>
  <c r="G731" i="3"/>
  <c r="G727" i="3"/>
  <c r="G723" i="3"/>
  <c r="G719" i="3"/>
  <c r="G715" i="3"/>
  <c r="G711" i="3"/>
  <c r="G707" i="3"/>
  <c r="G703" i="3"/>
  <c r="G699" i="3"/>
  <c r="G695" i="3"/>
  <c r="G691" i="3"/>
  <c r="G687" i="3"/>
  <c r="G683" i="3"/>
  <c r="G679" i="3"/>
  <c r="G675" i="3"/>
  <c r="G671" i="3"/>
  <c r="G667" i="3"/>
  <c r="G663" i="3"/>
  <c r="G659" i="3"/>
  <c r="G655" i="3"/>
  <c r="G651" i="3"/>
  <c r="G647" i="3"/>
  <c r="G643" i="3"/>
  <c r="G639" i="3"/>
  <c r="G635" i="3"/>
  <c r="G631" i="3"/>
  <c r="G627" i="3"/>
  <c r="G623" i="3"/>
  <c r="G619" i="3"/>
  <c r="G615" i="3"/>
  <c r="G611" i="3"/>
  <c r="G607" i="3"/>
  <c r="G603" i="3"/>
  <c r="G599" i="3"/>
  <c r="G595" i="3"/>
  <c r="G591" i="3"/>
  <c r="G587" i="3"/>
  <c r="G583" i="3"/>
  <c r="G579" i="3"/>
  <c r="G575" i="3"/>
  <c r="G571" i="3"/>
  <c r="G567" i="3"/>
  <c r="G563" i="3"/>
  <c r="G559" i="3"/>
  <c r="G555" i="3"/>
  <c r="G551" i="3"/>
  <c r="G547" i="3"/>
  <c r="G543" i="3"/>
  <c r="G539" i="3"/>
  <c r="G535" i="3"/>
  <c r="G531" i="3"/>
  <c r="G527" i="3"/>
  <c r="G523" i="3"/>
  <c r="G519" i="3"/>
  <c r="G515" i="3"/>
  <c r="G511" i="3"/>
  <c r="G507" i="3"/>
  <c r="G503" i="3"/>
  <c r="G499" i="3"/>
  <c r="G495" i="3"/>
  <c r="G491" i="3"/>
  <c r="G487" i="3"/>
  <c r="G483" i="3"/>
  <c r="G479" i="3"/>
  <c r="G475" i="3"/>
  <c r="G471" i="3"/>
  <c r="G467" i="3"/>
  <c r="G463" i="3"/>
  <c r="G459" i="3"/>
  <c r="G455" i="3"/>
  <c r="G451" i="3"/>
  <c r="G447" i="3"/>
  <c r="G443" i="3"/>
  <c r="G439" i="3"/>
  <c r="G435" i="3"/>
  <c r="G431" i="3"/>
  <c r="G427" i="3"/>
  <c r="G423" i="3"/>
  <c r="G419" i="3"/>
  <c r="G415" i="3"/>
  <c r="G411" i="3"/>
  <c r="G407" i="3"/>
  <c r="G403" i="3"/>
  <c r="G399" i="3"/>
  <c r="G395" i="3"/>
  <c r="G391" i="3"/>
  <c r="G387" i="3"/>
  <c r="G383" i="3"/>
  <c r="G379" i="3"/>
  <c r="G375" i="3"/>
  <c r="G371" i="3"/>
  <c r="G367" i="3"/>
  <c r="G363" i="3"/>
  <c r="G359" i="3"/>
  <c r="G355" i="3"/>
  <c r="G351" i="3"/>
  <c r="G347" i="3"/>
  <c r="G343" i="3"/>
  <c r="G339" i="3"/>
  <c r="G335" i="3"/>
  <c r="G331" i="3"/>
  <c r="G327" i="3"/>
  <c r="G323" i="3"/>
  <c r="G319" i="3"/>
  <c r="G315" i="3"/>
  <c r="G311" i="3"/>
  <c r="G307" i="3"/>
  <c r="G303" i="3"/>
  <c r="G299" i="3"/>
  <c r="G295" i="3"/>
  <c r="G291" i="3"/>
  <c r="G287" i="3"/>
  <c r="G283" i="3"/>
  <c r="G279" i="3"/>
  <c r="G275" i="3"/>
  <c r="G271" i="3"/>
  <c r="G267" i="3"/>
  <c r="G263" i="3"/>
  <c r="G259" i="3"/>
  <c r="G255" i="3"/>
  <c r="G251" i="3"/>
  <c r="G247" i="3"/>
  <c r="G243" i="3"/>
  <c r="G239" i="3"/>
  <c r="G235" i="3"/>
  <c r="G231" i="3"/>
  <c r="G227" i="3"/>
  <c r="G223" i="3"/>
  <c r="G219" i="3"/>
  <c r="G215" i="3"/>
  <c r="G211" i="3"/>
  <c r="G207" i="3"/>
  <c r="G203" i="3"/>
  <c r="G199" i="3"/>
  <c r="G195" i="3"/>
  <c r="G191" i="3"/>
  <c r="G187" i="3"/>
  <c r="G183" i="3"/>
  <c r="G179" i="3"/>
  <c r="G175" i="3"/>
  <c r="G171" i="3"/>
  <c r="G167" i="3"/>
  <c r="G163" i="3"/>
  <c r="G159" i="3"/>
  <c r="G155" i="3"/>
  <c r="G151" i="3"/>
  <c r="G147" i="3"/>
  <c r="G143" i="3"/>
  <c r="G139" i="3"/>
  <c r="G135" i="3"/>
  <c r="G131" i="3"/>
  <c r="G127" i="3"/>
  <c r="G123" i="3"/>
  <c r="G119" i="3"/>
  <c r="G115" i="3"/>
  <c r="G111" i="3"/>
  <c r="G107" i="3"/>
  <c r="G103" i="3"/>
  <c r="G99" i="3"/>
  <c r="G95" i="3"/>
  <c r="G91" i="3"/>
  <c r="G87" i="3"/>
  <c r="G83" i="3"/>
  <c r="G79" i="3"/>
  <c r="G75" i="3"/>
  <c r="G71" i="3"/>
  <c r="G67" i="3"/>
  <c r="G63" i="3"/>
  <c r="G59" i="3"/>
  <c r="G55" i="3"/>
  <c r="G51" i="3"/>
  <c r="G47" i="3"/>
  <c r="G43" i="3"/>
  <c r="G39" i="3"/>
  <c r="G35" i="3"/>
  <c r="G31" i="3"/>
  <c r="G27" i="3"/>
  <c r="G23" i="3"/>
  <c r="G19" i="3"/>
  <c r="G15" i="3"/>
  <c r="G11" i="3"/>
  <c r="G7" i="3"/>
  <c r="D82" i="2"/>
  <c r="D13" i="2"/>
  <c r="Q3" i="2"/>
  <c r="D166" i="2"/>
  <c r="D146" i="2"/>
  <c r="Q62" i="2"/>
  <c r="Q50" i="2"/>
  <c r="Q41" i="2"/>
  <c r="Q9" i="2"/>
  <c r="Q414" i="2"/>
  <c r="Q410" i="2"/>
  <c r="Q402" i="2"/>
  <c r="Q398" i="2"/>
  <c r="Q394" i="2"/>
  <c r="Q386" i="2"/>
  <c r="Q382" i="2"/>
  <c r="Q378" i="2"/>
  <c r="Q374" i="2"/>
  <c r="Q370" i="2"/>
  <c r="Q366" i="2"/>
  <c r="Q362" i="2"/>
  <c r="Q358" i="2"/>
  <c r="Q354" i="2"/>
  <c r="Q350" i="2"/>
  <c r="Q346" i="2"/>
  <c r="Q342" i="2"/>
  <c r="Q337" i="2"/>
  <c r="Q331" i="2"/>
  <c r="Q321" i="2"/>
  <c r="Q315" i="2"/>
  <c r="Q310" i="2"/>
  <c r="Q305" i="2"/>
  <c r="Q299" i="2"/>
  <c r="Q294" i="2"/>
  <c r="Q289" i="2"/>
  <c r="Q283" i="2"/>
  <c r="Q278" i="2"/>
  <c r="Q273" i="2"/>
  <c r="Q267" i="2"/>
  <c r="Q262" i="2"/>
  <c r="Q257" i="2"/>
  <c r="Q251" i="2"/>
  <c r="Q246" i="2"/>
  <c r="Q241" i="2"/>
  <c r="Q230" i="2"/>
  <c r="Q225" i="2"/>
  <c r="Q219" i="2"/>
  <c r="Q209" i="2"/>
  <c r="Q203" i="2"/>
  <c r="Q198" i="2"/>
  <c r="Q187" i="2"/>
  <c r="Q182" i="2"/>
  <c r="Q177" i="2"/>
  <c r="Q171" i="2"/>
  <c r="Q165" i="2"/>
  <c r="Q157" i="2"/>
  <c r="Q149" i="2"/>
  <c r="Q141" i="2"/>
  <c r="Q133" i="2"/>
  <c r="Q125" i="2"/>
  <c r="Q117" i="2"/>
  <c r="Q109" i="2"/>
  <c r="Q101" i="2"/>
  <c r="Q93" i="2"/>
  <c r="Q85" i="2"/>
  <c r="Q77" i="2"/>
  <c r="Q69" i="2"/>
  <c r="Q61" i="2"/>
  <c r="Q53" i="2"/>
  <c r="Q45" i="2"/>
  <c r="Q37" i="2"/>
  <c r="Q29" i="2"/>
  <c r="Q21" i="2"/>
  <c r="Q13" i="2"/>
  <c r="Q5" i="2"/>
  <c r="Q34" i="2"/>
  <c r="Q26" i="2"/>
  <c r="Q7" i="2"/>
  <c r="Q11" i="2"/>
  <c r="Q15" i="2"/>
  <c r="Q19" i="2"/>
  <c r="Q23" i="2"/>
  <c r="Q27" i="2"/>
  <c r="Q31" i="2"/>
  <c r="Q35" i="2"/>
  <c r="Q39" i="2"/>
  <c r="Q43" i="2"/>
  <c r="Q47" i="2"/>
  <c r="Q51" i="2"/>
  <c r="Q55" i="2"/>
  <c r="Q59" i="2"/>
  <c r="Q63" i="2"/>
  <c r="Q71" i="2"/>
  <c r="Q75" i="2"/>
  <c r="Q79" i="2"/>
  <c r="Q83" i="2"/>
  <c r="Q87" i="2"/>
  <c r="Q91" i="2"/>
  <c r="Q95" i="2"/>
  <c r="Q99" i="2"/>
  <c r="Q103" i="2"/>
  <c r="Q107" i="2"/>
  <c r="Q111" i="2"/>
  <c r="Q119" i="2"/>
  <c r="Q123" i="2"/>
  <c r="Q127" i="2"/>
  <c r="Q131" i="2"/>
  <c r="Q135" i="2"/>
  <c r="Q139" i="2"/>
  <c r="Q143" i="2"/>
  <c r="Q147" i="2"/>
  <c r="Q151" i="2"/>
  <c r="Q155" i="2"/>
  <c r="Q159" i="2"/>
  <c r="Q163" i="2"/>
  <c r="Q167" i="2"/>
  <c r="Q4" i="2"/>
  <c r="Q8" i="2"/>
  <c r="Q16" i="2"/>
  <c r="Q20" i="2"/>
  <c r="Q24" i="2"/>
  <c r="Q28" i="2"/>
  <c r="Q32" i="2"/>
  <c r="Q36" i="2"/>
  <c r="Q40" i="2"/>
  <c r="Q44" i="2"/>
  <c r="Q48" i="2"/>
  <c r="Q52" i="2"/>
  <c r="Q56" i="2"/>
  <c r="Q60" i="2"/>
  <c r="Q64" i="2"/>
  <c r="Q68" i="2"/>
  <c r="Q72" i="2"/>
  <c r="Q76" i="2"/>
  <c r="Q80" i="2"/>
  <c r="Q84" i="2"/>
  <c r="Q88" i="2"/>
  <c r="Q92" i="2"/>
  <c r="Q96" i="2"/>
  <c r="Q100" i="2"/>
  <c r="Q104" i="2"/>
  <c r="Q112" i="2"/>
  <c r="Q116" i="2"/>
  <c r="Q120" i="2"/>
  <c r="Q124" i="2"/>
  <c r="Q128" i="2"/>
  <c r="Q132" i="2"/>
  <c r="Q136" i="2"/>
  <c r="Q140" i="2"/>
  <c r="Q144" i="2"/>
  <c r="Q148" i="2"/>
  <c r="Q152" i="2"/>
  <c r="Q156" i="2"/>
  <c r="Q160" i="2"/>
  <c r="Q164" i="2"/>
  <c r="Q168" i="2"/>
  <c r="Q172" i="2"/>
  <c r="Q176" i="2"/>
  <c r="Q180" i="2"/>
  <c r="Q184" i="2"/>
  <c r="Q192" i="2"/>
  <c r="Q196" i="2"/>
  <c r="Q200" i="2"/>
  <c r="Q204" i="2"/>
  <c r="Q208" i="2"/>
  <c r="Q212" i="2"/>
  <c r="Q216" i="2"/>
  <c r="Q220" i="2"/>
  <c r="Q224" i="2"/>
  <c r="Q228" i="2"/>
  <c r="Q232" i="2"/>
  <c r="Q236" i="2"/>
  <c r="Q240" i="2"/>
  <c r="Q244" i="2"/>
  <c r="Q248" i="2"/>
  <c r="Q252" i="2"/>
  <c r="Q256" i="2"/>
  <c r="Q260" i="2"/>
  <c r="Q264" i="2"/>
  <c r="Q268" i="2"/>
  <c r="Q272" i="2"/>
  <c r="Q276" i="2"/>
  <c r="Q280" i="2"/>
  <c r="Q288" i="2"/>
  <c r="Q292" i="2"/>
  <c r="Q296" i="2"/>
  <c r="Q300" i="2"/>
  <c r="Q304" i="2"/>
  <c r="Q308" i="2"/>
  <c r="Q312" i="2"/>
  <c r="Q316" i="2"/>
  <c r="Q320" i="2"/>
  <c r="Q324" i="2"/>
  <c r="Q328" i="2"/>
  <c r="Q332" i="2"/>
  <c r="Q336" i="2"/>
  <c r="Q340" i="2"/>
  <c r="D125" i="2"/>
  <c r="D167" i="2"/>
  <c r="D103" i="2"/>
  <c r="Q1818" i="2"/>
  <c r="Q1814" i="2"/>
  <c r="Q1810" i="2"/>
  <c r="Q1806" i="2"/>
  <c r="Q1802" i="2"/>
  <c r="Q1798" i="2"/>
  <c r="Q1794" i="2"/>
  <c r="Q1790" i="2"/>
  <c r="Q1786" i="2"/>
  <c r="Q1782" i="2"/>
  <c r="Q1778" i="2"/>
  <c r="Q1774" i="2"/>
  <c r="Q1770" i="2"/>
  <c r="Q1766" i="2"/>
  <c r="Q1762" i="2"/>
  <c r="Q1758" i="2"/>
  <c r="Q1754" i="2"/>
  <c r="Q1750" i="2"/>
  <c r="Q1746" i="2"/>
  <c r="Q1742" i="2"/>
  <c r="Q1738" i="2"/>
  <c r="Q1734" i="2"/>
  <c r="Q1730" i="2"/>
  <c r="Q1726" i="2"/>
  <c r="Q1722" i="2"/>
  <c r="Q1718" i="2"/>
  <c r="Q1714" i="2"/>
  <c r="Q1710" i="2"/>
  <c r="Q1706" i="2"/>
  <c r="Q1702" i="2"/>
  <c r="Q1698" i="2"/>
  <c r="Q1694" i="2"/>
  <c r="Q1690" i="2"/>
  <c r="Q1686" i="2"/>
  <c r="Q1682" i="2"/>
  <c r="Q1678" i="2"/>
  <c r="Q1674" i="2"/>
  <c r="Q1670" i="2"/>
  <c r="Q1666" i="2"/>
  <c r="Q1662" i="2"/>
  <c r="Q1658" i="2"/>
  <c r="Q1654" i="2"/>
  <c r="Q1650" i="2"/>
  <c r="Q1646" i="2"/>
  <c r="Q1642" i="2"/>
  <c r="Q1638" i="2"/>
  <c r="Q1634" i="2"/>
  <c r="Q1630" i="2"/>
  <c r="Q1626" i="2"/>
  <c r="Q1622" i="2"/>
  <c r="Q1618" i="2"/>
  <c r="Q1614" i="2"/>
  <c r="Q1610" i="2"/>
  <c r="Q1606" i="2"/>
  <c r="Q1602" i="2"/>
  <c r="Q1598" i="2"/>
  <c r="Q1594" i="2"/>
  <c r="Q1590" i="2"/>
  <c r="Q1586" i="2"/>
  <c r="Q1582" i="2"/>
  <c r="Q1578" i="2"/>
  <c r="Q1574" i="2"/>
  <c r="Q1570" i="2"/>
  <c r="Q1566" i="2"/>
  <c r="Q1562" i="2"/>
  <c r="Q1558" i="2"/>
  <c r="Q1554" i="2"/>
  <c r="Q1550" i="2"/>
  <c r="Q1546" i="2"/>
  <c r="Q1542" i="2"/>
  <c r="Q1538" i="2"/>
  <c r="Q1534" i="2"/>
  <c r="Q1530" i="2"/>
  <c r="Q1526" i="2"/>
  <c r="Q1522" i="2"/>
  <c r="Q1518" i="2"/>
  <c r="Q1514" i="2"/>
  <c r="Q1510" i="2"/>
  <c r="Q1506" i="2"/>
  <c r="Q1502" i="2"/>
  <c r="Q1498" i="2"/>
  <c r="Q1494" i="2"/>
  <c r="Q1490" i="2"/>
  <c r="Q1486" i="2"/>
  <c r="Q1482" i="2"/>
  <c r="Q1478" i="2"/>
  <c r="Q1474" i="2"/>
  <c r="Q1470" i="2"/>
  <c r="Q1466" i="2"/>
  <c r="Q1462" i="2"/>
  <c r="Q1458" i="2"/>
  <c r="Q1454" i="2"/>
  <c r="Q1450" i="2"/>
  <c r="Q1446" i="2"/>
  <c r="Q1442" i="2"/>
  <c r="Q1438" i="2"/>
  <c r="Q1434" i="2"/>
  <c r="Q1430" i="2"/>
  <c r="Q1426" i="2"/>
  <c r="Q1422" i="2"/>
  <c r="Q1418" i="2"/>
  <c r="Q1414" i="2"/>
  <c r="Q1410" i="2"/>
  <c r="Q1406" i="2"/>
  <c r="Q1402" i="2"/>
  <c r="Q1398" i="2"/>
  <c r="Q1394" i="2"/>
  <c r="Q1390" i="2"/>
  <c r="Q1386" i="2"/>
  <c r="Q1382" i="2"/>
  <c r="Q1378" i="2"/>
  <c r="Q1374" i="2"/>
  <c r="Q1370" i="2"/>
  <c r="Q1366" i="2"/>
  <c r="Q1362" i="2"/>
  <c r="Q1358" i="2"/>
  <c r="Q1354" i="2"/>
  <c r="Q1350" i="2"/>
  <c r="Q1346" i="2"/>
  <c r="Q1342" i="2"/>
  <c r="Q1338" i="2"/>
  <c r="Q1334" i="2"/>
  <c r="Q1330" i="2"/>
  <c r="Q1326" i="2"/>
  <c r="Q1322" i="2"/>
  <c r="Q1318" i="2"/>
  <c r="Q1314" i="2"/>
  <c r="Q1310" i="2"/>
  <c r="Q1306" i="2"/>
  <c r="Q1302" i="2"/>
  <c r="Q1298" i="2"/>
  <c r="Q1294" i="2"/>
  <c r="Q1290" i="2"/>
  <c r="Q1286" i="2"/>
  <c r="Q1282" i="2"/>
  <c r="Q1278" i="2"/>
  <c r="Q1274" i="2"/>
  <c r="Q1270" i="2"/>
  <c r="Q1266" i="2"/>
  <c r="Q1262" i="2"/>
  <c r="Q1258" i="2"/>
  <c r="Q1254" i="2"/>
  <c r="Q1250" i="2"/>
  <c r="Q1246" i="2"/>
  <c r="Q1242" i="2"/>
  <c r="Q1238" i="2"/>
  <c r="Q1234" i="2"/>
  <c r="Q1230" i="2"/>
  <c r="Q1226" i="2"/>
  <c r="Q1222" i="2"/>
  <c r="Q1218" i="2"/>
  <c r="Q1214" i="2"/>
  <c r="Q1210" i="2"/>
  <c r="Q1206" i="2"/>
  <c r="Q1202" i="2"/>
  <c r="Q1198" i="2"/>
  <c r="Q1194" i="2"/>
  <c r="Q1190" i="2"/>
  <c r="Q1186" i="2"/>
  <c r="Q1182" i="2"/>
  <c r="Q1178" i="2"/>
  <c r="Q1174" i="2"/>
  <c r="Q1170" i="2"/>
  <c r="Q1166" i="2"/>
  <c r="Q1162" i="2"/>
  <c r="Q1158" i="2"/>
  <c r="Q1154" i="2"/>
  <c r="Q1150" i="2"/>
  <c r="Q1146" i="2"/>
  <c r="Q1142" i="2"/>
  <c r="Q1138" i="2"/>
  <c r="Q1134" i="2"/>
  <c r="Q1130" i="2"/>
  <c r="Q1126" i="2"/>
  <c r="Q1122" i="2"/>
  <c r="Q1118" i="2"/>
  <c r="Q1114" i="2"/>
  <c r="Q1110" i="2"/>
  <c r="Q1106" i="2"/>
  <c r="Q1102" i="2"/>
  <c r="Q1098" i="2"/>
  <c r="Q1094" i="2"/>
  <c r="Q1090" i="2"/>
  <c r="Q1086" i="2"/>
  <c r="Q1082" i="2"/>
  <c r="Q1078" i="2"/>
  <c r="Q1074" i="2"/>
  <c r="Q1070" i="2"/>
  <c r="Q1066" i="2"/>
  <c r="Q1062" i="2"/>
  <c r="Q1058" i="2"/>
  <c r="Q1054" i="2"/>
  <c r="Q1050" i="2"/>
  <c r="Q1046" i="2"/>
  <c r="Q1042" i="2"/>
  <c r="Q1034" i="2"/>
  <c r="Q1030" i="2"/>
  <c r="Q1026" i="2"/>
  <c r="Q1022" i="2"/>
  <c r="Q1018" i="2"/>
  <c r="Q1014" i="2"/>
  <c r="Q1010" i="2"/>
  <c r="Q1006" i="2"/>
  <c r="Q1002" i="2"/>
  <c r="Q998" i="2"/>
  <c r="Q994" i="2"/>
  <c r="Q990" i="2"/>
  <c r="Q986" i="2"/>
  <c r="Q982" i="2"/>
  <c r="Q978" i="2"/>
  <c r="Q974" i="2"/>
  <c r="Q970" i="2"/>
  <c r="Q966" i="2"/>
  <c r="Q962" i="2"/>
  <c r="Q958" i="2"/>
  <c r="Q954" i="2"/>
  <c r="Q950" i="2"/>
  <c r="Q946" i="2"/>
  <c r="Q942" i="2"/>
  <c r="Q938" i="2"/>
  <c r="Q934" i="2"/>
  <c r="Q930" i="2"/>
  <c r="Q926" i="2"/>
  <c r="Q922" i="2"/>
  <c r="Q918" i="2"/>
  <c r="Q914" i="2"/>
  <c r="Q910" i="2"/>
  <c r="Q906" i="2"/>
  <c r="Q902" i="2"/>
  <c r="Q898" i="2"/>
  <c r="Q894" i="2"/>
  <c r="Q890" i="2"/>
  <c r="Q886" i="2"/>
  <c r="Q882" i="2"/>
  <c r="Q878" i="2"/>
  <c r="Q874" i="2"/>
  <c r="Q870" i="2"/>
  <c r="Q866" i="2"/>
  <c r="Q862" i="2"/>
  <c r="Q858" i="2"/>
  <c r="Q854" i="2"/>
  <c r="Q850" i="2"/>
  <c r="Q846" i="2"/>
  <c r="Q842" i="2"/>
  <c r="Q838" i="2"/>
  <c r="Q834" i="2"/>
  <c r="Q830" i="2"/>
  <c r="Q826" i="2"/>
  <c r="Q822" i="2"/>
  <c r="Q818" i="2"/>
  <c r="Q810" i="2"/>
  <c r="Q806" i="2"/>
  <c r="Q802" i="2"/>
  <c r="Q798" i="2"/>
  <c r="Q794" i="2"/>
  <c r="Q790" i="2"/>
  <c r="Q786" i="2"/>
  <c r="Q782" i="2"/>
  <c r="Q778" i="2"/>
  <c r="Q774" i="2"/>
  <c r="Q770" i="2"/>
  <c r="Q766" i="2"/>
  <c r="Q762" i="2"/>
  <c r="Q758" i="2"/>
  <c r="Q754" i="2"/>
  <c r="Q746" i="2"/>
  <c r="Q742" i="2"/>
  <c r="Q738" i="2"/>
  <c r="Q734" i="2"/>
  <c r="Q730" i="2"/>
  <c r="Q726" i="2"/>
  <c r="Q722" i="2"/>
  <c r="Q718" i="2"/>
  <c r="Q714" i="2"/>
  <c r="Q710" i="2"/>
  <c r="Q706" i="2"/>
  <c r="Q702" i="2"/>
  <c r="Q698" i="2"/>
  <c r="Q694" i="2"/>
  <c r="Q690" i="2"/>
  <c r="Q682" i="2"/>
  <c r="Q678" i="2"/>
  <c r="Q674" i="2"/>
  <c r="Q670" i="2"/>
  <c r="Q666" i="2"/>
  <c r="Q662" i="2"/>
  <c r="Q658" i="2"/>
  <c r="Q654" i="2"/>
  <c r="Q650" i="2"/>
  <c r="Q646" i="2"/>
  <c r="Q642" i="2"/>
  <c r="Q638" i="2"/>
  <c r="Q634" i="2"/>
  <c r="Q630" i="2"/>
  <c r="Q626" i="2"/>
  <c r="Q618" i="2"/>
  <c r="Q614" i="2"/>
  <c r="Q610" i="2"/>
  <c r="Q606" i="2"/>
  <c r="Q602" i="2"/>
  <c r="Q598" i="2"/>
  <c r="Q594" i="2"/>
  <c r="Q590" i="2"/>
  <c r="Q586" i="2"/>
  <c r="Q582" i="2"/>
  <c r="Q578" i="2"/>
  <c r="Q574" i="2"/>
  <c r="Q570" i="2"/>
  <c r="Q566" i="2"/>
  <c r="Q562" i="2"/>
  <c r="Q558" i="2"/>
  <c r="Q554" i="2"/>
  <c r="Q550" i="2"/>
  <c r="Q546" i="2"/>
  <c r="Q542" i="2"/>
  <c r="Q538" i="2"/>
  <c r="Q534" i="2"/>
  <c r="Q530" i="2"/>
  <c r="Q526" i="2"/>
  <c r="Q522" i="2"/>
  <c r="Q518" i="2"/>
  <c r="Q514" i="2"/>
  <c r="Q510" i="2"/>
  <c r="Q506" i="2"/>
  <c r="Q502" i="2"/>
  <c r="Q498" i="2"/>
  <c r="Q494" i="2"/>
  <c r="Q490" i="2"/>
  <c r="Q486" i="2"/>
  <c r="Q482" i="2"/>
  <c r="Q478" i="2"/>
  <c r="Q474" i="2"/>
  <c r="Q470" i="2"/>
  <c r="Q466" i="2"/>
  <c r="Q462" i="2"/>
  <c r="Q458" i="2"/>
  <c r="Q454" i="2"/>
  <c r="Q450" i="2"/>
  <c r="Q446" i="2"/>
  <c r="Q442" i="2"/>
  <c r="Q438" i="2"/>
  <c r="Q434" i="2"/>
  <c r="Q430" i="2"/>
  <c r="Q426" i="2"/>
  <c r="Q422" i="2"/>
  <c r="Q418" i="2"/>
  <c r="Q406" i="2"/>
  <c r="Q390" i="2"/>
  <c r="Q2158" i="2"/>
  <c r="Q2154" i="2"/>
  <c r="Q2150" i="2"/>
  <c r="Q2146" i="2"/>
  <c r="Q2142" i="2"/>
  <c r="Q2138" i="2"/>
  <c r="Q2134" i="2"/>
  <c r="Q2130" i="2"/>
  <c r="Q2126" i="2"/>
  <c r="Q2122" i="2"/>
  <c r="Q2118" i="2"/>
  <c r="Q2114" i="2"/>
  <c r="Q2110" i="2"/>
  <c r="Q2106" i="2"/>
  <c r="Q2102" i="2"/>
  <c r="Q2098" i="2"/>
  <c r="Q2094" i="2"/>
  <c r="Q2090" i="2"/>
  <c r="Q2086" i="2"/>
  <c r="Q2082" i="2"/>
  <c r="Q2078" i="2"/>
  <c r="Q2074" i="2"/>
  <c r="Q2070" i="2"/>
  <c r="Q2066" i="2"/>
  <c r="Q2062" i="2"/>
  <c r="Q2058" i="2"/>
  <c r="Q2054" i="2"/>
  <c r="Q2050" i="2"/>
  <c r="Q2046" i="2"/>
  <c r="Q2042" i="2"/>
  <c r="Q2038" i="2"/>
  <c r="Q2034" i="2"/>
  <c r="Q2030" i="2"/>
  <c r="Q2026" i="2"/>
  <c r="Q2022" i="2"/>
  <c r="Q2018" i="2"/>
  <c r="Q2014" i="2"/>
  <c r="Q2010" i="2"/>
  <c r="Q2006" i="2"/>
  <c r="Q2002" i="2"/>
  <c r="Q1998" i="2"/>
  <c r="Q1994" i="2"/>
  <c r="Q1990" i="2"/>
  <c r="Q1986" i="2"/>
  <c r="Q1982" i="2"/>
  <c r="Q1978" i="2"/>
  <c r="Q1974" i="2"/>
  <c r="Q1970" i="2"/>
  <c r="Q1966" i="2"/>
  <c r="Q1962" i="2"/>
  <c r="Q1958" i="2"/>
  <c r="Q1954" i="2"/>
  <c r="Q1950" i="2"/>
  <c r="Q1946" i="2"/>
  <c r="Q1942" i="2"/>
  <c r="Q1938" i="2"/>
  <c r="Q1934" i="2"/>
  <c r="Q1930" i="2"/>
  <c r="Q1926" i="2"/>
  <c r="Q1922" i="2"/>
  <c r="Q1918" i="2"/>
  <c r="Q1914" i="2"/>
  <c r="Q1910" i="2"/>
  <c r="Q1906" i="2"/>
  <c r="Q1902" i="2"/>
  <c r="Q1898" i="2"/>
  <c r="Q1894" i="2"/>
  <c r="Q1890" i="2"/>
  <c r="Q1886" i="2"/>
  <c r="Q1882" i="2"/>
  <c r="Q1878" i="2"/>
  <c r="Q1874" i="2"/>
  <c r="Q1870" i="2"/>
  <c r="Q1866" i="2"/>
  <c r="Q1862" i="2"/>
  <c r="Q1858" i="2"/>
  <c r="Q1854" i="2"/>
  <c r="Q1850" i="2"/>
  <c r="Q1846" i="2"/>
  <c r="Q1842" i="2"/>
  <c r="Q1838" i="2"/>
  <c r="Q1834" i="2"/>
  <c r="Q1830" i="2"/>
  <c r="Q1826" i="2"/>
  <c r="Q1822" i="2"/>
  <c r="Q1038" i="2"/>
  <c r="Q2157" i="2"/>
  <c r="Q2153" i="2"/>
  <c r="Q2149" i="2"/>
  <c r="Q2145" i="2"/>
  <c r="Q2141" i="2"/>
  <c r="Q2137" i="2"/>
  <c r="Q2133" i="2"/>
  <c r="Q2129" i="2"/>
  <c r="Q2125" i="2"/>
  <c r="Q2121" i="2"/>
  <c r="Q2117" i="2"/>
  <c r="Q2113" i="2"/>
  <c r="Q2109" i="2"/>
  <c r="Q2105" i="2"/>
  <c r="Q2101" i="2"/>
  <c r="Q2097" i="2"/>
  <c r="Q2093" i="2"/>
  <c r="Q2089" i="2"/>
  <c r="Q2085" i="2"/>
  <c r="Q2081" i="2"/>
  <c r="Q2077" i="2"/>
  <c r="Q2073" i="2"/>
  <c r="Q2069" i="2"/>
  <c r="Q2065" i="2"/>
  <c r="Q2061" i="2"/>
  <c r="Q2057" i="2"/>
  <c r="Q2053" i="2"/>
  <c r="Q2049" i="2"/>
  <c r="Q2045" i="2"/>
  <c r="Q2041" i="2"/>
  <c r="Q2037" i="2"/>
  <c r="Q2033" i="2"/>
  <c r="Q2029" i="2"/>
  <c r="Q2025" i="2"/>
  <c r="Q2021" i="2"/>
  <c r="Q2017" i="2"/>
  <c r="Q2013" i="2"/>
  <c r="Q2009" i="2"/>
  <c r="Q2005" i="2"/>
  <c r="Q2001" i="2"/>
  <c r="Q1997" i="2"/>
  <c r="Q1993" i="2"/>
  <c r="Q1989" i="2"/>
  <c r="Q1985" i="2"/>
  <c r="Q1981" i="2"/>
  <c r="Q1977" i="2"/>
  <c r="Q1973" i="2"/>
  <c r="Q1969" i="2"/>
  <c r="Q1965" i="2"/>
  <c r="Q1961" i="2"/>
  <c r="Q1957" i="2"/>
  <c r="Q1953" i="2"/>
  <c r="Q1949" i="2"/>
  <c r="Q1945" i="2"/>
  <c r="Q1941" i="2"/>
  <c r="Q1937" i="2"/>
  <c r="Q1933" i="2"/>
  <c r="Q1929" i="2"/>
  <c r="Q1925" i="2"/>
  <c r="Q1921" i="2"/>
  <c r="Q1917" i="2"/>
  <c r="Q1913" i="2"/>
  <c r="Q1909" i="2"/>
  <c r="Q1905" i="2"/>
  <c r="Q1901" i="2"/>
  <c r="Q1897" i="2"/>
  <c r="Q1893" i="2"/>
  <c r="Q1889" i="2"/>
  <c r="Q1885" i="2"/>
  <c r="Q1881" i="2"/>
  <c r="Q1877" i="2"/>
  <c r="Q1873" i="2"/>
  <c r="Q1869" i="2"/>
  <c r="Q1865" i="2"/>
  <c r="Q1861" i="2"/>
  <c r="Q1857" i="2"/>
  <c r="Q1853" i="2"/>
  <c r="Q1849" i="2"/>
  <c r="Q1845" i="2"/>
  <c r="Q1841" i="2"/>
  <c r="Q1837" i="2"/>
  <c r="Q1833" i="2"/>
  <c r="Q1829" i="2"/>
  <c r="Q1825" i="2"/>
  <c r="Q1821" i="2"/>
  <c r="Q1817" i="2"/>
  <c r="Q1813" i="2"/>
  <c r="Q1809" i="2"/>
  <c r="Q1805" i="2"/>
  <c r="Q1801" i="2"/>
  <c r="Q1797" i="2"/>
  <c r="Q1793" i="2"/>
  <c r="Q1789" i="2"/>
  <c r="Q1785" i="2"/>
  <c r="Q1781" i="2"/>
  <c r="Q1777" i="2"/>
  <c r="Q1773" i="2"/>
  <c r="Q1769" i="2"/>
  <c r="Q1765" i="2"/>
  <c r="Q1761" i="2"/>
  <c r="Q1757" i="2"/>
  <c r="Q1753" i="2"/>
  <c r="Q1749" i="2"/>
  <c r="Q1745" i="2"/>
  <c r="Q1741" i="2"/>
  <c r="Q1737" i="2"/>
  <c r="Q1733" i="2"/>
  <c r="Q1729" i="2"/>
  <c r="Q1725" i="2"/>
  <c r="Q1721" i="2"/>
  <c r="Q1717" i="2"/>
  <c r="Q1713" i="2"/>
  <c r="Q1709" i="2"/>
  <c r="Q1705" i="2"/>
  <c r="Q1701" i="2"/>
  <c r="Q1697" i="2"/>
  <c r="Q1693" i="2"/>
  <c r="Q1689" i="2"/>
  <c r="Q1685" i="2"/>
  <c r="Q1681" i="2"/>
  <c r="Q1677" i="2"/>
  <c r="Q1673" i="2"/>
  <c r="Q1669" i="2"/>
  <c r="Q1665" i="2"/>
  <c r="Q1661" i="2"/>
  <c r="Q1657" i="2"/>
  <c r="Q1653" i="2"/>
  <c r="Q1649" i="2"/>
  <c r="Q1645" i="2"/>
  <c r="Q1641" i="2"/>
  <c r="Q1637" i="2"/>
  <c r="Q1633" i="2"/>
  <c r="Q1629" i="2"/>
  <c r="Q1625" i="2"/>
  <c r="Q1621" i="2"/>
  <c r="Q1617" i="2"/>
  <c r="Q1613" i="2"/>
  <c r="Q1609" i="2"/>
  <c r="Q1605" i="2"/>
  <c r="Q1601" i="2"/>
  <c r="Q1597" i="2"/>
  <c r="Q1593" i="2"/>
  <c r="Q1589" i="2"/>
  <c r="Q1585" i="2"/>
  <c r="Q1581" i="2"/>
  <c r="Q1577" i="2"/>
  <c r="Q1573" i="2"/>
  <c r="Q1569" i="2"/>
  <c r="Q1565" i="2"/>
  <c r="Q1561" i="2"/>
  <c r="Q1557" i="2"/>
  <c r="Q1553" i="2"/>
  <c r="Q1549" i="2"/>
  <c r="Q1545" i="2"/>
  <c r="Q1541" i="2"/>
  <c r="Q1537" i="2"/>
  <c r="Q1533" i="2"/>
  <c r="Q1529" i="2"/>
  <c r="Q1525" i="2"/>
  <c r="Q1521" i="2"/>
  <c r="Q1517" i="2"/>
  <c r="Q1513" i="2"/>
  <c r="Q1509" i="2"/>
  <c r="Q1505" i="2"/>
  <c r="Q1501" i="2"/>
  <c r="Q1497" i="2"/>
  <c r="Q1493" i="2"/>
  <c r="Q1489" i="2"/>
  <c r="Q1485" i="2"/>
  <c r="Q1481" i="2"/>
  <c r="Q1477" i="2"/>
  <c r="Q1473" i="2"/>
  <c r="Q1469" i="2"/>
  <c r="Q1465" i="2"/>
  <c r="Q1461" i="2"/>
  <c r="Q1457" i="2"/>
  <c r="Q1453" i="2"/>
  <c r="Q1449" i="2"/>
  <c r="Q1445" i="2"/>
  <c r="Q1441" i="2"/>
  <c r="Q1437" i="2"/>
  <c r="Q1433" i="2"/>
  <c r="Q1429" i="2"/>
  <c r="Q1425" i="2"/>
  <c r="Q1421" i="2"/>
  <c r="Q1417" i="2"/>
  <c r="Q1413" i="2"/>
  <c r="Q1409" i="2"/>
  <c r="Q1405" i="2"/>
  <c r="Q1401" i="2"/>
  <c r="Q1397" i="2"/>
  <c r="Q1393" i="2"/>
  <c r="Q1389" i="2"/>
  <c r="Q1385" i="2"/>
  <c r="Q1381" i="2"/>
  <c r="Q1377" i="2"/>
  <c r="Q1373" i="2"/>
  <c r="Q1369" i="2"/>
  <c r="Q1365" i="2"/>
  <c r="Q1361" i="2"/>
  <c r="Q1357" i="2"/>
  <c r="Q1353" i="2"/>
  <c r="Q1349" i="2"/>
  <c r="Q1345" i="2"/>
  <c r="Q338" i="2"/>
  <c r="Q334" i="2"/>
  <c r="Q330" i="2"/>
  <c r="Q326" i="2"/>
  <c r="Q322" i="2"/>
  <c r="Q318" i="2"/>
  <c r="Q314" i="2"/>
  <c r="Q306" i="2"/>
  <c r="Q302" i="2"/>
  <c r="Q298" i="2"/>
  <c r="Q290" i="2"/>
  <c r="Q286" i="2"/>
  <c r="Q282" i="2"/>
  <c r="Q274" i="2"/>
  <c r="Q270" i="2"/>
  <c r="Q266" i="2"/>
  <c r="Q258" i="2"/>
  <c r="Q254" i="2"/>
  <c r="Q250" i="2"/>
  <c r="Q242" i="2"/>
  <c r="Q238" i="2"/>
  <c r="Q234" i="2"/>
  <c r="Q226" i="2"/>
  <c r="Q222" i="2"/>
  <c r="Q218" i="2"/>
  <c r="Q214" i="2"/>
  <c r="Q210" i="2"/>
  <c r="Q206" i="2"/>
  <c r="Q202" i="2"/>
  <c r="Q194" i="2"/>
  <c r="Q190" i="2"/>
  <c r="Q186" i="2"/>
  <c r="Q178" i="2"/>
  <c r="Q174" i="2"/>
  <c r="Q170" i="2"/>
  <c r="Q166" i="2"/>
  <c r="Q162" i="2"/>
  <c r="Q158" i="2"/>
  <c r="Q154" i="2"/>
  <c r="Q150" i="2"/>
  <c r="Q146" i="2"/>
  <c r="Q142" i="2"/>
  <c r="Q138" i="2"/>
  <c r="Q134" i="2"/>
  <c r="Q130" i="2"/>
  <c r="Q126" i="2"/>
  <c r="Q122" i="2"/>
  <c r="Q118" i="2"/>
  <c r="Q114" i="2"/>
  <c r="Q110" i="2"/>
  <c r="Q106" i="2"/>
  <c r="Q102" i="2"/>
  <c r="Q98" i="2"/>
  <c r="Q94" i="2"/>
  <c r="Q90" i="2"/>
  <c r="Q86" i="2"/>
  <c r="Q82" i="2"/>
  <c r="Q78" i="2"/>
  <c r="Q74" i="2"/>
  <c r="Q70" i="2"/>
  <c r="Q66" i="2"/>
  <c r="Q58" i="2"/>
  <c r="Q54" i="2"/>
  <c r="Q46" i="2"/>
  <c r="Q42" i="2"/>
  <c r="Q38" i="2"/>
  <c r="Q30" i="2"/>
  <c r="Q22" i="2"/>
  <c r="Q18" i="2"/>
  <c r="Q14" i="2"/>
  <c r="Q10" i="2"/>
  <c r="Q6" i="2"/>
  <c r="Q1341" i="2"/>
  <c r="Q1337" i="2"/>
  <c r="Q1333" i="2"/>
  <c r="Q1329" i="2"/>
  <c r="Q1325" i="2"/>
  <c r="Q1321" i="2"/>
  <c r="Q1317" i="2"/>
  <c r="Q1313" i="2"/>
  <c r="Q1309" i="2"/>
  <c r="Q1305" i="2"/>
  <c r="Q1301" i="2"/>
  <c r="Q1297" i="2"/>
  <c r="Q1293" i="2"/>
  <c r="Q1289" i="2"/>
  <c r="Q1285" i="2"/>
  <c r="Q1281" i="2"/>
  <c r="Q1277" i="2"/>
  <c r="Q1273" i="2"/>
  <c r="Q1269" i="2"/>
  <c r="Q1265" i="2"/>
  <c r="Q1261" i="2"/>
  <c r="Q1257" i="2"/>
  <c r="Q1253" i="2"/>
  <c r="Q1249" i="2"/>
  <c r="Q1245" i="2"/>
  <c r="Q1241" i="2"/>
  <c r="Q1237" i="2"/>
  <c r="Q1233" i="2"/>
  <c r="Q1229" i="2"/>
  <c r="Q1225" i="2"/>
  <c r="Q1221" i="2"/>
  <c r="Q1217" i="2"/>
  <c r="Q1213" i="2"/>
  <c r="Q1209" i="2"/>
  <c r="Q1205" i="2"/>
  <c r="Q1201" i="2"/>
  <c r="Q1197" i="2"/>
  <c r="Q1193" i="2"/>
  <c r="Q1189" i="2"/>
  <c r="Q1185" i="2"/>
  <c r="Q1181" i="2"/>
  <c r="Q1177" i="2"/>
  <c r="Q1173" i="2"/>
  <c r="Q1169" i="2"/>
  <c r="Q1165" i="2"/>
  <c r="Q1161" i="2"/>
  <c r="Q1157" i="2"/>
  <c r="Q1153" i="2"/>
  <c r="Q1149" i="2"/>
  <c r="Q1145" i="2"/>
  <c r="Q1141" i="2"/>
  <c r="Q1137" i="2"/>
  <c r="Q1133" i="2"/>
  <c r="Q1129" i="2"/>
  <c r="Q1125" i="2"/>
  <c r="Q1121" i="2"/>
  <c r="Q1117" i="2"/>
  <c r="Q1113" i="2"/>
  <c r="Q1109" i="2"/>
  <c r="Q1105" i="2"/>
  <c r="Q1101" i="2"/>
  <c r="Q1097" i="2"/>
  <c r="Q1093" i="2"/>
  <c r="Q1089" i="2"/>
  <c r="Q1085" i="2"/>
  <c r="Q1081" i="2"/>
  <c r="Q1077" i="2"/>
  <c r="Q1073" i="2"/>
  <c r="Q1069" i="2"/>
  <c r="Q1065" i="2"/>
  <c r="Q1061" i="2"/>
  <c r="Q1057" i="2"/>
  <c r="Q1053" i="2"/>
  <c r="Q1049" i="2"/>
  <c r="Q1045" i="2"/>
  <c r="Q1041" i="2"/>
  <c r="Q1037" i="2"/>
  <c r="Q1033" i="2"/>
  <c r="Q1029" i="2"/>
  <c r="Q1025" i="2"/>
  <c r="Q1021" i="2"/>
  <c r="Q1017" i="2"/>
  <c r="Q1013" i="2"/>
  <c r="Q1009" i="2"/>
  <c r="Q1005" i="2"/>
  <c r="Q1001" i="2"/>
  <c r="Q997" i="2"/>
  <c r="Q993" i="2"/>
  <c r="Q989" i="2"/>
  <c r="Q985" i="2"/>
  <c r="Q981" i="2"/>
  <c r="Q977" i="2"/>
  <c r="Q973" i="2"/>
  <c r="Q969" i="2"/>
  <c r="Q965" i="2"/>
  <c r="Q621" i="2"/>
  <c r="Q617" i="2"/>
  <c r="Q613" i="2"/>
  <c r="Q609" i="2"/>
  <c r="Q605" i="2"/>
  <c r="Q601" i="2"/>
  <c r="Q597" i="2"/>
  <c r="Q593" i="2"/>
  <c r="Q589" i="2"/>
  <c r="Q585" i="2"/>
  <c r="Q581" i="2"/>
  <c r="Q577" i="2"/>
  <c r="Q573" i="2"/>
  <c r="Q569" i="2"/>
  <c r="Q565" i="2"/>
  <c r="Q561" i="2"/>
  <c r="Q557" i="2"/>
  <c r="Q553" i="2"/>
  <c r="Q549" i="2"/>
  <c r="Q545" i="2"/>
  <c r="Q541" i="2"/>
  <c r="Q537" i="2"/>
  <c r="Q533" i="2"/>
  <c r="Q529" i="2"/>
  <c r="Q525" i="2"/>
  <c r="Q521" i="2"/>
  <c r="Q517" i="2"/>
  <c r="Q513" i="2"/>
  <c r="Q509" i="2"/>
  <c r="Q505" i="2"/>
  <c r="Q501" i="2"/>
  <c r="Q497" i="2"/>
  <c r="Q493" i="2"/>
  <c r="Q489" i="2"/>
  <c r="Q485" i="2"/>
  <c r="Q481" i="2"/>
  <c r="Q477" i="2"/>
  <c r="Q473" i="2"/>
  <c r="Q469" i="2"/>
  <c r="Q465" i="2"/>
  <c r="Q461" i="2"/>
  <c r="Q457" i="2"/>
  <c r="Q453" i="2"/>
  <c r="Q449" i="2"/>
  <c r="Q445" i="2"/>
  <c r="Q441" i="2"/>
  <c r="Q437" i="2"/>
  <c r="Q433" i="2"/>
  <c r="Q429" i="2"/>
  <c r="Q425" i="2"/>
  <c r="Q421" i="2"/>
  <c r="Q417" i="2"/>
  <c r="Q413" i="2"/>
  <c r="Q409" i="2"/>
  <c r="Q405" i="2"/>
  <c r="Q401" i="2"/>
  <c r="Q397" i="2"/>
  <c r="Q393" i="2"/>
  <c r="Q389" i="2"/>
  <c r="Q385" i="2"/>
  <c r="Q381" i="2"/>
  <c r="Q377" i="2"/>
  <c r="Q373" i="2"/>
  <c r="Q369" i="2"/>
  <c r="Q365" i="2"/>
  <c r="Q361" i="2"/>
  <c r="Q357" i="2"/>
  <c r="Q353" i="2"/>
  <c r="Q349" i="2"/>
  <c r="Q345" i="2"/>
  <c r="Q341" i="2"/>
  <c r="Q2160" i="2"/>
  <c r="Q2156" i="2"/>
  <c r="Q2152" i="2"/>
  <c r="Q2148" i="2"/>
  <c r="Q2144" i="2"/>
  <c r="Q2140" i="2"/>
  <c r="Q2136" i="2"/>
  <c r="Q2132" i="2"/>
  <c r="Q2128" i="2"/>
  <c r="Q2124" i="2"/>
  <c r="Q2120" i="2"/>
  <c r="Q2116" i="2"/>
  <c r="Q2112" i="2"/>
  <c r="Q2108" i="2"/>
  <c r="Q2104" i="2"/>
  <c r="Q2100" i="2"/>
  <c r="Q2096" i="2"/>
  <c r="Q2092" i="2"/>
  <c r="Q2088" i="2"/>
  <c r="Q2084" i="2"/>
  <c r="Q2080" i="2"/>
  <c r="Q2076" i="2"/>
  <c r="Q2072" i="2"/>
  <c r="Q2068" i="2"/>
  <c r="Q2064" i="2"/>
  <c r="Q2060" i="2"/>
  <c r="Q2056" i="2"/>
  <c r="Q2052" i="2"/>
  <c r="Q2048" i="2"/>
  <c r="Q2044" i="2"/>
  <c r="Q2040" i="2"/>
  <c r="Q2036" i="2"/>
  <c r="Q2032" i="2"/>
  <c r="Q2028" i="2"/>
  <c r="Q2024" i="2"/>
  <c r="Q2020" i="2"/>
  <c r="Q2016" i="2"/>
  <c r="Q2012" i="2"/>
  <c r="Q2008" i="2"/>
  <c r="Q2004" i="2"/>
  <c r="Q2000" i="2"/>
  <c r="Q1996" i="2"/>
  <c r="Q1992" i="2"/>
  <c r="Q1988" i="2"/>
  <c r="Q1984" i="2"/>
  <c r="Q1980" i="2"/>
  <c r="Q1976" i="2"/>
  <c r="Q1972" i="2"/>
  <c r="Q1968" i="2"/>
  <c r="Q1964" i="2"/>
  <c r="Q1960" i="2"/>
  <c r="Q1956" i="2"/>
  <c r="Q1952" i="2"/>
  <c r="Q1948" i="2"/>
  <c r="Q1944" i="2"/>
  <c r="Q1940" i="2"/>
  <c r="Q1936" i="2"/>
  <c r="Q1932" i="2"/>
  <c r="Q1928" i="2"/>
  <c r="Q1924" i="2"/>
  <c r="Q1920" i="2"/>
  <c r="Q1916" i="2"/>
  <c r="Q1912" i="2"/>
  <c r="Q1908" i="2"/>
  <c r="Q1904" i="2"/>
  <c r="Q1900" i="2"/>
  <c r="Q1896" i="2"/>
  <c r="Q1892" i="2"/>
  <c r="Q1888" i="2"/>
  <c r="Q1884" i="2"/>
  <c r="Q1880" i="2"/>
  <c r="Q1876" i="2"/>
  <c r="Q1872" i="2"/>
  <c r="Q1868" i="2"/>
  <c r="Q1864" i="2"/>
  <c r="Q1860" i="2"/>
  <c r="Q1856" i="2"/>
  <c r="Q1852" i="2"/>
  <c r="Q1848" i="2"/>
  <c r="Q1844" i="2"/>
  <c r="Q1840" i="2"/>
  <c r="Q1836" i="2"/>
  <c r="Q1832" i="2"/>
  <c r="Q1828" i="2"/>
  <c r="Q1824" i="2"/>
  <c r="Q1820" i="2"/>
  <c r="Q1816" i="2"/>
  <c r="Q1812" i="2"/>
  <c r="Q1808" i="2"/>
  <c r="Q1804" i="2"/>
  <c r="Q1800" i="2"/>
  <c r="Q1796" i="2"/>
  <c r="Q1792" i="2"/>
  <c r="Q1788" i="2"/>
  <c r="Q1784" i="2"/>
  <c r="Q1780" i="2"/>
  <c r="Q1776" i="2"/>
  <c r="Q1772" i="2"/>
  <c r="Q1768" i="2"/>
  <c r="Q1764" i="2"/>
  <c r="Q1760" i="2"/>
  <c r="Q1756" i="2"/>
  <c r="Q1752" i="2"/>
  <c r="Q1748" i="2"/>
  <c r="Q1744" i="2"/>
  <c r="Q1740" i="2"/>
  <c r="Q1736" i="2"/>
  <c r="Q1732" i="2"/>
  <c r="Q1728" i="2"/>
  <c r="Q1724" i="2"/>
  <c r="Q1720" i="2"/>
  <c r="Q1716" i="2"/>
  <c r="Q1712" i="2"/>
  <c r="Q1708" i="2"/>
  <c r="Q1704" i="2"/>
  <c r="Q1700" i="2"/>
  <c r="Q1696" i="2"/>
  <c r="Q1692" i="2"/>
  <c r="Q1688" i="2"/>
  <c r="Q1684" i="2"/>
  <c r="Q1680" i="2"/>
  <c r="Q1676" i="2"/>
  <c r="Q1672" i="2"/>
  <c r="Q1668" i="2"/>
  <c r="Q1664" i="2"/>
  <c r="Q1660" i="2"/>
  <c r="Q1656" i="2"/>
  <c r="Q1652" i="2"/>
  <c r="Q1648" i="2"/>
  <c r="Q1644" i="2"/>
  <c r="Q1640" i="2"/>
  <c r="Q1636" i="2"/>
  <c r="Q1632" i="2"/>
  <c r="Q1628" i="2"/>
  <c r="Q1624" i="2"/>
  <c r="Q1620" i="2"/>
  <c r="Q1616" i="2"/>
  <c r="Q1612" i="2"/>
  <c r="Q1608" i="2"/>
  <c r="Q1604" i="2"/>
  <c r="Q1600" i="2"/>
  <c r="Q1596" i="2"/>
  <c r="Q1592" i="2"/>
  <c r="Q1588" i="2"/>
  <c r="Q1584" i="2"/>
  <c r="Q1580" i="2"/>
  <c r="Q1576" i="2"/>
  <c r="Q1572" i="2"/>
  <c r="Q1568" i="2"/>
  <c r="Q1564" i="2"/>
  <c r="Q1560" i="2"/>
  <c r="Q1556" i="2"/>
  <c r="Q1552" i="2"/>
  <c r="Q1548" i="2"/>
  <c r="Q1544" i="2"/>
  <c r="Q1540" i="2"/>
  <c r="Q1536" i="2"/>
  <c r="Q1532" i="2"/>
  <c r="Q1528" i="2"/>
  <c r="Q1524" i="2"/>
  <c r="Q1520" i="2"/>
  <c r="Q1516" i="2"/>
  <c r="Q1512" i="2"/>
  <c r="Q1508" i="2"/>
  <c r="Q1504" i="2"/>
  <c r="Q1500" i="2"/>
  <c r="Q1496" i="2"/>
  <c r="Q1492" i="2"/>
  <c r="Q1488" i="2"/>
  <c r="Q1484" i="2"/>
  <c r="Q1480" i="2"/>
  <c r="Q1476" i="2"/>
  <c r="Q1472" i="2"/>
  <c r="Q1468" i="2"/>
  <c r="Q1464" i="2"/>
  <c r="Q1460" i="2"/>
  <c r="Q1456" i="2"/>
  <c r="Q1452" i="2"/>
  <c r="Q1448" i="2"/>
  <c r="Q1444" i="2"/>
  <c r="Q1440" i="2"/>
  <c r="Q1436" i="2"/>
  <c r="Q1432" i="2"/>
  <c r="Q1428" i="2"/>
  <c r="Q1424" i="2"/>
  <c r="Q1420" i="2"/>
  <c r="Q1416" i="2"/>
  <c r="Q1412" i="2"/>
  <c r="Q1408" i="2"/>
  <c r="Q1404" i="2"/>
  <c r="Q1400" i="2"/>
  <c r="Q1396" i="2"/>
  <c r="Q1392" i="2"/>
  <c r="Q1388" i="2"/>
  <c r="Q1384" i="2"/>
  <c r="Q1380" i="2"/>
  <c r="Q1376" i="2"/>
  <c r="Q1372" i="2"/>
  <c r="Q1368" i="2"/>
  <c r="Q1364" i="2"/>
  <c r="Q1360" i="2"/>
  <c r="Q1356" i="2"/>
  <c r="Q1352" i="2"/>
  <c r="Q1348" i="2"/>
  <c r="Q1344" i="2"/>
  <c r="Q1340" i="2"/>
  <c r="Q1336" i="2"/>
  <c r="Q1332" i="2"/>
  <c r="Q1328" i="2"/>
  <c r="Q1324" i="2"/>
  <c r="Q1320" i="2"/>
  <c r="Q1316" i="2"/>
  <c r="Q1312" i="2"/>
  <c r="Q1308" i="2"/>
  <c r="Q1304" i="2"/>
  <c r="Q1300" i="2"/>
  <c r="Q1296" i="2"/>
  <c r="Q1292" i="2"/>
  <c r="Q1288" i="2"/>
  <c r="Q1284" i="2"/>
  <c r="Q1280" i="2"/>
  <c r="Q1276" i="2"/>
  <c r="Q1272" i="2"/>
  <c r="Q1268" i="2"/>
  <c r="Q1264" i="2"/>
  <c r="Q1260" i="2"/>
  <c r="Q1256" i="2"/>
  <c r="Q1252" i="2"/>
  <c r="Q1248" i="2"/>
  <c r="Q1244" i="2"/>
  <c r="Q1240" i="2"/>
  <c r="Q1236" i="2"/>
  <c r="Q1232" i="2"/>
  <c r="Q1228" i="2"/>
  <c r="Q1224" i="2"/>
  <c r="Q1220" i="2"/>
  <c r="Q1216" i="2"/>
  <c r="Q1212" i="2"/>
  <c r="Q1208" i="2"/>
  <c r="Q1204" i="2"/>
  <c r="Q1200" i="2"/>
  <c r="Q1196" i="2"/>
  <c r="Q1192" i="2"/>
  <c r="Q1188" i="2"/>
  <c r="Q1184" i="2"/>
  <c r="Q1180" i="2"/>
  <c r="Q1176" i="2"/>
  <c r="Q1172" i="2"/>
  <c r="Q1168" i="2"/>
  <c r="Q1164" i="2"/>
  <c r="Q1160" i="2"/>
  <c r="Q1156" i="2"/>
  <c r="Q1152" i="2"/>
  <c r="Q1148" i="2"/>
  <c r="Q1144" i="2"/>
  <c r="Q1140" i="2"/>
  <c r="Q1136" i="2"/>
  <c r="Q1132" i="2"/>
  <c r="Q1128" i="2"/>
  <c r="Q1124" i="2"/>
  <c r="Q1120" i="2"/>
  <c r="Q1116" i="2"/>
  <c r="Q1112" i="2"/>
  <c r="Q1108" i="2"/>
  <c r="Q1104" i="2"/>
  <c r="Q1100" i="2"/>
  <c r="Q1096" i="2"/>
  <c r="Q1092" i="2"/>
  <c r="Q1088" i="2"/>
  <c r="Q1084" i="2"/>
  <c r="Q1080" i="2"/>
  <c r="Q1076" i="2"/>
  <c r="Q1072" i="2"/>
  <c r="Q1068" i="2"/>
  <c r="Q1064" i="2"/>
  <c r="Q1060" i="2"/>
  <c r="Q1056" i="2"/>
  <c r="Q1052" i="2"/>
  <c r="Q1048" i="2"/>
  <c r="Q1044" i="2"/>
  <c r="Q1040" i="2"/>
  <c r="Q1036" i="2"/>
  <c r="Q1028" i="2"/>
  <c r="Q1024" i="2"/>
  <c r="Q1020" i="2"/>
  <c r="Q1016" i="2"/>
  <c r="Q1012" i="2"/>
  <c r="Q1008" i="2"/>
  <c r="Q1004" i="2"/>
  <c r="Q996" i="2"/>
  <c r="Q992" i="2"/>
  <c r="Q988" i="2"/>
  <c r="Q984" i="2"/>
  <c r="Q980" i="2"/>
  <c r="Q976" i="2"/>
  <c r="Q972" i="2"/>
  <c r="Q964" i="2"/>
  <c r="Q960" i="2"/>
  <c r="Q956" i="2"/>
  <c r="Q952" i="2"/>
  <c r="Q948" i="2"/>
  <c r="Q944" i="2"/>
  <c r="Q940" i="2"/>
  <c r="Q936" i="2"/>
  <c r="Q932" i="2"/>
  <c r="Q928" i="2"/>
  <c r="Q924" i="2"/>
  <c r="Q920" i="2"/>
  <c r="Q916" i="2"/>
  <c r="Q912" i="2"/>
  <c r="Q908" i="2"/>
  <c r="Q904" i="2"/>
  <c r="Q900" i="2"/>
  <c r="Q896" i="2"/>
  <c r="Q892" i="2"/>
  <c r="Q888" i="2"/>
  <c r="Q884" i="2"/>
  <c r="Q880" i="2"/>
  <c r="Q876" i="2"/>
  <c r="Q872" i="2"/>
  <c r="Q868" i="2"/>
  <c r="Q864" i="2"/>
  <c r="Q860" i="2"/>
  <c r="Q856" i="2"/>
  <c r="Q852" i="2"/>
  <c r="Q848" i="2"/>
  <c r="Q844" i="2"/>
  <c r="Q840" i="2"/>
  <c r="Q832" i="2"/>
  <c r="Q828" i="2"/>
  <c r="Q824" i="2"/>
  <c r="Q820" i="2"/>
  <c r="Q816" i="2"/>
  <c r="Q812" i="2"/>
  <c r="Q808" i="2"/>
  <c r="Q804" i="2"/>
  <c r="Q800" i="2"/>
  <c r="Q796" i="2"/>
  <c r="Q792" i="2"/>
  <c r="Q788" i="2"/>
  <c r="Q784" i="2"/>
  <c r="Q780" i="2"/>
  <c r="Q776" i="2"/>
  <c r="Q768" i="2"/>
  <c r="Q764" i="2"/>
  <c r="Q760" i="2"/>
  <c r="Q756" i="2"/>
  <c r="Q752" i="2"/>
  <c r="Q748" i="2"/>
  <c r="Q744" i="2"/>
  <c r="Q740" i="2"/>
  <c r="Q736" i="2"/>
  <c r="Q732" i="2"/>
  <c r="Q728" i="2"/>
  <c r="Q724" i="2"/>
  <c r="Q720" i="2"/>
  <c r="Q716" i="2"/>
  <c r="Q712" i="2"/>
  <c r="Q704" i="2"/>
  <c r="Q700" i="2"/>
  <c r="Q696" i="2"/>
  <c r="Q692" i="2"/>
  <c r="Q688" i="2"/>
  <c r="Q684" i="2"/>
  <c r="Q680" i="2"/>
  <c r="Q676" i="2"/>
  <c r="Q672" i="2"/>
  <c r="Q668" i="2"/>
  <c r="Q664" i="2"/>
  <c r="Q660" i="2"/>
  <c r="Q656" i="2"/>
  <c r="Q652" i="2"/>
  <c r="Q648" i="2"/>
  <c r="Q640" i="2"/>
  <c r="Q636" i="2"/>
  <c r="Q632" i="2"/>
  <c r="Q628" i="2"/>
  <c r="Q624" i="2"/>
  <c r="Q620" i="2"/>
  <c r="Q616" i="2"/>
  <c r="Q612" i="2"/>
  <c r="Q608" i="2"/>
  <c r="Q604" i="2"/>
  <c r="Q600" i="2"/>
  <c r="Q596" i="2"/>
  <c r="Q592" i="2"/>
  <c r="Q588" i="2"/>
  <c r="Q584" i="2"/>
  <c r="Q580" i="2"/>
  <c r="Q576" i="2"/>
  <c r="Q572" i="2"/>
  <c r="Q568" i="2"/>
  <c r="Q564" i="2"/>
  <c r="Q560" i="2"/>
  <c r="Q556" i="2"/>
  <c r="Q552" i="2"/>
  <c r="Q548" i="2"/>
  <c r="Q544" i="2"/>
  <c r="Q540" i="2"/>
  <c r="Q536" i="2"/>
  <c r="Q532" i="2"/>
  <c r="Q528" i="2"/>
  <c r="Q524" i="2"/>
  <c r="Q520" i="2"/>
  <c r="Q516" i="2"/>
  <c r="Q512" i="2"/>
  <c r="Q508" i="2"/>
  <c r="Q504" i="2"/>
  <c r="Q500" i="2"/>
  <c r="Q496" i="2"/>
  <c r="Q492" i="2"/>
  <c r="Q488" i="2"/>
  <c r="Q484" i="2"/>
  <c r="Q480" i="2"/>
  <c r="Q476" i="2"/>
  <c r="Q472" i="2"/>
  <c r="Q468" i="2"/>
  <c r="Q464" i="2"/>
  <c r="Q460" i="2"/>
  <c r="Q456" i="2"/>
  <c r="Q452" i="2"/>
  <c r="Q448" i="2"/>
  <c r="Q444" i="2"/>
  <c r="Q440" i="2"/>
  <c r="Q436" i="2"/>
  <c r="Q432" i="2"/>
  <c r="Q428" i="2"/>
  <c r="Q424" i="2"/>
  <c r="Q420" i="2"/>
  <c r="Q416" i="2"/>
  <c r="Q412" i="2"/>
  <c r="Q408" i="2"/>
  <c r="Q404" i="2"/>
  <c r="Q400" i="2"/>
  <c r="Q396" i="2"/>
  <c r="Q392" i="2"/>
  <c r="Q388" i="2"/>
  <c r="Q384" i="2"/>
  <c r="Q380" i="2"/>
  <c r="Q376" i="2"/>
  <c r="Q372" i="2"/>
  <c r="Q368" i="2"/>
  <c r="Q364" i="2"/>
  <c r="Q360" i="2"/>
  <c r="Q356" i="2"/>
  <c r="Q352" i="2"/>
  <c r="Q348" i="2"/>
  <c r="Q344" i="2"/>
  <c r="Q333" i="2"/>
  <c r="Q329" i="2"/>
  <c r="Q325" i="2"/>
  <c r="Q317" i="2"/>
  <c r="Q313" i="2"/>
  <c r="Q309" i="2"/>
  <c r="Q301" i="2"/>
  <c r="Q297" i="2"/>
  <c r="Q293" i="2"/>
  <c r="Q285" i="2"/>
  <c r="Q281" i="2"/>
  <c r="Q277" i="2"/>
  <c r="Q269" i="2"/>
  <c r="Q265" i="2"/>
  <c r="Q261" i="2"/>
  <c r="Q253" i="2"/>
  <c r="Q249" i="2"/>
  <c r="Q245" i="2"/>
  <c r="Q237" i="2"/>
  <c r="Q233" i="2"/>
  <c r="Q229" i="2"/>
  <c r="Q221" i="2"/>
  <c r="Q217" i="2"/>
  <c r="Q213" i="2"/>
  <c r="Q205" i="2"/>
  <c r="Q201" i="2"/>
  <c r="Q197" i="2"/>
  <c r="Q193" i="2"/>
  <c r="Q189" i="2"/>
  <c r="Q185" i="2"/>
  <c r="Q181" i="2"/>
  <c r="Q173" i="2"/>
  <c r="Q169" i="2"/>
  <c r="Q161" i="2"/>
  <c r="Q153" i="2"/>
  <c r="Q145" i="2"/>
  <c r="Q137" i="2"/>
  <c r="Q129" i="2"/>
  <c r="Q121" i="2"/>
  <c r="Q113" i="2"/>
  <c r="Q105" i="2"/>
  <c r="Q97" i="2"/>
  <c r="Q89" i="2"/>
  <c r="Q81" i="2"/>
  <c r="Q73" i="2"/>
  <c r="Q65" i="2"/>
  <c r="Q57" i="2"/>
  <c r="Q49" i="2"/>
  <c r="Q33" i="2"/>
  <c r="Q25" i="2"/>
  <c r="Q17" i="2"/>
  <c r="Q961" i="2"/>
  <c r="Q957" i="2"/>
  <c r="Q953" i="2"/>
  <c r="Q949" i="2"/>
  <c r="Q945" i="2"/>
  <c r="Q941" i="2"/>
  <c r="Q937" i="2"/>
  <c r="Q933" i="2"/>
  <c r="Q929" i="2"/>
  <c r="Q925" i="2"/>
  <c r="Q921" i="2"/>
  <c r="Q917" i="2"/>
  <c r="Q913" i="2"/>
  <c r="Q909" i="2"/>
  <c r="Q905" i="2"/>
  <c r="Q901" i="2"/>
  <c r="Q897" i="2"/>
  <c r="Q893" i="2"/>
  <c r="Q889" i="2"/>
  <c r="Q885" i="2"/>
  <c r="Q881" i="2"/>
  <c r="Q877" i="2"/>
  <c r="Q873" i="2"/>
  <c r="Q869" i="2"/>
  <c r="Q865" i="2"/>
  <c r="Q861" i="2"/>
  <c r="Q857" i="2"/>
  <c r="Q853" i="2"/>
  <c r="Q849" i="2"/>
  <c r="Q845" i="2"/>
  <c r="Q841" i="2"/>
  <c r="Q837" i="2"/>
  <c r="Q833" i="2"/>
  <c r="Q829" i="2"/>
  <c r="Q825" i="2"/>
  <c r="Q821" i="2"/>
  <c r="Q817" i="2"/>
  <c r="Q813" i="2"/>
  <c r="Q809" i="2"/>
  <c r="Q805" i="2"/>
  <c r="Q801" i="2"/>
  <c r="Q797" i="2"/>
  <c r="Q793" i="2"/>
  <c r="Q789" i="2"/>
  <c r="Q785" i="2"/>
  <c r="Q781" i="2"/>
  <c r="Q777" i="2"/>
  <c r="Q773" i="2"/>
  <c r="Q769" i="2"/>
  <c r="Q765" i="2"/>
  <c r="Q761" i="2"/>
  <c r="Q757" i="2"/>
  <c r="Q753" i="2"/>
  <c r="Q749" i="2"/>
  <c r="Q745" i="2"/>
  <c r="Q741" i="2"/>
  <c r="Q737" i="2"/>
  <c r="Q733" i="2"/>
  <c r="Q729" i="2"/>
  <c r="Q725" i="2"/>
  <c r="Q721" i="2"/>
  <c r="Q717" i="2"/>
  <c r="Q713" i="2"/>
  <c r="Q709" i="2"/>
  <c r="Q705" i="2"/>
  <c r="Q701" i="2"/>
  <c r="Q697" i="2"/>
  <c r="Q693" i="2"/>
  <c r="Q689" i="2"/>
  <c r="Q685" i="2"/>
  <c r="Q681" i="2"/>
  <c r="Q677" i="2"/>
  <c r="Q673" i="2"/>
  <c r="Q669" i="2"/>
  <c r="Q665" i="2"/>
  <c r="Q661" i="2"/>
  <c r="Q657" i="2"/>
  <c r="Q653" i="2"/>
  <c r="Q649" i="2"/>
  <c r="Q645" i="2"/>
  <c r="Q641" i="2"/>
  <c r="Q637" i="2"/>
  <c r="Q633" i="2"/>
  <c r="Q629" i="2"/>
  <c r="Q625" i="2"/>
  <c r="Q284" i="2"/>
  <c r="Q188" i="2"/>
  <c r="Q108" i="2"/>
  <c r="Q12" i="2"/>
  <c r="D145" i="2"/>
  <c r="D61" i="2"/>
  <c r="D135" i="2"/>
  <c r="D39" i="2"/>
  <c r="D123" i="2"/>
  <c r="D102" i="2"/>
  <c r="D81" i="2"/>
  <c r="D50" i="2"/>
  <c r="D157" i="2"/>
  <c r="D114" i="2"/>
  <c r="D93" i="2"/>
  <c r="D71" i="2"/>
  <c r="D155" i="2"/>
  <c r="D134" i="2"/>
  <c r="D113" i="2"/>
  <c r="D91" i="2"/>
  <c r="D70" i="2"/>
  <c r="D29" i="2"/>
  <c r="D49" i="2"/>
  <c r="D27" i="2"/>
  <c r="D162" i="2"/>
  <c r="D109" i="2"/>
  <c r="D34" i="2"/>
  <c r="D59" i="2"/>
  <c r="D38" i="2"/>
  <c r="D151" i="2"/>
  <c r="D141" i="2"/>
  <c r="D130" i="2"/>
  <c r="D119" i="2"/>
  <c r="D98" i="2"/>
  <c r="D87" i="2"/>
  <c r="D77" i="2"/>
  <c r="D66" i="2"/>
  <c r="D55" i="2"/>
  <c r="D45" i="2"/>
  <c r="D23" i="2"/>
  <c r="D161" i="2"/>
  <c r="D150" i="2"/>
  <c r="D139" i="2"/>
  <c r="D129" i="2"/>
  <c r="D118" i="2"/>
  <c r="D107" i="2"/>
  <c r="D97" i="2"/>
  <c r="D86" i="2"/>
  <c r="D75" i="2"/>
  <c r="D65" i="2"/>
  <c r="D54" i="2"/>
  <c r="D43" i="2"/>
  <c r="D33" i="2"/>
  <c r="D18" i="2"/>
  <c r="D22" i="2"/>
  <c r="D17" i="2"/>
  <c r="D9" i="2"/>
  <c r="E9" i="2" s="1"/>
  <c r="B10" i="2" s="1"/>
  <c r="D165" i="2"/>
  <c r="D159" i="2"/>
  <c r="D154" i="2"/>
  <c r="D149" i="2"/>
  <c r="D143" i="2"/>
  <c r="D138" i="2"/>
  <c r="D133" i="2"/>
  <c r="D127" i="2"/>
  <c r="D122" i="2"/>
  <c r="D117" i="2"/>
  <c r="D111" i="2"/>
  <c r="D106" i="2"/>
  <c r="D101" i="2"/>
  <c r="D95" i="2"/>
  <c r="D90" i="2"/>
  <c r="D85" i="2"/>
  <c r="D79" i="2"/>
  <c r="D74" i="2"/>
  <c r="D69" i="2"/>
  <c r="D63" i="2"/>
  <c r="D58" i="2"/>
  <c r="D53" i="2"/>
  <c r="D47" i="2"/>
  <c r="D42" i="2"/>
  <c r="D37" i="2"/>
  <c r="D31" i="2"/>
  <c r="D26" i="2"/>
  <c r="D21" i="2"/>
  <c r="D15" i="2"/>
  <c r="D169" i="2"/>
  <c r="D163" i="2"/>
  <c r="D158" i="2"/>
  <c r="D153" i="2"/>
  <c r="D147" i="2"/>
  <c r="D142" i="2"/>
  <c r="D137" i="2"/>
  <c r="D131" i="2"/>
  <c r="D126" i="2"/>
  <c r="D121" i="2"/>
  <c r="D115" i="2"/>
  <c r="D110" i="2"/>
  <c r="D105" i="2"/>
  <c r="D99" i="2"/>
  <c r="D94" i="2"/>
  <c r="D89" i="2"/>
  <c r="D83" i="2"/>
  <c r="D78" i="2"/>
  <c r="D73" i="2"/>
  <c r="D67" i="2"/>
  <c r="D62" i="2"/>
  <c r="D57" i="2"/>
  <c r="D51" i="2"/>
  <c r="D46" i="2"/>
  <c r="D41" i="2"/>
  <c r="D35" i="2"/>
  <c r="D30" i="2"/>
  <c r="D25" i="2"/>
  <c r="D19" i="2"/>
  <c r="D14" i="2"/>
  <c r="Q2159" i="2"/>
  <c r="Q2155" i="2"/>
  <c r="Q2151" i="2"/>
  <c r="Q2147" i="2"/>
  <c r="Q2143" i="2"/>
  <c r="Q2139" i="2"/>
  <c r="Q2135" i="2"/>
  <c r="Q2131" i="2"/>
  <c r="Q2127" i="2"/>
  <c r="Q2123" i="2"/>
  <c r="Q2119" i="2"/>
  <c r="Q2115" i="2"/>
  <c r="Q2111" i="2"/>
  <c r="Q2107" i="2"/>
  <c r="Q2103" i="2"/>
  <c r="Q2099" i="2"/>
  <c r="Q2095" i="2"/>
  <c r="Q2091" i="2"/>
  <c r="Q2087" i="2"/>
  <c r="Q2083" i="2"/>
  <c r="Q2079" i="2"/>
  <c r="Q2075" i="2"/>
  <c r="Q2071" i="2"/>
  <c r="Q2067" i="2"/>
  <c r="Q2063" i="2"/>
  <c r="Q2059" i="2"/>
  <c r="Q2055" i="2"/>
  <c r="Q2051" i="2"/>
  <c r="Q2047" i="2"/>
  <c r="Q2043" i="2"/>
  <c r="Q2039" i="2"/>
  <c r="Q2035" i="2"/>
  <c r="Q2031" i="2"/>
  <c r="Q2027" i="2"/>
  <c r="Q2023" i="2"/>
  <c r="Q2019" i="2"/>
  <c r="Q2015" i="2"/>
  <c r="Q2011" i="2"/>
  <c r="Q2007" i="2"/>
  <c r="Q2003" i="2"/>
  <c r="Q1999" i="2"/>
  <c r="Q1995" i="2"/>
  <c r="Q1991" i="2"/>
  <c r="Q1987" i="2"/>
  <c r="Q1983" i="2"/>
  <c r="Q1979" i="2"/>
  <c r="Q1975" i="2"/>
  <c r="Q1971" i="2"/>
  <c r="Q1967" i="2"/>
  <c r="Q1963" i="2"/>
  <c r="Q1959" i="2"/>
  <c r="Q1955" i="2"/>
  <c r="Q1951" i="2"/>
  <c r="Q1947" i="2"/>
  <c r="Q1943" i="2"/>
  <c r="Q1939" i="2"/>
  <c r="Q1935" i="2"/>
  <c r="Q1931" i="2"/>
  <c r="Q1927" i="2"/>
  <c r="Q1919" i="2"/>
  <c r="Q1911" i="2"/>
  <c r="Q1903" i="2"/>
  <c r="Q1895" i="2"/>
  <c r="Q1887" i="2"/>
  <c r="Q1879" i="2"/>
  <c r="Q1871" i="2"/>
  <c r="Q1863" i="2"/>
  <c r="Q1855" i="2"/>
  <c r="Q1847" i="2"/>
  <c r="Q1839" i="2"/>
  <c r="Q1831" i="2"/>
  <c r="Q1823" i="2"/>
  <c r="Q1815" i="2"/>
  <c r="Q1807" i="2"/>
  <c r="Q1799" i="2"/>
  <c r="Q1791" i="2"/>
  <c r="Q1783" i="2"/>
  <c r="Q1775" i="2"/>
  <c r="Q1767" i="2"/>
  <c r="Q1759" i="2"/>
  <c r="Q1751" i="2"/>
  <c r="Q1743" i="2"/>
  <c r="Q1735" i="2"/>
  <c r="Q1727" i="2"/>
  <c r="Q1719" i="2"/>
  <c r="Q1711" i="2"/>
  <c r="Q1703" i="2"/>
  <c r="Q1695" i="2"/>
  <c r="Q1687" i="2"/>
  <c r="Q1679" i="2"/>
  <c r="Q1671" i="2"/>
  <c r="Q1663" i="2"/>
  <c r="Q1655" i="2"/>
  <c r="Q1647" i="2"/>
  <c r="Q1639" i="2"/>
  <c r="Q1631" i="2"/>
  <c r="Q1623" i="2"/>
  <c r="Q1615" i="2"/>
  <c r="Q1611" i="2"/>
  <c r="Q1607" i="2"/>
  <c r="Q1603" i="2"/>
  <c r="Q1599" i="2"/>
  <c r="Q1595" i="2"/>
  <c r="Q1591" i="2"/>
  <c r="Q1587" i="2"/>
  <c r="Q1583" i="2"/>
  <c r="Q1579" i="2"/>
  <c r="Q1575" i="2"/>
  <c r="Q1571" i="2"/>
  <c r="Q1567" i="2"/>
  <c r="Q1563" i="2"/>
  <c r="Q1559" i="2"/>
  <c r="Q1555" i="2"/>
  <c r="Q1551" i="2"/>
  <c r="Q1547" i="2"/>
  <c r="Q1543" i="2"/>
  <c r="Q1539" i="2"/>
  <c r="Q1535" i="2"/>
  <c r="Q1531" i="2"/>
  <c r="Q1527" i="2"/>
  <c r="Q1523" i="2"/>
  <c r="Q1519" i="2"/>
  <c r="Q1515" i="2"/>
  <c r="Q1511" i="2"/>
  <c r="Q1507" i="2"/>
  <c r="Q1503" i="2"/>
  <c r="Q1499" i="2"/>
  <c r="Q1495" i="2"/>
  <c r="Q1491" i="2"/>
  <c r="Q1487" i="2"/>
  <c r="Q1483" i="2"/>
  <c r="Q1479" i="2"/>
  <c r="Q1475" i="2"/>
  <c r="Q1471" i="2"/>
  <c r="Q1467" i="2"/>
  <c r="Q1463" i="2"/>
  <c r="Q1459" i="2"/>
  <c r="Q1455" i="2"/>
  <c r="Q1451" i="2"/>
  <c r="Q1447" i="2"/>
  <c r="Q1443" i="2"/>
  <c r="Q1439" i="2"/>
  <c r="Q1435" i="2"/>
  <c r="Q1431" i="2"/>
  <c r="Q1427" i="2"/>
  <c r="Q1419" i="2"/>
  <c r="Q1415" i="2"/>
  <c r="Q1411" i="2"/>
  <c r="Q1403" i="2"/>
  <c r="Q1399" i="2"/>
  <c r="Q1395" i="2"/>
  <c r="Q1387" i="2"/>
  <c r="Q1383" i="2"/>
  <c r="Q1379" i="2"/>
  <c r="Q1371" i="2"/>
  <c r="Q1367" i="2"/>
  <c r="Q1363" i="2"/>
  <c r="Q1355" i="2"/>
  <c r="Q1351" i="2"/>
  <c r="Q1347" i="2"/>
  <c r="Q1339" i="2"/>
  <c r="Q1335" i="2"/>
  <c r="Q1331" i="2"/>
  <c r="Q1323" i="2"/>
  <c r="Q1319" i="2"/>
  <c r="Q1315" i="2"/>
  <c r="Q1307" i="2"/>
  <c r="Q1303" i="2"/>
  <c r="Q1299" i="2"/>
  <c r="Q1291" i="2"/>
  <c r="Q1287" i="2"/>
  <c r="Q1283" i="2"/>
  <c r="Q1275" i="2"/>
  <c r="Q1271" i="2"/>
  <c r="Q1267" i="2"/>
  <c r="Q1259" i="2"/>
  <c r="Q1255" i="2"/>
  <c r="Q1251" i="2"/>
  <c r="Q1243" i="2"/>
  <c r="Q1239" i="2"/>
  <c r="Q1235" i="2"/>
  <c r="Q1227" i="2"/>
  <c r="Q1223" i="2"/>
  <c r="Q1219" i="2"/>
  <c r="Q1211" i="2"/>
  <c r="Q1207" i="2"/>
  <c r="Q1203" i="2"/>
  <c r="Q1195" i="2"/>
  <c r="Q1191" i="2"/>
  <c r="Q1187" i="2"/>
  <c r="Q1179" i="2"/>
  <c r="Q1175" i="2"/>
  <c r="Q1171" i="2"/>
  <c r="Q1163" i="2"/>
  <c r="Q1159" i="2"/>
  <c r="Q1155" i="2"/>
  <c r="Q1147" i="2"/>
  <c r="Q1143" i="2"/>
  <c r="Q1139" i="2"/>
  <c r="Q1131" i="2"/>
  <c r="Q1127" i="2"/>
  <c r="Q1123" i="2"/>
  <c r="Q1115" i="2"/>
  <c r="Q1111" i="2"/>
  <c r="Q1107" i="2"/>
  <c r="Q1099" i="2"/>
  <c r="Q1095" i="2"/>
  <c r="Q1091" i="2"/>
  <c r="Q1083" i="2"/>
  <c r="Q1079" i="2"/>
  <c r="Q1075" i="2"/>
  <c r="Q1067" i="2"/>
  <c r="Q1063" i="2"/>
  <c r="Q1059" i="2"/>
  <c r="Q1051" i="2"/>
  <c r="Q1047" i="2"/>
  <c r="Q1043" i="2"/>
  <c r="Q1039" i="2"/>
  <c r="Q1035" i="2"/>
  <c r="Q1031" i="2"/>
  <c r="Q1027" i="2"/>
  <c r="Q1023" i="2"/>
  <c r="Q1019" i="2"/>
  <c r="Q1015" i="2"/>
  <c r="Q1011" i="2"/>
  <c r="Q1007" i="2"/>
  <c r="Q1003" i="2"/>
  <c r="Q999" i="2"/>
  <c r="Q995" i="2"/>
  <c r="Q991" i="2"/>
  <c r="Q987" i="2"/>
  <c r="Q983" i="2"/>
  <c r="Q979" i="2"/>
  <c r="Q975" i="2"/>
  <c r="Q971" i="2"/>
  <c r="Q967" i="2"/>
  <c r="Q963" i="2"/>
  <c r="Q959" i="2"/>
  <c r="Q955" i="2"/>
  <c r="Q951" i="2"/>
  <c r="Q947" i="2"/>
  <c r="Q943" i="2"/>
  <c r="Q939" i="2"/>
  <c r="Q935" i="2"/>
  <c r="Q931" i="2"/>
  <c r="Q927" i="2"/>
  <c r="Q923" i="2"/>
  <c r="Q919" i="2"/>
  <c r="Q915" i="2"/>
  <c r="Q911" i="2"/>
  <c r="Q907" i="2"/>
  <c r="Q903" i="2"/>
  <c r="Q899" i="2"/>
  <c r="Q895" i="2"/>
  <c r="Q891" i="2"/>
  <c r="Q887" i="2"/>
  <c r="Q883" i="2"/>
  <c r="Q879" i="2"/>
  <c r="Q875" i="2"/>
  <c r="Q871" i="2"/>
  <c r="Q867" i="2"/>
  <c r="Q863" i="2"/>
  <c r="Q859" i="2"/>
  <c r="Q855" i="2"/>
  <c r="Q851" i="2"/>
  <c r="Q847" i="2"/>
  <c r="Q843" i="2"/>
  <c r="Q839" i="2"/>
  <c r="Q835" i="2"/>
  <c r="Q831" i="2"/>
  <c r="Q827" i="2"/>
  <c r="Q823" i="2"/>
  <c r="Q819" i="2"/>
  <c r="Q815" i="2"/>
  <c r="Q811" i="2"/>
  <c r="Q807" i="2"/>
  <c r="Q803" i="2"/>
  <c r="Q799" i="2"/>
  <c r="Q795" i="2"/>
  <c r="Q791" i="2"/>
  <c r="Q787" i="2"/>
  <c r="Q783" i="2"/>
  <c r="Q779" i="2"/>
  <c r="Q775" i="2"/>
  <c r="Q771" i="2"/>
  <c r="Q767" i="2"/>
  <c r="Q763" i="2"/>
  <c r="Q759" i="2"/>
  <c r="Q755" i="2"/>
  <c r="Q751" i="2"/>
  <c r="Q747" i="2"/>
  <c r="Q743" i="2"/>
  <c r="Q739" i="2"/>
  <c r="Q735" i="2"/>
  <c r="Q731" i="2"/>
  <c r="Q727" i="2"/>
  <c r="Q723" i="2"/>
  <c r="Q719" i="2"/>
  <c r="Q715" i="2"/>
  <c r="Q711" i="2"/>
  <c r="Q707" i="2"/>
  <c r="Q703" i="2"/>
  <c r="Q699" i="2"/>
  <c r="Q695" i="2"/>
  <c r="Q691" i="2"/>
  <c r="Q687" i="2"/>
  <c r="Q683" i="2"/>
  <c r="Q679" i="2"/>
  <c r="Q675" i="2"/>
  <c r="Q671" i="2"/>
  <c r="Q667" i="2"/>
  <c r="Q663" i="2"/>
  <c r="Q659" i="2"/>
  <c r="Q655" i="2"/>
  <c r="Q651" i="2"/>
  <c r="Q647" i="2"/>
  <c r="Q643" i="2"/>
  <c r="Q639" i="2"/>
  <c r="Q635" i="2"/>
  <c r="Q631" i="2"/>
  <c r="Q627" i="2"/>
  <c r="Q623" i="2"/>
  <c r="Q619" i="2"/>
  <c r="Q615" i="2"/>
  <c r="Q611" i="2"/>
  <c r="Q607" i="2"/>
  <c r="Q603" i="2"/>
  <c r="Q599" i="2"/>
  <c r="Q595" i="2"/>
  <c r="Q591" i="2"/>
  <c r="Q587" i="2"/>
  <c r="Q583" i="2"/>
  <c r="Q579" i="2"/>
  <c r="Q575" i="2"/>
  <c r="Q571" i="2"/>
  <c r="Q567" i="2"/>
  <c r="Q563" i="2"/>
  <c r="Q559" i="2"/>
  <c r="Q555" i="2"/>
  <c r="Q551" i="2"/>
  <c r="Q547" i="2"/>
  <c r="Q543" i="2"/>
  <c r="Q539" i="2"/>
  <c r="Q535" i="2"/>
  <c r="Q531" i="2"/>
  <c r="Q527" i="2"/>
  <c r="Q523" i="2"/>
  <c r="Q519" i="2"/>
  <c r="Q515" i="2"/>
  <c r="Q511" i="2"/>
  <c r="Q507" i="2"/>
  <c r="Q503" i="2"/>
  <c r="Q499" i="2"/>
  <c r="Q495" i="2"/>
  <c r="Q491" i="2"/>
  <c r="Q487" i="2"/>
  <c r="Q483" i="2"/>
  <c r="Q479" i="2"/>
  <c r="Q475" i="2"/>
  <c r="Q471" i="2"/>
  <c r="Q467" i="2"/>
  <c r="Q463" i="2"/>
  <c r="Q459" i="2"/>
  <c r="Q455" i="2"/>
  <c r="Q451" i="2"/>
  <c r="Q447" i="2"/>
  <c r="Q443" i="2"/>
  <c r="Q439" i="2"/>
  <c r="Q435" i="2"/>
  <c r="Q431" i="2"/>
  <c r="Q427" i="2"/>
  <c r="Q423" i="2"/>
  <c r="Q419" i="2"/>
  <c r="Q415" i="2"/>
  <c r="Q411" i="2"/>
  <c r="Q407" i="2"/>
  <c r="Q403" i="2"/>
  <c r="Q399" i="2"/>
  <c r="Q395" i="2"/>
  <c r="Q391" i="2"/>
  <c r="Q387" i="2"/>
  <c r="Q383" i="2"/>
  <c r="Q379" i="2"/>
  <c r="Q375" i="2"/>
  <c r="Q371" i="2"/>
  <c r="Q367" i="2"/>
  <c r="Q363" i="2"/>
  <c r="Q359" i="2"/>
  <c r="Q355" i="2"/>
  <c r="Q351" i="2"/>
  <c r="Q347" i="2"/>
  <c r="Q343" i="2"/>
  <c r="Q339" i="2"/>
  <c r="Q335" i="2"/>
  <c r="Q327" i="2"/>
  <c r="Q323" i="2"/>
  <c r="Q319" i="2"/>
  <c r="Q311" i="2"/>
  <c r="Q307" i="2"/>
  <c r="Q303" i="2"/>
  <c r="Q295" i="2"/>
  <c r="Q291" i="2"/>
  <c r="Q287" i="2"/>
  <c r="Q279" i="2"/>
  <c r="Q275" i="2"/>
  <c r="Q271" i="2"/>
  <c r="Q263" i="2"/>
  <c r="Q259" i="2"/>
  <c r="Q255" i="2"/>
  <c r="Q247" i="2"/>
  <c r="Q243" i="2"/>
  <c r="Q239" i="2"/>
  <c r="Q235" i="2"/>
  <c r="Q231" i="2"/>
  <c r="Q227" i="2"/>
  <c r="Q223" i="2"/>
  <c r="Q215" i="2"/>
  <c r="Q211" i="2"/>
  <c r="Q207" i="2"/>
  <c r="Q199" i="2"/>
  <c r="Q195" i="2"/>
  <c r="Q191" i="2"/>
  <c r="Q183" i="2"/>
  <c r="Q179" i="2"/>
  <c r="Q175" i="2"/>
  <c r="Q115" i="2"/>
  <c r="Q67" i="2"/>
  <c r="Q644" i="2"/>
  <c r="Q708" i="2"/>
  <c r="Q1923" i="2"/>
  <c r="Q1915" i="2"/>
  <c r="Q1907" i="2"/>
  <c r="Q1899" i="2"/>
  <c r="Q1891" i="2"/>
  <c r="Q1883" i="2"/>
  <c r="Q1875" i="2"/>
  <c r="Q1867" i="2"/>
  <c r="Q1859" i="2"/>
  <c r="Q1851" i="2"/>
  <c r="Q1843" i="2"/>
  <c r="Q1835" i="2"/>
  <c r="Q1827" i="2"/>
  <c r="Q1819" i="2"/>
  <c r="Q1811" i="2"/>
  <c r="Q1803" i="2"/>
  <c r="Q1795" i="2"/>
  <c r="Q1787" i="2"/>
  <c r="Q1779" i="2"/>
  <c r="Q1771" i="2"/>
  <c r="Q1763" i="2"/>
  <c r="Q1755" i="2"/>
  <c r="Q1747" i="2"/>
  <c r="Q1739" i="2"/>
  <c r="Q1731" i="2"/>
  <c r="Q1723" i="2"/>
  <c r="Q1715" i="2"/>
  <c r="Q1707" i="2"/>
  <c r="Q1699" i="2"/>
  <c r="Q1691" i="2"/>
  <c r="Q1683" i="2"/>
  <c r="Q1675" i="2"/>
  <c r="Q1667" i="2"/>
  <c r="Q1659" i="2"/>
  <c r="Q1651" i="2"/>
  <c r="Q1643" i="2"/>
  <c r="Q1635" i="2"/>
  <c r="Q1627" i="2"/>
  <c r="Q1619" i="2"/>
  <c r="Q1423" i="2"/>
  <c r="Q1407" i="2"/>
  <c r="Q1391" i="2"/>
  <c r="Q1375" i="2"/>
  <c r="Q1359" i="2"/>
  <c r="Q1343" i="2"/>
  <c r="Q1327" i="2"/>
  <c r="Q1311" i="2"/>
  <c r="Q1295" i="2"/>
  <c r="Q1279" i="2"/>
  <c r="Q1263" i="2"/>
  <c r="Q1247" i="2"/>
  <c r="Q1231" i="2"/>
  <c r="Q1215" i="2"/>
  <c r="Q1199" i="2"/>
  <c r="Q1183" i="2"/>
  <c r="Q1167" i="2"/>
  <c r="Q1151" i="2"/>
  <c r="Q1135" i="2"/>
  <c r="Q1119" i="2"/>
  <c r="Q1103" i="2"/>
  <c r="Q1087" i="2"/>
  <c r="Q1071" i="2"/>
  <c r="Q1055" i="2"/>
  <c r="Q1032" i="2"/>
  <c r="Q1000" i="2"/>
  <c r="Q968" i="2"/>
  <c r="Q836" i="2"/>
  <c r="Q772" i="2"/>
  <c r="Q814" i="2"/>
  <c r="Q750" i="2"/>
  <c r="Q686" i="2"/>
  <c r="Q622" i="2"/>
  <c r="D168" i="2"/>
  <c r="D164" i="2"/>
  <c r="D160" i="2"/>
  <c r="D156" i="2"/>
  <c r="D152" i="2"/>
  <c r="D148" i="2"/>
  <c r="D144" i="2"/>
  <c r="D140" i="2"/>
  <c r="D136" i="2"/>
  <c r="D132" i="2"/>
  <c r="D128" i="2"/>
  <c r="D124" i="2"/>
  <c r="D120" i="2"/>
  <c r="D116" i="2"/>
  <c r="D112" i="2"/>
  <c r="D108" i="2"/>
  <c r="D104" i="2"/>
  <c r="D100" i="2"/>
  <c r="D96" i="2"/>
  <c r="D92" i="2"/>
  <c r="D88" i="2"/>
  <c r="D84" i="2"/>
  <c r="D80" i="2"/>
  <c r="D76" i="2"/>
  <c r="D72" i="2"/>
  <c r="D68" i="2"/>
  <c r="D64" i="2"/>
  <c r="D60" i="2"/>
  <c r="D56" i="2"/>
  <c r="D52" i="2"/>
  <c r="D48" i="2"/>
  <c r="D44" i="2"/>
  <c r="D40" i="2"/>
  <c r="D36" i="2"/>
  <c r="D32" i="2"/>
  <c r="D28" i="2"/>
  <c r="D24" i="2"/>
  <c r="D20" i="2"/>
  <c r="D16" i="2"/>
  <c r="D11" i="2"/>
  <c r="D12" i="2"/>
  <c r="J13" i="3" l="1"/>
  <c r="J6" i="3"/>
  <c r="J4" i="3"/>
  <c r="J12" i="3"/>
  <c r="J5" i="3"/>
  <c r="J14" i="3"/>
  <c r="J11" i="3"/>
  <c r="J3" i="3"/>
  <c r="J8" i="3"/>
  <c r="E10" i="2"/>
  <c r="T8" i="2"/>
  <c r="T6" i="2"/>
  <c r="T5" i="2"/>
  <c r="T4" i="2"/>
  <c r="T3" i="2"/>
  <c r="T13" i="2"/>
  <c r="T14" i="2"/>
  <c r="T12" i="2"/>
  <c r="T11" i="2"/>
  <c r="B11" i="2"/>
  <c r="E11" i="2"/>
  <c r="J18" i="3" l="1"/>
  <c r="J19" i="3"/>
  <c r="J20" i="3"/>
  <c r="J7" i="3" s="1"/>
  <c r="T19" i="2"/>
  <c r="T20" i="2"/>
  <c r="T7" i="2" s="1"/>
  <c r="T18" i="2"/>
  <c r="B12" i="2"/>
  <c r="E12" i="2"/>
  <c r="E13" i="2" l="1"/>
  <c r="B13" i="2"/>
  <c r="E14" i="2" l="1"/>
  <c r="B14" i="2"/>
  <c r="B15" i="2" l="1"/>
  <c r="E15" i="2"/>
  <c r="B16" i="2" l="1"/>
  <c r="E16" i="2"/>
  <c r="E17" i="2" l="1"/>
  <c r="B17" i="2"/>
  <c r="E18" i="2" l="1"/>
  <c r="B18" i="2"/>
  <c r="B19" i="2" l="1"/>
  <c r="E19" i="2"/>
  <c r="B20" i="2" l="1"/>
  <c r="E20" i="2"/>
  <c r="E21" i="2" l="1"/>
  <c r="B21" i="2"/>
  <c r="E22" i="2" l="1"/>
  <c r="B22" i="2"/>
  <c r="B23" i="2" l="1"/>
  <c r="E23" i="2"/>
  <c r="B24" i="2" l="1"/>
  <c r="E24" i="2"/>
  <c r="E25" i="2" l="1"/>
  <c r="B25" i="2"/>
  <c r="E26" i="2" l="1"/>
  <c r="B26" i="2"/>
  <c r="B27" i="2" l="1"/>
  <c r="E27" i="2"/>
  <c r="B28" i="2" l="1"/>
  <c r="E28" i="2"/>
  <c r="E29" i="2" l="1"/>
  <c r="B29" i="2"/>
  <c r="E30" i="2" l="1"/>
  <c r="B30" i="2"/>
  <c r="B31" i="2" l="1"/>
  <c r="E31" i="2"/>
  <c r="B32" i="2" l="1"/>
  <c r="E32" i="2"/>
  <c r="E33" i="2" l="1"/>
  <c r="B33" i="2"/>
  <c r="E34" i="2" l="1"/>
  <c r="B34" i="2"/>
  <c r="B35" i="2" l="1"/>
  <c r="E35" i="2"/>
  <c r="B36" i="2" l="1"/>
  <c r="E36" i="2"/>
  <c r="E37" i="2" l="1"/>
  <c r="B37" i="2"/>
  <c r="E38" i="2" l="1"/>
  <c r="B38" i="2"/>
  <c r="B39" i="2" l="1"/>
  <c r="E39" i="2"/>
  <c r="B40" i="2" l="1"/>
  <c r="E40" i="2"/>
  <c r="E41" i="2" l="1"/>
  <c r="B41" i="2"/>
  <c r="E42" i="2" l="1"/>
  <c r="B42" i="2"/>
  <c r="B43" i="2" l="1"/>
  <c r="E43" i="2"/>
  <c r="B44" i="2" l="1"/>
  <c r="E44" i="2"/>
  <c r="E45" i="2" l="1"/>
  <c r="B45" i="2"/>
  <c r="E46" i="2" l="1"/>
  <c r="B46" i="2"/>
  <c r="B47" i="2" l="1"/>
  <c r="E47" i="2"/>
  <c r="B48" i="2" l="1"/>
  <c r="E48" i="2"/>
  <c r="E49" i="2" l="1"/>
  <c r="B49" i="2"/>
  <c r="E50" i="2" l="1"/>
  <c r="B50" i="2"/>
  <c r="B51" i="2" l="1"/>
  <c r="E51" i="2"/>
  <c r="B52" i="2" l="1"/>
  <c r="E52" i="2"/>
  <c r="E53" i="2" l="1"/>
  <c r="B53" i="2"/>
  <c r="E54" i="2" l="1"/>
  <c r="B54" i="2"/>
  <c r="B55" i="2" l="1"/>
  <c r="E55" i="2"/>
  <c r="B56" i="2" l="1"/>
  <c r="E56" i="2"/>
  <c r="E57" i="2" l="1"/>
  <c r="B57" i="2"/>
  <c r="E58" i="2" l="1"/>
  <c r="B58" i="2"/>
  <c r="B59" i="2" l="1"/>
  <c r="E59" i="2"/>
  <c r="B60" i="2" l="1"/>
  <c r="E60" i="2"/>
  <c r="E61" i="2" l="1"/>
  <c r="B61" i="2"/>
  <c r="E62" i="2" l="1"/>
  <c r="B62" i="2"/>
  <c r="B63" i="2" l="1"/>
  <c r="E63" i="2"/>
  <c r="B64" i="2" l="1"/>
  <c r="E64" i="2"/>
  <c r="E65" i="2" l="1"/>
  <c r="B65" i="2"/>
  <c r="E66" i="2" l="1"/>
  <c r="B66" i="2"/>
  <c r="B67" i="2" l="1"/>
  <c r="E67" i="2"/>
  <c r="B68" i="2" l="1"/>
  <c r="E68" i="2"/>
  <c r="E69" i="2" l="1"/>
  <c r="B69" i="2"/>
  <c r="E70" i="2" l="1"/>
  <c r="B70" i="2"/>
  <c r="B71" i="2" l="1"/>
  <c r="E71" i="2"/>
  <c r="B72" i="2" l="1"/>
  <c r="E72" i="2"/>
  <c r="E73" i="2" l="1"/>
  <c r="B73" i="2"/>
  <c r="E74" i="2" l="1"/>
  <c r="B74" i="2"/>
  <c r="B75" i="2" l="1"/>
  <c r="E75" i="2"/>
  <c r="B76" i="2" l="1"/>
  <c r="E76" i="2"/>
  <c r="E77" i="2" l="1"/>
  <c r="B77" i="2"/>
  <c r="E78" i="2" l="1"/>
  <c r="B78" i="2"/>
  <c r="B79" i="2" l="1"/>
  <c r="E79" i="2"/>
  <c r="B80" i="2" l="1"/>
  <c r="E80" i="2"/>
  <c r="E81" i="2" l="1"/>
  <c r="B81" i="2"/>
  <c r="E82" i="2" l="1"/>
  <c r="B82" i="2"/>
  <c r="B83" i="2" l="1"/>
  <c r="E83" i="2"/>
  <c r="B84" i="2" l="1"/>
  <c r="E84" i="2"/>
  <c r="E85" i="2" l="1"/>
  <c r="B85" i="2"/>
  <c r="E86" i="2" l="1"/>
  <c r="B86" i="2"/>
  <c r="B87" i="2" l="1"/>
  <c r="E87" i="2"/>
  <c r="B88" i="2" l="1"/>
  <c r="E88" i="2"/>
  <c r="E89" i="2" l="1"/>
  <c r="B89" i="2"/>
  <c r="G4" i="2" l="1"/>
  <c r="H4" i="2" s="1"/>
  <c r="G8" i="2"/>
  <c r="H8" i="2" s="1"/>
  <c r="G12" i="2"/>
  <c r="H12" i="2" s="1"/>
  <c r="G16" i="2"/>
  <c r="H16" i="2" s="1"/>
  <c r="G20" i="2"/>
  <c r="H20" i="2" s="1"/>
  <c r="G24" i="2"/>
  <c r="H24" i="2" s="1"/>
  <c r="G28" i="2"/>
  <c r="H28" i="2" s="1"/>
  <c r="G32" i="2"/>
  <c r="H32" i="2" s="1"/>
  <c r="G36" i="2"/>
  <c r="H36" i="2" s="1"/>
  <c r="G40" i="2"/>
  <c r="H40" i="2" s="1"/>
  <c r="G44" i="2"/>
  <c r="H44" i="2" s="1"/>
  <c r="G48" i="2"/>
  <c r="H48" i="2" s="1"/>
  <c r="G52" i="2"/>
  <c r="H52" i="2" s="1"/>
  <c r="G56" i="2"/>
  <c r="H56" i="2" s="1"/>
  <c r="G60" i="2"/>
  <c r="H60" i="2" s="1"/>
  <c r="G64" i="2"/>
  <c r="H64" i="2" s="1"/>
  <c r="G68" i="2"/>
  <c r="H68" i="2" s="1"/>
  <c r="G72" i="2"/>
  <c r="H72" i="2" s="1"/>
  <c r="G76" i="2"/>
  <c r="H76" i="2" s="1"/>
  <c r="G80" i="2"/>
  <c r="H80" i="2" s="1"/>
  <c r="G84" i="2"/>
  <c r="H84" i="2" s="1"/>
  <c r="G88" i="2"/>
  <c r="H88" i="2" s="1"/>
  <c r="G92" i="2"/>
  <c r="H92" i="2" s="1"/>
  <c r="G96" i="2"/>
  <c r="H96" i="2" s="1"/>
  <c r="G100" i="2"/>
  <c r="H100" i="2" s="1"/>
  <c r="G104" i="2"/>
  <c r="H104" i="2" s="1"/>
  <c r="G108" i="2"/>
  <c r="H108" i="2" s="1"/>
  <c r="G112" i="2"/>
  <c r="H112" i="2" s="1"/>
  <c r="G116" i="2"/>
  <c r="H116" i="2" s="1"/>
  <c r="G120" i="2"/>
  <c r="H120" i="2" s="1"/>
  <c r="G124" i="2"/>
  <c r="H124" i="2" s="1"/>
  <c r="G128" i="2"/>
  <c r="H128" i="2" s="1"/>
  <c r="G132" i="2"/>
  <c r="H132" i="2" s="1"/>
  <c r="G136" i="2"/>
  <c r="H136" i="2" s="1"/>
  <c r="G140" i="2"/>
  <c r="H140" i="2" s="1"/>
  <c r="G144" i="2"/>
  <c r="H144" i="2" s="1"/>
  <c r="G148" i="2"/>
  <c r="H148" i="2" s="1"/>
  <c r="G152" i="2"/>
  <c r="H152" i="2" s="1"/>
  <c r="G156" i="2"/>
  <c r="H156" i="2" s="1"/>
  <c r="G160" i="2"/>
  <c r="H160" i="2" s="1"/>
  <c r="G164" i="2"/>
  <c r="H164" i="2" s="1"/>
  <c r="G168" i="2"/>
  <c r="H168" i="2" s="1"/>
  <c r="G172" i="2"/>
  <c r="H172" i="2" s="1"/>
  <c r="G176" i="2"/>
  <c r="H176" i="2" s="1"/>
  <c r="G180" i="2"/>
  <c r="H180" i="2" s="1"/>
  <c r="G184" i="2"/>
  <c r="H184" i="2" s="1"/>
  <c r="G188" i="2"/>
  <c r="H188" i="2" s="1"/>
  <c r="G192" i="2"/>
  <c r="H192" i="2" s="1"/>
  <c r="G196" i="2"/>
  <c r="H196" i="2" s="1"/>
  <c r="G200" i="2"/>
  <c r="H200" i="2" s="1"/>
  <c r="G204" i="2"/>
  <c r="H204" i="2" s="1"/>
  <c r="G208" i="2"/>
  <c r="H208" i="2" s="1"/>
  <c r="G212" i="2"/>
  <c r="H212" i="2" s="1"/>
  <c r="G216" i="2"/>
  <c r="H216" i="2" s="1"/>
  <c r="G220" i="2"/>
  <c r="H220" i="2" s="1"/>
  <c r="G224" i="2"/>
  <c r="H224" i="2" s="1"/>
  <c r="G228" i="2"/>
  <c r="H228" i="2" s="1"/>
  <c r="G232" i="2"/>
  <c r="H232" i="2" s="1"/>
  <c r="G236" i="2"/>
  <c r="H236" i="2" s="1"/>
  <c r="G240" i="2"/>
  <c r="H240" i="2" s="1"/>
  <c r="G244" i="2"/>
  <c r="H244" i="2" s="1"/>
  <c r="G248" i="2"/>
  <c r="H248" i="2" s="1"/>
  <c r="G252" i="2"/>
  <c r="H252" i="2" s="1"/>
  <c r="G256" i="2"/>
  <c r="H256" i="2" s="1"/>
  <c r="G260" i="2"/>
  <c r="H260" i="2" s="1"/>
  <c r="G264" i="2"/>
  <c r="H264" i="2" s="1"/>
  <c r="G268" i="2"/>
  <c r="H268" i="2" s="1"/>
  <c r="G272" i="2"/>
  <c r="H272" i="2" s="1"/>
  <c r="G276" i="2"/>
  <c r="H276" i="2" s="1"/>
  <c r="G280" i="2"/>
  <c r="H280" i="2" s="1"/>
  <c r="G284" i="2"/>
  <c r="H284" i="2" s="1"/>
  <c r="G288" i="2"/>
  <c r="H288" i="2" s="1"/>
  <c r="G292" i="2"/>
  <c r="H292" i="2" s="1"/>
  <c r="G296" i="2"/>
  <c r="H296" i="2" s="1"/>
  <c r="G300" i="2"/>
  <c r="H300" i="2" s="1"/>
  <c r="G304" i="2"/>
  <c r="H304" i="2" s="1"/>
  <c r="G308" i="2"/>
  <c r="H308" i="2" s="1"/>
  <c r="G312" i="2"/>
  <c r="H312" i="2" s="1"/>
  <c r="G316" i="2"/>
  <c r="H316" i="2" s="1"/>
  <c r="G320" i="2"/>
  <c r="H320" i="2" s="1"/>
  <c r="G324" i="2"/>
  <c r="H324" i="2" s="1"/>
  <c r="G328" i="2"/>
  <c r="H328" i="2" s="1"/>
  <c r="G332" i="2"/>
  <c r="H332" i="2" s="1"/>
  <c r="G5" i="2"/>
  <c r="H5" i="2" s="1"/>
  <c r="G9" i="2"/>
  <c r="H9" i="2" s="1"/>
  <c r="G13" i="2"/>
  <c r="H13" i="2" s="1"/>
  <c r="G17" i="2"/>
  <c r="H17" i="2" s="1"/>
  <c r="G21" i="2"/>
  <c r="H21" i="2" s="1"/>
  <c r="G25" i="2"/>
  <c r="H25" i="2" s="1"/>
  <c r="G29" i="2"/>
  <c r="H29" i="2" s="1"/>
  <c r="G33" i="2"/>
  <c r="H33" i="2" s="1"/>
  <c r="G37" i="2"/>
  <c r="H37" i="2" s="1"/>
  <c r="G41" i="2"/>
  <c r="H41" i="2" s="1"/>
  <c r="G45" i="2"/>
  <c r="H45" i="2" s="1"/>
  <c r="G49" i="2"/>
  <c r="H49" i="2" s="1"/>
  <c r="G53" i="2"/>
  <c r="H53" i="2" s="1"/>
  <c r="G57" i="2"/>
  <c r="H57" i="2" s="1"/>
  <c r="G61" i="2"/>
  <c r="H61" i="2" s="1"/>
  <c r="G65" i="2"/>
  <c r="H65" i="2" s="1"/>
  <c r="G69" i="2"/>
  <c r="H69" i="2" s="1"/>
  <c r="G73" i="2"/>
  <c r="H73" i="2" s="1"/>
  <c r="G77" i="2"/>
  <c r="H77" i="2" s="1"/>
  <c r="G81" i="2"/>
  <c r="H81" i="2" s="1"/>
  <c r="G85" i="2"/>
  <c r="H85" i="2" s="1"/>
  <c r="G89" i="2"/>
  <c r="H89" i="2" s="1"/>
  <c r="G93" i="2"/>
  <c r="H93" i="2" s="1"/>
  <c r="G97" i="2"/>
  <c r="H97" i="2" s="1"/>
  <c r="G101" i="2"/>
  <c r="H101" i="2" s="1"/>
  <c r="G105" i="2"/>
  <c r="H105" i="2" s="1"/>
  <c r="G109" i="2"/>
  <c r="H109" i="2" s="1"/>
  <c r="G113" i="2"/>
  <c r="H113" i="2" s="1"/>
  <c r="G117" i="2"/>
  <c r="H117" i="2" s="1"/>
  <c r="G121" i="2"/>
  <c r="H121" i="2" s="1"/>
  <c r="G125" i="2"/>
  <c r="H125" i="2" s="1"/>
  <c r="G129" i="2"/>
  <c r="H129" i="2" s="1"/>
  <c r="G133" i="2"/>
  <c r="H133" i="2" s="1"/>
  <c r="G137" i="2"/>
  <c r="H137" i="2" s="1"/>
  <c r="G141" i="2"/>
  <c r="H141" i="2" s="1"/>
  <c r="G145" i="2"/>
  <c r="H145" i="2" s="1"/>
  <c r="G149" i="2"/>
  <c r="H149" i="2" s="1"/>
  <c r="G153" i="2"/>
  <c r="H153" i="2" s="1"/>
  <c r="G157" i="2"/>
  <c r="H157" i="2" s="1"/>
  <c r="G161" i="2"/>
  <c r="H161" i="2" s="1"/>
  <c r="G165" i="2"/>
  <c r="H165" i="2" s="1"/>
  <c r="G169" i="2"/>
  <c r="H169" i="2" s="1"/>
  <c r="G173" i="2"/>
  <c r="H173" i="2" s="1"/>
  <c r="G177" i="2"/>
  <c r="H177" i="2" s="1"/>
  <c r="G181" i="2"/>
  <c r="H181" i="2" s="1"/>
  <c r="G185" i="2"/>
  <c r="H185" i="2" s="1"/>
  <c r="G189" i="2"/>
  <c r="H189" i="2" s="1"/>
  <c r="G193" i="2"/>
  <c r="H193" i="2" s="1"/>
  <c r="G197" i="2"/>
  <c r="H197" i="2" s="1"/>
  <c r="G201" i="2"/>
  <c r="H201" i="2" s="1"/>
  <c r="G205" i="2"/>
  <c r="H205" i="2" s="1"/>
  <c r="G209" i="2"/>
  <c r="H209" i="2" s="1"/>
  <c r="G213" i="2"/>
  <c r="H213" i="2" s="1"/>
  <c r="G217" i="2"/>
  <c r="H217" i="2" s="1"/>
  <c r="G221" i="2"/>
  <c r="H221" i="2" s="1"/>
  <c r="G225" i="2"/>
  <c r="H225" i="2" s="1"/>
  <c r="G229" i="2"/>
  <c r="H229" i="2" s="1"/>
  <c r="G233" i="2"/>
  <c r="H233" i="2" s="1"/>
  <c r="G237" i="2"/>
  <c r="H237" i="2" s="1"/>
  <c r="G241" i="2"/>
  <c r="H241" i="2" s="1"/>
  <c r="G245" i="2"/>
  <c r="H245" i="2" s="1"/>
  <c r="G249" i="2"/>
  <c r="H249" i="2" s="1"/>
  <c r="G253" i="2"/>
  <c r="H253" i="2" s="1"/>
  <c r="G257" i="2"/>
  <c r="H257" i="2" s="1"/>
  <c r="G261" i="2"/>
  <c r="H261" i="2" s="1"/>
  <c r="G265" i="2"/>
  <c r="H265" i="2" s="1"/>
  <c r="G269" i="2"/>
  <c r="H269" i="2" s="1"/>
  <c r="G273" i="2"/>
  <c r="H273" i="2" s="1"/>
  <c r="G277" i="2"/>
  <c r="H277" i="2" s="1"/>
  <c r="G281" i="2"/>
  <c r="H281" i="2" s="1"/>
  <c r="G285" i="2"/>
  <c r="H285" i="2" s="1"/>
  <c r="G289" i="2"/>
  <c r="H289" i="2" s="1"/>
  <c r="G293" i="2"/>
  <c r="H293" i="2" s="1"/>
  <c r="G297" i="2"/>
  <c r="H297" i="2" s="1"/>
  <c r="G301" i="2"/>
  <c r="H301" i="2" s="1"/>
  <c r="G305" i="2"/>
  <c r="H305" i="2" s="1"/>
  <c r="G309" i="2"/>
  <c r="H309" i="2" s="1"/>
  <c r="G313" i="2"/>
  <c r="H313" i="2" s="1"/>
  <c r="G317" i="2"/>
  <c r="H317" i="2" s="1"/>
  <c r="G321" i="2"/>
  <c r="H321" i="2" s="1"/>
  <c r="G325" i="2"/>
  <c r="H325" i="2" s="1"/>
  <c r="G329" i="2"/>
  <c r="H329" i="2" s="1"/>
  <c r="G333" i="2"/>
  <c r="H333" i="2" s="1"/>
  <c r="G337" i="2"/>
  <c r="H337" i="2" s="1"/>
  <c r="G341" i="2"/>
  <c r="H341" i="2" s="1"/>
  <c r="G6" i="2"/>
  <c r="H6" i="2" s="1"/>
  <c r="G14" i="2"/>
  <c r="H14" i="2" s="1"/>
  <c r="G22" i="2"/>
  <c r="H22" i="2" s="1"/>
  <c r="G30" i="2"/>
  <c r="H30" i="2" s="1"/>
  <c r="G38" i="2"/>
  <c r="H38" i="2" s="1"/>
  <c r="G46" i="2"/>
  <c r="H46" i="2" s="1"/>
  <c r="G54" i="2"/>
  <c r="H54" i="2" s="1"/>
  <c r="G62" i="2"/>
  <c r="H62" i="2" s="1"/>
  <c r="G70" i="2"/>
  <c r="H70" i="2" s="1"/>
  <c r="G78" i="2"/>
  <c r="H78" i="2" s="1"/>
  <c r="G86" i="2"/>
  <c r="H86" i="2" s="1"/>
  <c r="G94" i="2"/>
  <c r="H94" i="2" s="1"/>
  <c r="G102" i="2"/>
  <c r="H102" i="2" s="1"/>
  <c r="G110" i="2"/>
  <c r="H110" i="2" s="1"/>
  <c r="G118" i="2"/>
  <c r="H118" i="2" s="1"/>
  <c r="G126" i="2"/>
  <c r="H126" i="2" s="1"/>
  <c r="G134" i="2"/>
  <c r="H134" i="2" s="1"/>
  <c r="G142" i="2"/>
  <c r="H142" i="2" s="1"/>
  <c r="G150" i="2"/>
  <c r="H150" i="2" s="1"/>
  <c r="G158" i="2"/>
  <c r="H158" i="2" s="1"/>
  <c r="G166" i="2"/>
  <c r="H166" i="2" s="1"/>
  <c r="G174" i="2"/>
  <c r="H174" i="2" s="1"/>
  <c r="G182" i="2"/>
  <c r="H182" i="2" s="1"/>
  <c r="G190" i="2"/>
  <c r="H190" i="2" s="1"/>
  <c r="G198" i="2"/>
  <c r="H198" i="2" s="1"/>
  <c r="G206" i="2"/>
  <c r="H206" i="2" s="1"/>
  <c r="G214" i="2"/>
  <c r="H214" i="2" s="1"/>
  <c r="G222" i="2"/>
  <c r="H222" i="2" s="1"/>
  <c r="G230" i="2"/>
  <c r="H230" i="2" s="1"/>
  <c r="G238" i="2"/>
  <c r="H238" i="2" s="1"/>
  <c r="G246" i="2"/>
  <c r="H246" i="2" s="1"/>
  <c r="G254" i="2"/>
  <c r="H254" i="2" s="1"/>
  <c r="G262" i="2"/>
  <c r="H262" i="2" s="1"/>
  <c r="G270" i="2"/>
  <c r="H270" i="2" s="1"/>
  <c r="G278" i="2"/>
  <c r="H278" i="2" s="1"/>
  <c r="G286" i="2"/>
  <c r="H286" i="2" s="1"/>
  <c r="G294" i="2"/>
  <c r="H294" i="2" s="1"/>
  <c r="G302" i="2"/>
  <c r="H302" i="2" s="1"/>
  <c r="G310" i="2"/>
  <c r="H310" i="2" s="1"/>
  <c r="G318" i="2"/>
  <c r="H318" i="2" s="1"/>
  <c r="G326" i="2"/>
  <c r="H326" i="2" s="1"/>
  <c r="G334" i="2"/>
  <c r="H334" i="2" s="1"/>
  <c r="G339" i="2"/>
  <c r="H339" i="2" s="1"/>
  <c r="G344" i="2"/>
  <c r="H344" i="2" s="1"/>
  <c r="G348" i="2"/>
  <c r="H348" i="2" s="1"/>
  <c r="G352" i="2"/>
  <c r="H352" i="2" s="1"/>
  <c r="G356" i="2"/>
  <c r="H356" i="2" s="1"/>
  <c r="G360" i="2"/>
  <c r="H360" i="2" s="1"/>
  <c r="G364" i="2"/>
  <c r="H364" i="2" s="1"/>
  <c r="G368" i="2"/>
  <c r="H368" i="2" s="1"/>
  <c r="G372" i="2"/>
  <c r="H372" i="2" s="1"/>
  <c r="G376" i="2"/>
  <c r="H376" i="2" s="1"/>
  <c r="G380" i="2"/>
  <c r="H380" i="2" s="1"/>
  <c r="G384" i="2"/>
  <c r="H384" i="2" s="1"/>
  <c r="G388" i="2"/>
  <c r="H388" i="2" s="1"/>
  <c r="G392" i="2"/>
  <c r="H392" i="2" s="1"/>
  <c r="G396" i="2"/>
  <c r="H396" i="2" s="1"/>
  <c r="G400" i="2"/>
  <c r="H400" i="2" s="1"/>
  <c r="G404" i="2"/>
  <c r="H404" i="2" s="1"/>
  <c r="G408" i="2"/>
  <c r="H408" i="2" s="1"/>
  <c r="G412" i="2"/>
  <c r="H412" i="2" s="1"/>
  <c r="G416" i="2"/>
  <c r="H416" i="2" s="1"/>
  <c r="G420" i="2"/>
  <c r="H420" i="2" s="1"/>
  <c r="G424" i="2"/>
  <c r="H424" i="2" s="1"/>
  <c r="G428" i="2"/>
  <c r="H428" i="2" s="1"/>
  <c r="G432" i="2"/>
  <c r="H432" i="2" s="1"/>
  <c r="G436" i="2"/>
  <c r="H436" i="2" s="1"/>
  <c r="G440" i="2"/>
  <c r="H440" i="2" s="1"/>
  <c r="G444" i="2"/>
  <c r="H444" i="2" s="1"/>
  <c r="G448" i="2"/>
  <c r="H448" i="2" s="1"/>
  <c r="G452" i="2"/>
  <c r="H452" i="2" s="1"/>
  <c r="G456" i="2"/>
  <c r="H456" i="2" s="1"/>
  <c r="G460" i="2"/>
  <c r="H460" i="2" s="1"/>
  <c r="G464" i="2"/>
  <c r="H464" i="2" s="1"/>
  <c r="G468" i="2"/>
  <c r="H468" i="2" s="1"/>
  <c r="G472" i="2"/>
  <c r="H472" i="2" s="1"/>
  <c r="G476" i="2"/>
  <c r="H476" i="2" s="1"/>
  <c r="G480" i="2"/>
  <c r="H480" i="2" s="1"/>
  <c r="G484" i="2"/>
  <c r="H484" i="2" s="1"/>
  <c r="G488" i="2"/>
  <c r="H488" i="2" s="1"/>
  <c r="G492" i="2"/>
  <c r="H492" i="2" s="1"/>
  <c r="G496" i="2"/>
  <c r="H496" i="2" s="1"/>
  <c r="G500" i="2"/>
  <c r="H500" i="2" s="1"/>
  <c r="G7" i="2"/>
  <c r="H7" i="2" s="1"/>
  <c r="G15" i="2"/>
  <c r="H15" i="2" s="1"/>
  <c r="G23" i="2"/>
  <c r="H23" i="2" s="1"/>
  <c r="G31" i="2"/>
  <c r="H31" i="2" s="1"/>
  <c r="G39" i="2"/>
  <c r="H39" i="2" s="1"/>
  <c r="G47" i="2"/>
  <c r="H47" i="2" s="1"/>
  <c r="G55" i="2"/>
  <c r="H55" i="2" s="1"/>
  <c r="G63" i="2"/>
  <c r="H63" i="2" s="1"/>
  <c r="G71" i="2"/>
  <c r="H71" i="2" s="1"/>
  <c r="G79" i="2"/>
  <c r="H79" i="2" s="1"/>
  <c r="G87" i="2"/>
  <c r="H87" i="2" s="1"/>
  <c r="G95" i="2"/>
  <c r="H95" i="2" s="1"/>
  <c r="G103" i="2"/>
  <c r="H103" i="2" s="1"/>
  <c r="G111" i="2"/>
  <c r="H111" i="2" s="1"/>
  <c r="G119" i="2"/>
  <c r="H119" i="2" s="1"/>
  <c r="G127" i="2"/>
  <c r="H127" i="2" s="1"/>
  <c r="G135" i="2"/>
  <c r="H135" i="2" s="1"/>
  <c r="G143" i="2"/>
  <c r="H143" i="2" s="1"/>
  <c r="G151" i="2"/>
  <c r="H151" i="2" s="1"/>
  <c r="G159" i="2"/>
  <c r="H159" i="2" s="1"/>
  <c r="G167" i="2"/>
  <c r="H167" i="2" s="1"/>
  <c r="G175" i="2"/>
  <c r="H175" i="2" s="1"/>
  <c r="G183" i="2"/>
  <c r="H183" i="2" s="1"/>
  <c r="G191" i="2"/>
  <c r="H191" i="2" s="1"/>
  <c r="G199" i="2"/>
  <c r="H199" i="2" s="1"/>
  <c r="G207" i="2"/>
  <c r="H207" i="2" s="1"/>
  <c r="G215" i="2"/>
  <c r="H215" i="2" s="1"/>
  <c r="G223" i="2"/>
  <c r="H223" i="2" s="1"/>
  <c r="G231" i="2"/>
  <c r="H231" i="2" s="1"/>
  <c r="G239" i="2"/>
  <c r="H239" i="2" s="1"/>
  <c r="G247" i="2"/>
  <c r="H247" i="2" s="1"/>
  <c r="G255" i="2"/>
  <c r="H255" i="2" s="1"/>
  <c r="G263" i="2"/>
  <c r="H263" i="2" s="1"/>
  <c r="G271" i="2"/>
  <c r="H271" i="2" s="1"/>
  <c r="G279" i="2"/>
  <c r="H279" i="2" s="1"/>
  <c r="G287" i="2"/>
  <c r="H287" i="2" s="1"/>
  <c r="G295" i="2"/>
  <c r="H295" i="2" s="1"/>
  <c r="G303" i="2"/>
  <c r="H303" i="2" s="1"/>
  <c r="G311" i="2"/>
  <c r="H311" i="2" s="1"/>
  <c r="G319" i="2"/>
  <c r="H319" i="2" s="1"/>
  <c r="G327" i="2"/>
  <c r="H327" i="2" s="1"/>
  <c r="G335" i="2"/>
  <c r="H335" i="2" s="1"/>
  <c r="G340" i="2"/>
  <c r="H340" i="2" s="1"/>
  <c r="G345" i="2"/>
  <c r="H345" i="2" s="1"/>
  <c r="G349" i="2"/>
  <c r="H349" i="2" s="1"/>
  <c r="G353" i="2"/>
  <c r="H353" i="2" s="1"/>
  <c r="G357" i="2"/>
  <c r="H357" i="2" s="1"/>
  <c r="G361" i="2"/>
  <c r="H361" i="2" s="1"/>
  <c r="G365" i="2"/>
  <c r="H365" i="2" s="1"/>
  <c r="G369" i="2"/>
  <c r="H369" i="2" s="1"/>
  <c r="G373" i="2"/>
  <c r="H373" i="2" s="1"/>
  <c r="G377" i="2"/>
  <c r="H377" i="2" s="1"/>
  <c r="G381" i="2"/>
  <c r="H381" i="2" s="1"/>
  <c r="G385" i="2"/>
  <c r="H385" i="2" s="1"/>
  <c r="G389" i="2"/>
  <c r="H389" i="2" s="1"/>
  <c r="G393" i="2"/>
  <c r="H393" i="2" s="1"/>
  <c r="G397" i="2"/>
  <c r="H397" i="2" s="1"/>
  <c r="G401" i="2"/>
  <c r="H401" i="2" s="1"/>
  <c r="G405" i="2"/>
  <c r="H405" i="2" s="1"/>
  <c r="G409" i="2"/>
  <c r="H409" i="2" s="1"/>
  <c r="G413" i="2"/>
  <c r="H413" i="2" s="1"/>
  <c r="G417" i="2"/>
  <c r="H417" i="2" s="1"/>
  <c r="G421" i="2"/>
  <c r="H421" i="2" s="1"/>
  <c r="G425" i="2"/>
  <c r="H425" i="2" s="1"/>
  <c r="G429" i="2"/>
  <c r="H429" i="2" s="1"/>
  <c r="G433" i="2"/>
  <c r="H433" i="2" s="1"/>
  <c r="G437" i="2"/>
  <c r="H437" i="2" s="1"/>
  <c r="G441" i="2"/>
  <c r="H441" i="2" s="1"/>
  <c r="G445" i="2"/>
  <c r="H445" i="2" s="1"/>
  <c r="G449" i="2"/>
  <c r="H449" i="2" s="1"/>
  <c r="G453" i="2"/>
  <c r="H453" i="2" s="1"/>
  <c r="G457" i="2"/>
  <c r="H457" i="2" s="1"/>
  <c r="G461" i="2"/>
  <c r="H461" i="2" s="1"/>
  <c r="G465" i="2"/>
  <c r="H465" i="2" s="1"/>
  <c r="G469" i="2"/>
  <c r="H469" i="2" s="1"/>
  <c r="G473" i="2"/>
  <c r="H473" i="2" s="1"/>
  <c r="G477" i="2"/>
  <c r="H477" i="2" s="1"/>
  <c r="G481" i="2"/>
  <c r="H481" i="2" s="1"/>
  <c r="G485" i="2"/>
  <c r="H485" i="2" s="1"/>
  <c r="G489" i="2"/>
  <c r="H489" i="2" s="1"/>
  <c r="G493" i="2"/>
  <c r="H493" i="2" s="1"/>
  <c r="G497" i="2"/>
  <c r="H497" i="2" s="1"/>
  <c r="G501" i="2"/>
  <c r="H501" i="2" s="1"/>
  <c r="G10" i="2"/>
  <c r="H10" i="2" s="1"/>
  <c r="G18" i="2"/>
  <c r="H18" i="2" s="1"/>
  <c r="G26" i="2"/>
  <c r="H26" i="2" s="1"/>
  <c r="G34" i="2"/>
  <c r="H34" i="2" s="1"/>
  <c r="G42" i="2"/>
  <c r="H42" i="2" s="1"/>
  <c r="G50" i="2"/>
  <c r="H50" i="2" s="1"/>
  <c r="G58" i="2"/>
  <c r="H58" i="2" s="1"/>
  <c r="G66" i="2"/>
  <c r="H66" i="2" s="1"/>
  <c r="G74" i="2"/>
  <c r="H74" i="2" s="1"/>
  <c r="G82" i="2"/>
  <c r="H82" i="2" s="1"/>
  <c r="G90" i="2"/>
  <c r="H90" i="2" s="1"/>
  <c r="G98" i="2"/>
  <c r="H98" i="2" s="1"/>
  <c r="G106" i="2"/>
  <c r="H106" i="2" s="1"/>
  <c r="G114" i="2"/>
  <c r="H114" i="2" s="1"/>
  <c r="G122" i="2"/>
  <c r="H122" i="2" s="1"/>
  <c r="G130" i="2"/>
  <c r="H130" i="2" s="1"/>
  <c r="G138" i="2"/>
  <c r="H138" i="2" s="1"/>
  <c r="G146" i="2"/>
  <c r="H146" i="2" s="1"/>
  <c r="G154" i="2"/>
  <c r="H154" i="2" s="1"/>
  <c r="G162" i="2"/>
  <c r="H162" i="2" s="1"/>
  <c r="G170" i="2"/>
  <c r="H170" i="2" s="1"/>
  <c r="G178" i="2"/>
  <c r="H178" i="2" s="1"/>
  <c r="G186" i="2"/>
  <c r="H186" i="2" s="1"/>
  <c r="G194" i="2"/>
  <c r="H194" i="2" s="1"/>
  <c r="G202" i="2"/>
  <c r="H202" i="2" s="1"/>
  <c r="G210" i="2"/>
  <c r="H210" i="2" s="1"/>
  <c r="G218" i="2"/>
  <c r="H218" i="2" s="1"/>
  <c r="G226" i="2"/>
  <c r="H226" i="2" s="1"/>
  <c r="G234" i="2"/>
  <c r="H234" i="2" s="1"/>
  <c r="G242" i="2"/>
  <c r="H242" i="2" s="1"/>
  <c r="G250" i="2"/>
  <c r="H250" i="2" s="1"/>
  <c r="G258" i="2"/>
  <c r="H258" i="2" s="1"/>
  <c r="G266" i="2"/>
  <c r="H266" i="2" s="1"/>
  <c r="G274" i="2"/>
  <c r="H274" i="2" s="1"/>
  <c r="G282" i="2"/>
  <c r="H282" i="2" s="1"/>
  <c r="G290" i="2"/>
  <c r="H290" i="2" s="1"/>
  <c r="G298" i="2"/>
  <c r="H298" i="2" s="1"/>
  <c r="G306" i="2"/>
  <c r="H306" i="2" s="1"/>
  <c r="G314" i="2"/>
  <c r="H314" i="2" s="1"/>
  <c r="G322" i="2"/>
  <c r="H322" i="2" s="1"/>
  <c r="G330" i="2"/>
  <c r="H330" i="2" s="1"/>
  <c r="G336" i="2"/>
  <c r="H336" i="2" s="1"/>
  <c r="G342" i="2"/>
  <c r="H342" i="2" s="1"/>
  <c r="G346" i="2"/>
  <c r="H346" i="2" s="1"/>
  <c r="G350" i="2"/>
  <c r="H350" i="2" s="1"/>
  <c r="G354" i="2"/>
  <c r="H354" i="2" s="1"/>
  <c r="G358" i="2"/>
  <c r="H358" i="2" s="1"/>
  <c r="G362" i="2"/>
  <c r="H362" i="2" s="1"/>
  <c r="G366" i="2"/>
  <c r="H366" i="2" s="1"/>
  <c r="G370" i="2"/>
  <c r="H370" i="2" s="1"/>
  <c r="G374" i="2"/>
  <c r="H374" i="2" s="1"/>
  <c r="G378" i="2"/>
  <c r="H378" i="2" s="1"/>
  <c r="G382" i="2"/>
  <c r="H382" i="2" s="1"/>
  <c r="G386" i="2"/>
  <c r="H386" i="2" s="1"/>
  <c r="G390" i="2"/>
  <c r="H390" i="2" s="1"/>
  <c r="G394" i="2"/>
  <c r="H394" i="2" s="1"/>
  <c r="G398" i="2"/>
  <c r="H398" i="2" s="1"/>
  <c r="G402" i="2"/>
  <c r="H402" i="2" s="1"/>
  <c r="G406" i="2"/>
  <c r="H406" i="2" s="1"/>
  <c r="G410" i="2"/>
  <c r="H410" i="2" s="1"/>
  <c r="G414" i="2"/>
  <c r="H414" i="2" s="1"/>
  <c r="G418" i="2"/>
  <c r="H418" i="2" s="1"/>
  <c r="G422" i="2"/>
  <c r="H422" i="2" s="1"/>
  <c r="G426" i="2"/>
  <c r="H426" i="2" s="1"/>
  <c r="G430" i="2"/>
  <c r="H430" i="2" s="1"/>
  <c r="G434" i="2"/>
  <c r="H434" i="2" s="1"/>
  <c r="G438" i="2"/>
  <c r="H438" i="2" s="1"/>
  <c r="G442" i="2"/>
  <c r="H442" i="2" s="1"/>
  <c r="G446" i="2"/>
  <c r="H446" i="2" s="1"/>
  <c r="G450" i="2"/>
  <c r="H450" i="2" s="1"/>
  <c r="G454" i="2"/>
  <c r="H454" i="2" s="1"/>
  <c r="G458" i="2"/>
  <c r="H458" i="2" s="1"/>
  <c r="G462" i="2"/>
  <c r="H462" i="2" s="1"/>
  <c r="G466" i="2"/>
  <c r="H466" i="2" s="1"/>
  <c r="G470" i="2"/>
  <c r="H470" i="2" s="1"/>
  <c r="G474" i="2"/>
  <c r="H474" i="2" s="1"/>
  <c r="G478" i="2"/>
  <c r="H478" i="2" s="1"/>
  <c r="G482" i="2"/>
  <c r="H482" i="2" s="1"/>
  <c r="G486" i="2"/>
  <c r="H486" i="2" s="1"/>
  <c r="G490" i="2"/>
  <c r="H490" i="2" s="1"/>
  <c r="G494" i="2"/>
  <c r="H494" i="2" s="1"/>
  <c r="G498" i="2"/>
  <c r="H498" i="2" s="1"/>
  <c r="G502" i="2"/>
  <c r="H502" i="2" s="1"/>
  <c r="G506" i="2"/>
  <c r="H506" i="2" s="1"/>
  <c r="G510" i="2"/>
  <c r="H510" i="2" s="1"/>
  <c r="G11" i="2"/>
  <c r="H11" i="2" s="1"/>
  <c r="G43" i="2"/>
  <c r="H43" i="2" s="1"/>
  <c r="G75" i="2"/>
  <c r="H75" i="2" s="1"/>
  <c r="G107" i="2"/>
  <c r="H107" i="2" s="1"/>
  <c r="G139" i="2"/>
  <c r="H139" i="2" s="1"/>
  <c r="G171" i="2"/>
  <c r="H171" i="2" s="1"/>
  <c r="G203" i="2"/>
  <c r="H203" i="2" s="1"/>
  <c r="G235" i="2"/>
  <c r="H235" i="2" s="1"/>
  <c r="G267" i="2"/>
  <c r="H267" i="2" s="1"/>
  <c r="G299" i="2"/>
  <c r="H299" i="2" s="1"/>
  <c r="G331" i="2"/>
  <c r="H331" i="2" s="1"/>
  <c r="G351" i="2"/>
  <c r="H351" i="2" s="1"/>
  <c r="G367" i="2"/>
  <c r="H367" i="2" s="1"/>
  <c r="G383" i="2"/>
  <c r="H383" i="2" s="1"/>
  <c r="G399" i="2"/>
  <c r="H399" i="2" s="1"/>
  <c r="G415" i="2"/>
  <c r="H415" i="2" s="1"/>
  <c r="G431" i="2"/>
  <c r="H431" i="2" s="1"/>
  <c r="G447" i="2"/>
  <c r="H447" i="2" s="1"/>
  <c r="G463" i="2"/>
  <c r="H463" i="2" s="1"/>
  <c r="G479" i="2"/>
  <c r="H479" i="2" s="1"/>
  <c r="G495" i="2"/>
  <c r="H495" i="2" s="1"/>
  <c r="G505" i="2"/>
  <c r="H505" i="2" s="1"/>
  <c r="G511" i="2"/>
  <c r="H511" i="2" s="1"/>
  <c r="G515" i="2"/>
  <c r="H515" i="2" s="1"/>
  <c r="G519" i="2"/>
  <c r="H519" i="2" s="1"/>
  <c r="G523" i="2"/>
  <c r="H523" i="2" s="1"/>
  <c r="G527" i="2"/>
  <c r="H527" i="2" s="1"/>
  <c r="G531" i="2"/>
  <c r="H531" i="2" s="1"/>
  <c r="G535" i="2"/>
  <c r="H535" i="2" s="1"/>
  <c r="G539" i="2"/>
  <c r="H539" i="2" s="1"/>
  <c r="G543" i="2"/>
  <c r="H543" i="2" s="1"/>
  <c r="G547" i="2"/>
  <c r="H547" i="2" s="1"/>
  <c r="G551" i="2"/>
  <c r="H551" i="2" s="1"/>
  <c r="G555" i="2"/>
  <c r="H555" i="2" s="1"/>
  <c r="G559" i="2"/>
  <c r="H559" i="2" s="1"/>
  <c r="G563" i="2"/>
  <c r="H563" i="2" s="1"/>
  <c r="G567" i="2"/>
  <c r="H567" i="2" s="1"/>
  <c r="G571" i="2"/>
  <c r="H571" i="2" s="1"/>
  <c r="G575" i="2"/>
  <c r="H575" i="2" s="1"/>
  <c r="G579" i="2"/>
  <c r="H579" i="2" s="1"/>
  <c r="G583" i="2"/>
  <c r="H583" i="2" s="1"/>
  <c r="G587" i="2"/>
  <c r="H587" i="2" s="1"/>
  <c r="G591" i="2"/>
  <c r="H591" i="2" s="1"/>
  <c r="G595" i="2"/>
  <c r="H595" i="2" s="1"/>
  <c r="G599" i="2"/>
  <c r="H599" i="2" s="1"/>
  <c r="G603" i="2"/>
  <c r="H603" i="2" s="1"/>
  <c r="G607" i="2"/>
  <c r="H607" i="2" s="1"/>
  <c r="G611" i="2"/>
  <c r="H611" i="2" s="1"/>
  <c r="G615" i="2"/>
  <c r="H615" i="2" s="1"/>
  <c r="G619" i="2"/>
  <c r="H619" i="2" s="1"/>
  <c r="G623" i="2"/>
  <c r="H623" i="2" s="1"/>
  <c r="G627" i="2"/>
  <c r="H627" i="2" s="1"/>
  <c r="G631" i="2"/>
  <c r="H631" i="2" s="1"/>
  <c r="G635" i="2"/>
  <c r="H635" i="2" s="1"/>
  <c r="G639" i="2"/>
  <c r="H639" i="2" s="1"/>
  <c r="G643" i="2"/>
  <c r="H643" i="2" s="1"/>
  <c r="G647" i="2"/>
  <c r="H647" i="2" s="1"/>
  <c r="G651" i="2"/>
  <c r="H651" i="2" s="1"/>
  <c r="G655" i="2"/>
  <c r="H655" i="2" s="1"/>
  <c r="G659" i="2"/>
  <c r="H659" i="2" s="1"/>
  <c r="G663" i="2"/>
  <c r="H663" i="2" s="1"/>
  <c r="G667" i="2"/>
  <c r="H667" i="2" s="1"/>
  <c r="G671" i="2"/>
  <c r="H671" i="2" s="1"/>
  <c r="G675" i="2"/>
  <c r="H675" i="2" s="1"/>
  <c r="G679" i="2"/>
  <c r="H679" i="2" s="1"/>
  <c r="G683" i="2"/>
  <c r="H683" i="2" s="1"/>
  <c r="G687" i="2"/>
  <c r="H687" i="2" s="1"/>
  <c r="G691" i="2"/>
  <c r="H691" i="2" s="1"/>
  <c r="G695" i="2"/>
  <c r="H695" i="2" s="1"/>
  <c r="G699" i="2"/>
  <c r="H699" i="2" s="1"/>
  <c r="G703" i="2"/>
  <c r="H703" i="2" s="1"/>
  <c r="G707" i="2"/>
  <c r="H707" i="2" s="1"/>
  <c r="G711" i="2"/>
  <c r="H711" i="2" s="1"/>
  <c r="G715" i="2"/>
  <c r="H715" i="2" s="1"/>
  <c r="G719" i="2"/>
  <c r="H719" i="2" s="1"/>
  <c r="G723" i="2"/>
  <c r="H723" i="2" s="1"/>
  <c r="G727" i="2"/>
  <c r="H727" i="2" s="1"/>
  <c r="G731" i="2"/>
  <c r="H731" i="2" s="1"/>
  <c r="G735" i="2"/>
  <c r="H735" i="2" s="1"/>
  <c r="G739" i="2"/>
  <c r="H739" i="2" s="1"/>
  <c r="G743" i="2"/>
  <c r="H743" i="2" s="1"/>
  <c r="G747" i="2"/>
  <c r="H747" i="2" s="1"/>
  <c r="G751" i="2"/>
  <c r="H751" i="2" s="1"/>
  <c r="G755" i="2"/>
  <c r="H755" i="2" s="1"/>
  <c r="G759" i="2"/>
  <c r="H759" i="2" s="1"/>
  <c r="G19" i="2"/>
  <c r="H19" i="2" s="1"/>
  <c r="G51" i="2"/>
  <c r="H51" i="2" s="1"/>
  <c r="G83" i="2"/>
  <c r="H83" i="2" s="1"/>
  <c r="G115" i="2"/>
  <c r="H115" i="2" s="1"/>
  <c r="G147" i="2"/>
  <c r="H147" i="2" s="1"/>
  <c r="G179" i="2"/>
  <c r="H179" i="2" s="1"/>
  <c r="G211" i="2"/>
  <c r="H211" i="2" s="1"/>
  <c r="G243" i="2"/>
  <c r="H243" i="2" s="1"/>
  <c r="G275" i="2"/>
  <c r="H275" i="2" s="1"/>
  <c r="G307" i="2"/>
  <c r="H307" i="2" s="1"/>
  <c r="G338" i="2"/>
  <c r="H338" i="2" s="1"/>
  <c r="G355" i="2"/>
  <c r="H355" i="2" s="1"/>
  <c r="G371" i="2"/>
  <c r="H371" i="2" s="1"/>
  <c r="G387" i="2"/>
  <c r="H387" i="2" s="1"/>
  <c r="G403" i="2"/>
  <c r="H403" i="2" s="1"/>
  <c r="G419" i="2"/>
  <c r="H419" i="2" s="1"/>
  <c r="G435" i="2"/>
  <c r="H435" i="2" s="1"/>
  <c r="G451" i="2"/>
  <c r="H451" i="2" s="1"/>
  <c r="G467" i="2"/>
  <c r="H467" i="2" s="1"/>
  <c r="G483" i="2"/>
  <c r="H483" i="2" s="1"/>
  <c r="G499" i="2"/>
  <c r="H499" i="2" s="1"/>
  <c r="G507" i="2"/>
  <c r="H507" i="2" s="1"/>
  <c r="G512" i="2"/>
  <c r="H512" i="2" s="1"/>
  <c r="G516" i="2"/>
  <c r="H516" i="2" s="1"/>
  <c r="G520" i="2"/>
  <c r="H520" i="2" s="1"/>
  <c r="G524" i="2"/>
  <c r="H524" i="2" s="1"/>
  <c r="G528" i="2"/>
  <c r="H528" i="2" s="1"/>
  <c r="G532" i="2"/>
  <c r="H532" i="2" s="1"/>
  <c r="G536" i="2"/>
  <c r="H536" i="2" s="1"/>
  <c r="G540" i="2"/>
  <c r="H540" i="2" s="1"/>
  <c r="G544" i="2"/>
  <c r="H544" i="2" s="1"/>
  <c r="G548" i="2"/>
  <c r="H548" i="2" s="1"/>
  <c r="G552" i="2"/>
  <c r="H552" i="2" s="1"/>
  <c r="G556" i="2"/>
  <c r="H556" i="2" s="1"/>
  <c r="G560" i="2"/>
  <c r="H560" i="2" s="1"/>
  <c r="G564" i="2"/>
  <c r="H564" i="2" s="1"/>
  <c r="G568" i="2"/>
  <c r="H568" i="2" s="1"/>
  <c r="G572" i="2"/>
  <c r="H572" i="2" s="1"/>
  <c r="G576" i="2"/>
  <c r="H576" i="2" s="1"/>
  <c r="G580" i="2"/>
  <c r="H580" i="2" s="1"/>
  <c r="G584" i="2"/>
  <c r="H584" i="2" s="1"/>
  <c r="G588" i="2"/>
  <c r="H588" i="2" s="1"/>
  <c r="G592" i="2"/>
  <c r="H592" i="2" s="1"/>
  <c r="G596" i="2"/>
  <c r="H596" i="2" s="1"/>
  <c r="G600" i="2"/>
  <c r="H600" i="2" s="1"/>
  <c r="G604" i="2"/>
  <c r="H604" i="2" s="1"/>
  <c r="G608" i="2"/>
  <c r="H608" i="2" s="1"/>
  <c r="G612" i="2"/>
  <c r="H612" i="2" s="1"/>
  <c r="G616" i="2"/>
  <c r="H616" i="2" s="1"/>
  <c r="G620" i="2"/>
  <c r="H620" i="2" s="1"/>
  <c r="G624" i="2"/>
  <c r="H624" i="2" s="1"/>
  <c r="G628" i="2"/>
  <c r="H628" i="2" s="1"/>
  <c r="G632" i="2"/>
  <c r="H632" i="2" s="1"/>
  <c r="G636" i="2"/>
  <c r="H636" i="2" s="1"/>
  <c r="G640" i="2"/>
  <c r="H640" i="2" s="1"/>
  <c r="G644" i="2"/>
  <c r="H644" i="2" s="1"/>
  <c r="G648" i="2"/>
  <c r="H648" i="2" s="1"/>
  <c r="G652" i="2"/>
  <c r="H652" i="2" s="1"/>
  <c r="G656" i="2"/>
  <c r="H656" i="2" s="1"/>
  <c r="G660" i="2"/>
  <c r="H660" i="2" s="1"/>
  <c r="G664" i="2"/>
  <c r="H664" i="2" s="1"/>
  <c r="G668" i="2"/>
  <c r="H668" i="2" s="1"/>
  <c r="G672" i="2"/>
  <c r="H672" i="2" s="1"/>
  <c r="G676" i="2"/>
  <c r="H676" i="2" s="1"/>
  <c r="G680" i="2"/>
  <c r="H680" i="2" s="1"/>
  <c r="G684" i="2"/>
  <c r="H684" i="2" s="1"/>
  <c r="G688" i="2"/>
  <c r="H688" i="2" s="1"/>
  <c r="G692" i="2"/>
  <c r="H692" i="2" s="1"/>
  <c r="G696" i="2"/>
  <c r="H696" i="2" s="1"/>
  <c r="G700" i="2"/>
  <c r="H700" i="2" s="1"/>
  <c r="G704" i="2"/>
  <c r="H704" i="2" s="1"/>
  <c r="G708" i="2"/>
  <c r="H708" i="2" s="1"/>
  <c r="G712" i="2"/>
  <c r="H712" i="2" s="1"/>
  <c r="G716" i="2"/>
  <c r="H716" i="2" s="1"/>
  <c r="G720" i="2"/>
  <c r="H720" i="2" s="1"/>
  <c r="G724" i="2"/>
  <c r="H724" i="2" s="1"/>
  <c r="G728" i="2"/>
  <c r="H728" i="2" s="1"/>
  <c r="G732" i="2"/>
  <c r="H732" i="2" s="1"/>
  <c r="G736" i="2"/>
  <c r="H736" i="2" s="1"/>
  <c r="G740" i="2"/>
  <c r="H740" i="2" s="1"/>
  <c r="G744" i="2"/>
  <c r="H744" i="2" s="1"/>
  <c r="G748" i="2"/>
  <c r="H748" i="2" s="1"/>
  <c r="G752" i="2"/>
  <c r="H752" i="2" s="1"/>
  <c r="G756" i="2"/>
  <c r="H756" i="2" s="1"/>
  <c r="G760" i="2"/>
  <c r="H760" i="2" s="1"/>
  <c r="G27" i="2"/>
  <c r="H27" i="2" s="1"/>
  <c r="G59" i="2"/>
  <c r="H59" i="2" s="1"/>
  <c r="G91" i="2"/>
  <c r="H91" i="2" s="1"/>
  <c r="G123" i="2"/>
  <c r="H123" i="2" s="1"/>
  <c r="G155" i="2"/>
  <c r="H155" i="2" s="1"/>
  <c r="G187" i="2"/>
  <c r="H187" i="2" s="1"/>
  <c r="G219" i="2"/>
  <c r="H219" i="2" s="1"/>
  <c r="G251" i="2"/>
  <c r="H251" i="2" s="1"/>
  <c r="G283" i="2"/>
  <c r="H283" i="2" s="1"/>
  <c r="G315" i="2"/>
  <c r="H315" i="2" s="1"/>
  <c r="G343" i="2"/>
  <c r="H343" i="2" s="1"/>
  <c r="G359" i="2"/>
  <c r="H359" i="2" s="1"/>
  <c r="G375" i="2"/>
  <c r="H375" i="2" s="1"/>
  <c r="G391" i="2"/>
  <c r="H391" i="2" s="1"/>
  <c r="G407" i="2"/>
  <c r="H407" i="2" s="1"/>
  <c r="G423" i="2"/>
  <c r="H423" i="2" s="1"/>
  <c r="G439" i="2"/>
  <c r="H439" i="2" s="1"/>
  <c r="G455" i="2"/>
  <c r="H455" i="2" s="1"/>
  <c r="G471" i="2"/>
  <c r="H471" i="2" s="1"/>
  <c r="G487" i="2"/>
  <c r="H487" i="2" s="1"/>
  <c r="G503" i="2"/>
  <c r="H503" i="2" s="1"/>
  <c r="G508" i="2"/>
  <c r="H508" i="2" s="1"/>
  <c r="G513" i="2"/>
  <c r="H513" i="2" s="1"/>
  <c r="G517" i="2"/>
  <c r="H517" i="2" s="1"/>
  <c r="G521" i="2"/>
  <c r="H521" i="2" s="1"/>
  <c r="G525" i="2"/>
  <c r="H525" i="2" s="1"/>
  <c r="G529" i="2"/>
  <c r="H529" i="2" s="1"/>
  <c r="G533" i="2"/>
  <c r="H533" i="2" s="1"/>
  <c r="G537" i="2"/>
  <c r="H537" i="2" s="1"/>
  <c r="G541" i="2"/>
  <c r="H541" i="2" s="1"/>
  <c r="G545" i="2"/>
  <c r="H545" i="2" s="1"/>
  <c r="G549" i="2"/>
  <c r="H549" i="2" s="1"/>
  <c r="G553" i="2"/>
  <c r="H553" i="2" s="1"/>
  <c r="G557" i="2"/>
  <c r="H557" i="2" s="1"/>
  <c r="G561" i="2"/>
  <c r="H561" i="2" s="1"/>
  <c r="G565" i="2"/>
  <c r="H565" i="2" s="1"/>
  <c r="G569" i="2"/>
  <c r="H569" i="2" s="1"/>
  <c r="G573" i="2"/>
  <c r="H573" i="2" s="1"/>
  <c r="G577" i="2"/>
  <c r="H577" i="2" s="1"/>
  <c r="G581" i="2"/>
  <c r="H581" i="2" s="1"/>
  <c r="G585" i="2"/>
  <c r="H585" i="2" s="1"/>
  <c r="G589" i="2"/>
  <c r="H589" i="2" s="1"/>
  <c r="G593" i="2"/>
  <c r="H593" i="2" s="1"/>
  <c r="G597" i="2"/>
  <c r="H597" i="2" s="1"/>
  <c r="G601" i="2"/>
  <c r="H601" i="2" s="1"/>
  <c r="G605" i="2"/>
  <c r="H605" i="2" s="1"/>
  <c r="G609" i="2"/>
  <c r="H609" i="2" s="1"/>
  <c r="G613" i="2"/>
  <c r="H613" i="2" s="1"/>
  <c r="G617" i="2"/>
  <c r="H617" i="2" s="1"/>
  <c r="G621" i="2"/>
  <c r="H621" i="2" s="1"/>
  <c r="G625" i="2"/>
  <c r="H625" i="2" s="1"/>
  <c r="G629" i="2"/>
  <c r="H629" i="2" s="1"/>
  <c r="G633" i="2"/>
  <c r="H633" i="2" s="1"/>
  <c r="G637" i="2"/>
  <c r="H637" i="2" s="1"/>
  <c r="G641" i="2"/>
  <c r="H641" i="2" s="1"/>
  <c r="G645" i="2"/>
  <c r="H645" i="2" s="1"/>
  <c r="G649" i="2"/>
  <c r="H649" i="2" s="1"/>
  <c r="G653" i="2"/>
  <c r="H653" i="2" s="1"/>
  <c r="G657" i="2"/>
  <c r="H657" i="2" s="1"/>
  <c r="G661" i="2"/>
  <c r="H661" i="2" s="1"/>
  <c r="G665" i="2"/>
  <c r="H665" i="2" s="1"/>
  <c r="G669" i="2"/>
  <c r="H669" i="2" s="1"/>
  <c r="G673" i="2"/>
  <c r="H673" i="2" s="1"/>
  <c r="G677" i="2"/>
  <c r="H677" i="2" s="1"/>
  <c r="G681" i="2"/>
  <c r="H681" i="2" s="1"/>
  <c r="G685" i="2"/>
  <c r="H685" i="2" s="1"/>
  <c r="G689" i="2"/>
  <c r="H689" i="2" s="1"/>
  <c r="G693" i="2"/>
  <c r="H693" i="2" s="1"/>
  <c r="G697" i="2"/>
  <c r="H697" i="2" s="1"/>
  <c r="G701" i="2"/>
  <c r="H701" i="2" s="1"/>
  <c r="G705" i="2"/>
  <c r="H705" i="2" s="1"/>
  <c r="G709" i="2"/>
  <c r="H709" i="2" s="1"/>
  <c r="G713" i="2"/>
  <c r="H713" i="2" s="1"/>
  <c r="G717" i="2"/>
  <c r="H717" i="2" s="1"/>
  <c r="G721" i="2"/>
  <c r="H721" i="2" s="1"/>
  <c r="G725" i="2"/>
  <c r="H725" i="2" s="1"/>
  <c r="G729" i="2"/>
  <c r="H729" i="2" s="1"/>
  <c r="G733" i="2"/>
  <c r="H733" i="2" s="1"/>
  <c r="G737" i="2"/>
  <c r="H737" i="2" s="1"/>
  <c r="G741" i="2"/>
  <c r="H741" i="2" s="1"/>
  <c r="G745" i="2"/>
  <c r="H745" i="2" s="1"/>
  <c r="G749" i="2"/>
  <c r="H749" i="2" s="1"/>
  <c r="G753" i="2"/>
  <c r="H753" i="2" s="1"/>
  <c r="G757" i="2"/>
  <c r="H757" i="2" s="1"/>
  <c r="G761" i="2"/>
  <c r="H761" i="2" s="1"/>
  <c r="G765" i="2"/>
  <c r="H765" i="2" s="1"/>
  <c r="G769" i="2"/>
  <c r="H769" i="2" s="1"/>
  <c r="G773" i="2"/>
  <c r="H773" i="2" s="1"/>
  <c r="G777" i="2"/>
  <c r="H777" i="2" s="1"/>
  <c r="G781" i="2"/>
  <c r="H781" i="2" s="1"/>
  <c r="G785" i="2"/>
  <c r="H785" i="2" s="1"/>
  <c r="G789" i="2"/>
  <c r="H789" i="2" s="1"/>
  <c r="G793" i="2"/>
  <c r="H793" i="2" s="1"/>
  <c r="G797" i="2"/>
  <c r="H797" i="2" s="1"/>
  <c r="G801" i="2"/>
  <c r="H801" i="2" s="1"/>
  <c r="G805" i="2"/>
  <c r="H805" i="2" s="1"/>
  <c r="G809" i="2"/>
  <c r="H809" i="2" s="1"/>
  <c r="G813" i="2"/>
  <c r="H813" i="2" s="1"/>
  <c r="G817" i="2"/>
  <c r="H817" i="2" s="1"/>
  <c r="G821" i="2"/>
  <c r="H821" i="2" s="1"/>
  <c r="G825" i="2"/>
  <c r="H825" i="2" s="1"/>
  <c r="G35" i="2"/>
  <c r="H35" i="2" s="1"/>
  <c r="G163" i="2"/>
  <c r="H163" i="2" s="1"/>
  <c r="G291" i="2"/>
  <c r="H291" i="2" s="1"/>
  <c r="G379" i="2"/>
  <c r="H379" i="2" s="1"/>
  <c r="G443" i="2"/>
  <c r="H443" i="2" s="1"/>
  <c r="G504" i="2"/>
  <c r="H504" i="2" s="1"/>
  <c r="G522" i="2"/>
  <c r="H522" i="2" s="1"/>
  <c r="G538" i="2"/>
  <c r="H538" i="2" s="1"/>
  <c r="G554" i="2"/>
  <c r="H554" i="2" s="1"/>
  <c r="G570" i="2"/>
  <c r="H570" i="2" s="1"/>
  <c r="G586" i="2"/>
  <c r="H586" i="2" s="1"/>
  <c r="G602" i="2"/>
  <c r="H602" i="2" s="1"/>
  <c r="G618" i="2"/>
  <c r="H618" i="2" s="1"/>
  <c r="G634" i="2"/>
  <c r="H634" i="2" s="1"/>
  <c r="G650" i="2"/>
  <c r="H650" i="2" s="1"/>
  <c r="G666" i="2"/>
  <c r="H666" i="2" s="1"/>
  <c r="G682" i="2"/>
  <c r="H682" i="2" s="1"/>
  <c r="G698" i="2"/>
  <c r="H698" i="2" s="1"/>
  <c r="G714" i="2"/>
  <c r="H714" i="2" s="1"/>
  <c r="G730" i="2"/>
  <c r="H730" i="2" s="1"/>
  <c r="G746" i="2"/>
  <c r="H746" i="2" s="1"/>
  <c r="G762" i="2"/>
  <c r="H762" i="2" s="1"/>
  <c r="G767" i="2"/>
  <c r="H767" i="2" s="1"/>
  <c r="G772" i="2"/>
  <c r="H772" i="2" s="1"/>
  <c r="G778" i="2"/>
  <c r="H778" i="2" s="1"/>
  <c r="G783" i="2"/>
  <c r="H783" i="2" s="1"/>
  <c r="G788" i="2"/>
  <c r="H788" i="2" s="1"/>
  <c r="G794" i="2"/>
  <c r="H794" i="2" s="1"/>
  <c r="G799" i="2"/>
  <c r="H799" i="2" s="1"/>
  <c r="G804" i="2"/>
  <c r="H804" i="2" s="1"/>
  <c r="G810" i="2"/>
  <c r="H810" i="2" s="1"/>
  <c r="G815" i="2"/>
  <c r="H815" i="2" s="1"/>
  <c r="G820" i="2"/>
  <c r="H820" i="2" s="1"/>
  <c r="G826" i="2"/>
  <c r="H826" i="2" s="1"/>
  <c r="G830" i="2"/>
  <c r="H830" i="2" s="1"/>
  <c r="G834" i="2"/>
  <c r="H834" i="2" s="1"/>
  <c r="G838" i="2"/>
  <c r="H838" i="2" s="1"/>
  <c r="G842" i="2"/>
  <c r="H842" i="2" s="1"/>
  <c r="G846" i="2"/>
  <c r="H846" i="2" s="1"/>
  <c r="G850" i="2"/>
  <c r="H850" i="2" s="1"/>
  <c r="G854" i="2"/>
  <c r="H854" i="2" s="1"/>
  <c r="G858" i="2"/>
  <c r="H858" i="2" s="1"/>
  <c r="G862" i="2"/>
  <c r="H862" i="2" s="1"/>
  <c r="G866" i="2"/>
  <c r="H866" i="2" s="1"/>
  <c r="G870" i="2"/>
  <c r="H870" i="2" s="1"/>
  <c r="G874" i="2"/>
  <c r="H874" i="2" s="1"/>
  <c r="G878" i="2"/>
  <c r="H878" i="2" s="1"/>
  <c r="G882" i="2"/>
  <c r="H882" i="2" s="1"/>
  <c r="G886" i="2"/>
  <c r="H886" i="2" s="1"/>
  <c r="G890" i="2"/>
  <c r="H890" i="2" s="1"/>
  <c r="G894" i="2"/>
  <c r="H894" i="2" s="1"/>
  <c r="G898" i="2"/>
  <c r="H898" i="2" s="1"/>
  <c r="G902" i="2"/>
  <c r="H902" i="2" s="1"/>
  <c r="G906" i="2"/>
  <c r="H906" i="2" s="1"/>
  <c r="G910" i="2"/>
  <c r="H910" i="2" s="1"/>
  <c r="G914" i="2"/>
  <c r="H914" i="2" s="1"/>
  <c r="G918" i="2"/>
  <c r="H918" i="2" s="1"/>
  <c r="G922" i="2"/>
  <c r="H922" i="2" s="1"/>
  <c r="G926" i="2"/>
  <c r="H926" i="2" s="1"/>
  <c r="G930" i="2"/>
  <c r="H930" i="2" s="1"/>
  <c r="G934" i="2"/>
  <c r="H934" i="2" s="1"/>
  <c r="G938" i="2"/>
  <c r="H938" i="2" s="1"/>
  <c r="G942" i="2"/>
  <c r="H942" i="2" s="1"/>
  <c r="G946" i="2"/>
  <c r="H946" i="2" s="1"/>
  <c r="G950" i="2"/>
  <c r="H950" i="2" s="1"/>
  <c r="G954" i="2"/>
  <c r="H954" i="2" s="1"/>
  <c r="G958" i="2"/>
  <c r="H958" i="2" s="1"/>
  <c r="G962" i="2"/>
  <c r="H962" i="2" s="1"/>
  <c r="G966" i="2"/>
  <c r="H966" i="2" s="1"/>
  <c r="G970" i="2"/>
  <c r="H970" i="2" s="1"/>
  <c r="G974" i="2"/>
  <c r="H974" i="2" s="1"/>
  <c r="G978" i="2"/>
  <c r="H978" i="2" s="1"/>
  <c r="G982" i="2"/>
  <c r="H982" i="2" s="1"/>
  <c r="G986" i="2"/>
  <c r="H986" i="2" s="1"/>
  <c r="G990" i="2"/>
  <c r="H990" i="2" s="1"/>
  <c r="G994" i="2"/>
  <c r="H994" i="2" s="1"/>
  <c r="G998" i="2"/>
  <c r="H998" i="2" s="1"/>
  <c r="G1002" i="2"/>
  <c r="H1002" i="2" s="1"/>
  <c r="G1006" i="2"/>
  <c r="H1006" i="2" s="1"/>
  <c r="G1010" i="2"/>
  <c r="H1010" i="2" s="1"/>
  <c r="G1014" i="2"/>
  <c r="H1014" i="2" s="1"/>
  <c r="G1018" i="2"/>
  <c r="H1018" i="2" s="1"/>
  <c r="G1022" i="2"/>
  <c r="H1022" i="2" s="1"/>
  <c r="G1026" i="2"/>
  <c r="H1026" i="2" s="1"/>
  <c r="G1030" i="2"/>
  <c r="H1030" i="2" s="1"/>
  <c r="G1034" i="2"/>
  <c r="H1034" i="2" s="1"/>
  <c r="G1038" i="2"/>
  <c r="H1038" i="2" s="1"/>
  <c r="G1042" i="2"/>
  <c r="H1042" i="2" s="1"/>
  <c r="G1046" i="2"/>
  <c r="H1046" i="2" s="1"/>
  <c r="G1050" i="2"/>
  <c r="H1050" i="2" s="1"/>
  <c r="G1054" i="2"/>
  <c r="H1054" i="2" s="1"/>
  <c r="G1058" i="2"/>
  <c r="H1058" i="2" s="1"/>
  <c r="G1062" i="2"/>
  <c r="H1062" i="2" s="1"/>
  <c r="G1066" i="2"/>
  <c r="H1066" i="2" s="1"/>
  <c r="G1070" i="2"/>
  <c r="H1070" i="2" s="1"/>
  <c r="G1074" i="2"/>
  <c r="H1074" i="2" s="1"/>
  <c r="G1078" i="2"/>
  <c r="H1078" i="2" s="1"/>
  <c r="G1082" i="2"/>
  <c r="H1082" i="2" s="1"/>
  <c r="G1086" i="2"/>
  <c r="H1086" i="2" s="1"/>
  <c r="G1090" i="2"/>
  <c r="H1090" i="2" s="1"/>
  <c r="G1094" i="2"/>
  <c r="H1094" i="2" s="1"/>
  <c r="G1098" i="2"/>
  <c r="H1098" i="2" s="1"/>
  <c r="G1102" i="2"/>
  <c r="H1102" i="2" s="1"/>
  <c r="G1106" i="2"/>
  <c r="H1106" i="2" s="1"/>
  <c r="G1110" i="2"/>
  <c r="H1110" i="2" s="1"/>
  <c r="G1114" i="2"/>
  <c r="H1114" i="2" s="1"/>
  <c r="G1118" i="2"/>
  <c r="H1118" i="2" s="1"/>
  <c r="G1122" i="2"/>
  <c r="H1122" i="2" s="1"/>
  <c r="G1126" i="2"/>
  <c r="H1126" i="2" s="1"/>
  <c r="G1130" i="2"/>
  <c r="H1130" i="2" s="1"/>
  <c r="G1134" i="2"/>
  <c r="H1134" i="2" s="1"/>
  <c r="G1138" i="2"/>
  <c r="H1138" i="2" s="1"/>
  <c r="G1142" i="2"/>
  <c r="H1142" i="2" s="1"/>
  <c r="G1146" i="2"/>
  <c r="H1146" i="2" s="1"/>
  <c r="G1150" i="2"/>
  <c r="H1150" i="2" s="1"/>
  <c r="G1154" i="2"/>
  <c r="H1154" i="2" s="1"/>
  <c r="G1158" i="2"/>
  <c r="H1158" i="2" s="1"/>
  <c r="G1162" i="2"/>
  <c r="H1162" i="2" s="1"/>
  <c r="G1166" i="2"/>
  <c r="H1166" i="2" s="1"/>
  <c r="G1170" i="2"/>
  <c r="H1170" i="2" s="1"/>
  <c r="G1174" i="2"/>
  <c r="H1174" i="2" s="1"/>
  <c r="G1178" i="2"/>
  <c r="H1178" i="2" s="1"/>
  <c r="G1182" i="2"/>
  <c r="H1182" i="2" s="1"/>
  <c r="G1186" i="2"/>
  <c r="H1186" i="2" s="1"/>
  <c r="G1190" i="2"/>
  <c r="H1190" i="2" s="1"/>
  <c r="G1194" i="2"/>
  <c r="H1194" i="2" s="1"/>
  <c r="G1198" i="2"/>
  <c r="H1198" i="2" s="1"/>
  <c r="G1202" i="2"/>
  <c r="H1202" i="2" s="1"/>
  <c r="G1206" i="2"/>
  <c r="H1206" i="2" s="1"/>
  <c r="G1210" i="2"/>
  <c r="H1210" i="2" s="1"/>
  <c r="G1214" i="2"/>
  <c r="H1214" i="2" s="1"/>
  <c r="G1218" i="2"/>
  <c r="H1218" i="2" s="1"/>
  <c r="G1222" i="2"/>
  <c r="H1222" i="2" s="1"/>
  <c r="G1226" i="2"/>
  <c r="H1226" i="2" s="1"/>
  <c r="G1230" i="2"/>
  <c r="H1230" i="2" s="1"/>
  <c r="G1234" i="2"/>
  <c r="H1234" i="2" s="1"/>
  <c r="G1238" i="2"/>
  <c r="H1238" i="2" s="1"/>
  <c r="G1242" i="2"/>
  <c r="H1242" i="2" s="1"/>
  <c r="G1246" i="2"/>
  <c r="H1246" i="2" s="1"/>
  <c r="G1250" i="2"/>
  <c r="H1250" i="2" s="1"/>
  <c r="G1254" i="2"/>
  <c r="H1254" i="2" s="1"/>
  <c r="G1258" i="2"/>
  <c r="H1258" i="2" s="1"/>
  <c r="G1262" i="2"/>
  <c r="H1262" i="2" s="1"/>
  <c r="G1266" i="2"/>
  <c r="H1266" i="2" s="1"/>
  <c r="G1270" i="2"/>
  <c r="H1270" i="2" s="1"/>
  <c r="G1274" i="2"/>
  <c r="H1274" i="2" s="1"/>
  <c r="G1278" i="2"/>
  <c r="H1278" i="2" s="1"/>
  <c r="G1282" i="2"/>
  <c r="H1282" i="2" s="1"/>
  <c r="G1286" i="2"/>
  <c r="H1286" i="2" s="1"/>
  <c r="G1290" i="2"/>
  <c r="H1290" i="2" s="1"/>
  <c r="G1294" i="2"/>
  <c r="H1294" i="2" s="1"/>
  <c r="G1298" i="2"/>
  <c r="H1298" i="2" s="1"/>
  <c r="G1302" i="2"/>
  <c r="H1302" i="2" s="1"/>
  <c r="G1306" i="2"/>
  <c r="H1306" i="2" s="1"/>
  <c r="G1310" i="2"/>
  <c r="H1310" i="2" s="1"/>
  <c r="G1314" i="2"/>
  <c r="H1314" i="2" s="1"/>
  <c r="G1318" i="2"/>
  <c r="H1318" i="2" s="1"/>
  <c r="G1322" i="2"/>
  <c r="H1322" i="2" s="1"/>
  <c r="G1326" i="2"/>
  <c r="H1326" i="2" s="1"/>
  <c r="G1330" i="2"/>
  <c r="H1330" i="2" s="1"/>
  <c r="G1334" i="2"/>
  <c r="H1334" i="2" s="1"/>
  <c r="G1338" i="2"/>
  <c r="H1338" i="2" s="1"/>
  <c r="G1342" i="2"/>
  <c r="H1342" i="2" s="1"/>
  <c r="G1346" i="2"/>
  <c r="H1346" i="2" s="1"/>
  <c r="G1350" i="2"/>
  <c r="H1350" i="2" s="1"/>
  <c r="G1354" i="2"/>
  <c r="H1354" i="2" s="1"/>
  <c r="G1358" i="2"/>
  <c r="H1358" i="2" s="1"/>
  <c r="G67" i="2"/>
  <c r="H67" i="2" s="1"/>
  <c r="G195" i="2"/>
  <c r="H195" i="2" s="1"/>
  <c r="G323" i="2"/>
  <c r="H323" i="2" s="1"/>
  <c r="G395" i="2"/>
  <c r="H395" i="2" s="1"/>
  <c r="G459" i="2"/>
  <c r="H459" i="2" s="1"/>
  <c r="G509" i="2"/>
  <c r="H509" i="2" s="1"/>
  <c r="G526" i="2"/>
  <c r="H526" i="2" s="1"/>
  <c r="G542" i="2"/>
  <c r="H542" i="2" s="1"/>
  <c r="G558" i="2"/>
  <c r="H558" i="2" s="1"/>
  <c r="G574" i="2"/>
  <c r="H574" i="2" s="1"/>
  <c r="G590" i="2"/>
  <c r="H590" i="2" s="1"/>
  <c r="G606" i="2"/>
  <c r="H606" i="2" s="1"/>
  <c r="G622" i="2"/>
  <c r="H622" i="2" s="1"/>
  <c r="G638" i="2"/>
  <c r="H638" i="2" s="1"/>
  <c r="G654" i="2"/>
  <c r="H654" i="2" s="1"/>
  <c r="G670" i="2"/>
  <c r="H670" i="2" s="1"/>
  <c r="G686" i="2"/>
  <c r="H686" i="2" s="1"/>
  <c r="G702" i="2"/>
  <c r="H702" i="2" s="1"/>
  <c r="G718" i="2"/>
  <c r="H718" i="2" s="1"/>
  <c r="G734" i="2"/>
  <c r="H734" i="2" s="1"/>
  <c r="G750" i="2"/>
  <c r="H750" i="2" s="1"/>
  <c r="G763" i="2"/>
  <c r="H763" i="2" s="1"/>
  <c r="G768" i="2"/>
  <c r="H768" i="2" s="1"/>
  <c r="G774" i="2"/>
  <c r="H774" i="2" s="1"/>
  <c r="G779" i="2"/>
  <c r="H779" i="2" s="1"/>
  <c r="G784" i="2"/>
  <c r="H784" i="2" s="1"/>
  <c r="G790" i="2"/>
  <c r="H790" i="2" s="1"/>
  <c r="G795" i="2"/>
  <c r="H795" i="2" s="1"/>
  <c r="G800" i="2"/>
  <c r="H800" i="2" s="1"/>
  <c r="G806" i="2"/>
  <c r="H806" i="2" s="1"/>
  <c r="G811" i="2"/>
  <c r="H811" i="2" s="1"/>
  <c r="G816" i="2"/>
  <c r="H816" i="2" s="1"/>
  <c r="G822" i="2"/>
  <c r="H822" i="2" s="1"/>
  <c r="G827" i="2"/>
  <c r="H827" i="2" s="1"/>
  <c r="G831" i="2"/>
  <c r="H831" i="2" s="1"/>
  <c r="G835" i="2"/>
  <c r="H835" i="2" s="1"/>
  <c r="G839" i="2"/>
  <c r="H839" i="2" s="1"/>
  <c r="G843" i="2"/>
  <c r="H843" i="2" s="1"/>
  <c r="G847" i="2"/>
  <c r="H847" i="2" s="1"/>
  <c r="G851" i="2"/>
  <c r="H851" i="2" s="1"/>
  <c r="G855" i="2"/>
  <c r="H855" i="2" s="1"/>
  <c r="G859" i="2"/>
  <c r="H859" i="2" s="1"/>
  <c r="G863" i="2"/>
  <c r="H863" i="2" s="1"/>
  <c r="G867" i="2"/>
  <c r="H867" i="2" s="1"/>
  <c r="G871" i="2"/>
  <c r="H871" i="2" s="1"/>
  <c r="G875" i="2"/>
  <c r="H875" i="2" s="1"/>
  <c r="G879" i="2"/>
  <c r="H879" i="2" s="1"/>
  <c r="G883" i="2"/>
  <c r="H883" i="2" s="1"/>
  <c r="G887" i="2"/>
  <c r="H887" i="2" s="1"/>
  <c r="G891" i="2"/>
  <c r="H891" i="2" s="1"/>
  <c r="G895" i="2"/>
  <c r="H895" i="2" s="1"/>
  <c r="G899" i="2"/>
  <c r="H899" i="2" s="1"/>
  <c r="G903" i="2"/>
  <c r="H903" i="2" s="1"/>
  <c r="G907" i="2"/>
  <c r="H907" i="2" s="1"/>
  <c r="G911" i="2"/>
  <c r="H911" i="2" s="1"/>
  <c r="G915" i="2"/>
  <c r="H915" i="2" s="1"/>
  <c r="G919" i="2"/>
  <c r="H919" i="2" s="1"/>
  <c r="G923" i="2"/>
  <c r="H923" i="2" s="1"/>
  <c r="G927" i="2"/>
  <c r="H927" i="2" s="1"/>
  <c r="G931" i="2"/>
  <c r="H931" i="2" s="1"/>
  <c r="G935" i="2"/>
  <c r="H935" i="2" s="1"/>
  <c r="G939" i="2"/>
  <c r="H939" i="2" s="1"/>
  <c r="G943" i="2"/>
  <c r="H943" i="2" s="1"/>
  <c r="G947" i="2"/>
  <c r="H947" i="2" s="1"/>
  <c r="G951" i="2"/>
  <c r="H951" i="2" s="1"/>
  <c r="G955" i="2"/>
  <c r="H955" i="2" s="1"/>
  <c r="G959" i="2"/>
  <c r="H959" i="2" s="1"/>
  <c r="G963" i="2"/>
  <c r="H963" i="2" s="1"/>
  <c r="G967" i="2"/>
  <c r="H967" i="2" s="1"/>
  <c r="G971" i="2"/>
  <c r="H971" i="2" s="1"/>
  <c r="G975" i="2"/>
  <c r="H975" i="2" s="1"/>
  <c r="G979" i="2"/>
  <c r="H979" i="2" s="1"/>
  <c r="G983" i="2"/>
  <c r="H983" i="2" s="1"/>
  <c r="G987" i="2"/>
  <c r="H987" i="2" s="1"/>
  <c r="G991" i="2"/>
  <c r="H991" i="2" s="1"/>
  <c r="G995" i="2"/>
  <c r="H995" i="2" s="1"/>
  <c r="G999" i="2"/>
  <c r="H999" i="2" s="1"/>
  <c r="G1003" i="2"/>
  <c r="H1003" i="2" s="1"/>
  <c r="G1007" i="2"/>
  <c r="H1007" i="2" s="1"/>
  <c r="G1011" i="2"/>
  <c r="H1011" i="2" s="1"/>
  <c r="G1015" i="2"/>
  <c r="H1015" i="2" s="1"/>
  <c r="G1019" i="2"/>
  <c r="H1019" i="2" s="1"/>
  <c r="G1023" i="2"/>
  <c r="H1023" i="2" s="1"/>
  <c r="G1027" i="2"/>
  <c r="H1027" i="2" s="1"/>
  <c r="G1031" i="2"/>
  <c r="H1031" i="2" s="1"/>
  <c r="G1035" i="2"/>
  <c r="H1035" i="2" s="1"/>
  <c r="G1039" i="2"/>
  <c r="H1039" i="2" s="1"/>
  <c r="G1043" i="2"/>
  <c r="H1043" i="2" s="1"/>
  <c r="G1047" i="2"/>
  <c r="H1047" i="2" s="1"/>
  <c r="G1051" i="2"/>
  <c r="H1051" i="2" s="1"/>
  <c r="G1055" i="2"/>
  <c r="H1055" i="2" s="1"/>
  <c r="G1059" i="2"/>
  <c r="H1059" i="2" s="1"/>
  <c r="G1063" i="2"/>
  <c r="H1063" i="2" s="1"/>
  <c r="G1067" i="2"/>
  <c r="H1067" i="2" s="1"/>
  <c r="G1071" i="2"/>
  <c r="H1071" i="2" s="1"/>
  <c r="G1075" i="2"/>
  <c r="H1075" i="2" s="1"/>
  <c r="G1079" i="2"/>
  <c r="H1079" i="2" s="1"/>
  <c r="G1083" i="2"/>
  <c r="H1083" i="2" s="1"/>
  <c r="G1087" i="2"/>
  <c r="H1087" i="2" s="1"/>
  <c r="G1091" i="2"/>
  <c r="H1091" i="2" s="1"/>
  <c r="G1095" i="2"/>
  <c r="H1095" i="2" s="1"/>
  <c r="G1099" i="2"/>
  <c r="H1099" i="2" s="1"/>
  <c r="G1103" i="2"/>
  <c r="H1103" i="2" s="1"/>
  <c r="G1107" i="2"/>
  <c r="H1107" i="2" s="1"/>
  <c r="G1111" i="2"/>
  <c r="H1111" i="2" s="1"/>
  <c r="G1115" i="2"/>
  <c r="H1115" i="2" s="1"/>
  <c r="G1119" i="2"/>
  <c r="H1119" i="2" s="1"/>
  <c r="G1123" i="2"/>
  <c r="H1123" i="2" s="1"/>
  <c r="G1127" i="2"/>
  <c r="H1127" i="2" s="1"/>
  <c r="G1131" i="2"/>
  <c r="H1131" i="2" s="1"/>
  <c r="G1135" i="2"/>
  <c r="H1135" i="2" s="1"/>
  <c r="G1139" i="2"/>
  <c r="H1139" i="2" s="1"/>
  <c r="G1143" i="2"/>
  <c r="H1143" i="2" s="1"/>
  <c r="G1147" i="2"/>
  <c r="H1147" i="2" s="1"/>
  <c r="G1151" i="2"/>
  <c r="H1151" i="2" s="1"/>
  <c r="G1155" i="2"/>
  <c r="H1155" i="2" s="1"/>
  <c r="G1159" i="2"/>
  <c r="H1159" i="2" s="1"/>
  <c r="G1163" i="2"/>
  <c r="H1163" i="2" s="1"/>
  <c r="G1167" i="2"/>
  <c r="H1167" i="2" s="1"/>
  <c r="G1171" i="2"/>
  <c r="H1171" i="2" s="1"/>
  <c r="G1175" i="2"/>
  <c r="H1175" i="2" s="1"/>
  <c r="G1179" i="2"/>
  <c r="H1179" i="2" s="1"/>
  <c r="G1183" i="2"/>
  <c r="H1183" i="2" s="1"/>
  <c r="G1187" i="2"/>
  <c r="H1187" i="2" s="1"/>
  <c r="G1191" i="2"/>
  <c r="H1191" i="2" s="1"/>
  <c r="G1195" i="2"/>
  <c r="H1195" i="2" s="1"/>
  <c r="G1199" i="2"/>
  <c r="H1199" i="2" s="1"/>
  <c r="G1203" i="2"/>
  <c r="H1203" i="2" s="1"/>
  <c r="G1207" i="2"/>
  <c r="H1207" i="2" s="1"/>
  <c r="G1211" i="2"/>
  <c r="H1211" i="2" s="1"/>
  <c r="G1215" i="2"/>
  <c r="H1215" i="2" s="1"/>
  <c r="G1219" i="2"/>
  <c r="H1219" i="2" s="1"/>
  <c r="G1223" i="2"/>
  <c r="H1223" i="2" s="1"/>
  <c r="G1227" i="2"/>
  <c r="H1227" i="2" s="1"/>
  <c r="G1231" i="2"/>
  <c r="H1231" i="2" s="1"/>
  <c r="G1235" i="2"/>
  <c r="H1235" i="2" s="1"/>
  <c r="G1239" i="2"/>
  <c r="H1239" i="2" s="1"/>
  <c r="G1243" i="2"/>
  <c r="H1243" i="2" s="1"/>
  <c r="G1247" i="2"/>
  <c r="H1247" i="2" s="1"/>
  <c r="G1251" i="2"/>
  <c r="H1251" i="2" s="1"/>
  <c r="G1255" i="2"/>
  <c r="H1255" i="2" s="1"/>
  <c r="G1259" i="2"/>
  <c r="H1259" i="2" s="1"/>
  <c r="G1263" i="2"/>
  <c r="H1263" i="2" s="1"/>
  <c r="G1267" i="2"/>
  <c r="H1267" i="2" s="1"/>
  <c r="G1271" i="2"/>
  <c r="H1271" i="2" s="1"/>
  <c r="G1275" i="2"/>
  <c r="H1275" i="2" s="1"/>
  <c r="G1279" i="2"/>
  <c r="H1279" i="2" s="1"/>
  <c r="G1283" i="2"/>
  <c r="H1283" i="2" s="1"/>
  <c r="G1287" i="2"/>
  <c r="H1287" i="2" s="1"/>
  <c r="G1291" i="2"/>
  <c r="H1291" i="2" s="1"/>
  <c r="G1295" i="2"/>
  <c r="H1295" i="2" s="1"/>
  <c r="G1299" i="2"/>
  <c r="H1299" i="2" s="1"/>
  <c r="G1303" i="2"/>
  <c r="H1303" i="2" s="1"/>
  <c r="G1307" i="2"/>
  <c r="H1307" i="2" s="1"/>
  <c r="G1311" i="2"/>
  <c r="H1311" i="2" s="1"/>
  <c r="G1315" i="2"/>
  <c r="H1315" i="2" s="1"/>
  <c r="G1319" i="2"/>
  <c r="H1319" i="2" s="1"/>
  <c r="G1323" i="2"/>
  <c r="H1323" i="2" s="1"/>
  <c r="G1327" i="2"/>
  <c r="H1327" i="2" s="1"/>
  <c r="G1331" i="2"/>
  <c r="H1331" i="2" s="1"/>
  <c r="G1335" i="2"/>
  <c r="H1335" i="2" s="1"/>
  <c r="G1339" i="2"/>
  <c r="H1339" i="2" s="1"/>
  <c r="G1343" i="2"/>
  <c r="H1343" i="2" s="1"/>
  <c r="G1347" i="2"/>
  <c r="H1347" i="2" s="1"/>
  <c r="G1351" i="2"/>
  <c r="H1351" i="2" s="1"/>
  <c r="G1355" i="2"/>
  <c r="H1355" i="2" s="1"/>
  <c r="G99" i="2"/>
  <c r="H99" i="2" s="1"/>
  <c r="G227" i="2"/>
  <c r="H227" i="2" s="1"/>
  <c r="G347" i="2"/>
  <c r="H347" i="2" s="1"/>
  <c r="G411" i="2"/>
  <c r="H411" i="2" s="1"/>
  <c r="G475" i="2"/>
  <c r="H475" i="2" s="1"/>
  <c r="G514" i="2"/>
  <c r="H514" i="2" s="1"/>
  <c r="G530" i="2"/>
  <c r="H530" i="2" s="1"/>
  <c r="G546" i="2"/>
  <c r="H546" i="2" s="1"/>
  <c r="G562" i="2"/>
  <c r="H562" i="2" s="1"/>
  <c r="G578" i="2"/>
  <c r="H578" i="2" s="1"/>
  <c r="G594" i="2"/>
  <c r="H594" i="2" s="1"/>
  <c r="G610" i="2"/>
  <c r="H610" i="2" s="1"/>
  <c r="G626" i="2"/>
  <c r="H626" i="2" s="1"/>
  <c r="G642" i="2"/>
  <c r="H642" i="2" s="1"/>
  <c r="G658" i="2"/>
  <c r="H658" i="2" s="1"/>
  <c r="G674" i="2"/>
  <c r="H674" i="2" s="1"/>
  <c r="G690" i="2"/>
  <c r="H690" i="2" s="1"/>
  <c r="G706" i="2"/>
  <c r="H706" i="2" s="1"/>
  <c r="G722" i="2"/>
  <c r="H722" i="2" s="1"/>
  <c r="G738" i="2"/>
  <c r="H738" i="2" s="1"/>
  <c r="G754" i="2"/>
  <c r="H754" i="2" s="1"/>
  <c r="G764" i="2"/>
  <c r="H764" i="2" s="1"/>
  <c r="G770" i="2"/>
  <c r="H770" i="2" s="1"/>
  <c r="G775" i="2"/>
  <c r="H775" i="2" s="1"/>
  <c r="G780" i="2"/>
  <c r="H780" i="2" s="1"/>
  <c r="G786" i="2"/>
  <c r="H786" i="2" s="1"/>
  <c r="G791" i="2"/>
  <c r="H791" i="2" s="1"/>
  <c r="G796" i="2"/>
  <c r="H796" i="2" s="1"/>
  <c r="G802" i="2"/>
  <c r="H802" i="2" s="1"/>
  <c r="G807" i="2"/>
  <c r="H807" i="2" s="1"/>
  <c r="G812" i="2"/>
  <c r="H812" i="2" s="1"/>
  <c r="G818" i="2"/>
  <c r="H818" i="2" s="1"/>
  <c r="G823" i="2"/>
  <c r="H823" i="2" s="1"/>
  <c r="G828" i="2"/>
  <c r="H828" i="2" s="1"/>
  <c r="G832" i="2"/>
  <c r="H832" i="2" s="1"/>
  <c r="G836" i="2"/>
  <c r="H836" i="2" s="1"/>
  <c r="G840" i="2"/>
  <c r="H840" i="2" s="1"/>
  <c r="G844" i="2"/>
  <c r="H844" i="2" s="1"/>
  <c r="G848" i="2"/>
  <c r="H848" i="2" s="1"/>
  <c r="G852" i="2"/>
  <c r="H852" i="2" s="1"/>
  <c r="G856" i="2"/>
  <c r="H856" i="2" s="1"/>
  <c r="G860" i="2"/>
  <c r="H860" i="2" s="1"/>
  <c r="G864" i="2"/>
  <c r="H864" i="2" s="1"/>
  <c r="G868" i="2"/>
  <c r="H868" i="2" s="1"/>
  <c r="G872" i="2"/>
  <c r="H872" i="2" s="1"/>
  <c r="G876" i="2"/>
  <c r="H876" i="2" s="1"/>
  <c r="G880" i="2"/>
  <c r="H880" i="2" s="1"/>
  <c r="G884" i="2"/>
  <c r="H884" i="2" s="1"/>
  <c r="G888" i="2"/>
  <c r="H888" i="2" s="1"/>
  <c r="G892" i="2"/>
  <c r="H892" i="2" s="1"/>
  <c r="G896" i="2"/>
  <c r="H896" i="2" s="1"/>
  <c r="G900" i="2"/>
  <c r="H900" i="2" s="1"/>
  <c r="G904" i="2"/>
  <c r="H904" i="2" s="1"/>
  <c r="G908" i="2"/>
  <c r="H908" i="2" s="1"/>
  <c r="G912" i="2"/>
  <c r="H912" i="2" s="1"/>
  <c r="G916" i="2"/>
  <c r="H916" i="2" s="1"/>
  <c r="G920" i="2"/>
  <c r="H920" i="2" s="1"/>
  <c r="G924" i="2"/>
  <c r="H924" i="2" s="1"/>
  <c r="G928" i="2"/>
  <c r="H928" i="2" s="1"/>
  <c r="G932" i="2"/>
  <c r="H932" i="2" s="1"/>
  <c r="G936" i="2"/>
  <c r="H936" i="2" s="1"/>
  <c r="G940" i="2"/>
  <c r="H940" i="2" s="1"/>
  <c r="G944" i="2"/>
  <c r="H944" i="2" s="1"/>
  <c r="G948" i="2"/>
  <c r="H948" i="2" s="1"/>
  <c r="G952" i="2"/>
  <c r="H952" i="2" s="1"/>
  <c r="G956" i="2"/>
  <c r="H956" i="2" s="1"/>
  <c r="G960" i="2"/>
  <c r="H960" i="2" s="1"/>
  <c r="G964" i="2"/>
  <c r="H964" i="2" s="1"/>
  <c r="G968" i="2"/>
  <c r="H968" i="2" s="1"/>
  <c r="G972" i="2"/>
  <c r="H972" i="2" s="1"/>
  <c r="G976" i="2"/>
  <c r="H976" i="2" s="1"/>
  <c r="G980" i="2"/>
  <c r="H980" i="2" s="1"/>
  <c r="G984" i="2"/>
  <c r="H984" i="2" s="1"/>
  <c r="G988" i="2"/>
  <c r="H988" i="2" s="1"/>
  <c r="G992" i="2"/>
  <c r="H992" i="2" s="1"/>
  <c r="G996" i="2"/>
  <c r="H996" i="2" s="1"/>
  <c r="G1000" i="2"/>
  <c r="H1000" i="2" s="1"/>
  <c r="G1004" i="2"/>
  <c r="H1004" i="2" s="1"/>
  <c r="G1008" i="2"/>
  <c r="H1008" i="2" s="1"/>
  <c r="G1012" i="2"/>
  <c r="H1012" i="2" s="1"/>
  <c r="G1016" i="2"/>
  <c r="H1016" i="2" s="1"/>
  <c r="G1020" i="2"/>
  <c r="H1020" i="2" s="1"/>
  <c r="G1024" i="2"/>
  <c r="H1024" i="2" s="1"/>
  <c r="G1028" i="2"/>
  <c r="H1028" i="2" s="1"/>
  <c r="G1032" i="2"/>
  <c r="H1032" i="2" s="1"/>
  <c r="G1036" i="2"/>
  <c r="H1036" i="2" s="1"/>
  <c r="G1040" i="2"/>
  <c r="H1040" i="2" s="1"/>
  <c r="G1044" i="2"/>
  <c r="H1044" i="2" s="1"/>
  <c r="G1048" i="2"/>
  <c r="H1048" i="2" s="1"/>
  <c r="G1052" i="2"/>
  <c r="H1052" i="2" s="1"/>
  <c r="G1056" i="2"/>
  <c r="H1056" i="2" s="1"/>
  <c r="G1060" i="2"/>
  <c r="H1060" i="2" s="1"/>
  <c r="G1064" i="2"/>
  <c r="H1064" i="2" s="1"/>
  <c r="G1068" i="2"/>
  <c r="H1068" i="2" s="1"/>
  <c r="G1072" i="2"/>
  <c r="H1072" i="2" s="1"/>
  <c r="G1076" i="2"/>
  <c r="H1076" i="2" s="1"/>
  <c r="G1080" i="2"/>
  <c r="H1080" i="2" s="1"/>
  <c r="G1084" i="2"/>
  <c r="H1084" i="2" s="1"/>
  <c r="G1088" i="2"/>
  <c r="H1088" i="2" s="1"/>
  <c r="G1092" i="2"/>
  <c r="H1092" i="2" s="1"/>
  <c r="G1096" i="2"/>
  <c r="H1096" i="2" s="1"/>
  <c r="G1100" i="2"/>
  <c r="H1100" i="2" s="1"/>
  <c r="G1104" i="2"/>
  <c r="H1104" i="2" s="1"/>
  <c r="G1108" i="2"/>
  <c r="H1108" i="2" s="1"/>
  <c r="G1112" i="2"/>
  <c r="H1112" i="2" s="1"/>
  <c r="G1116" i="2"/>
  <c r="H1116" i="2" s="1"/>
  <c r="G1120" i="2"/>
  <c r="H1120" i="2" s="1"/>
  <c r="G1124" i="2"/>
  <c r="H1124" i="2" s="1"/>
  <c r="G1128" i="2"/>
  <c r="H1128" i="2" s="1"/>
  <c r="G1132" i="2"/>
  <c r="H1132" i="2" s="1"/>
  <c r="G1136" i="2"/>
  <c r="H1136" i="2" s="1"/>
  <c r="G1140" i="2"/>
  <c r="H1140" i="2" s="1"/>
  <c r="G1144" i="2"/>
  <c r="H1144" i="2" s="1"/>
  <c r="G1148" i="2"/>
  <c r="H1148" i="2" s="1"/>
  <c r="G1152" i="2"/>
  <c r="H1152" i="2" s="1"/>
  <c r="G1156" i="2"/>
  <c r="H1156" i="2" s="1"/>
  <c r="G1160" i="2"/>
  <c r="H1160" i="2" s="1"/>
  <c r="G1164" i="2"/>
  <c r="H1164" i="2" s="1"/>
  <c r="G1168" i="2"/>
  <c r="H1168" i="2" s="1"/>
  <c r="G1172" i="2"/>
  <c r="H1172" i="2" s="1"/>
  <c r="G1176" i="2"/>
  <c r="H1176" i="2" s="1"/>
  <c r="G1180" i="2"/>
  <c r="H1180" i="2" s="1"/>
  <c r="G1184" i="2"/>
  <c r="H1184" i="2" s="1"/>
  <c r="G1188" i="2"/>
  <c r="H1188" i="2" s="1"/>
  <c r="G1192" i="2"/>
  <c r="H1192" i="2" s="1"/>
  <c r="G1196" i="2"/>
  <c r="H1196" i="2" s="1"/>
  <c r="G1200" i="2"/>
  <c r="H1200" i="2" s="1"/>
  <c r="G1204" i="2"/>
  <c r="H1204" i="2" s="1"/>
  <c r="G1208" i="2"/>
  <c r="H1208" i="2" s="1"/>
  <c r="G1212" i="2"/>
  <c r="H1212" i="2" s="1"/>
  <c r="G1216" i="2"/>
  <c r="H1216" i="2" s="1"/>
  <c r="G1220" i="2"/>
  <c r="H1220" i="2" s="1"/>
  <c r="G1224" i="2"/>
  <c r="H1224" i="2" s="1"/>
  <c r="G1228" i="2"/>
  <c r="H1228" i="2" s="1"/>
  <c r="G1232" i="2"/>
  <c r="H1232" i="2" s="1"/>
  <c r="G1236" i="2"/>
  <c r="H1236" i="2" s="1"/>
  <c r="G1240" i="2"/>
  <c r="H1240" i="2" s="1"/>
  <c r="G1244" i="2"/>
  <c r="H1244" i="2" s="1"/>
  <c r="G1248" i="2"/>
  <c r="H1248" i="2" s="1"/>
  <c r="G1252" i="2"/>
  <c r="H1252" i="2" s="1"/>
  <c r="G1256" i="2"/>
  <c r="H1256" i="2" s="1"/>
  <c r="G1260" i="2"/>
  <c r="H1260" i="2" s="1"/>
  <c r="G1264" i="2"/>
  <c r="H1264" i="2" s="1"/>
  <c r="G1268" i="2"/>
  <c r="H1268" i="2" s="1"/>
  <c r="G1272" i="2"/>
  <c r="H1272" i="2" s="1"/>
  <c r="G1276" i="2"/>
  <c r="H1276" i="2" s="1"/>
  <c r="G1280" i="2"/>
  <c r="H1280" i="2" s="1"/>
  <c r="G1284" i="2"/>
  <c r="H1284" i="2" s="1"/>
  <c r="G1288" i="2"/>
  <c r="H1288" i="2" s="1"/>
  <c r="G1292" i="2"/>
  <c r="H1292" i="2" s="1"/>
  <c r="G1296" i="2"/>
  <c r="H1296" i="2" s="1"/>
  <c r="G1300" i="2"/>
  <c r="H1300" i="2" s="1"/>
  <c r="G1304" i="2"/>
  <c r="H1304" i="2" s="1"/>
  <c r="G1308" i="2"/>
  <c r="H1308" i="2" s="1"/>
  <c r="G1312" i="2"/>
  <c r="H1312" i="2" s="1"/>
  <c r="G1316" i="2"/>
  <c r="H1316" i="2" s="1"/>
  <c r="G1320" i="2"/>
  <c r="H1320" i="2" s="1"/>
  <c r="G1324" i="2"/>
  <c r="H1324" i="2" s="1"/>
  <c r="G1328" i="2"/>
  <c r="H1328" i="2" s="1"/>
  <c r="G1332" i="2"/>
  <c r="H1332" i="2" s="1"/>
  <c r="G1336" i="2"/>
  <c r="H1336" i="2" s="1"/>
  <c r="G1340" i="2"/>
  <c r="H1340" i="2" s="1"/>
  <c r="G1344" i="2"/>
  <c r="H1344" i="2" s="1"/>
  <c r="G1348" i="2"/>
  <c r="H1348" i="2" s="1"/>
  <c r="G1352" i="2"/>
  <c r="H1352" i="2" s="1"/>
  <c r="G1356" i="2"/>
  <c r="H1356" i="2" s="1"/>
  <c r="G1360" i="2"/>
  <c r="H1360" i="2" s="1"/>
  <c r="G1364" i="2"/>
  <c r="H1364" i="2" s="1"/>
  <c r="G1368" i="2"/>
  <c r="H1368" i="2" s="1"/>
  <c r="G1372" i="2"/>
  <c r="H1372" i="2" s="1"/>
  <c r="G131" i="2"/>
  <c r="H131" i="2" s="1"/>
  <c r="G491" i="2"/>
  <c r="H491" i="2" s="1"/>
  <c r="G566" i="2"/>
  <c r="H566" i="2" s="1"/>
  <c r="G630" i="2"/>
  <c r="H630" i="2" s="1"/>
  <c r="G694" i="2"/>
  <c r="H694" i="2" s="1"/>
  <c r="G758" i="2"/>
  <c r="H758" i="2" s="1"/>
  <c r="G782" i="2"/>
  <c r="H782" i="2" s="1"/>
  <c r="G803" i="2"/>
  <c r="H803" i="2" s="1"/>
  <c r="G824" i="2"/>
  <c r="H824" i="2" s="1"/>
  <c r="G841" i="2"/>
  <c r="H841" i="2" s="1"/>
  <c r="G857" i="2"/>
  <c r="H857" i="2" s="1"/>
  <c r="G873" i="2"/>
  <c r="H873" i="2" s="1"/>
  <c r="G889" i="2"/>
  <c r="H889" i="2" s="1"/>
  <c r="G905" i="2"/>
  <c r="H905" i="2" s="1"/>
  <c r="G921" i="2"/>
  <c r="H921" i="2" s="1"/>
  <c r="G937" i="2"/>
  <c r="H937" i="2" s="1"/>
  <c r="G953" i="2"/>
  <c r="H953" i="2" s="1"/>
  <c r="G969" i="2"/>
  <c r="H969" i="2" s="1"/>
  <c r="G985" i="2"/>
  <c r="H985" i="2" s="1"/>
  <c r="G1001" i="2"/>
  <c r="H1001" i="2" s="1"/>
  <c r="G1017" i="2"/>
  <c r="H1017" i="2" s="1"/>
  <c r="G1033" i="2"/>
  <c r="H1033" i="2" s="1"/>
  <c r="G1049" i="2"/>
  <c r="H1049" i="2" s="1"/>
  <c r="G1065" i="2"/>
  <c r="H1065" i="2" s="1"/>
  <c r="G1081" i="2"/>
  <c r="H1081" i="2" s="1"/>
  <c r="G1097" i="2"/>
  <c r="H1097" i="2" s="1"/>
  <c r="G1113" i="2"/>
  <c r="H1113" i="2" s="1"/>
  <c r="G1129" i="2"/>
  <c r="H1129" i="2" s="1"/>
  <c r="G1145" i="2"/>
  <c r="H1145" i="2" s="1"/>
  <c r="G1161" i="2"/>
  <c r="H1161" i="2" s="1"/>
  <c r="G1177" i="2"/>
  <c r="H1177" i="2" s="1"/>
  <c r="G1193" i="2"/>
  <c r="H1193" i="2" s="1"/>
  <c r="G1209" i="2"/>
  <c r="H1209" i="2" s="1"/>
  <c r="G1225" i="2"/>
  <c r="H1225" i="2" s="1"/>
  <c r="G1241" i="2"/>
  <c r="H1241" i="2" s="1"/>
  <c r="G1257" i="2"/>
  <c r="H1257" i="2" s="1"/>
  <c r="G1273" i="2"/>
  <c r="H1273" i="2" s="1"/>
  <c r="G1289" i="2"/>
  <c r="H1289" i="2" s="1"/>
  <c r="G1305" i="2"/>
  <c r="H1305" i="2" s="1"/>
  <c r="G1321" i="2"/>
  <c r="H1321" i="2" s="1"/>
  <c r="G1337" i="2"/>
  <c r="H1337" i="2" s="1"/>
  <c r="G1353" i="2"/>
  <c r="H1353" i="2" s="1"/>
  <c r="G1362" i="2"/>
  <c r="H1362" i="2" s="1"/>
  <c r="G1367" i="2"/>
  <c r="H1367" i="2" s="1"/>
  <c r="G1373" i="2"/>
  <c r="H1373" i="2" s="1"/>
  <c r="G1377" i="2"/>
  <c r="H1377" i="2" s="1"/>
  <c r="G1381" i="2"/>
  <c r="H1381" i="2" s="1"/>
  <c r="G1385" i="2"/>
  <c r="H1385" i="2" s="1"/>
  <c r="G1389" i="2"/>
  <c r="H1389" i="2" s="1"/>
  <c r="G1393" i="2"/>
  <c r="H1393" i="2" s="1"/>
  <c r="G1397" i="2"/>
  <c r="H1397" i="2" s="1"/>
  <c r="G1401" i="2"/>
  <c r="H1401" i="2" s="1"/>
  <c r="G1405" i="2"/>
  <c r="H1405" i="2" s="1"/>
  <c r="G1409" i="2"/>
  <c r="H1409" i="2" s="1"/>
  <c r="G1413" i="2"/>
  <c r="H1413" i="2" s="1"/>
  <c r="G1417" i="2"/>
  <c r="H1417" i="2" s="1"/>
  <c r="G1421" i="2"/>
  <c r="H1421" i="2" s="1"/>
  <c r="G1425" i="2"/>
  <c r="H1425" i="2" s="1"/>
  <c r="G1429" i="2"/>
  <c r="H1429" i="2" s="1"/>
  <c r="G1433" i="2"/>
  <c r="H1433" i="2" s="1"/>
  <c r="G1437" i="2"/>
  <c r="H1437" i="2" s="1"/>
  <c r="G1441" i="2"/>
  <c r="H1441" i="2" s="1"/>
  <c r="G1445" i="2"/>
  <c r="H1445" i="2" s="1"/>
  <c r="G1449" i="2"/>
  <c r="H1449" i="2" s="1"/>
  <c r="G1453" i="2"/>
  <c r="H1453" i="2" s="1"/>
  <c r="G1457" i="2"/>
  <c r="H1457" i="2" s="1"/>
  <c r="G1461" i="2"/>
  <c r="H1461" i="2" s="1"/>
  <c r="G1465" i="2"/>
  <c r="H1465" i="2" s="1"/>
  <c r="G1469" i="2"/>
  <c r="H1469" i="2" s="1"/>
  <c r="G1473" i="2"/>
  <c r="H1473" i="2" s="1"/>
  <c r="G1477" i="2"/>
  <c r="H1477" i="2" s="1"/>
  <c r="G1481" i="2"/>
  <c r="H1481" i="2" s="1"/>
  <c r="G1485" i="2"/>
  <c r="H1485" i="2" s="1"/>
  <c r="G1489" i="2"/>
  <c r="H1489" i="2" s="1"/>
  <c r="G1493" i="2"/>
  <c r="H1493" i="2" s="1"/>
  <c r="G1497" i="2"/>
  <c r="H1497" i="2" s="1"/>
  <c r="G1501" i="2"/>
  <c r="H1501" i="2" s="1"/>
  <c r="G1505" i="2"/>
  <c r="H1505" i="2" s="1"/>
  <c r="G1509" i="2"/>
  <c r="H1509" i="2" s="1"/>
  <c r="G1513" i="2"/>
  <c r="H1513" i="2" s="1"/>
  <c r="G1517" i="2"/>
  <c r="H1517" i="2" s="1"/>
  <c r="G1521" i="2"/>
  <c r="H1521" i="2" s="1"/>
  <c r="G1525" i="2"/>
  <c r="H1525" i="2" s="1"/>
  <c r="G1529" i="2"/>
  <c r="H1529" i="2" s="1"/>
  <c r="G1533" i="2"/>
  <c r="H1533" i="2" s="1"/>
  <c r="G1537" i="2"/>
  <c r="H1537" i="2" s="1"/>
  <c r="G1541" i="2"/>
  <c r="H1541" i="2" s="1"/>
  <c r="G1545" i="2"/>
  <c r="H1545" i="2" s="1"/>
  <c r="G1549" i="2"/>
  <c r="H1549" i="2" s="1"/>
  <c r="G1553" i="2"/>
  <c r="H1553" i="2" s="1"/>
  <c r="G1557" i="2"/>
  <c r="H1557" i="2" s="1"/>
  <c r="G1561" i="2"/>
  <c r="H1561" i="2" s="1"/>
  <c r="G1565" i="2"/>
  <c r="H1565" i="2" s="1"/>
  <c r="G1569" i="2"/>
  <c r="H1569" i="2" s="1"/>
  <c r="G1573" i="2"/>
  <c r="H1573" i="2" s="1"/>
  <c r="G1577" i="2"/>
  <c r="H1577" i="2" s="1"/>
  <c r="G1581" i="2"/>
  <c r="H1581" i="2" s="1"/>
  <c r="G1585" i="2"/>
  <c r="H1585" i="2" s="1"/>
  <c r="G1589" i="2"/>
  <c r="H1589" i="2" s="1"/>
  <c r="G1593" i="2"/>
  <c r="H1593" i="2" s="1"/>
  <c r="G1597" i="2"/>
  <c r="H1597" i="2" s="1"/>
  <c r="G1601" i="2"/>
  <c r="H1601" i="2" s="1"/>
  <c r="G1605" i="2"/>
  <c r="H1605" i="2" s="1"/>
  <c r="G1609" i="2"/>
  <c r="H1609" i="2" s="1"/>
  <c r="G1613" i="2"/>
  <c r="H1613" i="2" s="1"/>
  <c r="G1617" i="2"/>
  <c r="H1617" i="2" s="1"/>
  <c r="G1621" i="2"/>
  <c r="H1621" i="2" s="1"/>
  <c r="G1625" i="2"/>
  <c r="H1625" i="2" s="1"/>
  <c r="G1629" i="2"/>
  <c r="H1629" i="2" s="1"/>
  <c r="G1633" i="2"/>
  <c r="H1633" i="2" s="1"/>
  <c r="G1637" i="2"/>
  <c r="H1637" i="2" s="1"/>
  <c r="G1641" i="2"/>
  <c r="H1641" i="2" s="1"/>
  <c r="G1645" i="2"/>
  <c r="H1645" i="2" s="1"/>
  <c r="G1649" i="2"/>
  <c r="H1649" i="2" s="1"/>
  <c r="G1653" i="2"/>
  <c r="H1653" i="2" s="1"/>
  <c r="G1657" i="2"/>
  <c r="H1657" i="2" s="1"/>
  <c r="G1661" i="2"/>
  <c r="H1661" i="2" s="1"/>
  <c r="G1665" i="2"/>
  <c r="H1665" i="2" s="1"/>
  <c r="G1669" i="2"/>
  <c r="H1669" i="2" s="1"/>
  <c r="G1673" i="2"/>
  <c r="H1673" i="2" s="1"/>
  <c r="G1677" i="2"/>
  <c r="H1677" i="2" s="1"/>
  <c r="G1681" i="2"/>
  <c r="H1681" i="2" s="1"/>
  <c r="G1685" i="2"/>
  <c r="H1685" i="2" s="1"/>
  <c r="G1689" i="2"/>
  <c r="H1689" i="2" s="1"/>
  <c r="G1693" i="2"/>
  <c r="H1693" i="2" s="1"/>
  <c r="G1697" i="2"/>
  <c r="H1697" i="2" s="1"/>
  <c r="G1701" i="2"/>
  <c r="H1701" i="2" s="1"/>
  <c r="G1705" i="2"/>
  <c r="H1705" i="2" s="1"/>
  <c r="G1709" i="2"/>
  <c r="H1709" i="2" s="1"/>
  <c r="G1713" i="2"/>
  <c r="H1713" i="2" s="1"/>
  <c r="G1717" i="2"/>
  <c r="H1717" i="2" s="1"/>
  <c r="G1721" i="2"/>
  <c r="H1721" i="2" s="1"/>
  <c r="G1725" i="2"/>
  <c r="H1725" i="2" s="1"/>
  <c r="G1729" i="2"/>
  <c r="H1729" i="2" s="1"/>
  <c r="G1733" i="2"/>
  <c r="H1733" i="2" s="1"/>
  <c r="G1737" i="2"/>
  <c r="H1737" i="2" s="1"/>
  <c r="G1741" i="2"/>
  <c r="H1741" i="2" s="1"/>
  <c r="G1745" i="2"/>
  <c r="H1745" i="2" s="1"/>
  <c r="G1749" i="2"/>
  <c r="H1749" i="2" s="1"/>
  <c r="G1753" i="2"/>
  <c r="H1753" i="2" s="1"/>
  <c r="G1757" i="2"/>
  <c r="H1757" i="2" s="1"/>
  <c r="G1761" i="2"/>
  <c r="H1761" i="2" s="1"/>
  <c r="G1765" i="2"/>
  <c r="H1765" i="2" s="1"/>
  <c r="G1769" i="2"/>
  <c r="H1769" i="2" s="1"/>
  <c r="G1773" i="2"/>
  <c r="H1773" i="2" s="1"/>
  <c r="G1777" i="2"/>
  <c r="H1777" i="2" s="1"/>
  <c r="G1781" i="2"/>
  <c r="H1781" i="2" s="1"/>
  <c r="G1785" i="2"/>
  <c r="H1785" i="2" s="1"/>
  <c r="G1789" i="2"/>
  <c r="H1789" i="2" s="1"/>
  <c r="G1793" i="2"/>
  <c r="H1793" i="2" s="1"/>
  <c r="G1797" i="2"/>
  <c r="H1797" i="2" s="1"/>
  <c r="G1801" i="2"/>
  <c r="H1801" i="2" s="1"/>
  <c r="G1805" i="2"/>
  <c r="H1805" i="2" s="1"/>
  <c r="G1809" i="2"/>
  <c r="H1809" i="2" s="1"/>
  <c r="G1813" i="2"/>
  <c r="H1813" i="2" s="1"/>
  <c r="G1817" i="2"/>
  <c r="H1817" i="2" s="1"/>
  <c r="G1821" i="2"/>
  <c r="H1821" i="2" s="1"/>
  <c r="G1825" i="2"/>
  <c r="H1825" i="2" s="1"/>
  <c r="G1829" i="2"/>
  <c r="H1829" i="2" s="1"/>
  <c r="G1833" i="2"/>
  <c r="H1833" i="2" s="1"/>
  <c r="G1837" i="2"/>
  <c r="H1837" i="2" s="1"/>
  <c r="G1841" i="2"/>
  <c r="H1841" i="2" s="1"/>
  <c r="G1845" i="2"/>
  <c r="H1845" i="2" s="1"/>
  <c r="G1849" i="2"/>
  <c r="H1849" i="2" s="1"/>
  <c r="G1853" i="2"/>
  <c r="H1853" i="2" s="1"/>
  <c r="G1857" i="2"/>
  <c r="H1857" i="2" s="1"/>
  <c r="G1861" i="2"/>
  <c r="H1861" i="2" s="1"/>
  <c r="G1865" i="2"/>
  <c r="H1865" i="2" s="1"/>
  <c r="G1869" i="2"/>
  <c r="H1869" i="2" s="1"/>
  <c r="G1873" i="2"/>
  <c r="H1873" i="2" s="1"/>
  <c r="G259" i="2"/>
  <c r="H259" i="2" s="1"/>
  <c r="G518" i="2"/>
  <c r="H518" i="2" s="1"/>
  <c r="G582" i="2"/>
  <c r="H582" i="2" s="1"/>
  <c r="G646" i="2"/>
  <c r="H646" i="2" s="1"/>
  <c r="G710" i="2"/>
  <c r="H710" i="2" s="1"/>
  <c r="G766" i="2"/>
  <c r="H766" i="2" s="1"/>
  <c r="G787" i="2"/>
  <c r="H787" i="2" s="1"/>
  <c r="G808" i="2"/>
  <c r="H808" i="2" s="1"/>
  <c r="G829" i="2"/>
  <c r="H829" i="2" s="1"/>
  <c r="G845" i="2"/>
  <c r="H845" i="2" s="1"/>
  <c r="G861" i="2"/>
  <c r="H861" i="2" s="1"/>
  <c r="G877" i="2"/>
  <c r="H877" i="2" s="1"/>
  <c r="G893" i="2"/>
  <c r="H893" i="2" s="1"/>
  <c r="G909" i="2"/>
  <c r="H909" i="2" s="1"/>
  <c r="G925" i="2"/>
  <c r="H925" i="2" s="1"/>
  <c r="G941" i="2"/>
  <c r="H941" i="2" s="1"/>
  <c r="G957" i="2"/>
  <c r="H957" i="2" s="1"/>
  <c r="G973" i="2"/>
  <c r="H973" i="2" s="1"/>
  <c r="G989" i="2"/>
  <c r="H989" i="2" s="1"/>
  <c r="G1005" i="2"/>
  <c r="H1005" i="2" s="1"/>
  <c r="G1021" i="2"/>
  <c r="H1021" i="2" s="1"/>
  <c r="G1037" i="2"/>
  <c r="H1037" i="2" s="1"/>
  <c r="G1053" i="2"/>
  <c r="H1053" i="2" s="1"/>
  <c r="G1069" i="2"/>
  <c r="H1069" i="2" s="1"/>
  <c r="G1085" i="2"/>
  <c r="H1085" i="2" s="1"/>
  <c r="G1101" i="2"/>
  <c r="H1101" i="2" s="1"/>
  <c r="G1117" i="2"/>
  <c r="H1117" i="2" s="1"/>
  <c r="G1133" i="2"/>
  <c r="H1133" i="2" s="1"/>
  <c r="G1149" i="2"/>
  <c r="H1149" i="2" s="1"/>
  <c r="G1165" i="2"/>
  <c r="H1165" i="2" s="1"/>
  <c r="G1181" i="2"/>
  <c r="H1181" i="2" s="1"/>
  <c r="G1197" i="2"/>
  <c r="H1197" i="2" s="1"/>
  <c r="G1213" i="2"/>
  <c r="H1213" i="2" s="1"/>
  <c r="G1229" i="2"/>
  <c r="H1229" i="2" s="1"/>
  <c r="G1245" i="2"/>
  <c r="H1245" i="2" s="1"/>
  <c r="G1261" i="2"/>
  <c r="H1261" i="2" s="1"/>
  <c r="G1277" i="2"/>
  <c r="H1277" i="2" s="1"/>
  <c r="G1293" i="2"/>
  <c r="H1293" i="2" s="1"/>
  <c r="G1309" i="2"/>
  <c r="H1309" i="2" s="1"/>
  <c r="G1325" i="2"/>
  <c r="H1325" i="2" s="1"/>
  <c r="G1341" i="2"/>
  <c r="H1341" i="2" s="1"/>
  <c r="G1357" i="2"/>
  <c r="H1357" i="2" s="1"/>
  <c r="G1363" i="2"/>
  <c r="H1363" i="2" s="1"/>
  <c r="G1369" i="2"/>
  <c r="H1369" i="2" s="1"/>
  <c r="G1374" i="2"/>
  <c r="H1374" i="2" s="1"/>
  <c r="G1378" i="2"/>
  <c r="H1378" i="2" s="1"/>
  <c r="G1382" i="2"/>
  <c r="H1382" i="2" s="1"/>
  <c r="G1386" i="2"/>
  <c r="H1386" i="2" s="1"/>
  <c r="G1390" i="2"/>
  <c r="H1390" i="2" s="1"/>
  <c r="G1394" i="2"/>
  <c r="H1394" i="2" s="1"/>
  <c r="G1398" i="2"/>
  <c r="H1398" i="2" s="1"/>
  <c r="G1402" i="2"/>
  <c r="H1402" i="2" s="1"/>
  <c r="G1406" i="2"/>
  <c r="H1406" i="2" s="1"/>
  <c r="G1410" i="2"/>
  <c r="H1410" i="2" s="1"/>
  <c r="G1414" i="2"/>
  <c r="H1414" i="2" s="1"/>
  <c r="G1418" i="2"/>
  <c r="H1418" i="2" s="1"/>
  <c r="G1422" i="2"/>
  <c r="H1422" i="2" s="1"/>
  <c r="G1426" i="2"/>
  <c r="H1426" i="2" s="1"/>
  <c r="G1430" i="2"/>
  <c r="H1430" i="2" s="1"/>
  <c r="G1434" i="2"/>
  <c r="H1434" i="2" s="1"/>
  <c r="G1438" i="2"/>
  <c r="H1438" i="2" s="1"/>
  <c r="G1442" i="2"/>
  <c r="H1442" i="2" s="1"/>
  <c r="G1446" i="2"/>
  <c r="H1446" i="2" s="1"/>
  <c r="G1450" i="2"/>
  <c r="H1450" i="2" s="1"/>
  <c r="G1454" i="2"/>
  <c r="H1454" i="2" s="1"/>
  <c r="G1458" i="2"/>
  <c r="H1458" i="2" s="1"/>
  <c r="G1462" i="2"/>
  <c r="H1462" i="2" s="1"/>
  <c r="G1466" i="2"/>
  <c r="H1466" i="2" s="1"/>
  <c r="G1470" i="2"/>
  <c r="H1470" i="2" s="1"/>
  <c r="G1474" i="2"/>
  <c r="H1474" i="2" s="1"/>
  <c r="G1478" i="2"/>
  <c r="H1478" i="2" s="1"/>
  <c r="G1482" i="2"/>
  <c r="H1482" i="2" s="1"/>
  <c r="G1486" i="2"/>
  <c r="H1486" i="2" s="1"/>
  <c r="G1490" i="2"/>
  <c r="H1490" i="2" s="1"/>
  <c r="G1494" i="2"/>
  <c r="H1494" i="2" s="1"/>
  <c r="G1498" i="2"/>
  <c r="H1498" i="2" s="1"/>
  <c r="G1502" i="2"/>
  <c r="H1502" i="2" s="1"/>
  <c r="G1506" i="2"/>
  <c r="H1506" i="2" s="1"/>
  <c r="G1510" i="2"/>
  <c r="H1510" i="2" s="1"/>
  <c r="G1514" i="2"/>
  <c r="H1514" i="2" s="1"/>
  <c r="G1518" i="2"/>
  <c r="H1518" i="2" s="1"/>
  <c r="G1522" i="2"/>
  <c r="H1522" i="2" s="1"/>
  <c r="G1526" i="2"/>
  <c r="H1526" i="2" s="1"/>
  <c r="G1530" i="2"/>
  <c r="H1530" i="2" s="1"/>
  <c r="G1534" i="2"/>
  <c r="H1534" i="2" s="1"/>
  <c r="G1538" i="2"/>
  <c r="H1538" i="2" s="1"/>
  <c r="G1542" i="2"/>
  <c r="H1542" i="2" s="1"/>
  <c r="G1546" i="2"/>
  <c r="H1546" i="2" s="1"/>
  <c r="G1550" i="2"/>
  <c r="H1550" i="2" s="1"/>
  <c r="G1554" i="2"/>
  <c r="H1554" i="2" s="1"/>
  <c r="G1558" i="2"/>
  <c r="H1558" i="2" s="1"/>
  <c r="G1562" i="2"/>
  <c r="H1562" i="2" s="1"/>
  <c r="G1566" i="2"/>
  <c r="H1566" i="2" s="1"/>
  <c r="G1570" i="2"/>
  <c r="H1570" i="2" s="1"/>
  <c r="G1574" i="2"/>
  <c r="H1574" i="2" s="1"/>
  <c r="G1578" i="2"/>
  <c r="H1578" i="2" s="1"/>
  <c r="G1582" i="2"/>
  <c r="H1582" i="2" s="1"/>
  <c r="G1586" i="2"/>
  <c r="H1586" i="2" s="1"/>
  <c r="G1590" i="2"/>
  <c r="H1590" i="2" s="1"/>
  <c r="G1594" i="2"/>
  <c r="H1594" i="2" s="1"/>
  <c r="G1598" i="2"/>
  <c r="H1598" i="2" s="1"/>
  <c r="G1602" i="2"/>
  <c r="H1602" i="2" s="1"/>
  <c r="G1606" i="2"/>
  <c r="H1606" i="2" s="1"/>
  <c r="G1610" i="2"/>
  <c r="H1610" i="2" s="1"/>
  <c r="G1614" i="2"/>
  <c r="H1614" i="2" s="1"/>
  <c r="G1618" i="2"/>
  <c r="H1618" i="2" s="1"/>
  <c r="G1622" i="2"/>
  <c r="H1622" i="2" s="1"/>
  <c r="G1626" i="2"/>
  <c r="H1626" i="2" s="1"/>
  <c r="G1630" i="2"/>
  <c r="H1630" i="2" s="1"/>
  <c r="G1634" i="2"/>
  <c r="H1634" i="2" s="1"/>
  <c r="G1638" i="2"/>
  <c r="H1638" i="2" s="1"/>
  <c r="G1642" i="2"/>
  <c r="H1642" i="2" s="1"/>
  <c r="G1646" i="2"/>
  <c r="H1646" i="2" s="1"/>
  <c r="G1650" i="2"/>
  <c r="H1650" i="2" s="1"/>
  <c r="G1654" i="2"/>
  <c r="H1654" i="2" s="1"/>
  <c r="G1658" i="2"/>
  <c r="H1658" i="2" s="1"/>
  <c r="G1662" i="2"/>
  <c r="H1662" i="2" s="1"/>
  <c r="G1666" i="2"/>
  <c r="H1666" i="2" s="1"/>
  <c r="G1670" i="2"/>
  <c r="H1670" i="2" s="1"/>
  <c r="G1674" i="2"/>
  <c r="H1674" i="2" s="1"/>
  <c r="G1678" i="2"/>
  <c r="H1678" i="2" s="1"/>
  <c r="G1682" i="2"/>
  <c r="H1682" i="2" s="1"/>
  <c r="G1686" i="2"/>
  <c r="H1686" i="2" s="1"/>
  <c r="G1690" i="2"/>
  <c r="H1690" i="2" s="1"/>
  <c r="G1694" i="2"/>
  <c r="H1694" i="2" s="1"/>
  <c r="G1698" i="2"/>
  <c r="H1698" i="2" s="1"/>
  <c r="G1702" i="2"/>
  <c r="H1702" i="2" s="1"/>
  <c r="G1706" i="2"/>
  <c r="H1706" i="2" s="1"/>
  <c r="G1710" i="2"/>
  <c r="H1710" i="2" s="1"/>
  <c r="G1714" i="2"/>
  <c r="H1714" i="2" s="1"/>
  <c r="G1718" i="2"/>
  <c r="H1718" i="2" s="1"/>
  <c r="G1722" i="2"/>
  <c r="H1722" i="2" s="1"/>
  <c r="G1726" i="2"/>
  <c r="H1726" i="2" s="1"/>
  <c r="G1730" i="2"/>
  <c r="H1730" i="2" s="1"/>
  <c r="G1734" i="2"/>
  <c r="H1734" i="2" s="1"/>
  <c r="G1738" i="2"/>
  <c r="H1738" i="2" s="1"/>
  <c r="G1742" i="2"/>
  <c r="H1742" i="2" s="1"/>
  <c r="G1746" i="2"/>
  <c r="H1746" i="2" s="1"/>
  <c r="G1750" i="2"/>
  <c r="H1750" i="2" s="1"/>
  <c r="G1754" i="2"/>
  <c r="H1754" i="2" s="1"/>
  <c r="G1758" i="2"/>
  <c r="H1758" i="2" s="1"/>
  <c r="G1762" i="2"/>
  <c r="H1762" i="2" s="1"/>
  <c r="G1766" i="2"/>
  <c r="H1766" i="2" s="1"/>
  <c r="G1770" i="2"/>
  <c r="H1770" i="2" s="1"/>
  <c r="G1774" i="2"/>
  <c r="H1774" i="2" s="1"/>
  <c r="G1778" i="2"/>
  <c r="H1778" i="2" s="1"/>
  <c r="G1782" i="2"/>
  <c r="H1782" i="2" s="1"/>
  <c r="G1786" i="2"/>
  <c r="H1786" i="2" s="1"/>
  <c r="G1790" i="2"/>
  <c r="H1790" i="2" s="1"/>
  <c r="G1794" i="2"/>
  <c r="H1794" i="2" s="1"/>
  <c r="G1798" i="2"/>
  <c r="H1798" i="2" s="1"/>
  <c r="G1802" i="2"/>
  <c r="H1802" i="2" s="1"/>
  <c r="G1806" i="2"/>
  <c r="H1806" i="2" s="1"/>
  <c r="G1810" i="2"/>
  <c r="H1810" i="2" s="1"/>
  <c r="G1814" i="2"/>
  <c r="H1814" i="2" s="1"/>
  <c r="G1818" i="2"/>
  <c r="H1818" i="2" s="1"/>
  <c r="G1822" i="2"/>
  <c r="H1822" i="2" s="1"/>
  <c r="G1826" i="2"/>
  <c r="H1826" i="2" s="1"/>
  <c r="G1830" i="2"/>
  <c r="H1830" i="2" s="1"/>
  <c r="G1834" i="2"/>
  <c r="H1834" i="2" s="1"/>
  <c r="G1838" i="2"/>
  <c r="H1838" i="2" s="1"/>
  <c r="G1842" i="2"/>
  <c r="H1842" i="2" s="1"/>
  <c r="G1846" i="2"/>
  <c r="H1846" i="2" s="1"/>
  <c r="G1850" i="2"/>
  <c r="H1850" i="2" s="1"/>
  <c r="G1854" i="2"/>
  <c r="H1854" i="2" s="1"/>
  <c r="G1858" i="2"/>
  <c r="H1858" i="2" s="1"/>
  <c r="G1862" i="2"/>
  <c r="H1862" i="2" s="1"/>
  <c r="G1866" i="2"/>
  <c r="H1866" i="2" s="1"/>
  <c r="G1870" i="2"/>
  <c r="H1870" i="2" s="1"/>
  <c r="G363" i="2"/>
  <c r="H363" i="2" s="1"/>
  <c r="G534" i="2"/>
  <c r="H534" i="2" s="1"/>
  <c r="G598" i="2"/>
  <c r="H598" i="2" s="1"/>
  <c r="G662" i="2"/>
  <c r="H662" i="2" s="1"/>
  <c r="G726" i="2"/>
  <c r="H726" i="2" s="1"/>
  <c r="G771" i="2"/>
  <c r="H771" i="2" s="1"/>
  <c r="G792" i="2"/>
  <c r="H792" i="2" s="1"/>
  <c r="G814" i="2"/>
  <c r="H814" i="2" s="1"/>
  <c r="G833" i="2"/>
  <c r="H833" i="2" s="1"/>
  <c r="G849" i="2"/>
  <c r="H849" i="2" s="1"/>
  <c r="G865" i="2"/>
  <c r="H865" i="2" s="1"/>
  <c r="G881" i="2"/>
  <c r="H881" i="2" s="1"/>
  <c r="G897" i="2"/>
  <c r="H897" i="2" s="1"/>
  <c r="G913" i="2"/>
  <c r="H913" i="2" s="1"/>
  <c r="G929" i="2"/>
  <c r="H929" i="2" s="1"/>
  <c r="G945" i="2"/>
  <c r="H945" i="2" s="1"/>
  <c r="G961" i="2"/>
  <c r="H961" i="2" s="1"/>
  <c r="G977" i="2"/>
  <c r="H977" i="2" s="1"/>
  <c r="G993" i="2"/>
  <c r="H993" i="2" s="1"/>
  <c r="G1009" i="2"/>
  <c r="H1009" i="2" s="1"/>
  <c r="G1025" i="2"/>
  <c r="H1025" i="2" s="1"/>
  <c r="G1041" i="2"/>
  <c r="H1041" i="2" s="1"/>
  <c r="G1057" i="2"/>
  <c r="H1057" i="2" s="1"/>
  <c r="G1073" i="2"/>
  <c r="H1073" i="2" s="1"/>
  <c r="G1089" i="2"/>
  <c r="H1089" i="2" s="1"/>
  <c r="G1105" i="2"/>
  <c r="H1105" i="2" s="1"/>
  <c r="G1121" i="2"/>
  <c r="H1121" i="2" s="1"/>
  <c r="G1137" i="2"/>
  <c r="H1137" i="2" s="1"/>
  <c r="G1153" i="2"/>
  <c r="H1153" i="2" s="1"/>
  <c r="G1169" i="2"/>
  <c r="H1169" i="2" s="1"/>
  <c r="G1185" i="2"/>
  <c r="H1185" i="2" s="1"/>
  <c r="G1201" i="2"/>
  <c r="H1201" i="2" s="1"/>
  <c r="G1217" i="2"/>
  <c r="H1217" i="2" s="1"/>
  <c r="G1233" i="2"/>
  <c r="H1233" i="2" s="1"/>
  <c r="G1249" i="2"/>
  <c r="H1249" i="2" s="1"/>
  <c r="G1265" i="2"/>
  <c r="H1265" i="2" s="1"/>
  <c r="G1281" i="2"/>
  <c r="H1281" i="2" s="1"/>
  <c r="G1297" i="2"/>
  <c r="H1297" i="2" s="1"/>
  <c r="G1313" i="2"/>
  <c r="H1313" i="2" s="1"/>
  <c r="G1329" i="2"/>
  <c r="H1329" i="2" s="1"/>
  <c r="G1345" i="2"/>
  <c r="H1345" i="2" s="1"/>
  <c r="G1359" i="2"/>
  <c r="H1359" i="2" s="1"/>
  <c r="G1365" i="2"/>
  <c r="H1365" i="2" s="1"/>
  <c r="G1370" i="2"/>
  <c r="H1370" i="2" s="1"/>
  <c r="G1375" i="2"/>
  <c r="H1375" i="2" s="1"/>
  <c r="G1379" i="2"/>
  <c r="H1379" i="2" s="1"/>
  <c r="G1383" i="2"/>
  <c r="H1383" i="2" s="1"/>
  <c r="G1387" i="2"/>
  <c r="H1387" i="2" s="1"/>
  <c r="G1391" i="2"/>
  <c r="H1391" i="2" s="1"/>
  <c r="G1395" i="2"/>
  <c r="H1395" i="2" s="1"/>
  <c r="G1399" i="2"/>
  <c r="H1399" i="2" s="1"/>
  <c r="G1403" i="2"/>
  <c r="H1403" i="2" s="1"/>
  <c r="G1407" i="2"/>
  <c r="H1407" i="2" s="1"/>
  <c r="G1411" i="2"/>
  <c r="H1411" i="2" s="1"/>
  <c r="G1415" i="2"/>
  <c r="H1415" i="2" s="1"/>
  <c r="G1419" i="2"/>
  <c r="H1419" i="2" s="1"/>
  <c r="G1423" i="2"/>
  <c r="H1423" i="2" s="1"/>
  <c r="G1427" i="2"/>
  <c r="H1427" i="2" s="1"/>
  <c r="G1431" i="2"/>
  <c r="H1431" i="2" s="1"/>
  <c r="G1435" i="2"/>
  <c r="H1435" i="2" s="1"/>
  <c r="G1439" i="2"/>
  <c r="H1439" i="2" s="1"/>
  <c r="G1443" i="2"/>
  <c r="H1443" i="2" s="1"/>
  <c r="G1447" i="2"/>
  <c r="H1447" i="2" s="1"/>
  <c r="G1451" i="2"/>
  <c r="H1451" i="2" s="1"/>
  <c r="G1455" i="2"/>
  <c r="H1455" i="2" s="1"/>
  <c r="G1459" i="2"/>
  <c r="H1459" i="2" s="1"/>
  <c r="G1463" i="2"/>
  <c r="H1463" i="2" s="1"/>
  <c r="G1467" i="2"/>
  <c r="H1467" i="2" s="1"/>
  <c r="G1471" i="2"/>
  <c r="H1471" i="2" s="1"/>
  <c r="G1475" i="2"/>
  <c r="H1475" i="2" s="1"/>
  <c r="G1479" i="2"/>
  <c r="H1479" i="2" s="1"/>
  <c r="G1483" i="2"/>
  <c r="H1483" i="2" s="1"/>
  <c r="G1487" i="2"/>
  <c r="H1487" i="2" s="1"/>
  <c r="G1491" i="2"/>
  <c r="H1491" i="2" s="1"/>
  <c r="G1495" i="2"/>
  <c r="H1495" i="2" s="1"/>
  <c r="G1499" i="2"/>
  <c r="H1499" i="2" s="1"/>
  <c r="G1503" i="2"/>
  <c r="H1503" i="2" s="1"/>
  <c r="G1507" i="2"/>
  <c r="H1507" i="2" s="1"/>
  <c r="G1511" i="2"/>
  <c r="H1511" i="2" s="1"/>
  <c r="G1515" i="2"/>
  <c r="H1515" i="2" s="1"/>
  <c r="G1519" i="2"/>
  <c r="H1519" i="2" s="1"/>
  <c r="G1523" i="2"/>
  <c r="H1523" i="2" s="1"/>
  <c r="G1527" i="2"/>
  <c r="H1527" i="2" s="1"/>
  <c r="G1531" i="2"/>
  <c r="H1531" i="2" s="1"/>
  <c r="G1535" i="2"/>
  <c r="H1535" i="2" s="1"/>
  <c r="G1539" i="2"/>
  <c r="H1539" i="2" s="1"/>
  <c r="G1543" i="2"/>
  <c r="H1543" i="2" s="1"/>
  <c r="G1547" i="2"/>
  <c r="H1547" i="2" s="1"/>
  <c r="G1551" i="2"/>
  <c r="H1551" i="2" s="1"/>
  <c r="G1555" i="2"/>
  <c r="H1555" i="2" s="1"/>
  <c r="G1559" i="2"/>
  <c r="H1559" i="2" s="1"/>
  <c r="G1563" i="2"/>
  <c r="H1563" i="2" s="1"/>
  <c r="G1567" i="2"/>
  <c r="H1567" i="2" s="1"/>
  <c r="G1571" i="2"/>
  <c r="H1571" i="2" s="1"/>
  <c r="G1575" i="2"/>
  <c r="H1575" i="2" s="1"/>
  <c r="G1579" i="2"/>
  <c r="H1579" i="2" s="1"/>
  <c r="G1583" i="2"/>
  <c r="H1583" i="2" s="1"/>
  <c r="G1587" i="2"/>
  <c r="H1587" i="2" s="1"/>
  <c r="G1591" i="2"/>
  <c r="H1591" i="2" s="1"/>
  <c r="G1595" i="2"/>
  <c r="H1595" i="2" s="1"/>
  <c r="G1599" i="2"/>
  <c r="H1599" i="2" s="1"/>
  <c r="G1603" i="2"/>
  <c r="H1603" i="2" s="1"/>
  <c r="G1607" i="2"/>
  <c r="H1607" i="2" s="1"/>
  <c r="G1611" i="2"/>
  <c r="H1611" i="2" s="1"/>
  <c r="G1615" i="2"/>
  <c r="H1615" i="2" s="1"/>
  <c r="G1619" i="2"/>
  <c r="H1619" i="2" s="1"/>
  <c r="G1623" i="2"/>
  <c r="H1623" i="2" s="1"/>
  <c r="G1627" i="2"/>
  <c r="H1627" i="2" s="1"/>
  <c r="G1631" i="2"/>
  <c r="H1631" i="2" s="1"/>
  <c r="G1635" i="2"/>
  <c r="H1635" i="2" s="1"/>
  <c r="G1639" i="2"/>
  <c r="H1639" i="2" s="1"/>
  <c r="G1643" i="2"/>
  <c r="H1643" i="2" s="1"/>
  <c r="G1647" i="2"/>
  <c r="H1647" i="2" s="1"/>
  <c r="G1651" i="2"/>
  <c r="H1651" i="2" s="1"/>
  <c r="G1655" i="2"/>
  <c r="H1655" i="2" s="1"/>
  <c r="G1659" i="2"/>
  <c r="H1659" i="2" s="1"/>
  <c r="G1663" i="2"/>
  <c r="H1663" i="2" s="1"/>
  <c r="G1667" i="2"/>
  <c r="H1667" i="2" s="1"/>
  <c r="G1671" i="2"/>
  <c r="H1671" i="2" s="1"/>
  <c r="G1675" i="2"/>
  <c r="H1675" i="2" s="1"/>
  <c r="G1679" i="2"/>
  <c r="H1679" i="2" s="1"/>
  <c r="G1683" i="2"/>
  <c r="H1683" i="2" s="1"/>
  <c r="G1687" i="2"/>
  <c r="H1687" i="2" s="1"/>
  <c r="G1691" i="2"/>
  <c r="H1691" i="2" s="1"/>
  <c r="G1695" i="2"/>
  <c r="H1695" i="2" s="1"/>
  <c r="G1699" i="2"/>
  <c r="H1699" i="2" s="1"/>
  <c r="G1703" i="2"/>
  <c r="H1703" i="2" s="1"/>
  <c r="G1707" i="2"/>
  <c r="H1707" i="2" s="1"/>
  <c r="G1711" i="2"/>
  <c r="H1711" i="2" s="1"/>
  <c r="G1715" i="2"/>
  <c r="H1715" i="2" s="1"/>
  <c r="G1719" i="2"/>
  <c r="H1719" i="2" s="1"/>
  <c r="G1723" i="2"/>
  <c r="H1723" i="2" s="1"/>
  <c r="G1727" i="2"/>
  <c r="H1727" i="2" s="1"/>
  <c r="G1731" i="2"/>
  <c r="H1731" i="2" s="1"/>
  <c r="G1735" i="2"/>
  <c r="H1735" i="2" s="1"/>
  <c r="G1739" i="2"/>
  <c r="H1739" i="2" s="1"/>
  <c r="G1743" i="2"/>
  <c r="H1743" i="2" s="1"/>
  <c r="G1747" i="2"/>
  <c r="H1747" i="2" s="1"/>
  <c r="G1751" i="2"/>
  <c r="H1751" i="2" s="1"/>
  <c r="G1755" i="2"/>
  <c r="H1755" i="2" s="1"/>
  <c r="G1759" i="2"/>
  <c r="H1759" i="2" s="1"/>
  <c r="G1763" i="2"/>
  <c r="H1763" i="2" s="1"/>
  <c r="G1767" i="2"/>
  <c r="H1767" i="2" s="1"/>
  <c r="G1771" i="2"/>
  <c r="H1771" i="2" s="1"/>
  <c r="G1775" i="2"/>
  <c r="H1775" i="2" s="1"/>
  <c r="G1779" i="2"/>
  <c r="H1779" i="2" s="1"/>
  <c r="G1783" i="2"/>
  <c r="H1783" i="2" s="1"/>
  <c r="G1787" i="2"/>
  <c r="H1787" i="2" s="1"/>
  <c r="G1791" i="2"/>
  <c r="H1791" i="2" s="1"/>
  <c r="G1795" i="2"/>
  <c r="H1795" i="2" s="1"/>
  <c r="G1799" i="2"/>
  <c r="H1799" i="2" s="1"/>
  <c r="G1803" i="2"/>
  <c r="H1803" i="2" s="1"/>
  <c r="G1807" i="2"/>
  <c r="H1807" i="2" s="1"/>
  <c r="G1811" i="2"/>
  <c r="H1811" i="2" s="1"/>
  <c r="G1815" i="2"/>
  <c r="H1815" i="2" s="1"/>
  <c r="G1819" i="2"/>
  <c r="H1819" i="2" s="1"/>
  <c r="G1823" i="2"/>
  <c r="H1823" i="2" s="1"/>
  <c r="G1827" i="2"/>
  <c r="H1827" i="2" s="1"/>
  <c r="G1831" i="2"/>
  <c r="H1831" i="2" s="1"/>
  <c r="G1835" i="2"/>
  <c r="H1835" i="2" s="1"/>
  <c r="G1839" i="2"/>
  <c r="H1839" i="2" s="1"/>
  <c r="G427" i="2"/>
  <c r="H427" i="2" s="1"/>
  <c r="G742" i="2"/>
  <c r="H742" i="2" s="1"/>
  <c r="G837" i="2"/>
  <c r="H837" i="2" s="1"/>
  <c r="G901" i="2"/>
  <c r="H901" i="2" s="1"/>
  <c r="G965" i="2"/>
  <c r="H965" i="2" s="1"/>
  <c r="G1029" i="2"/>
  <c r="H1029" i="2" s="1"/>
  <c r="G1093" i="2"/>
  <c r="H1093" i="2" s="1"/>
  <c r="G1157" i="2"/>
  <c r="H1157" i="2" s="1"/>
  <c r="G1221" i="2"/>
  <c r="H1221" i="2" s="1"/>
  <c r="G1285" i="2"/>
  <c r="H1285" i="2" s="1"/>
  <c r="G1349" i="2"/>
  <c r="H1349" i="2" s="1"/>
  <c r="G1376" i="2"/>
  <c r="H1376" i="2" s="1"/>
  <c r="G1392" i="2"/>
  <c r="H1392" i="2" s="1"/>
  <c r="G1408" i="2"/>
  <c r="H1408" i="2" s="1"/>
  <c r="G1424" i="2"/>
  <c r="H1424" i="2" s="1"/>
  <c r="G1440" i="2"/>
  <c r="H1440" i="2" s="1"/>
  <c r="G1456" i="2"/>
  <c r="H1456" i="2" s="1"/>
  <c r="G1472" i="2"/>
  <c r="H1472" i="2" s="1"/>
  <c r="G1488" i="2"/>
  <c r="H1488" i="2" s="1"/>
  <c r="G1504" i="2"/>
  <c r="H1504" i="2" s="1"/>
  <c r="G1520" i="2"/>
  <c r="H1520" i="2" s="1"/>
  <c r="G1536" i="2"/>
  <c r="H1536" i="2" s="1"/>
  <c r="G1552" i="2"/>
  <c r="H1552" i="2" s="1"/>
  <c r="G1568" i="2"/>
  <c r="H1568" i="2" s="1"/>
  <c r="G1584" i="2"/>
  <c r="H1584" i="2" s="1"/>
  <c r="G1600" i="2"/>
  <c r="H1600" i="2" s="1"/>
  <c r="G1616" i="2"/>
  <c r="H1616" i="2" s="1"/>
  <c r="G1632" i="2"/>
  <c r="H1632" i="2" s="1"/>
  <c r="G1648" i="2"/>
  <c r="H1648" i="2" s="1"/>
  <c r="G1664" i="2"/>
  <c r="H1664" i="2" s="1"/>
  <c r="G1680" i="2"/>
  <c r="H1680" i="2" s="1"/>
  <c r="G1696" i="2"/>
  <c r="H1696" i="2" s="1"/>
  <c r="G1712" i="2"/>
  <c r="H1712" i="2" s="1"/>
  <c r="G1728" i="2"/>
  <c r="H1728" i="2" s="1"/>
  <c r="G1744" i="2"/>
  <c r="H1744" i="2" s="1"/>
  <c r="G1760" i="2"/>
  <c r="H1760" i="2" s="1"/>
  <c r="G1776" i="2"/>
  <c r="H1776" i="2" s="1"/>
  <c r="G1792" i="2"/>
  <c r="H1792" i="2" s="1"/>
  <c r="G1808" i="2"/>
  <c r="H1808" i="2" s="1"/>
  <c r="G1824" i="2"/>
  <c r="H1824" i="2" s="1"/>
  <c r="G1840" i="2"/>
  <c r="H1840" i="2" s="1"/>
  <c r="G1848" i="2"/>
  <c r="H1848" i="2" s="1"/>
  <c r="G1856" i="2"/>
  <c r="H1856" i="2" s="1"/>
  <c r="G1864" i="2"/>
  <c r="H1864" i="2" s="1"/>
  <c r="G1872" i="2"/>
  <c r="H1872" i="2" s="1"/>
  <c r="G1877" i="2"/>
  <c r="H1877" i="2" s="1"/>
  <c r="G1881" i="2"/>
  <c r="H1881" i="2" s="1"/>
  <c r="G1885" i="2"/>
  <c r="H1885" i="2" s="1"/>
  <c r="G1889" i="2"/>
  <c r="H1889" i="2" s="1"/>
  <c r="G1893" i="2"/>
  <c r="H1893" i="2" s="1"/>
  <c r="G1897" i="2"/>
  <c r="H1897" i="2" s="1"/>
  <c r="G1901" i="2"/>
  <c r="H1901" i="2" s="1"/>
  <c r="G1905" i="2"/>
  <c r="H1905" i="2" s="1"/>
  <c r="G1909" i="2"/>
  <c r="H1909" i="2" s="1"/>
  <c r="G1913" i="2"/>
  <c r="H1913" i="2" s="1"/>
  <c r="G1917" i="2"/>
  <c r="H1917" i="2" s="1"/>
  <c r="G1921" i="2"/>
  <c r="H1921" i="2" s="1"/>
  <c r="G1925" i="2"/>
  <c r="H1925" i="2" s="1"/>
  <c r="G1929" i="2"/>
  <c r="H1929" i="2" s="1"/>
  <c r="G1933" i="2"/>
  <c r="H1933" i="2" s="1"/>
  <c r="G1937" i="2"/>
  <c r="H1937" i="2" s="1"/>
  <c r="G1941" i="2"/>
  <c r="H1941" i="2" s="1"/>
  <c r="G1945" i="2"/>
  <c r="H1945" i="2" s="1"/>
  <c r="G1949" i="2"/>
  <c r="H1949" i="2" s="1"/>
  <c r="G1953" i="2"/>
  <c r="H1953" i="2" s="1"/>
  <c r="G1957" i="2"/>
  <c r="H1957" i="2" s="1"/>
  <c r="G1961" i="2"/>
  <c r="H1961" i="2" s="1"/>
  <c r="G1965" i="2"/>
  <c r="H1965" i="2" s="1"/>
  <c r="G1969" i="2"/>
  <c r="H1969" i="2" s="1"/>
  <c r="G1973" i="2"/>
  <c r="H1973" i="2" s="1"/>
  <c r="G1977" i="2"/>
  <c r="H1977" i="2" s="1"/>
  <c r="G1981" i="2"/>
  <c r="H1981" i="2" s="1"/>
  <c r="G1985" i="2"/>
  <c r="H1985" i="2" s="1"/>
  <c r="G1989" i="2"/>
  <c r="H1989" i="2" s="1"/>
  <c r="G1993" i="2"/>
  <c r="H1993" i="2" s="1"/>
  <c r="G1997" i="2"/>
  <c r="H1997" i="2" s="1"/>
  <c r="G2001" i="2"/>
  <c r="H2001" i="2" s="1"/>
  <c r="G2005" i="2"/>
  <c r="H2005" i="2" s="1"/>
  <c r="G2009" i="2"/>
  <c r="H2009" i="2" s="1"/>
  <c r="G2013" i="2"/>
  <c r="H2013" i="2" s="1"/>
  <c r="G2017" i="2"/>
  <c r="H2017" i="2" s="1"/>
  <c r="G2021" i="2"/>
  <c r="H2021" i="2" s="1"/>
  <c r="G2025" i="2"/>
  <c r="H2025" i="2" s="1"/>
  <c r="G2029" i="2"/>
  <c r="H2029" i="2" s="1"/>
  <c r="G2033" i="2"/>
  <c r="H2033" i="2" s="1"/>
  <c r="G2037" i="2"/>
  <c r="H2037" i="2" s="1"/>
  <c r="G2041" i="2"/>
  <c r="H2041" i="2" s="1"/>
  <c r="G2045" i="2"/>
  <c r="H2045" i="2" s="1"/>
  <c r="G2049" i="2"/>
  <c r="H2049" i="2" s="1"/>
  <c r="G2053" i="2"/>
  <c r="H2053" i="2" s="1"/>
  <c r="G2057" i="2"/>
  <c r="H2057" i="2" s="1"/>
  <c r="G2061" i="2"/>
  <c r="H2061" i="2" s="1"/>
  <c r="G2065" i="2"/>
  <c r="H2065" i="2" s="1"/>
  <c r="G2069" i="2"/>
  <c r="H2069" i="2" s="1"/>
  <c r="G2073" i="2"/>
  <c r="H2073" i="2" s="1"/>
  <c r="G2077" i="2"/>
  <c r="H2077" i="2" s="1"/>
  <c r="G2081" i="2"/>
  <c r="H2081" i="2" s="1"/>
  <c r="G2085" i="2"/>
  <c r="H2085" i="2" s="1"/>
  <c r="G2089" i="2"/>
  <c r="H2089" i="2" s="1"/>
  <c r="G2093" i="2"/>
  <c r="H2093" i="2" s="1"/>
  <c r="G2097" i="2"/>
  <c r="H2097" i="2" s="1"/>
  <c r="G2101" i="2"/>
  <c r="H2101" i="2" s="1"/>
  <c r="G2105" i="2"/>
  <c r="H2105" i="2" s="1"/>
  <c r="G2109" i="2"/>
  <c r="H2109" i="2" s="1"/>
  <c r="G2113" i="2"/>
  <c r="H2113" i="2" s="1"/>
  <c r="G2117" i="2"/>
  <c r="H2117" i="2" s="1"/>
  <c r="G2121" i="2"/>
  <c r="H2121" i="2" s="1"/>
  <c r="G2125" i="2"/>
  <c r="H2125" i="2" s="1"/>
  <c r="G2129" i="2"/>
  <c r="H2129" i="2" s="1"/>
  <c r="G2133" i="2"/>
  <c r="H2133" i="2" s="1"/>
  <c r="G2137" i="2"/>
  <c r="H2137" i="2" s="1"/>
  <c r="G2141" i="2"/>
  <c r="H2141" i="2" s="1"/>
  <c r="G2145" i="2"/>
  <c r="H2145" i="2" s="1"/>
  <c r="G2149" i="2"/>
  <c r="H2149" i="2" s="1"/>
  <c r="G2153" i="2"/>
  <c r="H2153" i="2" s="1"/>
  <c r="G2157" i="2"/>
  <c r="H2157" i="2" s="1"/>
  <c r="G3" i="2"/>
  <c r="H3" i="2" s="1"/>
  <c r="G819" i="2"/>
  <c r="H819" i="2" s="1"/>
  <c r="G949" i="2"/>
  <c r="H949" i="2" s="1"/>
  <c r="G1077" i="2"/>
  <c r="H1077" i="2" s="1"/>
  <c r="G1205" i="2"/>
  <c r="H1205" i="2" s="1"/>
  <c r="G1333" i="2"/>
  <c r="H1333" i="2" s="1"/>
  <c r="G1388" i="2"/>
  <c r="H1388" i="2" s="1"/>
  <c r="G1420" i="2"/>
  <c r="H1420" i="2" s="1"/>
  <c r="G1452" i="2"/>
  <c r="H1452" i="2" s="1"/>
  <c r="G1484" i="2"/>
  <c r="H1484" i="2" s="1"/>
  <c r="G1516" i="2"/>
  <c r="H1516" i="2" s="1"/>
  <c r="G1548" i="2"/>
  <c r="H1548" i="2" s="1"/>
  <c r="G1580" i="2"/>
  <c r="H1580" i="2" s="1"/>
  <c r="G1628" i="2"/>
  <c r="H1628" i="2" s="1"/>
  <c r="G1676" i="2"/>
  <c r="H1676" i="2" s="1"/>
  <c r="G1724" i="2"/>
  <c r="H1724" i="2" s="1"/>
  <c r="G1772" i="2"/>
  <c r="H1772" i="2" s="1"/>
  <c r="G1804" i="2"/>
  <c r="H1804" i="2" s="1"/>
  <c r="G1847" i="2"/>
  <c r="H1847" i="2" s="1"/>
  <c r="G1871" i="2"/>
  <c r="H1871" i="2" s="1"/>
  <c r="G1884" i="2"/>
  <c r="H1884" i="2" s="1"/>
  <c r="G1896" i="2"/>
  <c r="H1896" i="2" s="1"/>
  <c r="G1908" i="2"/>
  <c r="H1908" i="2" s="1"/>
  <c r="G1920" i="2"/>
  <c r="H1920" i="2" s="1"/>
  <c r="G1932" i="2"/>
  <c r="H1932" i="2" s="1"/>
  <c r="G1944" i="2"/>
  <c r="H1944" i="2" s="1"/>
  <c r="G1956" i="2"/>
  <c r="H1956" i="2" s="1"/>
  <c r="G1968" i="2"/>
  <c r="H1968" i="2" s="1"/>
  <c r="G1980" i="2"/>
  <c r="H1980" i="2" s="1"/>
  <c r="G1992" i="2"/>
  <c r="H1992" i="2" s="1"/>
  <c r="G2004" i="2"/>
  <c r="H2004" i="2" s="1"/>
  <c r="G2016" i="2"/>
  <c r="H2016" i="2" s="1"/>
  <c r="G2028" i="2"/>
  <c r="H2028" i="2" s="1"/>
  <c r="G2040" i="2"/>
  <c r="H2040" i="2" s="1"/>
  <c r="G2056" i="2"/>
  <c r="H2056" i="2" s="1"/>
  <c r="G2068" i="2"/>
  <c r="H2068" i="2" s="1"/>
  <c r="G2076" i="2"/>
  <c r="H2076" i="2" s="1"/>
  <c r="G2088" i="2"/>
  <c r="H2088" i="2" s="1"/>
  <c r="G2100" i="2"/>
  <c r="H2100" i="2" s="1"/>
  <c r="G2112" i="2"/>
  <c r="H2112" i="2" s="1"/>
  <c r="G2124" i="2"/>
  <c r="H2124" i="2" s="1"/>
  <c r="G2136" i="2"/>
  <c r="H2136" i="2" s="1"/>
  <c r="G2148" i="2"/>
  <c r="H2148" i="2" s="1"/>
  <c r="G550" i="2"/>
  <c r="H550" i="2" s="1"/>
  <c r="G776" i="2"/>
  <c r="H776" i="2" s="1"/>
  <c r="G853" i="2"/>
  <c r="H853" i="2" s="1"/>
  <c r="G917" i="2"/>
  <c r="H917" i="2" s="1"/>
  <c r="G981" i="2"/>
  <c r="H981" i="2" s="1"/>
  <c r="G1045" i="2"/>
  <c r="H1045" i="2" s="1"/>
  <c r="G1109" i="2"/>
  <c r="H1109" i="2" s="1"/>
  <c r="G1173" i="2"/>
  <c r="H1173" i="2" s="1"/>
  <c r="G1237" i="2"/>
  <c r="H1237" i="2" s="1"/>
  <c r="G1301" i="2"/>
  <c r="H1301" i="2" s="1"/>
  <c r="G1361" i="2"/>
  <c r="H1361" i="2" s="1"/>
  <c r="G1380" i="2"/>
  <c r="H1380" i="2" s="1"/>
  <c r="G1396" i="2"/>
  <c r="H1396" i="2" s="1"/>
  <c r="G1412" i="2"/>
  <c r="H1412" i="2" s="1"/>
  <c r="G1428" i="2"/>
  <c r="H1428" i="2" s="1"/>
  <c r="G1444" i="2"/>
  <c r="H1444" i="2" s="1"/>
  <c r="G1460" i="2"/>
  <c r="H1460" i="2" s="1"/>
  <c r="G1476" i="2"/>
  <c r="H1476" i="2" s="1"/>
  <c r="G1492" i="2"/>
  <c r="H1492" i="2" s="1"/>
  <c r="G1508" i="2"/>
  <c r="H1508" i="2" s="1"/>
  <c r="G1524" i="2"/>
  <c r="H1524" i="2" s="1"/>
  <c r="G1540" i="2"/>
  <c r="H1540" i="2" s="1"/>
  <c r="G1556" i="2"/>
  <c r="H1556" i="2" s="1"/>
  <c r="G1572" i="2"/>
  <c r="H1572" i="2" s="1"/>
  <c r="G1588" i="2"/>
  <c r="H1588" i="2" s="1"/>
  <c r="G1604" i="2"/>
  <c r="H1604" i="2" s="1"/>
  <c r="G1620" i="2"/>
  <c r="H1620" i="2" s="1"/>
  <c r="G1636" i="2"/>
  <c r="H1636" i="2" s="1"/>
  <c r="G1652" i="2"/>
  <c r="H1652" i="2" s="1"/>
  <c r="G1668" i="2"/>
  <c r="H1668" i="2" s="1"/>
  <c r="G1684" i="2"/>
  <c r="H1684" i="2" s="1"/>
  <c r="G1700" i="2"/>
  <c r="H1700" i="2" s="1"/>
  <c r="G1716" i="2"/>
  <c r="H1716" i="2" s="1"/>
  <c r="G1732" i="2"/>
  <c r="H1732" i="2" s="1"/>
  <c r="G1748" i="2"/>
  <c r="H1748" i="2" s="1"/>
  <c r="G1764" i="2"/>
  <c r="H1764" i="2" s="1"/>
  <c r="G1780" i="2"/>
  <c r="H1780" i="2" s="1"/>
  <c r="G1796" i="2"/>
  <c r="H1796" i="2" s="1"/>
  <c r="G1812" i="2"/>
  <c r="H1812" i="2" s="1"/>
  <c r="G1828" i="2"/>
  <c r="H1828" i="2" s="1"/>
  <c r="G1843" i="2"/>
  <c r="H1843" i="2" s="1"/>
  <c r="G1851" i="2"/>
  <c r="H1851" i="2" s="1"/>
  <c r="G1859" i="2"/>
  <c r="H1859" i="2" s="1"/>
  <c r="G1867" i="2"/>
  <c r="H1867" i="2" s="1"/>
  <c r="G1874" i="2"/>
  <c r="H1874" i="2" s="1"/>
  <c r="G1878" i="2"/>
  <c r="H1878" i="2" s="1"/>
  <c r="G1882" i="2"/>
  <c r="H1882" i="2" s="1"/>
  <c r="G1886" i="2"/>
  <c r="H1886" i="2" s="1"/>
  <c r="G1890" i="2"/>
  <c r="H1890" i="2" s="1"/>
  <c r="G1894" i="2"/>
  <c r="H1894" i="2" s="1"/>
  <c r="G1898" i="2"/>
  <c r="H1898" i="2" s="1"/>
  <c r="G1902" i="2"/>
  <c r="H1902" i="2" s="1"/>
  <c r="G1906" i="2"/>
  <c r="H1906" i="2" s="1"/>
  <c r="G1910" i="2"/>
  <c r="H1910" i="2" s="1"/>
  <c r="G1914" i="2"/>
  <c r="H1914" i="2" s="1"/>
  <c r="G1918" i="2"/>
  <c r="H1918" i="2" s="1"/>
  <c r="G1922" i="2"/>
  <c r="H1922" i="2" s="1"/>
  <c r="G1926" i="2"/>
  <c r="H1926" i="2" s="1"/>
  <c r="G1930" i="2"/>
  <c r="H1930" i="2" s="1"/>
  <c r="G1934" i="2"/>
  <c r="H1934" i="2" s="1"/>
  <c r="G1938" i="2"/>
  <c r="H1938" i="2" s="1"/>
  <c r="G1942" i="2"/>
  <c r="H1942" i="2" s="1"/>
  <c r="G1946" i="2"/>
  <c r="H1946" i="2" s="1"/>
  <c r="G1950" i="2"/>
  <c r="H1950" i="2" s="1"/>
  <c r="G1954" i="2"/>
  <c r="H1954" i="2" s="1"/>
  <c r="G1958" i="2"/>
  <c r="H1958" i="2" s="1"/>
  <c r="G1962" i="2"/>
  <c r="H1962" i="2" s="1"/>
  <c r="G1966" i="2"/>
  <c r="H1966" i="2" s="1"/>
  <c r="G1970" i="2"/>
  <c r="H1970" i="2" s="1"/>
  <c r="G1974" i="2"/>
  <c r="H1974" i="2" s="1"/>
  <c r="G1978" i="2"/>
  <c r="H1978" i="2" s="1"/>
  <c r="G1982" i="2"/>
  <c r="H1982" i="2" s="1"/>
  <c r="G1986" i="2"/>
  <c r="H1986" i="2" s="1"/>
  <c r="G1990" i="2"/>
  <c r="H1990" i="2" s="1"/>
  <c r="G1994" i="2"/>
  <c r="H1994" i="2" s="1"/>
  <c r="G1998" i="2"/>
  <c r="H1998" i="2" s="1"/>
  <c r="G2002" i="2"/>
  <c r="H2002" i="2" s="1"/>
  <c r="G2006" i="2"/>
  <c r="H2006" i="2" s="1"/>
  <c r="G2010" i="2"/>
  <c r="H2010" i="2" s="1"/>
  <c r="G2014" i="2"/>
  <c r="H2014" i="2" s="1"/>
  <c r="G2018" i="2"/>
  <c r="H2018" i="2" s="1"/>
  <c r="G2022" i="2"/>
  <c r="H2022" i="2" s="1"/>
  <c r="G2026" i="2"/>
  <c r="H2026" i="2" s="1"/>
  <c r="G2030" i="2"/>
  <c r="H2030" i="2" s="1"/>
  <c r="G2034" i="2"/>
  <c r="H2034" i="2" s="1"/>
  <c r="G2038" i="2"/>
  <c r="H2038" i="2" s="1"/>
  <c r="G2042" i="2"/>
  <c r="H2042" i="2" s="1"/>
  <c r="G2046" i="2"/>
  <c r="H2046" i="2" s="1"/>
  <c r="G2050" i="2"/>
  <c r="H2050" i="2" s="1"/>
  <c r="G2054" i="2"/>
  <c r="H2054" i="2" s="1"/>
  <c r="G2058" i="2"/>
  <c r="H2058" i="2" s="1"/>
  <c r="G2062" i="2"/>
  <c r="H2062" i="2" s="1"/>
  <c r="G2066" i="2"/>
  <c r="H2066" i="2" s="1"/>
  <c r="G2070" i="2"/>
  <c r="H2070" i="2" s="1"/>
  <c r="G2074" i="2"/>
  <c r="H2074" i="2" s="1"/>
  <c r="G2078" i="2"/>
  <c r="H2078" i="2" s="1"/>
  <c r="G2082" i="2"/>
  <c r="H2082" i="2" s="1"/>
  <c r="G2086" i="2"/>
  <c r="H2086" i="2" s="1"/>
  <c r="G2090" i="2"/>
  <c r="H2090" i="2" s="1"/>
  <c r="G2094" i="2"/>
  <c r="H2094" i="2" s="1"/>
  <c r="G2098" i="2"/>
  <c r="H2098" i="2" s="1"/>
  <c r="G2102" i="2"/>
  <c r="H2102" i="2" s="1"/>
  <c r="G2106" i="2"/>
  <c r="H2106" i="2" s="1"/>
  <c r="G2110" i="2"/>
  <c r="H2110" i="2" s="1"/>
  <c r="G2114" i="2"/>
  <c r="H2114" i="2" s="1"/>
  <c r="G2118" i="2"/>
  <c r="H2118" i="2" s="1"/>
  <c r="G2122" i="2"/>
  <c r="H2122" i="2" s="1"/>
  <c r="G2126" i="2"/>
  <c r="H2126" i="2" s="1"/>
  <c r="G2130" i="2"/>
  <c r="H2130" i="2" s="1"/>
  <c r="G2134" i="2"/>
  <c r="H2134" i="2" s="1"/>
  <c r="G2138" i="2"/>
  <c r="H2138" i="2" s="1"/>
  <c r="G2142" i="2"/>
  <c r="H2142" i="2" s="1"/>
  <c r="G2146" i="2"/>
  <c r="H2146" i="2" s="1"/>
  <c r="G2150" i="2"/>
  <c r="H2150" i="2" s="1"/>
  <c r="G2154" i="2"/>
  <c r="H2154" i="2" s="1"/>
  <c r="G2158" i="2"/>
  <c r="H2158" i="2" s="1"/>
  <c r="G678" i="2"/>
  <c r="H678" i="2" s="1"/>
  <c r="G1013" i="2"/>
  <c r="H1013" i="2" s="1"/>
  <c r="G1141" i="2"/>
  <c r="H1141" i="2" s="1"/>
  <c r="G1269" i="2"/>
  <c r="H1269" i="2" s="1"/>
  <c r="G1371" i="2"/>
  <c r="H1371" i="2" s="1"/>
  <c r="G1404" i="2"/>
  <c r="H1404" i="2" s="1"/>
  <c r="G1436" i="2"/>
  <c r="H1436" i="2" s="1"/>
  <c r="G1468" i="2"/>
  <c r="H1468" i="2" s="1"/>
  <c r="G1500" i="2"/>
  <c r="H1500" i="2" s="1"/>
  <c r="G1532" i="2"/>
  <c r="H1532" i="2" s="1"/>
  <c r="G1564" i="2"/>
  <c r="H1564" i="2" s="1"/>
  <c r="G1612" i="2"/>
  <c r="H1612" i="2" s="1"/>
  <c r="G1644" i="2"/>
  <c r="H1644" i="2" s="1"/>
  <c r="G1692" i="2"/>
  <c r="H1692" i="2" s="1"/>
  <c r="G1740" i="2"/>
  <c r="H1740" i="2" s="1"/>
  <c r="G1788" i="2"/>
  <c r="H1788" i="2" s="1"/>
  <c r="G1836" i="2"/>
  <c r="H1836" i="2" s="1"/>
  <c r="G1863" i="2"/>
  <c r="H1863" i="2" s="1"/>
  <c r="G1880" i="2"/>
  <c r="H1880" i="2" s="1"/>
  <c r="G1892" i="2"/>
  <c r="H1892" i="2" s="1"/>
  <c r="G1904" i="2"/>
  <c r="H1904" i="2" s="1"/>
  <c r="G1916" i="2"/>
  <c r="H1916" i="2" s="1"/>
  <c r="G1928" i="2"/>
  <c r="H1928" i="2" s="1"/>
  <c r="G1940" i="2"/>
  <c r="H1940" i="2" s="1"/>
  <c r="G1952" i="2"/>
  <c r="H1952" i="2" s="1"/>
  <c r="G1964" i="2"/>
  <c r="H1964" i="2" s="1"/>
  <c r="G1976" i="2"/>
  <c r="H1976" i="2" s="1"/>
  <c r="G1988" i="2"/>
  <c r="H1988" i="2" s="1"/>
  <c r="G2000" i="2"/>
  <c r="H2000" i="2" s="1"/>
  <c r="G2012" i="2"/>
  <c r="H2012" i="2" s="1"/>
  <c r="G2024" i="2"/>
  <c r="H2024" i="2" s="1"/>
  <c r="G2036" i="2"/>
  <c r="H2036" i="2" s="1"/>
  <c r="G2048" i="2"/>
  <c r="H2048" i="2" s="1"/>
  <c r="G2060" i="2"/>
  <c r="H2060" i="2" s="1"/>
  <c r="G2072" i="2"/>
  <c r="H2072" i="2" s="1"/>
  <c r="G2084" i="2"/>
  <c r="H2084" i="2" s="1"/>
  <c r="G2096" i="2"/>
  <c r="H2096" i="2" s="1"/>
  <c r="G2108" i="2"/>
  <c r="H2108" i="2" s="1"/>
  <c r="G2120" i="2"/>
  <c r="H2120" i="2" s="1"/>
  <c r="G2132" i="2"/>
  <c r="H2132" i="2" s="1"/>
  <c r="G2144" i="2"/>
  <c r="H2144" i="2" s="1"/>
  <c r="G2156" i="2"/>
  <c r="H2156" i="2" s="1"/>
  <c r="G614" i="2"/>
  <c r="H614" i="2" s="1"/>
  <c r="G798" i="2"/>
  <c r="H798" i="2" s="1"/>
  <c r="G869" i="2"/>
  <c r="H869" i="2" s="1"/>
  <c r="G933" i="2"/>
  <c r="H933" i="2" s="1"/>
  <c r="G997" i="2"/>
  <c r="H997" i="2" s="1"/>
  <c r="G1061" i="2"/>
  <c r="H1061" i="2" s="1"/>
  <c r="G1125" i="2"/>
  <c r="H1125" i="2" s="1"/>
  <c r="G1189" i="2"/>
  <c r="H1189" i="2" s="1"/>
  <c r="G1253" i="2"/>
  <c r="H1253" i="2" s="1"/>
  <c r="G1317" i="2"/>
  <c r="H1317" i="2" s="1"/>
  <c r="G1366" i="2"/>
  <c r="H1366" i="2" s="1"/>
  <c r="G1384" i="2"/>
  <c r="H1384" i="2" s="1"/>
  <c r="G1400" i="2"/>
  <c r="H1400" i="2" s="1"/>
  <c r="G1416" i="2"/>
  <c r="H1416" i="2" s="1"/>
  <c r="G1432" i="2"/>
  <c r="H1432" i="2" s="1"/>
  <c r="G1448" i="2"/>
  <c r="H1448" i="2" s="1"/>
  <c r="G1464" i="2"/>
  <c r="H1464" i="2" s="1"/>
  <c r="G1480" i="2"/>
  <c r="H1480" i="2" s="1"/>
  <c r="G1496" i="2"/>
  <c r="H1496" i="2" s="1"/>
  <c r="G1512" i="2"/>
  <c r="H1512" i="2" s="1"/>
  <c r="G1528" i="2"/>
  <c r="H1528" i="2" s="1"/>
  <c r="G1544" i="2"/>
  <c r="H1544" i="2" s="1"/>
  <c r="G1560" i="2"/>
  <c r="H1560" i="2" s="1"/>
  <c r="G1576" i="2"/>
  <c r="H1576" i="2" s="1"/>
  <c r="G1592" i="2"/>
  <c r="H1592" i="2" s="1"/>
  <c r="G1608" i="2"/>
  <c r="H1608" i="2" s="1"/>
  <c r="G1624" i="2"/>
  <c r="H1624" i="2" s="1"/>
  <c r="G1640" i="2"/>
  <c r="H1640" i="2" s="1"/>
  <c r="G1656" i="2"/>
  <c r="H1656" i="2" s="1"/>
  <c r="G1672" i="2"/>
  <c r="H1672" i="2" s="1"/>
  <c r="G1688" i="2"/>
  <c r="H1688" i="2" s="1"/>
  <c r="G1704" i="2"/>
  <c r="H1704" i="2" s="1"/>
  <c r="G1720" i="2"/>
  <c r="H1720" i="2" s="1"/>
  <c r="G1736" i="2"/>
  <c r="H1736" i="2" s="1"/>
  <c r="G1752" i="2"/>
  <c r="H1752" i="2" s="1"/>
  <c r="G1768" i="2"/>
  <c r="H1768" i="2" s="1"/>
  <c r="G1784" i="2"/>
  <c r="H1784" i="2" s="1"/>
  <c r="G1800" i="2"/>
  <c r="H1800" i="2" s="1"/>
  <c r="G1816" i="2"/>
  <c r="H1816" i="2" s="1"/>
  <c r="G1832" i="2"/>
  <c r="H1832" i="2" s="1"/>
  <c r="G1844" i="2"/>
  <c r="H1844" i="2" s="1"/>
  <c r="G1852" i="2"/>
  <c r="H1852" i="2" s="1"/>
  <c r="G1860" i="2"/>
  <c r="H1860" i="2" s="1"/>
  <c r="G1868" i="2"/>
  <c r="H1868" i="2" s="1"/>
  <c r="G1875" i="2"/>
  <c r="H1875" i="2" s="1"/>
  <c r="G1879" i="2"/>
  <c r="H1879" i="2" s="1"/>
  <c r="G1883" i="2"/>
  <c r="H1883" i="2" s="1"/>
  <c r="G1887" i="2"/>
  <c r="H1887" i="2" s="1"/>
  <c r="G1891" i="2"/>
  <c r="H1891" i="2" s="1"/>
  <c r="G1895" i="2"/>
  <c r="H1895" i="2" s="1"/>
  <c r="G1899" i="2"/>
  <c r="H1899" i="2" s="1"/>
  <c r="G1903" i="2"/>
  <c r="H1903" i="2" s="1"/>
  <c r="G1907" i="2"/>
  <c r="H1907" i="2" s="1"/>
  <c r="G1911" i="2"/>
  <c r="H1911" i="2" s="1"/>
  <c r="G1915" i="2"/>
  <c r="H1915" i="2" s="1"/>
  <c r="G1919" i="2"/>
  <c r="H1919" i="2" s="1"/>
  <c r="G1923" i="2"/>
  <c r="H1923" i="2" s="1"/>
  <c r="G1927" i="2"/>
  <c r="H1927" i="2" s="1"/>
  <c r="G1931" i="2"/>
  <c r="H1931" i="2" s="1"/>
  <c r="G1935" i="2"/>
  <c r="H1935" i="2" s="1"/>
  <c r="G1939" i="2"/>
  <c r="H1939" i="2" s="1"/>
  <c r="G1943" i="2"/>
  <c r="H1943" i="2" s="1"/>
  <c r="G1947" i="2"/>
  <c r="H1947" i="2" s="1"/>
  <c r="G1951" i="2"/>
  <c r="H1951" i="2" s="1"/>
  <c r="G1955" i="2"/>
  <c r="H1955" i="2" s="1"/>
  <c r="G1959" i="2"/>
  <c r="H1959" i="2" s="1"/>
  <c r="G1963" i="2"/>
  <c r="H1963" i="2" s="1"/>
  <c r="G1967" i="2"/>
  <c r="H1967" i="2" s="1"/>
  <c r="G1971" i="2"/>
  <c r="H1971" i="2" s="1"/>
  <c r="G1975" i="2"/>
  <c r="H1975" i="2" s="1"/>
  <c r="G1979" i="2"/>
  <c r="H1979" i="2" s="1"/>
  <c r="G1983" i="2"/>
  <c r="H1983" i="2" s="1"/>
  <c r="G1987" i="2"/>
  <c r="H1987" i="2" s="1"/>
  <c r="G1991" i="2"/>
  <c r="H1991" i="2" s="1"/>
  <c r="G1995" i="2"/>
  <c r="H1995" i="2" s="1"/>
  <c r="G1999" i="2"/>
  <c r="H1999" i="2" s="1"/>
  <c r="G2003" i="2"/>
  <c r="H2003" i="2" s="1"/>
  <c r="G2007" i="2"/>
  <c r="H2007" i="2" s="1"/>
  <c r="G2011" i="2"/>
  <c r="H2011" i="2" s="1"/>
  <c r="G2015" i="2"/>
  <c r="H2015" i="2" s="1"/>
  <c r="G2019" i="2"/>
  <c r="H2019" i="2" s="1"/>
  <c r="G2023" i="2"/>
  <c r="H2023" i="2" s="1"/>
  <c r="G2027" i="2"/>
  <c r="H2027" i="2" s="1"/>
  <c r="G2031" i="2"/>
  <c r="H2031" i="2" s="1"/>
  <c r="G2035" i="2"/>
  <c r="H2035" i="2" s="1"/>
  <c r="G2039" i="2"/>
  <c r="H2039" i="2" s="1"/>
  <c r="G2043" i="2"/>
  <c r="H2043" i="2" s="1"/>
  <c r="G2047" i="2"/>
  <c r="H2047" i="2" s="1"/>
  <c r="G2051" i="2"/>
  <c r="H2051" i="2" s="1"/>
  <c r="G2055" i="2"/>
  <c r="H2055" i="2" s="1"/>
  <c r="G2059" i="2"/>
  <c r="H2059" i="2" s="1"/>
  <c r="G2063" i="2"/>
  <c r="H2063" i="2" s="1"/>
  <c r="G2067" i="2"/>
  <c r="H2067" i="2" s="1"/>
  <c r="G2071" i="2"/>
  <c r="H2071" i="2" s="1"/>
  <c r="G2075" i="2"/>
  <c r="H2075" i="2" s="1"/>
  <c r="G2079" i="2"/>
  <c r="H2079" i="2" s="1"/>
  <c r="G2083" i="2"/>
  <c r="H2083" i="2" s="1"/>
  <c r="G2087" i="2"/>
  <c r="H2087" i="2" s="1"/>
  <c r="G2091" i="2"/>
  <c r="H2091" i="2" s="1"/>
  <c r="G2095" i="2"/>
  <c r="H2095" i="2" s="1"/>
  <c r="G2099" i="2"/>
  <c r="H2099" i="2" s="1"/>
  <c r="G2103" i="2"/>
  <c r="H2103" i="2" s="1"/>
  <c r="G2107" i="2"/>
  <c r="H2107" i="2" s="1"/>
  <c r="G2111" i="2"/>
  <c r="H2111" i="2" s="1"/>
  <c r="G2115" i="2"/>
  <c r="H2115" i="2" s="1"/>
  <c r="G2119" i="2"/>
  <c r="H2119" i="2" s="1"/>
  <c r="G2123" i="2"/>
  <c r="H2123" i="2" s="1"/>
  <c r="G2127" i="2"/>
  <c r="H2127" i="2" s="1"/>
  <c r="G2131" i="2"/>
  <c r="H2131" i="2" s="1"/>
  <c r="G2135" i="2"/>
  <c r="H2135" i="2" s="1"/>
  <c r="G2139" i="2"/>
  <c r="H2139" i="2" s="1"/>
  <c r="G2143" i="2"/>
  <c r="H2143" i="2" s="1"/>
  <c r="G2147" i="2"/>
  <c r="H2147" i="2" s="1"/>
  <c r="G2151" i="2"/>
  <c r="H2151" i="2" s="1"/>
  <c r="G2155" i="2"/>
  <c r="H2155" i="2" s="1"/>
  <c r="G2159" i="2"/>
  <c r="H2159" i="2" s="1"/>
  <c r="G885" i="2"/>
  <c r="H885" i="2" s="1"/>
  <c r="G1596" i="2"/>
  <c r="H1596" i="2" s="1"/>
  <c r="G1660" i="2"/>
  <c r="H1660" i="2" s="1"/>
  <c r="G1708" i="2"/>
  <c r="H1708" i="2" s="1"/>
  <c r="G1756" i="2"/>
  <c r="H1756" i="2" s="1"/>
  <c r="G1820" i="2"/>
  <c r="H1820" i="2" s="1"/>
  <c r="G1855" i="2"/>
  <c r="H1855" i="2" s="1"/>
  <c r="G1876" i="2"/>
  <c r="H1876" i="2" s="1"/>
  <c r="G1888" i="2"/>
  <c r="H1888" i="2" s="1"/>
  <c r="G1900" i="2"/>
  <c r="H1900" i="2" s="1"/>
  <c r="G1912" i="2"/>
  <c r="H1912" i="2" s="1"/>
  <c r="G1924" i="2"/>
  <c r="H1924" i="2" s="1"/>
  <c r="G1936" i="2"/>
  <c r="H1936" i="2" s="1"/>
  <c r="G1948" i="2"/>
  <c r="H1948" i="2" s="1"/>
  <c r="G1960" i="2"/>
  <c r="H1960" i="2" s="1"/>
  <c r="G1972" i="2"/>
  <c r="H1972" i="2" s="1"/>
  <c r="G1984" i="2"/>
  <c r="H1984" i="2" s="1"/>
  <c r="G1996" i="2"/>
  <c r="H1996" i="2" s="1"/>
  <c r="G2008" i="2"/>
  <c r="H2008" i="2" s="1"/>
  <c r="G2020" i="2"/>
  <c r="H2020" i="2" s="1"/>
  <c r="G2032" i="2"/>
  <c r="H2032" i="2" s="1"/>
  <c r="G2044" i="2"/>
  <c r="H2044" i="2" s="1"/>
  <c r="G2052" i="2"/>
  <c r="H2052" i="2" s="1"/>
  <c r="G2064" i="2"/>
  <c r="H2064" i="2" s="1"/>
  <c r="G2080" i="2"/>
  <c r="H2080" i="2" s="1"/>
  <c r="G2092" i="2"/>
  <c r="H2092" i="2" s="1"/>
  <c r="G2104" i="2"/>
  <c r="H2104" i="2" s="1"/>
  <c r="G2116" i="2"/>
  <c r="H2116" i="2" s="1"/>
  <c r="G2128" i="2"/>
  <c r="H2128" i="2" s="1"/>
  <c r="G2140" i="2"/>
  <c r="H2140" i="2" s="1"/>
  <c r="G2152" i="2"/>
  <c r="H2152" i="2" s="1"/>
  <c r="G2160" i="2"/>
  <c r="H2160" i="2" s="1"/>
  <c r="E90" i="2"/>
  <c r="B90" i="2"/>
  <c r="B91" i="2" l="1"/>
  <c r="E91" i="2"/>
  <c r="B92" i="2" l="1"/>
  <c r="E92" i="2"/>
  <c r="E93" i="2" l="1"/>
  <c r="B93" i="2"/>
  <c r="E94" i="2" l="1"/>
  <c r="B94" i="2"/>
  <c r="B95" i="2" l="1"/>
  <c r="E95" i="2"/>
  <c r="B96" i="2" l="1"/>
  <c r="E96" i="2"/>
  <c r="E97" i="2" l="1"/>
  <c r="B97" i="2"/>
  <c r="E98" i="2" l="1"/>
  <c r="B98" i="2"/>
  <c r="B99" i="2" l="1"/>
  <c r="E99" i="2"/>
  <c r="B100" i="2" l="1"/>
  <c r="E100" i="2"/>
  <c r="E101" i="2" l="1"/>
  <c r="B101" i="2"/>
  <c r="E102" i="2" l="1"/>
  <c r="B102" i="2"/>
  <c r="B103" i="2" l="1"/>
  <c r="E103" i="2"/>
  <c r="B104" i="2" l="1"/>
  <c r="E104" i="2"/>
  <c r="E105" i="2" l="1"/>
  <c r="B105" i="2"/>
  <c r="E106" i="2" l="1"/>
  <c r="B106" i="2"/>
  <c r="B107" i="2" l="1"/>
  <c r="E107" i="2"/>
  <c r="B108" i="2" l="1"/>
  <c r="E108" i="2"/>
  <c r="E109" i="2" l="1"/>
  <c r="B109" i="2"/>
  <c r="E110" i="2" l="1"/>
  <c r="B110" i="2"/>
  <c r="B111" i="2" l="1"/>
  <c r="E111" i="2"/>
  <c r="B112" i="2" l="1"/>
  <c r="E112" i="2"/>
  <c r="E113" i="2" l="1"/>
  <c r="B113" i="2"/>
  <c r="E114" i="2" l="1"/>
  <c r="B114" i="2"/>
  <c r="B115" i="2" l="1"/>
  <c r="E115" i="2"/>
  <c r="B116" i="2" l="1"/>
  <c r="E116" i="2"/>
  <c r="E117" i="2" l="1"/>
  <c r="B117" i="2"/>
  <c r="E118" i="2" l="1"/>
  <c r="B118" i="2"/>
  <c r="B119" i="2" l="1"/>
  <c r="E119" i="2"/>
  <c r="B120" i="2" l="1"/>
  <c r="E120" i="2"/>
  <c r="E121" i="2" l="1"/>
  <c r="B121" i="2"/>
  <c r="E122" i="2" l="1"/>
  <c r="B122" i="2"/>
  <c r="B123" i="2" l="1"/>
  <c r="E123" i="2"/>
  <c r="B124" i="2" l="1"/>
  <c r="E124" i="2"/>
  <c r="E125" i="2" l="1"/>
  <c r="B125" i="2"/>
  <c r="E126" i="2" l="1"/>
  <c r="B126" i="2"/>
  <c r="B127" i="2" l="1"/>
  <c r="E127" i="2"/>
  <c r="B128" i="2" l="1"/>
  <c r="E128" i="2"/>
  <c r="E129" i="2" l="1"/>
  <c r="B129" i="2"/>
  <c r="E130" i="2" l="1"/>
  <c r="B130" i="2"/>
  <c r="B131" i="2" l="1"/>
  <c r="E131" i="2"/>
  <c r="B132" i="2" l="1"/>
  <c r="E132" i="2"/>
  <c r="E133" i="2" l="1"/>
  <c r="B133" i="2"/>
  <c r="E134" i="2" l="1"/>
  <c r="B134" i="2"/>
  <c r="B135" i="2" l="1"/>
  <c r="E135" i="2"/>
  <c r="B136" i="2" l="1"/>
  <c r="E136" i="2"/>
  <c r="E137" i="2" l="1"/>
  <c r="B137" i="2"/>
  <c r="E138" i="2" l="1"/>
  <c r="B138" i="2"/>
  <c r="B139" i="2" l="1"/>
  <c r="E139" i="2"/>
  <c r="B140" i="2" l="1"/>
  <c r="E140" i="2"/>
  <c r="E141" i="2" l="1"/>
  <c r="B141" i="2"/>
  <c r="E142" i="2" l="1"/>
  <c r="B142" i="2"/>
  <c r="B143" i="2" l="1"/>
  <c r="E143" i="2"/>
  <c r="B144" i="2" l="1"/>
  <c r="E144" i="2"/>
  <c r="E145" i="2" l="1"/>
  <c r="B145" i="2"/>
  <c r="E146" i="2" l="1"/>
  <c r="B146" i="2"/>
  <c r="B147" i="2" l="1"/>
  <c r="E147" i="2"/>
  <c r="B148" i="2" l="1"/>
  <c r="E148" i="2"/>
  <c r="E149" i="2" l="1"/>
  <c r="B149" i="2"/>
  <c r="E150" i="2" l="1"/>
  <c r="B150" i="2"/>
  <c r="B151" i="2" l="1"/>
  <c r="E151" i="2"/>
  <c r="B152" i="2" l="1"/>
  <c r="E152" i="2"/>
  <c r="E153" i="2" l="1"/>
  <c r="B153" i="2"/>
  <c r="E154" i="2" l="1"/>
  <c r="B154" i="2"/>
  <c r="B155" i="2" l="1"/>
  <c r="E155" i="2"/>
  <c r="B156" i="2" l="1"/>
  <c r="E156" i="2"/>
  <c r="E157" i="2" l="1"/>
  <c r="B157" i="2"/>
  <c r="E158" i="2" l="1"/>
  <c r="B158" i="2"/>
  <c r="B159" i="2" l="1"/>
  <c r="E159" i="2"/>
  <c r="B160" i="2" l="1"/>
  <c r="E160" i="2"/>
  <c r="E161" i="2" l="1"/>
  <c r="B161" i="2"/>
  <c r="E162" i="2" l="1"/>
  <c r="B162" i="2"/>
  <c r="B163" i="2" l="1"/>
  <c r="E163" i="2"/>
  <c r="B164" i="2" l="1"/>
  <c r="E164" i="2"/>
  <c r="E165" i="2" l="1"/>
  <c r="B165" i="2"/>
  <c r="E166" i="2" l="1"/>
  <c r="B166" i="2"/>
  <c r="B167" i="2" l="1"/>
  <c r="E167" i="2"/>
  <c r="B168" i="2" l="1"/>
  <c r="E168" i="2"/>
  <c r="E169" i="2" l="1"/>
  <c r="B169" i="2"/>
  <c r="I20" i="2" l="1"/>
  <c r="I32" i="2"/>
  <c r="I44" i="2"/>
  <c r="I64" i="2"/>
  <c r="I76" i="2"/>
  <c r="I88" i="2"/>
  <c r="I100" i="2"/>
  <c r="I112" i="2"/>
  <c r="I120" i="2"/>
  <c r="I128" i="2"/>
  <c r="I136" i="2"/>
  <c r="I148" i="2"/>
  <c r="I160" i="2"/>
  <c r="I180" i="2"/>
  <c r="I192" i="2"/>
  <c r="I204" i="2"/>
  <c r="I216" i="2"/>
  <c r="I228" i="2"/>
  <c r="I240" i="2"/>
  <c r="I256" i="2"/>
  <c r="I268" i="2"/>
  <c r="I284" i="2"/>
  <c r="I296" i="2"/>
  <c r="I308" i="2"/>
  <c r="I320" i="2"/>
  <c r="I332" i="2"/>
  <c r="I344" i="2"/>
  <c r="I356" i="2"/>
  <c r="I368" i="2"/>
  <c r="I380" i="2"/>
  <c r="I392" i="2"/>
  <c r="I404" i="2"/>
  <c r="I416" i="2"/>
  <c r="I428" i="2"/>
  <c r="I440" i="2"/>
  <c r="I456" i="2"/>
  <c r="I472" i="2"/>
  <c r="I484" i="2"/>
  <c r="I496" i="2"/>
  <c r="I508" i="2"/>
  <c r="I520" i="2"/>
  <c r="I532" i="2"/>
  <c r="I552" i="2"/>
  <c r="I584" i="2"/>
  <c r="I9" i="2"/>
  <c r="I25" i="2"/>
  <c r="I41" i="2"/>
  <c r="I57" i="2"/>
  <c r="I69" i="2"/>
  <c r="I81" i="2"/>
  <c r="I89" i="2"/>
  <c r="I93" i="2"/>
  <c r="I97" i="2"/>
  <c r="I101" i="2"/>
  <c r="I105" i="2"/>
  <c r="I109" i="2"/>
  <c r="I113" i="2"/>
  <c r="I117" i="2"/>
  <c r="I121" i="2"/>
  <c r="I125" i="2"/>
  <c r="I129" i="2"/>
  <c r="I133" i="2"/>
  <c r="I137" i="2"/>
  <c r="I141" i="2"/>
  <c r="I145" i="2"/>
  <c r="I149" i="2"/>
  <c r="I153" i="2"/>
  <c r="I157" i="2"/>
  <c r="I161" i="2"/>
  <c r="I165" i="2"/>
  <c r="I169" i="2"/>
  <c r="I173" i="2"/>
  <c r="I177" i="2"/>
  <c r="I181" i="2"/>
  <c r="I185" i="2"/>
  <c r="I189" i="2"/>
  <c r="I193" i="2"/>
  <c r="I197" i="2"/>
  <c r="I201" i="2"/>
  <c r="I205" i="2"/>
  <c r="I209" i="2"/>
  <c r="I213" i="2"/>
  <c r="I217" i="2"/>
  <c r="I221" i="2"/>
  <c r="I225" i="2"/>
  <c r="I229" i="2"/>
  <c r="I233" i="2"/>
  <c r="I237" i="2"/>
  <c r="I241" i="2"/>
  <c r="I245" i="2"/>
  <c r="I249" i="2"/>
  <c r="I253" i="2"/>
  <c r="I257" i="2"/>
  <c r="I261" i="2"/>
  <c r="I265" i="2"/>
  <c r="I269" i="2"/>
  <c r="I273" i="2"/>
  <c r="I277" i="2"/>
  <c r="I281" i="2"/>
  <c r="I285" i="2"/>
  <c r="I289" i="2"/>
  <c r="I293" i="2"/>
  <c r="I297" i="2"/>
  <c r="I301" i="2"/>
  <c r="I305" i="2"/>
  <c r="I309" i="2"/>
  <c r="I313" i="2"/>
  <c r="I317" i="2"/>
  <c r="I321" i="2"/>
  <c r="I325" i="2"/>
  <c r="I329" i="2"/>
  <c r="I333" i="2"/>
  <c r="I337" i="2"/>
  <c r="I341" i="2"/>
  <c r="I345" i="2"/>
  <c r="I349" i="2"/>
  <c r="I353" i="2"/>
  <c r="I357" i="2"/>
  <c r="I361" i="2"/>
  <c r="I365" i="2"/>
  <c r="I369" i="2"/>
  <c r="I373" i="2"/>
  <c r="I377" i="2"/>
  <c r="I381" i="2"/>
  <c r="I385" i="2"/>
  <c r="I389" i="2"/>
  <c r="I393" i="2"/>
  <c r="I397" i="2"/>
  <c r="I401" i="2"/>
  <c r="I405" i="2"/>
  <c r="I409" i="2"/>
  <c r="I413" i="2"/>
  <c r="I417" i="2"/>
  <c r="I421" i="2"/>
  <c r="I425" i="2"/>
  <c r="I429" i="2"/>
  <c r="I433" i="2"/>
  <c r="I437" i="2"/>
  <c r="I441" i="2"/>
  <c r="I445" i="2"/>
  <c r="I449" i="2"/>
  <c r="I453" i="2"/>
  <c r="I457" i="2"/>
  <c r="I461" i="2"/>
  <c r="I465" i="2"/>
  <c r="I469" i="2"/>
  <c r="I473" i="2"/>
  <c r="I477" i="2"/>
  <c r="I481" i="2"/>
  <c r="I485" i="2"/>
  <c r="I489" i="2"/>
  <c r="I493" i="2"/>
  <c r="I497" i="2"/>
  <c r="I501" i="2"/>
  <c r="I505" i="2"/>
  <c r="I509" i="2"/>
  <c r="I513" i="2"/>
  <c r="I517" i="2"/>
  <c r="I521" i="2"/>
  <c r="I525" i="2"/>
  <c r="I529" i="2"/>
  <c r="I533" i="2"/>
  <c r="I537" i="2"/>
  <c r="I541" i="2"/>
  <c r="I545" i="2"/>
  <c r="I549" i="2"/>
  <c r="I553" i="2"/>
  <c r="I557" i="2"/>
  <c r="I561" i="2"/>
  <c r="I565" i="2"/>
  <c r="I569" i="2"/>
  <c r="I573" i="2"/>
  <c r="I577" i="2"/>
  <c r="I581" i="2"/>
  <c r="I585" i="2"/>
  <c r="I589" i="2"/>
  <c r="I593" i="2"/>
  <c r="I597" i="2"/>
  <c r="I601" i="2"/>
  <c r="I605" i="2"/>
  <c r="I609" i="2"/>
  <c r="I613" i="2"/>
  <c r="I617" i="2"/>
  <c r="I621" i="2"/>
  <c r="I625" i="2"/>
  <c r="I629" i="2"/>
  <c r="I633" i="2"/>
  <c r="I637" i="2"/>
  <c r="I641" i="2"/>
  <c r="I645" i="2"/>
  <c r="I649" i="2"/>
  <c r="I653" i="2"/>
  <c r="I657" i="2"/>
  <c r="I661" i="2"/>
  <c r="I665" i="2"/>
  <c r="I669" i="2"/>
  <c r="I673" i="2"/>
  <c r="I677" i="2"/>
  <c r="I681" i="2"/>
  <c r="I685" i="2"/>
  <c r="I689" i="2"/>
  <c r="I693" i="2"/>
  <c r="I697" i="2"/>
  <c r="I701" i="2"/>
  <c r="I705" i="2"/>
  <c r="I709" i="2"/>
  <c r="I713" i="2"/>
  <c r="I717" i="2"/>
  <c r="I721" i="2"/>
  <c r="I725" i="2"/>
  <c r="I729" i="2"/>
  <c r="I733" i="2"/>
  <c r="I737" i="2"/>
  <c r="I741" i="2"/>
  <c r="I745" i="2"/>
  <c r="I749" i="2"/>
  <c r="I753" i="2"/>
  <c r="I757" i="2"/>
  <c r="I761" i="2"/>
  <c r="I765" i="2"/>
  <c r="I769" i="2"/>
  <c r="I773" i="2"/>
  <c r="I777" i="2"/>
  <c r="I781" i="2"/>
  <c r="I785" i="2"/>
  <c r="I789" i="2"/>
  <c r="I793" i="2"/>
  <c r="I797" i="2"/>
  <c r="I801" i="2"/>
  <c r="I805" i="2"/>
  <c r="I809" i="2"/>
  <c r="I813" i="2"/>
  <c r="I817" i="2"/>
  <c r="I821" i="2"/>
  <c r="I825" i="2"/>
  <c r="I829" i="2"/>
  <c r="I833" i="2"/>
  <c r="I837" i="2"/>
  <c r="I841" i="2"/>
  <c r="I845" i="2"/>
  <c r="I849" i="2"/>
  <c r="I853" i="2"/>
  <c r="I857" i="2"/>
  <c r="I861" i="2"/>
  <c r="I865" i="2"/>
  <c r="I869" i="2"/>
  <c r="I873" i="2"/>
  <c r="I877" i="2"/>
  <c r="I881" i="2"/>
  <c r="I885" i="2"/>
  <c r="I889" i="2"/>
  <c r="I893" i="2"/>
  <c r="I897" i="2"/>
  <c r="I901" i="2"/>
  <c r="I905" i="2"/>
  <c r="I909" i="2"/>
  <c r="I913" i="2"/>
  <c r="I917" i="2"/>
  <c r="I921" i="2"/>
  <c r="I925" i="2"/>
  <c r="I929" i="2"/>
  <c r="I933" i="2"/>
  <c r="I937" i="2"/>
  <c r="I941" i="2"/>
  <c r="I945" i="2"/>
  <c r="I949" i="2"/>
  <c r="I953" i="2"/>
  <c r="I957" i="2"/>
  <c r="I961" i="2"/>
  <c r="I965" i="2"/>
  <c r="I969" i="2"/>
  <c r="I973" i="2"/>
  <c r="I977" i="2"/>
  <c r="I981" i="2"/>
  <c r="I985" i="2"/>
  <c r="I989" i="2"/>
  <c r="I993" i="2"/>
  <c r="I997" i="2"/>
  <c r="I1001" i="2"/>
  <c r="I1005" i="2"/>
  <c r="I1009" i="2"/>
  <c r="I1013" i="2"/>
  <c r="I1017" i="2"/>
  <c r="I1021" i="2"/>
  <c r="I1025" i="2"/>
  <c r="I1029" i="2"/>
  <c r="I1033" i="2"/>
  <c r="I1037" i="2"/>
  <c r="I1041" i="2"/>
  <c r="I1045" i="2"/>
  <c r="I1049" i="2"/>
  <c r="I1053" i="2"/>
  <c r="I1057" i="2"/>
  <c r="I1061" i="2"/>
  <c r="I1065" i="2"/>
  <c r="I1069" i="2"/>
  <c r="I1073" i="2"/>
  <c r="I1077" i="2"/>
  <c r="I1081" i="2"/>
  <c r="I1085" i="2"/>
  <c r="I1089" i="2"/>
  <c r="I1093" i="2"/>
  <c r="I1097" i="2"/>
  <c r="I1101" i="2"/>
  <c r="I1105" i="2"/>
  <c r="I1109" i="2"/>
  <c r="I1113" i="2"/>
  <c r="I1117" i="2"/>
  <c r="I1121" i="2"/>
  <c r="I1125" i="2"/>
  <c r="I1129" i="2"/>
  <c r="I1133" i="2"/>
  <c r="I1137" i="2"/>
  <c r="I1141" i="2"/>
  <c r="I6" i="2"/>
  <c r="I16" i="2"/>
  <c r="I28" i="2"/>
  <c r="I40" i="2"/>
  <c r="I52" i="2"/>
  <c r="I60" i="2"/>
  <c r="I72" i="2"/>
  <c r="I84" i="2"/>
  <c r="I96" i="2"/>
  <c r="I140" i="2"/>
  <c r="I152" i="2"/>
  <c r="I164" i="2"/>
  <c r="I172" i="2"/>
  <c r="I184" i="2"/>
  <c r="I196" i="2"/>
  <c r="I208" i="2"/>
  <c r="I224" i="2"/>
  <c r="I236" i="2"/>
  <c r="I248" i="2"/>
  <c r="I260" i="2"/>
  <c r="I272" i="2"/>
  <c r="I280" i="2"/>
  <c r="I292" i="2"/>
  <c r="I304" i="2"/>
  <c r="I312" i="2"/>
  <c r="I324" i="2"/>
  <c r="I336" i="2"/>
  <c r="I352" i="2"/>
  <c r="I360" i="2"/>
  <c r="I372" i="2"/>
  <c r="I384" i="2"/>
  <c r="I396" i="2"/>
  <c r="I408" i="2"/>
  <c r="I424" i="2"/>
  <c r="I436" i="2"/>
  <c r="I448" i="2"/>
  <c r="I460" i="2"/>
  <c r="I468" i="2"/>
  <c r="I476" i="2"/>
  <c r="I488" i="2"/>
  <c r="I500" i="2"/>
  <c r="I512" i="2"/>
  <c r="I524" i="2"/>
  <c r="I536" i="2"/>
  <c r="I544" i="2"/>
  <c r="I556" i="2"/>
  <c r="I564" i="2"/>
  <c r="I572" i="2"/>
  <c r="I588" i="2"/>
  <c r="I7" i="2"/>
  <c r="I17" i="2"/>
  <c r="I29" i="2"/>
  <c r="I37" i="2"/>
  <c r="I49" i="2"/>
  <c r="I61" i="2"/>
  <c r="I73" i="2"/>
  <c r="I85" i="2"/>
  <c r="I14" i="2"/>
  <c r="I22" i="2"/>
  <c r="I30" i="2"/>
  <c r="I42" i="2"/>
  <c r="I50" i="2"/>
  <c r="I58" i="2"/>
  <c r="I66" i="2"/>
  <c r="I74" i="2"/>
  <c r="I82" i="2"/>
  <c r="I90" i="2"/>
  <c r="I98" i="2"/>
  <c r="I106" i="2"/>
  <c r="I114" i="2"/>
  <c r="I122" i="2"/>
  <c r="I130" i="2"/>
  <c r="I138" i="2"/>
  <c r="I146" i="2"/>
  <c r="I154" i="2"/>
  <c r="I162" i="2"/>
  <c r="I170" i="2"/>
  <c r="I178" i="2"/>
  <c r="I186" i="2"/>
  <c r="I194" i="2"/>
  <c r="I202" i="2"/>
  <c r="I210" i="2"/>
  <c r="I218" i="2"/>
  <c r="I226" i="2"/>
  <c r="I234" i="2"/>
  <c r="I242" i="2"/>
  <c r="I250" i="2"/>
  <c r="I258" i="2"/>
  <c r="I266" i="2"/>
  <c r="I274" i="2"/>
  <c r="I282" i="2"/>
  <c r="I290" i="2"/>
  <c r="I298" i="2"/>
  <c r="I306" i="2"/>
  <c r="I314" i="2"/>
  <c r="I322" i="2"/>
  <c r="I330" i="2"/>
  <c r="I338" i="2"/>
  <c r="I346" i="2"/>
  <c r="I354" i="2"/>
  <c r="I362" i="2"/>
  <c r="I370" i="2"/>
  <c r="I378" i="2"/>
  <c r="I386" i="2"/>
  <c r="I394" i="2"/>
  <c r="I402" i="2"/>
  <c r="I410" i="2"/>
  <c r="I418" i="2"/>
  <c r="I426" i="2"/>
  <c r="I434" i="2"/>
  <c r="I442" i="2"/>
  <c r="I450" i="2"/>
  <c r="I458" i="2"/>
  <c r="I466" i="2"/>
  <c r="I474" i="2"/>
  <c r="I482" i="2"/>
  <c r="I490" i="2"/>
  <c r="I498" i="2"/>
  <c r="I506" i="2"/>
  <c r="I514" i="2"/>
  <c r="I522" i="2"/>
  <c r="I530" i="2"/>
  <c r="I538" i="2"/>
  <c r="I546" i="2"/>
  <c r="I554" i="2"/>
  <c r="I562" i="2"/>
  <c r="I570" i="2"/>
  <c r="I578" i="2"/>
  <c r="I586" i="2"/>
  <c r="I594" i="2"/>
  <c r="I602" i="2"/>
  <c r="I610" i="2"/>
  <c r="I618" i="2"/>
  <c r="I626" i="2"/>
  <c r="I634" i="2"/>
  <c r="I642" i="2"/>
  <c r="I650" i="2"/>
  <c r="I658" i="2"/>
  <c r="I666" i="2"/>
  <c r="I674" i="2"/>
  <c r="I682" i="2"/>
  <c r="I690" i="2"/>
  <c r="I698" i="2"/>
  <c r="I706" i="2"/>
  <c r="I714" i="2"/>
  <c r="I722" i="2"/>
  <c r="I730" i="2"/>
  <c r="I738" i="2"/>
  <c r="I750" i="2"/>
  <c r="I758" i="2"/>
  <c r="I766" i="2"/>
  <c r="I774" i="2"/>
  <c r="I782" i="2"/>
  <c r="I790" i="2"/>
  <c r="I798" i="2"/>
  <c r="I806" i="2"/>
  <c r="I810" i="2"/>
  <c r="I818" i="2"/>
  <c r="I826" i="2"/>
  <c r="I834" i="2"/>
  <c r="I846" i="2"/>
  <c r="I854" i="2"/>
  <c r="I858" i="2"/>
  <c r="I866" i="2"/>
  <c r="I874" i="2"/>
  <c r="I882" i="2"/>
  <c r="I890" i="2"/>
  <c r="I902" i="2"/>
  <c r="I906" i="2"/>
  <c r="I914" i="2"/>
  <c r="I922" i="2"/>
  <c r="I930" i="2"/>
  <c r="I938" i="2"/>
  <c r="I946" i="2"/>
  <c r="I954" i="2"/>
  <c r="I966" i="2"/>
  <c r="I970" i="2"/>
  <c r="I978" i="2"/>
  <c r="I986" i="2"/>
  <c r="I994" i="2"/>
  <c r="I1006" i="2"/>
  <c r="I1014" i="2"/>
  <c r="I1022" i="2"/>
  <c r="I1030" i="2"/>
  <c r="I1038" i="2"/>
  <c r="I1046" i="2"/>
  <c r="I1054" i="2"/>
  <c r="I1062" i="2"/>
  <c r="I1070" i="2"/>
  <c r="I1078" i="2"/>
  <c r="I1086" i="2"/>
  <c r="I1094" i="2"/>
  <c r="I1102" i="2"/>
  <c r="I1110" i="2"/>
  <c r="I1118" i="2"/>
  <c r="I1126" i="2"/>
  <c r="I1130" i="2"/>
  <c r="I1134" i="2"/>
  <c r="I1138" i="2"/>
  <c r="I1142" i="2"/>
  <c r="I1146" i="2"/>
  <c r="I1150" i="2"/>
  <c r="I1154" i="2"/>
  <c r="I1158" i="2"/>
  <c r="I1166" i="2"/>
  <c r="I1170" i="2"/>
  <c r="I1174" i="2"/>
  <c r="I1178" i="2"/>
  <c r="I1182" i="2"/>
  <c r="I1186" i="2"/>
  <c r="I1190" i="2"/>
  <c r="I1194" i="2"/>
  <c r="I1198" i="2"/>
  <c r="I1202" i="2"/>
  <c r="I1206" i="2"/>
  <c r="I1210" i="2"/>
  <c r="I1214" i="2"/>
  <c r="I1218" i="2"/>
  <c r="I1222" i="2"/>
  <c r="I1226" i="2"/>
  <c r="I1230" i="2"/>
  <c r="I1234" i="2"/>
  <c r="I1238" i="2"/>
  <c r="I1242" i="2"/>
  <c r="I1246" i="2"/>
  <c r="I1250" i="2"/>
  <c r="I1254" i="2"/>
  <c r="I1258" i="2"/>
  <c r="I1262" i="2"/>
  <c r="I1266" i="2"/>
  <c r="I1270" i="2"/>
  <c r="I1274" i="2"/>
  <c r="I1278" i="2"/>
  <c r="I1282" i="2"/>
  <c r="I1286" i="2"/>
  <c r="I1290" i="2"/>
  <c r="I1294" i="2"/>
  <c r="I1298" i="2"/>
  <c r="I1302" i="2"/>
  <c r="I1306" i="2"/>
  <c r="I1310" i="2"/>
  <c r="I1314" i="2"/>
  <c r="I1318" i="2"/>
  <c r="I1322" i="2"/>
  <c r="I1326" i="2"/>
  <c r="I1330" i="2"/>
  <c r="I1334" i="2"/>
  <c r="I1338" i="2"/>
  <c r="I1342" i="2"/>
  <c r="I1346" i="2"/>
  <c r="I1350" i="2"/>
  <c r="I1354" i="2"/>
  <c r="I1358" i="2"/>
  <c r="I1362" i="2"/>
  <c r="I1366" i="2"/>
  <c r="I1370" i="2"/>
  <c r="I1374" i="2"/>
  <c r="I1378" i="2"/>
  <c r="I1382" i="2"/>
  <c r="I1386" i="2"/>
  <c r="I1390" i="2"/>
  <c r="I1394" i="2"/>
  <c r="I1398" i="2"/>
  <c r="I1402" i="2"/>
  <c r="I1406" i="2"/>
  <c r="I1410" i="2"/>
  <c r="I1414" i="2"/>
  <c r="I1418" i="2"/>
  <c r="I1422" i="2"/>
  <c r="I1426" i="2"/>
  <c r="I1430" i="2"/>
  <c r="I1434" i="2"/>
  <c r="I1438" i="2"/>
  <c r="I1442" i="2"/>
  <c r="I1446" i="2"/>
  <c r="I1450" i="2"/>
  <c r="I1454" i="2"/>
  <c r="I1458" i="2"/>
  <c r="I1462" i="2"/>
  <c r="I1466" i="2"/>
  <c r="I1470" i="2"/>
  <c r="I1474" i="2"/>
  <c r="I1478" i="2"/>
  <c r="I1482" i="2"/>
  <c r="I1486" i="2"/>
  <c r="I1490" i="2"/>
  <c r="I1494" i="2"/>
  <c r="I1498" i="2"/>
  <c r="I1502" i="2"/>
  <c r="I1506" i="2"/>
  <c r="I1510" i="2"/>
  <c r="I1514" i="2"/>
  <c r="I1518" i="2"/>
  <c r="I1522" i="2"/>
  <c r="I1526" i="2"/>
  <c r="I1530" i="2"/>
  <c r="I1534" i="2"/>
  <c r="I1538" i="2"/>
  <c r="I1542" i="2"/>
  <c r="I1546" i="2"/>
  <c r="I1550" i="2"/>
  <c r="I1554" i="2"/>
  <c r="I1558" i="2"/>
  <c r="I1562" i="2"/>
  <c r="I1566" i="2"/>
  <c r="I1570" i="2"/>
  <c r="I1574" i="2"/>
  <c r="I1578" i="2"/>
  <c r="I1582" i="2"/>
  <c r="I1586" i="2"/>
  <c r="I1590" i="2"/>
  <c r="I1594" i="2"/>
  <c r="I1598" i="2"/>
  <c r="I1602" i="2"/>
  <c r="I1606" i="2"/>
  <c r="I1610" i="2"/>
  <c r="I1614" i="2"/>
  <c r="I1618" i="2"/>
  <c r="I1622" i="2"/>
  <c r="I1626" i="2"/>
  <c r="I1630" i="2"/>
  <c r="I1634" i="2"/>
  <c r="I1638" i="2"/>
  <c r="I1642" i="2"/>
  <c r="I1646" i="2"/>
  <c r="I1650" i="2"/>
  <c r="I1654" i="2"/>
  <c r="I1658" i="2"/>
  <c r="I1662" i="2"/>
  <c r="I1666" i="2"/>
  <c r="I1670" i="2"/>
  <c r="I1674" i="2"/>
  <c r="I1678" i="2"/>
  <c r="I1682" i="2"/>
  <c r="I1686" i="2"/>
  <c r="I1690" i="2"/>
  <c r="I1694" i="2"/>
  <c r="I1698" i="2"/>
  <c r="I1702" i="2"/>
  <c r="I1706" i="2"/>
  <c r="I1710" i="2"/>
  <c r="I1714" i="2"/>
  <c r="I1718" i="2"/>
  <c r="I1722" i="2"/>
  <c r="I1726" i="2"/>
  <c r="I1730" i="2"/>
  <c r="I1734" i="2"/>
  <c r="I1738" i="2"/>
  <c r="I1742" i="2"/>
  <c r="I1746" i="2"/>
  <c r="I1750" i="2"/>
  <c r="I1754" i="2"/>
  <c r="I1758" i="2"/>
  <c r="I1762" i="2"/>
  <c r="I1766" i="2"/>
  <c r="I1770" i="2"/>
  <c r="I1774" i="2"/>
  <c r="I1778" i="2"/>
  <c r="I1782" i="2"/>
  <c r="I1786" i="2"/>
  <c r="I1790" i="2"/>
  <c r="I1794" i="2"/>
  <c r="I1798" i="2"/>
  <c r="I1802" i="2"/>
  <c r="I1806" i="2"/>
  <c r="I1810" i="2"/>
  <c r="I1814" i="2"/>
  <c r="I1818" i="2"/>
  <c r="I1822" i="2"/>
  <c r="I1826" i="2"/>
  <c r="I1830" i="2"/>
  <c r="I1834" i="2"/>
  <c r="I1838" i="2"/>
  <c r="I1842" i="2"/>
  <c r="I12" i="2"/>
  <c r="I24" i="2"/>
  <c r="I36" i="2"/>
  <c r="I48" i="2"/>
  <c r="I56" i="2"/>
  <c r="I68" i="2"/>
  <c r="I80" i="2"/>
  <c r="I92" i="2"/>
  <c r="I104" i="2"/>
  <c r="I108" i="2"/>
  <c r="I116" i="2"/>
  <c r="I124" i="2"/>
  <c r="I132" i="2"/>
  <c r="I144" i="2"/>
  <c r="I156" i="2"/>
  <c r="I168" i="2"/>
  <c r="I176" i="2"/>
  <c r="I188" i="2"/>
  <c r="I200" i="2"/>
  <c r="I212" i="2"/>
  <c r="I220" i="2"/>
  <c r="I232" i="2"/>
  <c r="I244" i="2"/>
  <c r="I252" i="2"/>
  <c r="I264" i="2"/>
  <c r="I276" i="2"/>
  <c r="I288" i="2"/>
  <c r="I300" i="2"/>
  <c r="I316" i="2"/>
  <c r="I328" i="2"/>
  <c r="I340" i="2"/>
  <c r="I348" i="2"/>
  <c r="I364" i="2"/>
  <c r="I376" i="2"/>
  <c r="I388" i="2"/>
  <c r="I400" i="2"/>
  <c r="I412" i="2"/>
  <c r="I420" i="2"/>
  <c r="I432" i="2"/>
  <c r="I444" i="2"/>
  <c r="I452" i="2"/>
  <c r="I464" i="2"/>
  <c r="I480" i="2"/>
  <c r="I492" i="2"/>
  <c r="I504" i="2"/>
  <c r="I516" i="2"/>
  <c r="I528" i="2"/>
  <c r="I540" i="2"/>
  <c r="I548" i="2"/>
  <c r="I560" i="2"/>
  <c r="I568" i="2"/>
  <c r="I576" i="2"/>
  <c r="I580" i="2"/>
  <c r="I4" i="2"/>
  <c r="I13" i="2"/>
  <c r="I21" i="2"/>
  <c r="I33" i="2"/>
  <c r="I45" i="2"/>
  <c r="I53" i="2"/>
  <c r="I65" i="2"/>
  <c r="I77" i="2"/>
  <c r="I10" i="2"/>
  <c r="I18" i="2"/>
  <c r="I26" i="2"/>
  <c r="I34" i="2"/>
  <c r="I38" i="2"/>
  <c r="I46" i="2"/>
  <c r="I54" i="2"/>
  <c r="I62" i="2"/>
  <c r="I70" i="2"/>
  <c r="I78" i="2"/>
  <c r="I86" i="2"/>
  <c r="I94" i="2"/>
  <c r="I102" i="2"/>
  <c r="I110" i="2"/>
  <c r="I118" i="2"/>
  <c r="I126" i="2"/>
  <c r="I134" i="2"/>
  <c r="I142" i="2"/>
  <c r="I150" i="2"/>
  <c r="I158" i="2"/>
  <c r="I166" i="2"/>
  <c r="I174" i="2"/>
  <c r="I182" i="2"/>
  <c r="I190" i="2"/>
  <c r="I198" i="2"/>
  <c r="I206" i="2"/>
  <c r="I214" i="2"/>
  <c r="I222" i="2"/>
  <c r="I230" i="2"/>
  <c r="I238" i="2"/>
  <c r="I246" i="2"/>
  <c r="I254" i="2"/>
  <c r="I262" i="2"/>
  <c r="I270" i="2"/>
  <c r="I278" i="2"/>
  <c r="I286" i="2"/>
  <c r="I294" i="2"/>
  <c r="I302" i="2"/>
  <c r="I310" i="2"/>
  <c r="I318" i="2"/>
  <c r="I326" i="2"/>
  <c r="I334" i="2"/>
  <c r="I342" i="2"/>
  <c r="I350" i="2"/>
  <c r="I358" i="2"/>
  <c r="I366" i="2"/>
  <c r="I374" i="2"/>
  <c r="I382" i="2"/>
  <c r="I390" i="2"/>
  <c r="I398" i="2"/>
  <c r="I406" i="2"/>
  <c r="I414" i="2"/>
  <c r="I422" i="2"/>
  <c r="I430" i="2"/>
  <c r="I438" i="2"/>
  <c r="I446" i="2"/>
  <c r="I454" i="2"/>
  <c r="I462" i="2"/>
  <c r="I470" i="2"/>
  <c r="I478" i="2"/>
  <c r="I486" i="2"/>
  <c r="I494" i="2"/>
  <c r="I502" i="2"/>
  <c r="I510" i="2"/>
  <c r="I518" i="2"/>
  <c r="I526" i="2"/>
  <c r="I534" i="2"/>
  <c r="I542" i="2"/>
  <c r="I550" i="2"/>
  <c r="I558" i="2"/>
  <c r="I566" i="2"/>
  <c r="I574" i="2"/>
  <c r="I582" i="2"/>
  <c r="I590" i="2"/>
  <c r="I598" i="2"/>
  <c r="I606" i="2"/>
  <c r="I614" i="2"/>
  <c r="I622" i="2"/>
  <c r="I630" i="2"/>
  <c r="I638" i="2"/>
  <c r="I646" i="2"/>
  <c r="I654" i="2"/>
  <c r="I662" i="2"/>
  <c r="I670" i="2"/>
  <c r="I678" i="2"/>
  <c r="I686" i="2"/>
  <c r="I694" i="2"/>
  <c r="I702" i="2"/>
  <c r="I710" i="2"/>
  <c r="I718" i="2"/>
  <c r="I726" i="2"/>
  <c r="I734" i="2"/>
  <c r="I742" i="2"/>
  <c r="I746" i="2"/>
  <c r="I754" i="2"/>
  <c r="I762" i="2"/>
  <c r="I770" i="2"/>
  <c r="I778" i="2"/>
  <c r="I786" i="2"/>
  <c r="I794" i="2"/>
  <c r="I802" i="2"/>
  <c r="I814" i="2"/>
  <c r="I822" i="2"/>
  <c r="I830" i="2"/>
  <c r="I838" i="2"/>
  <c r="I842" i="2"/>
  <c r="I850" i="2"/>
  <c r="I862" i="2"/>
  <c r="I870" i="2"/>
  <c r="I878" i="2"/>
  <c r="I886" i="2"/>
  <c r="I894" i="2"/>
  <c r="I898" i="2"/>
  <c r="I910" i="2"/>
  <c r="I918" i="2"/>
  <c r="I926" i="2"/>
  <c r="I934" i="2"/>
  <c r="I942" i="2"/>
  <c r="I950" i="2"/>
  <c r="I958" i="2"/>
  <c r="I962" i="2"/>
  <c r="I974" i="2"/>
  <c r="I982" i="2"/>
  <c r="I990" i="2"/>
  <c r="I998" i="2"/>
  <c r="I1002" i="2"/>
  <c r="I1010" i="2"/>
  <c r="I1018" i="2"/>
  <c r="I1026" i="2"/>
  <c r="I1034" i="2"/>
  <c r="I1042" i="2"/>
  <c r="I1050" i="2"/>
  <c r="I1058" i="2"/>
  <c r="I1066" i="2"/>
  <c r="I1074" i="2"/>
  <c r="I1082" i="2"/>
  <c r="I1090" i="2"/>
  <c r="I1098" i="2"/>
  <c r="I1106" i="2"/>
  <c r="I1114" i="2"/>
  <c r="I1122" i="2"/>
  <c r="I1162" i="2"/>
  <c r="I5" i="2"/>
  <c r="I8" i="2"/>
  <c r="I11" i="2"/>
  <c r="I15" i="2"/>
  <c r="I19" i="2"/>
  <c r="I23" i="2"/>
  <c r="I27" i="2"/>
  <c r="I31" i="2"/>
  <c r="I35" i="2"/>
  <c r="I39" i="2"/>
  <c r="I43" i="2"/>
  <c r="I47" i="2"/>
  <c r="I51" i="2"/>
  <c r="I55" i="2"/>
  <c r="I59" i="2"/>
  <c r="I63" i="2"/>
  <c r="I67" i="2"/>
  <c r="I71" i="2"/>
  <c r="I75" i="2"/>
  <c r="I79" i="2"/>
  <c r="I83" i="2"/>
  <c r="I87" i="2"/>
  <c r="I91" i="2"/>
  <c r="I95" i="2"/>
  <c r="I99" i="2"/>
  <c r="I103" i="2"/>
  <c r="I107" i="2"/>
  <c r="I111" i="2"/>
  <c r="I115" i="2"/>
  <c r="I119" i="2"/>
  <c r="I123" i="2"/>
  <c r="I127" i="2"/>
  <c r="I131" i="2"/>
  <c r="I135" i="2"/>
  <c r="I139" i="2"/>
  <c r="I143" i="2"/>
  <c r="I147" i="2"/>
  <c r="I151" i="2"/>
  <c r="I155" i="2"/>
  <c r="I159" i="2"/>
  <c r="I163" i="2"/>
  <c r="I167" i="2"/>
  <c r="I171" i="2"/>
  <c r="I175" i="2"/>
  <c r="I179" i="2"/>
  <c r="I183" i="2"/>
  <c r="I187" i="2"/>
  <c r="I191" i="2"/>
  <c r="I195" i="2"/>
  <c r="I199" i="2"/>
  <c r="I203" i="2"/>
  <c r="I207" i="2"/>
  <c r="I211" i="2"/>
  <c r="I215" i="2"/>
  <c r="I219" i="2"/>
  <c r="I223" i="2"/>
  <c r="I227" i="2"/>
  <c r="I231" i="2"/>
  <c r="I235" i="2"/>
  <c r="I239" i="2"/>
  <c r="I243" i="2"/>
  <c r="I247" i="2"/>
  <c r="I251" i="2"/>
  <c r="I255" i="2"/>
  <c r="I259" i="2"/>
  <c r="I263" i="2"/>
  <c r="I267" i="2"/>
  <c r="I271" i="2"/>
  <c r="I275" i="2"/>
  <c r="I279" i="2"/>
  <c r="I283" i="2"/>
  <c r="I287" i="2"/>
  <c r="I291" i="2"/>
  <c r="I295" i="2"/>
  <c r="I299" i="2"/>
  <c r="I303" i="2"/>
  <c r="I307" i="2"/>
  <c r="I311" i="2"/>
  <c r="I315" i="2"/>
  <c r="I319" i="2"/>
  <c r="I323" i="2"/>
  <c r="I327" i="2"/>
  <c r="I331" i="2"/>
  <c r="I335" i="2"/>
  <c r="I339" i="2"/>
  <c r="I343" i="2"/>
  <c r="I347" i="2"/>
  <c r="I351" i="2"/>
  <c r="I355" i="2"/>
  <c r="I359" i="2"/>
  <c r="I363" i="2"/>
  <c r="I367" i="2"/>
  <c r="I371" i="2"/>
  <c r="I375" i="2"/>
  <c r="I379" i="2"/>
  <c r="I383" i="2"/>
  <c r="I387" i="2"/>
  <c r="I391" i="2"/>
  <c r="I395" i="2"/>
  <c r="I399" i="2"/>
  <c r="I403" i="2"/>
  <c r="I407" i="2"/>
  <c r="I411" i="2"/>
  <c r="I415" i="2"/>
  <c r="I419" i="2"/>
  <c r="I423" i="2"/>
  <c r="I427" i="2"/>
  <c r="I431" i="2"/>
  <c r="I435" i="2"/>
  <c r="I439" i="2"/>
  <c r="I443" i="2"/>
  <c r="I447" i="2"/>
  <c r="I451" i="2"/>
  <c r="I455" i="2"/>
  <c r="I459" i="2"/>
  <c r="I463" i="2"/>
  <c r="I467" i="2"/>
  <c r="I471" i="2"/>
  <c r="I475" i="2"/>
  <c r="I479" i="2"/>
  <c r="I483" i="2"/>
  <c r="I487" i="2"/>
  <c r="I491" i="2"/>
  <c r="I495" i="2"/>
  <c r="I499" i="2"/>
  <c r="I503" i="2"/>
  <c r="I507" i="2"/>
  <c r="I511" i="2"/>
  <c r="I515" i="2"/>
  <c r="I519" i="2"/>
  <c r="I523" i="2"/>
  <c r="I527" i="2"/>
  <c r="I531" i="2"/>
  <c r="I535" i="2"/>
  <c r="I539" i="2"/>
  <c r="I543" i="2"/>
  <c r="I547" i="2"/>
  <c r="I551" i="2"/>
  <c r="I555" i="2"/>
  <c r="I559" i="2"/>
  <c r="I563" i="2"/>
  <c r="I567" i="2"/>
  <c r="I571" i="2"/>
  <c r="I575" i="2"/>
  <c r="I579" i="2"/>
  <c r="I583" i="2"/>
  <c r="I587" i="2"/>
  <c r="I591" i="2"/>
  <c r="I595" i="2"/>
  <c r="I599" i="2"/>
  <c r="I603" i="2"/>
  <c r="I607" i="2"/>
  <c r="I611" i="2"/>
  <c r="I615" i="2"/>
  <c r="I592" i="2"/>
  <c r="I596" i="2"/>
  <c r="I600" i="2"/>
  <c r="I604" i="2"/>
  <c r="I608" i="2"/>
  <c r="I612" i="2"/>
  <c r="I616" i="2"/>
  <c r="I1145" i="2"/>
  <c r="I1149" i="2"/>
  <c r="I1153" i="2"/>
  <c r="I1157" i="2"/>
  <c r="I1161" i="2"/>
  <c r="I1165" i="2"/>
  <c r="I1169" i="2"/>
  <c r="I1173" i="2"/>
  <c r="I1177" i="2"/>
  <c r="I1181" i="2"/>
  <c r="I1185" i="2"/>
  <c r="I1189" i="2"/>
  <c r="I1193" i="2"/>
  <c r="I1197" i="2"/>
  <c r="I1201" i="2"/>
  <c r="I1205" i="2"/>
  <c r="I1209" i="2"/>
  <c r="I1213" i="2"/>
  <c r="I1217" i="2"/>
  <c r="I1221" i="2"/>
  <c r="I1225" i="2"/>
  <c r="I1229" i="2"/>
  <c r="I1233" i="2"/>
  <c r="I1237" i="2"/>
  <c r="I1241" i="2"/>
  <c r="I1245" i="2"/>
  <c r="I1249" i="2"/>
  <c r="I1253" i="2"/>
  <c r="I1257" i="2"/>
  <c r="I1261" i="2"/>
  <c r="I1265" i="2"/>
  <c r="I1269" i="2"/>
  <c r="I1273" i="2"/>
  <c r="I1277" i="2"/>
  <c r="I1281" i="2"/>
  <c r="I1285" i="2"/>
  <c r="I1289" i="2"/>
  <c r="I1293" i="2"/>
  <c r="I1297" i="2"/>
  <c r="I1301" i="2"/>
  <c r="I1305" i="2"/>
  <c r="I1309" i="2"/>
  <c r="I1313" i="2"/>
  <c r="I1317" i="2"/>
  <c r="I1321" i="2"/>
  <c r="I1325" i="2"/>
  <c r="I1329" i="2"/>
  <c r="I1333" i="2"/>
  <c r="I1337" i="2"/>
  <c r="I1341" i="2"/>
  <c r="I1345" i="2"/>
  <c r="I1349" i="2"/>
  <c r="I1353" i="2"/>
  <c r="I1357" i="2"/>
  <c r="I1361" i="2"/>
  <c r="I1365" i="2"/>
  <c r="I1369" i="2"/>
  <c r="I1373" i="2"/>
  <c r="I1377" i="2"/>
  <c r="I1381" i="2"/>
  <c r="I1385" i="2"/>
  <c r="I1389" i="2"/>
  <c r="I1393" i="2"/>
  <c r="I1397" i="2"/>
  <c r="I1401" i="2"/>
  <c r="I1405" i="2"/>
  <c r="I1409" i="2"/>
  <c r="I1413" i="2"/>
  <c r="I1417" i="2"/>
  <c r="I1421" i="2"/>
  <c r="I1425" i="2"/>
  <c r="I1429" i="2"/>
  <c r="I1433" i="2"/>
  <c r="I1437" i="2"/>
  <c r="I1441" i="2"/>
  <c r="I1445" i="2"/>
  <c r="I1449" i="2"/>
  <c r="I1453" i="2"/>
  <c r="I1457" i="2"/>
  <c r="I1461" i="2"/>
  <c r="I1465" i="2"/>
  <c r="I1469" i="2"/>
  <c r="I1473" i="2"/>
  <c r="I1477" i="2"/>
  <c r="I1481" i="2"/>
  <c r="I1485" i="2"/>
  <c r="I1489" i="2"/>
  <c r="I1493" i="2"/>
  <c r="I1497" i="2"/>
  <c r="I1501" i="2"/>
  <c r="I1505" i="2"/>
  <c r="I1509" i="2"/>
  <c r="I1513" i="2"/>
  <c r="I1517" i="2"/>
  <c r="I1521" i="2"/>
  <c r="I1525" i="2"/>
  <c r="I1529" i="2"/>
  <c r="I1533" i="2"/>
  <c r="I1537" i="2"/>
  <c r="I1541" i="2"/>
  <c r="I1545" i="2"/>
  <c r="I1549" i="2"/>
  <c r="I1553" i="2"/>
  <c r="I1557" i="2"/>
  <c r="I1561" i="2"/>
  <c r="I1565" i="2"/>
  <c r="I1569" i="2"/>
  <c r="I1573" i="2"/>
  <c r="I1577" i="2"/>
  <c r="I1581" i="2"/>
  <c r="I1585" i="2"/>
  <c r="I1589" i="2"/>
  <c r="I1593" i="2"/>
  <c r="I1597" i="2"/>
  <c r="I1601" i="2"/>
  <c r="I1605" i="2"/>
  <c r="I1609" i="2"/>
  <c r="I1613" i="2"/>
  <c r="I1617" i="2"/>
  <c r="I1621" i="2"/>
  <c r="I1625" i="2"/>
  <c r="I1629" i="2"/>
  <c r="I1633" i="2"/>
  <c r="I1637" i="2"/>
  <c r="I1641" i="2"/>
  <c r="I1645" i="2"/>
  <c r="I1649" i="2"/>
  <c r="I1653" i="2"/>
  <c r="I1657" i="2"/>
  <c r="I1661" i="2"/>
  <c r="I1665" i="2"/>
  <c r="I1669" i="2"/>
  <c r="I1673" i="2"/>
  <c r="I1677" i="2"/>
  <c r="I1681" i="2"/>
  <c r="I1685" i="2"/>
  <c r="I1689" i="2"/>
  <c r="I1693" i="2"/>
  <c r="I1697" i="2"/>
  <c r="I1701" i="2"/>
  <c r="I1705" i="2"/>
  <c r="I1709" i="2"/>
  <c r="I1713" i="2"/>
  <c r="I1717" i="2"/>
  <c r="I1721" i="2"/>
  <c r="I1725" i="2"/>
  <c r="I1729" i="2"/>
  <c r="I1733" i="2"/>
  <c r="I1737" i="2"/>
  <c r="I1741" i="2"/>
  <c r="I1745" i="2"/>
  <c r="I1749" i="2"/>
  <c r="I1753" i="2"/>
  <c r="I1757" i="2"/>
  <c r="I1761" i="2"/>
  <c r="I1765" i="2"/>
  <c r="I1769" i="2"/>
  <c r="I1773" i="2"/>
  <c r="I1777" i="2"/>
  <c r="I1781" i="2"/>
  <c r="I1785" i="2"/>
  <c r="I1789" i="2"/>
  <c r="I1793" i="2"/>
  <c r="I1797" i="2"/>
  <c r="I1801" i="2"/>
  <c r="I1805" i="2"/>
  <c r="I1809" i="2"/>
  <c r="I1813" i="2"/>
  <c r="I1817" i="2"/>
  <c r="I1821" i="2"/>
  <c r="I1825" i="2"/>
  <c r="I1829" i="2"/>
  <c r="I1833" i="2"/>
  <c r="I1837" i="2"/>
  <c r="I1841" i="2"/>
  <c r="I1845" i="2"/>
  <c r="I1849" i="2"/>
  <c r="I1853" i="2"/>
  <c r="I1857" i="2"/>
  <c r="I1861" i="2"/>
  <c r="I1865" i="2"/>
  <c r="I1869" i="2"/>
  <c r="I1873" i="2"/>
  <c r="I1877" i="2"/>
  <c r="I1881" i="2"/>
  <c r="I1885" i="2"/>
  <c r="I1889" i="2"/>
  <c r="I1893" i="2"/>
  <c r="I1897" i="2"/>
  <c r="I1901" i="2"/>
  <c r="I1905" i="2"/>
  <c r="I1909" i="2"/>
  <c r="I1913" i="2"/>
  <c r="I1917" i="2"/>
  <c r="I1921" i="2"/>
  <c r="I1925" i="2"/>
  <c r="I1929" i="2"/>
  <c r="I1933" i="2"/>
  <c r="I1937" i="2"/>
  <c r="I1941" i="2"/>
  <c r="I1945" i="2"/>
  <c r="I1949" i="2"/>
  <c r="I1953" i="2"/>
  <c r="I1957" i="2"/>
  <c r="I1961" i="2"/>
  <c r="I1965" i="2"/>
  <c r="I1969" i="2"/>
  <c r="I1973" i="2"/>
  <c r="I1977" i="2"/>
  <c r="I1981" i="2"/>
  <c r="I1985" i="2"/>
  <c r="I1989" i="2"/>
  <c r="I1993" i="2"/>
  <c r="I1997" i="2"/>
  <c r="I2001" i="2"/>
  <c r="I2005" i="2"/>
  <c r="I2009" i="2"/>
  <c r="I2013" i="2"/>
  <c r="I2017" i="2"/>
  <c r="I2021" i="2"/>
  <c r="I2025" i="2"/>
  <c r="I2029" i="2"/>
  <c r="I2033" i="2"/>
  <c r="I2037" i="2"/>
  <c r="I2041" i="2"/>
  <c r="I2045" i="2"/>
  <c r="I2049" i="2"/>
  <c r="I2053" i="2"/>
  <c r="I2057" i="2"/>
  <c r="I2061" i="2"/>
  <c r="I2065" i="2"/>
  <c r="I2069" i="2"/>
  <c r="I2073" i="2"/>
  <c r="I2077" i="2"/>
  <c r="I2081" i="2"/>
  <c r="I2085" i="2"/>
  <c r="I2089" i="2"/>
  <c r="I2093" i="2"/>
  <c r="I2097" i="2"/>
  <c r="I2101" i="2"/>
  <c r="I2105" i="2"/>
  <c r="I2109" i="2"/>
  <c r="I2113" i="2"/>
  <c r="I2117" i="2"/>
  <c r="I2121" i="2"/>
  <c r="I2125" i="2"/>
  <c r="I2129" i="2"/>
  <c r="I2133" i="2"/>
  <c r="I2137" i="2"/>
  <c r="I2141" i="2"/>
  <c r="I2145" i="2"/>
  <c r="I2149" i="2"/>
  <c r="I2153" i="2"/>
  <c r="I2157" i="2"/>
  <c r="I1846" i="2"/>
  <c r="I1850" i="2"/>
  <c r="I1854" i="2"/>
  <c r="I1858" i="2"/>
  <c r="I1862" i="2"/>
  <c r="I1866" i="2"/>
  <c r="I1870" i="2"/>
  <c r="I1874" i="2"/>
  <c r="I1878" i="2"/>
  <c r="I1882" i="2"/>
  <c r="I1886" i="2"/>
  <c r="I1890" i="2"/>
  <c r="I1894" i="2"/>
  <c r="I1898" i="2"/>
  <c r="I1902" i="2"/>
  <c r="I1906" i="2"/>
  <c r="I1910" i="2"/>
  <c r="I1914" i="2"/>
  <c r="I1918" i="2"/>
  <c r="I1922" i="2"/>
  <c r="I1926" i="2"/>
  <c r="I1930" i="2"/>
  <c r="I1934" i="2"/>
  <c r="I1938" i="2"/>
  <c r="I1942" i="2"/>
  <c r="I1946" i="2"/>
  <c r="I1950" i="2"/>
  <c r="I1954" i="2"/>
  <c r="I1958" i="2"/>
  <c r="I1962" i="2"/>
  <c r="I1966" i="2"/>
  <c r="I1970" i="2"/>
  <c r="I1974" i="2"/>
  <c r="I1978" i="2"/>
  <c r="I1982" i="2"/>
  <c r="I1986" i="2"/>
  <c r="I1990" i="2"/>
  <c r="I1994" i="2"/>
  <c r="I1998" i="2"/>
  <c r="I2002" i="2"/>
  <c r="I2006" i="2"/>
  <c r="I2010" i="2"/>
  <c r="I2014" i="2"/>
  <c r="I2018" i="2"/>
  <c r="I2022" i="2"/>
  <c r="I2026" i="2"/>
  <c r="I2030" i="2"/>
  <c r="I2034" i="2"/>
  <c r="I2038" i="2"/>
  <c r="I2042" i="2"/>
  <c r="I2046" i="2"/>
  <c r="I2050" i="2"/>
  <c r="I2054" i="2"/>
  <c r="I2058" i="2"/>
  <c r="I2062" i="2"/>
  <c r="I2066" i="2"/>
  <c r="I2070" i="2"/>
  <c r="I2074" i="2"/>
  <c r="I2078" i="2"/>
  <c r="I2082" i="2"/>
  <c r="I2086" i="2"/>
  <c r="I2090" i="2"/>
  <c r="I2094" i="2"/>
  <c r="I2098" i="2"/>
  <c r="I2102" i="2"/>
  <c r="I2106" i="2"/>
  <c r="I2110" i="2"/>
  <c r="I2114" i="2"/>
  <c r="I2118" i="2"/>
  <c r="I2122" i="2"/>
  <c r="I2126" i="2"/>
  <c r="I2130" i="2"/>
  <c r="I2134" i="2"/>
  <c r="I2138" i="2"/>
  <c r="I2142" i="2"/>
  <c r="I2146" i="2"/>
  <c r="I2150" i="2"/>
  <c r="I2154" i="2"/>
  <c r="I2158" i="2"/>
  <c r="I619" i="2"/>
  <c r="I623" i="2"/>
  <c r="I627" i="2"/>
  <c r="I631" i="2"/>
  <c r="I635" i="2"/>
  <c r="I639" i="2"/>
  <c r="I643" i="2"/>
  <c r="I647" i="2"/>
  <c r="I651" i="2"/>
  <c r="I655" i="2"/>
  <c r="I659" i="2"/>
  <c r="I663" i="2"/>
  <c r="I667" i="2"/>
  <c r="I671" i="2"/>
  <c r="I675" i="2"/>
  <c r="I679" i="2"/>
  <c r="I683" i="2"/>
  <c r="I687" i="2"/>
  <c r="I691" i="2"/>
  <c r="I695" i="2"/>
  <c r="I699" i="2"/>
  <c r="I703" i="2"/>
  <c r="I707" i="2"/>
  <c r="I711" i="2"/>
  <c r="I715" i="2"/>
  <c r="I719" i="2"/>
  <c r="I723" i="2"/>
  <c r="I727" i="2"/>
  <c r="I731" i="2"/>
  <c r="I735" i="2"/>
  <c r="I739" i="2"/>
  <c r="I743" i="2"/>
  <c r="I747" i="2"/>
  <c r="I751" i="2"/>
  <c r="I755" i="2"/>
  <c r="I759" i="2"/>
  <c r="I763" i="2"/>
  <c r="I767" i="2"/>
  <c r="I771" i="2"/>
  <c r="I775" i="2"/>
  <c r="I779" i="2"/>
  <c r="I783" i="2"/>
  <c r="I787" i="2"/>
  <c r="I791" i="2"/>
  <c r="I795" i="2"/>
  <c r="I799" i="2"/>
  <c r="I803" i="2"/>
  <c r="I807" i="2"/>
  <c r="I811" i="2"/>
  <c r="I815" i="2"/>
  <c r="I819" i="2"/>
  <c r="I823" i="2"/>
  <c r="I827" i="2"/>
  <c r="I831" i="2"/>
  <c r="I835" i="2"/>
  <c r="I839" i="2"/>
  <c r="I843" i="2"/>
  <c r="I847" i="2"/>
  <c r="I851" i="2"/>
  <c r="I855" i="2"/>
  <c r="I859" i="2"/>
  <c r="I863" i="2"/>
  <c r="I867" i="2"/>
  <c r="I871" i="2"/>
  <c r="I875" i="2"/>
  <c r="I879" i="2"/>
  <c r="I883" i="2"/>
  <c r="I887" i="2"/>
  <c r="I891" i="2"/>
  <c r="I895" i="2"/>
  <c r="I899" i="2"/>
  <c r="I903" i="2"/>
  <c r="I907" i="2"/>
  <c r="I911" i="2"/>
  <c r="I915" i="2"/>
  <c r="I919" i="2"/>
  <c r="I923" i="2"/>
  <c r="I927" i="2"/>
  <c r="I931" i="2"/>
  <c r="I935" i="2"/>
  <c r="I939" i="2"/>
  <c r="I943" i="2"/>
  <c r="I947" i="2"/>
  <c r="I951" i="2"/>
  <c r="I955" i="2"/>
  <c r="I959" i="2"/>
  <c r="I963" i="2"/>
  <c r="I967" i="2"/>
  <c r="I971" i="2"/>
  <c r="I975" i="2"/>
  <c r="I979" i="2"/>
  <c r="I983" i="2"/>
  <c r="I987" i="2"/>
  <c r="I991" i="2"/>
  <c r="I995" i="2"/>
  <c r="I999" i="2"/>
  <c r="I1003" i="2"/>
  <c r="I1007" i="2"/>
  <c r="I1011" i="2"/>
  <c r="I1015" i="2"/>
  <c r="I1019" i="2"/>
  <c r="I1023" i="2"/>
  <c r="I1027" i="2"/>
  <c r="I1031" i="2"/>
  <c r="I1035" i="2"/>
  <c r="I1039" i="2"/>
  <c r="I1043" i="2"/>
  <c r="I1047" i="2"/>
  <c r="I1051" i="2"/>
  <c r="I1055" i="2"/>
  <c r="I1059" i="2"/>
  <c r="I1063" i="2"/>
  <c r="I1067" i="2"/>
  <c r="I1071" i="2"/>
  <c r="I1075" i="2"/>
  <c r="I1079" i="2"/>
  <c r="I1083" i="2"/>
  <c r="I1087" i="2"/>
  <c r="I1091" i="2"/>
  <c r="I1095" i="2"/>
  <c r="I1099" i="2"/>
  <c r="I1103" i="2"/>
  <c r="I1107" i="2"/>
  <c r="I1111" i="2"/>
  <c r="I1115" i="2"/>
  <c r="I1119" i="2"/>
  <c r="I1123" i="2"/>
  <c r="I1127" i="2"/>
  <c r="I1131" i="2"/>
  <c r="I1135" i="2"/>
  <c r="I1139" i="2"/>
  <c r="I1143" i="2"/>
  <c r="I1147" i="2"/>
  <c r="I1151" i="2"/>
  <c r="I1155" i="2"/>
  <c r="I1159" i="2"/>
  <c r="I1163" i="2"/>
  <c r="I1167" i="2"/>
  <c r="I1171" i="2"/>
  <c r="I1175" i="2"/>
  <c r="I1179" i="2"/>
  <c r="I1183" i="2"/>
  <c r="I1187" i="2"/>
  <c r="I1191" i="2"/>
  <c r="I1195" i="2"/>
  <c r="I1199" i="2"/>
  <c r="I1203" i="2"/>
  <c r="I1207" i="2"/>
  <c r="I1211" i="2"/>
  <c r="I1215" i="2"/>
  <c r="I1219" i="2"/>
  <c r="I1223" i="2"/>
  <c r="I1227" i="2"/>
  <c r="I1231" i="2"/>
  <c r="I1235" i="2"/>
  <c r="I1239" i="2"/>
  <c r="I1243" i="2"/>
  <c r="I1247" i="2"/>
  <c r="I1251" i="2"/>
  <c r="I1255" i="2"/>
  <c r="I1259" i="2"/>
  <c r="I1263" i="2"/>
  <c r="I1267" i="2"/>
  <c r="I1271" i="2"/>
  <c r="I1275" i="2"/>
  <c r="I1279" i="2"/>
  <c r="I1283" i="2"/>
  <c r="I1287" i="2"/>
  <c r="I1291" i="2"/>
  <c r="I1295" i="2"/>
  <c r="I1299" i="2"/>
  <c r="I1303" i="2"/>
  <c r="I1307" i="2"/>
  <c r="I1311" i="2"/>
  <c r="I1315" i="2"/>
  <c r="I1319" i="2"/>
  <c r="I1323" i="2"/>
  <c r="I1327" i="2"/>
  <c r="I1331" i="2"/>
  <c r="I1335" i="2"/>
  <c r="I1339" i="2"/>
  <c r="I1343" i="2"/>
  <c r="I1347" i="2"/>
  <c r="I1351" i="2"/>
  <c r="I1355" i="2"/>
  <c r="I1359" i="2"/>
  <c r="I1363" i="2"/>
  <c r="I1367" i="2"/>
  <c r="I1371" i="2"/>
  <c r="I1375" i="2"/>
  <c r="I1379" i="2"/>
  <c r="I1383" i="2"/>
  <c r="I1387" i="2"/>
  <c r="I1391" i="2"/>
  <c r="I1395" i="2"/>
  <c r="I1399" i="2"/>
  <c r="I1403" i="2"/>
  <c r="I1407" i="2"/>
  <c r="I1411" i="2"/>
  <c r="I1415" i="2"/>
  <c r="I1419" i="2"/>
  <c r="I1423" i="2"/>
  <c r="I1427" i="2"/>
  <c r="I1431" i="2"/>
  <c r="I1435" i="2"/>
  <c r="I1439" i="2"/>
  <c r="I1443" i="2"/>
  <c r="I1447" i="2"/>
  <c r="I1451" i="2"/>
  <c r="I1455" i="2"/>
  <c r="I1459" i="2"/>
  <c r="I1463" i="2"/>
  <c r="I1467" i="2"/>
  <c r="I1471" i="2"/>
  <c r="I1475" i="2"/>
  <c r="I1479" i="2"/>
  <c r="I1483" i="2"/>
  <c r="I1487" i="2"/>
  <c r="I1491" i="2"/>
  <c r="I1495" i="2"/>
  <c r="I1499" i="2"/>
  <c r="I1503" i="2"/>
  <c r="I1507" i="2"/>
  <c r="I1511" i="2"/>
  <c r="I1515" i="2"/>
  <c r="I1519" i="2"/>
  <c r="I1523" i="2"/>
  <c r="I1527" i="2"/>
  <c r="I1531" i="2"/>
  <c r="I1535" i="2"/>
  <c r="I1539" i="2"/>
  <c r="I1543" i="2"/>
  <c r="I1547" i="2"/>
  <c r="I1551" i="2"/>
  <c r="I1555" i="2"/>
  <c r="I1559" i="2"/>
  <c r="I1563" i="2"/>
  <c r="I1567" i="2"/>
  <c r="I1571" i="2"/>
  <c r="I1575" i="2"/>
  <c r="I1579" i="2"/>
  <c r="I1583" i="2"/>
  <c r="I1587" i="2"/>
  <c r="I1591" i="2"/>
  <c r="I1595" i="2"/>
  <c r="I1599" i="2"/>
  <c r="I1603" i="2"/>
  <c r="I1607" i="2"/>
  <c r="I1611" i="2"/>
  <c r="I1615" i="2"/>
  <c r="I1619" i="2"/>
  <c r="I1623" i="2"/>
  <c r="I1627" i="2"/>
  <c r="I1631" i="2"/>
  <c r="I1635" i="2"/>
  <c r="I1639" i="2"/>
  <c r="I1643" i="2"/>
  <c r="I1647" i="2"/>
  <c r="I1651" i="2"/>
  <c r="I1655" i="2"/>
  <c r="I1659" i="2"/>
  <c r="I1663" i="2"/>
  <c r="I1667" i="2"/>
  <c r="I1671" i="2"/>
  <c r="I1675" i="2"/>
  <c r="I1679" i="2"/>
  <c r="I1683" i="2"/>
  <c r="I1687" i="2"/>
  <c r="I1691" i="2"/>
  <c r="I1695" i="2"/>
  <c r="I1699" i="2"/>
  <c r="I1703" i="2"/>
  <c r="I1707" i="2"/>
  <c r="I1711" i="2"/>
  <c r="I1715" i="2"/>
  <c r="I1719" i="2"/>
  <c r="I1723" i="2"/>
  <c r="I1727" i="2"/>
  <c r="I1731" i="2"/>
  <c r="I1735" i="2"/>
  <c r="I1739" i="2"/>
  <c r="I1743" i="2"/>
  <c r="I1747" i="2"/>
  <c r="I1751" i="2"/>
  <c r="I1755" i="2"/>
  <c r="I1759" i="2"/>
  <c r="I1763" i="2"/>
  <c r="I1767" i="2"/>
  <c r="I1771" i="2"/>
  <c r="I1775" i="2"/>
  <c r="I1779" i="2"/>
  <c r="I1783" i="2"/>
  <c r="I1787" i="2"/>
  <c r="I1791" i="2"/>
  <c r="I1795" i="2"/>
  <c r="I1799" i="2"/>
  <c r="I1803" i="2"/>
  <c r="I1807" i="2"/>
  <c r="I1811" i="2"/>
  <c r="I1815" i="2"/>
  <c r="I1819" i="2"/>
  <c r="I1823" i="2"/>
  <c r="I1827" i="2"/>
  <c r="I1831" i="2"/>
  <c r="I1835" i="2"/>
  <c r="I1839" i="2"/>
  <c r="I1843" i="2"/>
  <c r="I1847" i="2"/>
  <c r="I1851" i="2"/>
  <c r="I1855" i="2"/>
  <c r="I1859" i="2"/>
  <c r="I1863" i="2"/>
  <c r="I1867" i="2"/>
  <c r="I1871" i="2"/>
  <c r="I1875" i="2"/>
  <c r="I1879" i="2"/>
  <c r="I1883" i="2"/>
  <c r="I1887" i="2"/>
  <c r="I1891" i="2"/>
  <c r="I1895" i="2"/>
  <c r="I1899" i="2"/>
  <c r="I1903" i="2"/>
  <c r="I1907" i="2"/>
  <c r="I1911" i="2"/>
  <c r="I1915" i="2"/>
  <c r="I1919" i="2"/>
  <c r="I1923" i="2"/>
  <c r="I1927" i="2"/>
  <c r="I1931" i="2"/>
  <c r="I1935" i="2"/>
  <c r="I1939" i="2"/>
  <c r="I1943" i="2"/>
  <c r="I1947" i="2"/>
  <c r="I1951" i="2"/>
  <c r="I1955" i="2"/>
  <c r="I1959" i="2"/>
  <c r="I1963" i="2"/>
  <c r="I1967" i="2"/>
  <c r="I1971" i="2"/>
  <c r="I1975" i="2"/>
  <c r="I1979" i="2"/>
  <c r="I1983" i="2"/>
  <c r="I1987" i="2"/>
  <c r="I1991" i="2"/>
  <c r="I1995" i="2"/>
  <c r="I1999" i="2"/>
  <c r="I2003" i="2"/>
  <c r="I2007" i="2"/>
  <c r="I2011" i="2"/>
  <c r="I2015" i="2"/>
  <c r="I2019" i="2"/>
  <c r="I2023" i="2"/>
  <c r="I2027" i="2"/>
  <c r="I2031" i="2"/>
  <c r="I2035" i="2"/>
  <c r="I2039" i="2"/>
  <c r="I2043" i="2"/>
  <c r="I2047" i="2"/>
  <c r="I2051" i="2"/>
  <c r="I2055" i="2"/>
  <c r="I2059" i="2"/>
  <c r="I2063" i="2"/>
  <c r="I2067" i="2"/>
  <c r="I2071" i="2"/>
  <c r="I2075" i="2"/>
  <c r="I2079" i="2"/>
  <c r="I2083" i="2"/>
  <c r="I2087" i="2"/>
  <c r="I2091" i="2"/>
  <c r="I2095" i="2"/>
  <c r="I2099" i="2"/>
  <c r="I2103" i="2"/>
  <c r="I2107" i="2"/>
  <c r="I2111" i="2"/>
  <c r="I2115" i="2"/>
  <c r="I2119" i="2"/>
  <c r="I2123" i="2"/>
  <c r="I2127" i="2"/>
  <c r="I2131" i="2"/>
  <c r="I2135" i="2"/>
  <c r="I2139" i="2"/>
  <c r="I2143" i="2"/>
  <c r="I2147" i="2"/>
  <c r="I2151" i="2"/>
  <c r="I2155" i="2"/>
  <c r="I2159" i="2"/>
  <c r="I620" i="2"/>
  <c r="I624" i="2"/>
  <c r="I628" i="2"/>
  <c r="I632" i="2"/>
  <c r="I636" i="2"/>
  <c r="I640" i="2"/>
  <c r="I644" i="2"/>
  <c r="I648" i="2"/>
  <c r="I652" i="2"/>
  <c r="I656" i="2"/>
  <c r="I660" i="2"/>
  <c r="I664" i="2"/>
  <c r="I668" i="2"/>
  <c r="I672" i="2"/>
  <c r="I676" i="2"/>
  <c r="I680" i="2"/>
  <c r="I684" i="2"/>
  <c r="I688" i="2"/>
  <c r="I692" i="2"/>
  <c r="I696" i="2"/>
  <c r="I700" i="2"/>
  <c r="I704" i="2"/>
  <c r="I708" i="2"/>
  <c r="I712" i="2"/>
  <c r="I716" i="2"/>
  <c r="I720" i="2"/>
  <c r="I724" i="2"/>
  <c r="I728" i="2"/>
  <c r="I732" i="2"/>
  <c r="I736" i="2"/>
  <c r="I740" i="2"/>
  <c r="I744" i="2"/>
  <c r="I748" i="2"/>
  <c r="I752" i="2"/>
  <c r="I756" i="2"/>
  <c r="I760" i="2"/>
  <c r="I764" i="2"/>
  <c r="I768" i="2"/>
  <c r="I772" i="2"/>
  <c r="I776" i="2"/>
  <c r="I780" i="2"/>
  <c r="I784" i="2"/>
  <c r="I788" i="2"/>
  <c r="I792" i="2"/>
  <c r="I796" i="2"/>
  <c r="I800" i="2"/>
  <c r="I804" i="2"/>
  <c r="I808" i="2"/>
  <c r="I812" i="2"/>
  <c r="I816" i="2"/>
  <c r="I820" i="2"/>
  <c r="I824" i="2"/>
  <c r="I828" i="2"/>
  <c r="I832" i="2"/>
  <c r="I836" i="2"/>
  <c r="I840" i="2"/>
  <c r="I844" i="2"/>
  <c r="I848" i="2"/>
  <c r="I852" i="2"/>
  <c r="I856" i="2"/>
  <c r="I860" i="2"/>
  <c r="I864" i="2"/>
  <c r="I868" i="2"/>
  <c r="I872" i="2"/>
  <c r="I876" i="2"/>
  <c r="I880" i="2"/>
  <c r="I884" i="2"/>
  <c r="I888" i="2"/>
  <c r="I892" i="2"/>
  <c r="I896" i="2"/>
  <c r="I900" i="2"/>
  <c r="I904" i="2"/>
  <c r="I908" i="2"/>
  <c r="I912" i="2"/>
  <c r="I916" i="2"/>
  <c r="I920" i="2"/>
  <c r="I924" i="2"/>
  <c r="I928" i="2"/>
  <c r="I932" i="2"/>
  <c r="I936" i="2"/>
  <c r="I940" i="2"/>
  <c r="I944" i="2"/>
  <c r="I948" i="2"/>
  <c r="I952" i="2"/>
  <c r="I956" i="2"/>
  <c r="I960" i="2"/>
  <c r="I964" i="2"/>
  <c r="I968" i="2"/>
  <c r="I972" i="2"/>
  <c r="I976" i="2"/>
  <c r="I980" i="2"/>
  <c r="I984" i="2"/>
  <c r="I988" i="2"/>
  <c r="I992" i="2"/>
  <c r="I996" i="2"/>
  <c r="I1000" i="2"/>
  <c r="I1004" i="2"/>
  <c r="I1008" i="2"/>
  <c r="I1012" i="2"/>
  <c r="I1016" i="2"/>
  <c r="I1020" i="2"/>
  <c r="I1024" i="2"/>
  <c r="I1028" i="2"/>
  <c r="I1032" i="2"/>
  <c r="I1036" i="2"/>
  <c r="I1040" i="2"/>
  <c r="I1044" i="2"/>
  <c r="I1048" i="2"/>
  <c r="I1052" i="2"/>
  <c r="I1056" i="2"/>
  <c r="I1060" i="2"/>
  <c r="I1064" i="2"/>
  <c r="I1068" i="2"/>
  <c r="I1072" i="2"/>
  <c r="I1076" i="2"/>
  <c r="I1080" i="2"/>
  <c r="I1084" i="2"/>
  <c r="I1088" i="2"/>
  <c r="I1092" i="2"/>
  <c r="I1096" i="2"/>
  <c r="I1100" i="2"/>
  <c r="I1104" i="2"/>
  <c r="I1108" i="2"/>
  <c r="I1112" i="2"/>
  <c r="I1116" i="2"/>
  <c r="I1120" i="2"/>
  <c r="I1124" i="2"/>
  <c r="I1128" i="2"/>
  <c r="I1132" i="2"/>
  <c r="I1136" i="2"/>
  <c r="I1140" i="2"/>
  <c r="I1144" i="2"/>
  <c r="I1148" i="2"/>
  <c r="I1152" i="2"/>
  <c r="I1156" i="2"/>
  <c r="I1160" i="2"/>
  <c r="I1164" i="2"/>
  <c r="I1168" i="2"/>
  <c r="I1172" i="2"/>
  <c r="I1176" i="2"/>
  <c r="I1180" i="2"/>
  <c r="I1184" i="2"/>
  <c r="I1188" i="2"/>
  <c r="I1192" i="2"/>
  <c r="I1196" i="2"/>
  <c r="I1200" i="2"/>
  <c r="I1204" i="2"/>
  <c r="I1208" i="2"/>
  <c r="I1212" i="2"/>
  <c r="I1216" i="2"/>
  <c r="I1220" i="2"/>
  <c r="I1224" i="2"/>
  <c r="I1228" i="2"/>
  <c r="I1232" i="2"/>
  <c r="I1236" i="2"/>
  <c r="I1240" i="2"/>
  <c r="I1244" i="2"/>
  <c r="I1248" i="2"/>
  <c r="I1252" i="2"/>
  <c r="I1256" i="2"/>
  <c r="I1260" i="2"/>
  <c r="I1264" i="2"/>
  <c r="I1268" i="2"/>
  <c r="I1272" i="2"/>
  <c r="I1276" i="2"/>
  <c r="I1280" i="2"/>
  <c r="I1284" i="2"/>
  <c r="I1288" i="2"/>
  <c r="I1292" i="2"/>
  <c r="I1296" i="2"/>
  <c r="I1300" i="2"/>
  <c r="I1304" i="2"/>
  <c r="I1308" i="2"/>
  <c r="I1312" i="2"/>
  <c r="I1316" i="2"/>
  <c r="I1320" i="2"/>
  <c r="I1324" i="2"/>
  <c r="I1328" i="2"/>
  <c r="I1332" i="2"/>
  <c r="I1336" i="2"/>
  <c r="I1340" i="2"/>
  <c r="I1344" i="2"/>
  <c r="I1348" i="2"/>
  <c r="I1352" i="2"/>
  <c r="I1356" i="2"/>
  <c r="I1360" i="2"/>
  <c r="I1364" i="2"/>
  <c r="I1368" i="2"/>
  <c r="I1372" i="2"/>
  <c r="I1376" i="2"/>
  <c r="I1380" i="2"/>
  <c r="I1384" i="2"/>
  <c r="I1388" i="2"/>
  <c r="I1392" i="2"/>
  <c r="I1396" i="2"/>
  <c r="I1400" i="2"/>
  <c r="I1404" i="2"/>
  <c r="I1408" i="2"/>
  <c r="I1412" i="2"/>
  <c r="I1416" i="2"/>
  <c r="I1420" i="2"/>
  <c r="I1424" i="2"/>
  <c r="I1428" i="2"/>
  <c r="I1432" i="2"/>
  <c r="I1436" i="2"/>
  <c r="I1440" i="2"/>
  <c r="I1444" i="2"/>
  <c r="I1448" i="2"/>
  <c r="I1452" i="2"/>
  <c r="I1456" i="2"/>
  <c r="I1460" i="2"/>
  <c r="I1464" i="2"/>
  <c r="I1468" i="2"/>
  <c r="I1472" i="2"/>
  <c r="I1476" i="2"/>
  <c r="I1480" i="2"/>
  <c r="I1484" i="2"/>
  <c r="I1488" i="2"/>
  <c r="I1492" i="2"/>
  <c r="I1496" i="2"/>
  <c r="I1500" i="2"/>
  <c r="I1504" i="2"/>
  <c r="I1508" i="2"/>
  <c r="I1512" i="2"/>
  <c r="I1516" i="2"/>
  <c r="I1520" i="2"/>
  <c r="I1524" i="2"/>
  <c r="I1528" i="2"/>
  <c r="I1532" i="2"/>
  <c r="I1536" i="2"/>
  <c r="I1540" i="2"/>
  <c r="I1544" i="2"/>
  <c r="I1548" i="2"/>
  <c r="I1552" i="2"/>
  <c r="I1556" i="2"/>
  <c r="I1560" i="2"/>
  <c r="I1564" i="2"/>
  <c r="I1568" i="2"/>
  <c r="I1572" i="2"/>
  <c r="I1576" i="2"/>
  <c r="I1580" i="2"/>
  <c r="I1584" i="2"/>
  <c r="I1588" i="2"/>
  <c r="I1592" i="2"/>
  <c r="I1596" i="2"/>
  <c r="I1600" i="2"/>
  <c r="I1604" i="2"/>
  <c r="I1608" i="2"/>
  <c r="I1612" i="2"/>
  <c r="I1616" i="2"/>
  <c r="I1620" i="2"/>
  <c r="I1624" i="2"/>
  <c r="I1628" i="2"/>
  <c r="I1632" i="2"/>
  <c r="I1636" i="2"/>
  <c r="I1640" i="2"/>
  <c r="I1644" i="2"/>
  <c r="I1648" i="2"/>
  <c r="I1652" i="2"/>
  <c r="I1656" i="2"/>
  <c r="I1660" i="2"/>
  <c r="I1664" i="2"/>
  <c r="I1668" i="2"/>
  <c r="I1672" i="2"/>
  <c r="I1676" i="2"/>
  <c r="I1680" i="2"/>
  <c r="I1684" i="2"/>
  <c r="I1688" i="2"/>
  <c r="I1692" i="2"/>
  <c r="I1696" i="2"/>
  <c r="I1700" i="2"/>
  <c r="I1704" i="2"/>
  <c r="I1708" i="2"/>
  <c r="I1712" i="2"/>
  <c r="I1716" i="2"/>
  <c r="I1720" i="2"/>
  <c r="I1724" i="2"/>
  <c r="I1728" i="2"/>
  <c r="I1732" i="2"/>
  <c r="I1736" i="2"/>
  <c r="I1740" i="2"/>
  <c r="I1744" i="2"/>
  <c r="I1748" i="2"/>
  <c r="I1752" i="2"/>
  <c r="I1756" i="2"/>
  <c r="I1760" i="2"/>
  <c r="I1764" i="2"/>
  <c r="I1768" i="2"/>
  <c r="I1772" i="2"/>
  <c r="I1776" i="2"/>
  <c r="I1780" i="2"/>
  <c r="I1784" i="2"/>
  <c r="I1788" i="2"/>
  <c r="I1792" i="2"/>
  <c r="I1796" i="2"/>
  <c r="I1800" i="2"/>
  <c r="I1804" i="2"/>
  <c r="I1808" i="2"/>
  <c r="I1812" i="2"/>
  <c r="I1816" i="2"/>
  <c r="I1820" i="2"/>
  <c r="I1824" i="2"/>
  <c r="I1828" i="2"/>
  <c r="I1832" i="2"/>
  <c r="I1836" i="2"/>
  <c r="I1840" i="2"/>
  <c r="I1844" i="2"/>
  <c r="I1848" i="2"/>
  <c r="I1852" i="2"/>
  <c r="I1856" i="2"/>
  <c r="I1860" i="2"/>
  <c r="I1864" i="2"/>
  <c r="I1868" i="2"/>
  <c r="I1872" i="2"/>
  <c r="I1876" i="2"/>
  <c r="I1880" i="2"/>
  <c r="I1884" i="2"/>
  <c r="I1888" i="2"/>
  <c r="I1892" i="2"/>
  <c r="I1896" i="2"/>
  <c r="I1900" i="2"/>
  <c r="I1904" i="2"/>
  <c r="I1908" i="2"/>
  <c r="I1912" i="2"/>
  <c r="I1916" i="2"/>
  <c r="I1920" i="2"/>
  <c r="I1924" i="2"/>
  <c r="I1928" i="2"/>
  <c r="I1932" i="2"/>
  <c r="I1936" i="2"/>
  <c r="I1940" i="2"/>
  <c r="I1944" i="2"/>
  <c r="I1948" i="2"/>
  <c r="I1952" i="2"/>
  <c r="I1956" i="2"/>
  <c r="I1960" i="2"/>
  <c r="I1964" i="2"/>
  <c r="I1968" i="2"/>
  <c r="I1972" i="2"/>
  <c r="I1976" i="2"/>
  <c r="I1980" i="2"/>
  <c r="I1984" i="2"/>
  <c r="I1988" i="2"/>
  <c r="I1992" i="2"/>
  <c r="I1996" i="2"/>
  <c r="I2000" i="2"/>
  <c r="I2004" i="2"/>
  <c r="I2008" i="2"/>
  <c r="I2012" i="2"/>
  <c r="I2016" i="2"/>
  <c r="I2020" i="2"/>
  <c r="I2024" i="2"/>
  <c r="I2028" i="2"/>
  <c r="I2032" i="2"/>
  <c r="I2036" i="2"/>
  <c r="I2040" i="2"/>
  <c r="I2044" i="2"/>
  <c r="I2048" i="2"/>
  <c r="I2052" i="2"/>
  <c r="I2056" i="2"/>
  <c r="I2060" i="2"/>
  <c r="I2064" i="2"/>
  <c r="I2068" i="2"/>
  <c r="I2072" i="2"/>
  <c r="I2076" i="2"/>
  <c r="I2080" i="2"/>
  <c r="I2084" i="2"/>
  <c r="I2088" i="2"/>
  <c r="I2092" i="2"/>
  <c r="I2096" i="2"/>
  <c r="I2100" i="2"/>
  <c r="I2104" i="2"/>
  <c r="I2108" i="2"/>
  <c r="I2112" i="2"/>
  <c r="I2116" i="2"/>
  <c r="I2120" i="2"/>
  <c r="I2124" i="2"/>
  <c r="I2128" i="2"/>
  <c r="I2132" i="2"/>
  <c r="I2136" i="2"/>
  <c r="I2140" i="2"/>
  <c r="I2144" i="2"/>
  <c r="I2148" i="2"/>
  <c r="I2152" i="2"/>
  <c r="I2156" i="2"/>
  <c r="I2160" i="2"/>
  <c r="I3" i="2" l="1"/>
  <c r="L14" i="2" l="1"/>
  <c r="L13" i="2"/>
  <c r="L12" i="2"/>
  <c r="L11" i="2"/>
  <c r="L6" i="2"/>
  <c r="L8" i="2"/>
  <c r="L5" i="2"/>
  <c r="L3" i="2"/>
  <c r="L4" i="2"/>
  <c r="L19" i="2" l="1"/>
  <c r="L18" i="2"/>
  <c r="L20" i="2"/>
  <c r="L7" i="2" s="1"/>
</calcChain>
</file>

<file path=xl/sharedStrings.xml><?xml version="1.0" encoding="utf-8"?>
<sst xmlns="http://schemas.openxmlformats.org/spreadsheetml/2006/main" count="56" uniqueCount="30">
  <si>
    <t>Parámetro</t>
  </si>
  <si>
    <t>Valor</t>
  </si>
  <si>
    <t>Indicador</t>
  </si>
  <si>
    <t>Calculado de datos</t>
  </si>
  <si>
    <t>Cálculo paramétrico</t>
  </si>
  <si>
    <t>media</t>
  </si>
  <si>
    <t>varianza</t>
  </si>
  <si>
    <t>desviación</t>
  </si>
  <si>
    <t>asimetria</t>
  </si>
  <si>
    <t>curtosis</t>
  </si>
  <si>
    <t>mediana</t>
  </si>
  <si>
    <t>Momentos no centrados</t>
  </si>
  <si>
    <t>Momentos centrados</t>
  </si>
  <si>
    <t>v</t>
  </si>
  <si>
    <t>sigma</t>
  </si>
  <si>
    <t>Tasa</t>
  </si>
  <si>
    <r>
      <t>F</t>
    </r>
    <r>
      <rPr>
        <b/>
        <sz val="9"/>
        <color theme="1"/>
        <rFont val="Calibri"/>
        <family val="2"/>
        <scheme val="minor"/>
      </rPr>
      <t xml:space="preserve">x = </t>
    </r>
    <r>
      <rPr>
        <b/>
        <sz val="11"/>
        <color theme="1"/>
        <rFont val="Calibri"/>
        <family val="2"/>
        <scheme val="minor"/>
      </rPr>
      <t>P(X&lt;x)</t>
    </r>
  </si>
  <si>
    <t>x</t>
  </si>
  <si>
    <t>P(X=x)</t>
  </si>
  <si>
    <r>
      <t>F</t>
    </r>
    <r>
      <rPr>
        <b/>
        <sz val="9"/>
        <color theme="1"/>
        <rFont val="Calibri"/>
        <family val="2"/>
        <scheme val="minor"/>
      </rPr>
      <t xml:space="preserve">x = </t>
    </r>
    <r>
      <rPr>
        <b/>
        <sz val="11"/>
        <color theme="1"/>
        <rFont val="Calibri"/>
        <family val="2"/>
        <scheme val="minor"/>
      </rPr>
      <t>P(X&lt;=x)</t>
    </r>
  </si>
  <si>
    <t>P ~ Poisson(2v2/sigma2)</t>
  </si>
  <si>
    <t>X ~ Chi2(2P+2)</t>
  </si>
  <si>
    <t>Rice = sigma*√(X)</t>
  </si>
  <si>
    <t>X ~ N(Vcos(θ),σ2)</t>
  </si>
  <si>
    <t>Y ~ N(Vsin(θ),σ2)</t>
  </si>
  <si>
    <t>√X2 + Y2</t>
  </si>
  <si>
    <t>√(X2 + Y2)</t>
  </si>
  <si>
    <t>θ</t>
  </si>
  <si>
    <t>Aleatorio1</t>
  </si>
  <si>
    <t>Aleatorio2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</si>
</sst>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1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" xfId="0" applyNumberFormat="1" applyBorder="1" applyAlignment="1">
      <alignment horizontal="center"/>
    </xf>
    <xf numFmtId="0" fontId="1" fillId="2" borderId="1" xfId="0" applyNumberFormat="1" applyFont="1" applyFill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1" xfId="0" applyNumberFormat="1" applyFont="1" applyFill="1" applyBorder="1" applyAlignment="1">
      <alignment horizontal="center"/>
    </xf>
    <xf numFmtId="0" fontId="1" fillId="2" borderId="2" xfId="0" applyNumberFormat="1" applyFont="1" applyFill="1" applyBorder="1" applyAlignment="1">
      <alignment horizontal="center"/>
    </xf>
    <xf numFmtId="0" fontId="1" fillId="2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_xlchart.0</cx:f>
      </cx:numDim>
    </cx:data>
  </cx:chartData>
  <cx:chart>
    <cx:title pos="t" align="ctr" overlay="0"/>
    <cx:plotArea>
      <cx:plotAreaRegion>
        <cx:series layoutId="clusteredColumn" uniqueId="{7F599971-111E-4DE0-9CAE-CDC1090D6EB3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clrMapOvr bg1="lt1" tx1="dk1" bg2="lt2" tx2="dk2" accent1="accent1" accent2="accent2" accent3="accent3" accent4="accent4" accent5="accent5" accent6="accent6" hlink="hlink" folHlink="folHlink"/>
</cx:chartSpace>
</file>

<file path=xl/charts/chart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_xlchart.1</cx:f>
      </cx:numDim>
    </cx:data>
  </cx:chartData>
  <cx:chart>
    <cx:title pos="t" align="ctr" overlay="0"/>
    <cx:plotArea>
      <cx:plotAreaRegion>
        <cx:series layoutId="clusteredColumn" uniqueId="{BF66B8F3-F5A9-4F9D-81F8-01FBAC08B49A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clrMapOvr bg1="lt1" tx1="dk1" bg2="lt2" tx2="dk2" accent1="accent1" accent2="accent2" accent3="accent3" accent4="accent4" accent5="accent5" accent6="accent6" hlink="hlink" folHlink="folHlink"/>
</cx:chartSpace>
</file>

<file path=xl/charts/chart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_xlchart.2</cx:f>
      </cx:numDim>
    </cx:data>
  </cx:chartData>
  <cx:chart>
    <cx:title pos="t" align="ctr" overlay="0"/>
    <cx:plotArea>
      <cx:plotAreaRegion>
        <cx:series layoutId="clusteredColumn" uniqueId="{7F599971-111E-4DE0-9CAE-CDC1090D6EB3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clrMapOvr bg1="lt1" tx1="dk1" bg2="lt2" tx2="dk2" accent1="accent1" accent2="accent2" accent3="accent3" accent4="accent4" accent5="accent5" accent6="accent6" hlink="hlink" folHlink="folHlink"/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241299</xdr:colOff>
      <xdr:row>9</xdr:row>
      <xdr:rowOff>177798</xdr:rowOff>
    </xdr:from>
    <xdr:ext cx="30360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7628D865-D00D-4BB2-8437-A03E9098D259}"/>
                </a:ext>
              </a:extLst>
            </xdr:cNvPr>
            <xdr:cNvSpPr txBox="1"/>
          </xdr:nvSpPr>
          <xdr:spPr>
            <a:xfrm>
              <a:off x="17224374" y="1892298"/>
              <a:ext cx="3036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7628D865-D00D-4BB2-8437-A03E9098D259}"/>
                </a:ext>
              </a:extLst>
            </xdr:cNvPr>
            <xdr:cNvSpPr txBox="1"/>
          </xdr:nvSpPr>
          <xdr:spPr>
            <a:xfrm>
              <a:off x="17224374" y="1892298"/>
              <a:ext cx="3036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230717</xdr:colOff>
      <xdr:row>10</xdr:row>
      <xdr:rowOff>188383</xdr:rowOff>
    </xdr:from>
    <xdr:ext cx="37247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86452AD2-4BB7-4DE7-9DEF-F5A9C4DAA2AB}"/>
                </a:ext>
              </a:extLst>
            </xdr:cNvPr>
            <xdr:cNvSpPr txBox="1"/>
          </xdr:nvSpPr>
          <xdr:spPr>
            <a:xfrm>
              <a:off x="17213792" y="2093383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86452AD2-4BB7-4DE7-9DEF-F5A9C4DAA2AB}"/>
                </a:ext>
              </a:extLst>
            </xdr:cNvPr>
            <xdr:cNvSpPr txBox="1"/>
          </xdr:nvSpPr>
          <xdr:spPr>
            <a:xfrm>
              <a:off x="17213792" y="2093383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𝐸[𝑥^2]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230717</xdr:colOff>
      <xdr:row>11</xdr:row>
      <xdr:rowOff>188382</xdr:rowOff>
    </xdr:from>
    <xdr:ext cx="37247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BA289F13-1EEF-4635-A103-B865A6DDEEBE}"/>
                </a:ext>
              </a:extLst>
            </xdr:cNvPr>
            <xdr:cNvSpPr txBox="1"/>
          </xdr:nvSpPr>
          <xdr:spPr>
            <a:xfrm>
              <a:off x="17213792" y="2283882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p>
                    </m:sSup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BA289F13-1EEF-4635-A103-B865A6DDEEBE}"/>
                </a:ext>
              </a:extLst>
            </xdr:cNvPr>
            <xdr:cNvSpPr txBox="1"/>
          </xdr:nvSpPr>
          <xdr:spPr>
            <a:xfrm>
              <a:off x="17213792" y="2283882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𝐸[𝑥^3]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230718</xdr:colOff>
      <xdr:row>12</xdr:row>
      <xdr:rowOff>188383</xdr:rowOff>
    </xdr:from>
    <xdr:ext cx="372473" cy="1746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1709D973-F886-46B3-973A-2A97CF94542E}"/>
                </a:ext>
              </a:extLst>
            </xdr:cNvPr>
            <xdr:cNvSpPr txBox="1"/>
          </xdr:nvSpPr>
          <xdr:spPr>
            <a:xfrm>
              <a:off x="17213793" y="2474383"/>
              <a:ext cx="372473" cy="1746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p>
                    </m:sSup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1709D973-F886-46B3-973A-2A97CF94542E}"/>
                </a:ext>
              </a:extLst>
            </xdr:cNvPr>
            <xdr:cNvSpPr txBox="1"/>
          </xdr:nvSpPr>
          <xdr:spPr>
            <a:xfrm>
              <a:off x="17213793" y="2474383"/>
              <a:ext cx="372473" cy="1746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𝐸[𝑥^4]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283632</xdr:colOff>
      <xdr:row>15</xdr:row>
      <xdr:rowOff>177798</xdr:rowOff>
    </xdr:from>
    <xdr:ext cx="1713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815B6E13-98E6-445B-9900-FE74496F3BDF}"/>
                </a:ext>
              </a:extLst>
            </xdr:cNvPr>
            <xdr:cNvSpPr txBox="1"/>
          </xdr:nvSpPr>
          <xdr:spPr>
            <a:xfrm>
              <a:off x="17266707" y="3035298"/>
              <a:ext cx="1713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815B6E13-98E6-445B-9900-FE74496F3BDF}"/>
                </a:ext>
              </a:extLst>
            </xdr:cNvPr>
            <xdr:cNvSpPr txBox="1"/>
          </xdr:nvSpPr>
          <xdr:spPr>
            <a:xfrm>
              <a:off x="17266707" y="3035298"/>
              <a:ext cx="1713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1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283633</xdr:colOff>
      <xdr:row>16</xdr:row>
      <xdr:rowOff>177799</xdr:rowOff>
    </xdr:from>
    <xdr:ext cx="1746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C85DD0C-6396-49F8-927D-6DB74AD3CC7A}"/>
                </a:ext>
              </a:extLst>
            </xdr:cNvPr>
            <xdr:cNvSpPr txBox="1"/>
          </xdr:nvSpPr>
          <xdr:spPr>
            <a:xfrm>
              <a:off x="17266708" y="3225799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C85DD0C-6396-49F8-927D-6DB74AD3CC7A}"/>
                </a:ext>
              </a:extLst>
            </xdr:cNvPr>
            <xdr:cNvSpPr txBox="1"/>
          </xdr:nvSpPr>
          <xdr:spPr>
            <a:xfrm>
              <a:off x="17266708" y="3225799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2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283634</xdr:colOff>
      <xdr:row>17</xdr:row>
      <xdr:rowOff>167215</xdr:rowOff>
    </xdr:from>
    <xdr:ext cx="1746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4CFB273C-2777-4267-A097-B9650BCF61F8}"/>
                </a:ext>
              </a:extLst>
            </xdr:cNvPr>
            <xdr:cNvSpPr txBox="1"/>
          </xdr:nvSpPr>
          <xdr:spPr>
            <a:xfrm>
              <a:off x="17266709" y="3405715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4CFB273C-2777-4267-A097-B9650BCF61F8}"/>
                </a:ext>
              </a:extLst>
            </xdr:cNvPr>
            <xdr:cNvSpPr txBox="1"/>
          </xdr:nvSpPr>
          <xdr:spPr>
            <a:xfrm>
              <a:off x="17266709" y="3405715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3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294216</xdr:colOff>
      <xdr:row>18</xdr:row>
      <xdr:rowOff>167214</xdr:rowOff>
    </xdr:from>
    <xdr:ext cx="1746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B13DE9E-EC10-47B6-B0E9-7145907AEB24}"/>
                </a:ext>
              </a:extLst>
            </xdr:cNvPr>
            <xdr:cNvSpPr txBox="1"/>
          </xdr:nvSpPr>
          <xdr:spPr>
            <a:xfrm>
              <a:off x="17277291" y="3596214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B13DE9E-EC10-47B6-B0E9-7145907AEB24}"/>
                </a:ext>
              </a:extLst>
            </xdr:cNvPr>
            <xdr:cNvSpPr txBox="1"/>
          </xdr:nvSpPr>
          <xdr:spPr>
            <a:xfrm>
              <a:off x="17277291" y="3596214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4</a:t>
              </a:r>
              <a:endParaRPr lang="es-CO" sz="1100"/>
            </a:p>
          </xdr:txBody>
        </xdr:sp>
      </mc:Fallback>
    </mc:AlternateContent>
    <xdr:clientData/>
  </xdr:oneCellAnchor>
  <xdr:twoCellAnchor>
    <xdr:from>
      <xdr:col>10</xdr:col>
      <xdr:colOff>709084</xdr:colOff>
      <xdr:row>6</xdr:row>
      <xdr:rowOff>67733</xdr:rowOff>
    </xdr:from>
    <xdr:to>
      <xdr:col>15</xdr:col>
      <xdr:colOff>730251</xdr:colOff>
      <xdr:row>20</xdr:row>
      <xdr:rowOff>143933</xdr:rowOff>
    </xdr:to>
    <mc:AlternateContent xmlns:mc="http://schemas.openxmlformats.org/markup-compatibility/2006">
      <mc:Choice xmlns:cx="http://schemas.microsoft.com/office/drawing/2014/chartex" Requires="cx">
        <xdr:graphicFrame macro="">
          <xdr:nvGraphicFramePr>
            <xdr:cNvPr id="10" name="Gráfico 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:chart xmlns:c="http://schemas.openxmlformats.org/drawingml/2006/chart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oneCellAnchor>
    <xdr:from>
      <xdr:col>8</xdr:col>
      <xdr:colOff>241299</xdr:colOff>
      <xdr:row>9</xdr:row>
      <xdr:rowOff>177798</xdr:rowOff>
    </xdr:from>
    <xdr:ext cx="30360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7628D865-D00D-4BB2-8437-A03E9098D259}"/>
                </a:ext>
              </a:extLst>
            </xdr:cNvPr>
            <xdr:cNvSpPr txBox="1"/>
          </xdr:nvSpPr>
          <xdr:spPr>
            <a:xfrm>
              <a:off x="17224374" y="1892298"/>
              <a:ext cx="3036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7628D865-D00D-4BB2-8437-A03E9098D259}"/>
                </a:ext>
              </a:extLst>
            </xdr:cNvPr>
            <xdr:cNvSpPr txBox="1"/>
          </xdr:nvSpPr>
          <xdr:spPr>
            <a:xfrm>
              <a:off x="17224374" y="1892298"/>
              <a:ext cx="3036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230717</xdr:colOff>
      <xdr:row>10</xdr:row>
      <xdr:rowOff>188383</xdr:rowOff>
    </xdr:from>
    <xdr:ext cx="37247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6452AD2-4BB7-4DE7-9DEF-F5A9C4DAA2AB}"/>
                </a:ext>
              </a:extLst>
            </xdr:cNvPr>
            <xdr:cNvSpPr txBox="1"/>
          </xdr:nvSpPr>
          <xdr:spPr>
            <a:xfrm>
              <a:off x="17213792" y="2093383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6452AD2-4BB7-4DE7-9DEF-F5A9C4DAA2AB}"/>
                </a:ext>
              </a:extLst>
            </xdr:cNvPr>
            <xdr:cNvSpPr txBox="1"/>
          </xdr:nvSpPr>
          <xdr:spPr>
            <a:xfrm>
              <a:off x="17213792" y="2093383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𝐸[𝑥^2]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230717</xdr:colOff>
      <xdr:row>11</xdr:row>
      <xdr:rowOff>188382</xdr:rowOff>
    </xdr:from>
    <xdr:ext cx="37247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BA289F13-1EEF-4635-A103-B865A6DDEEBE}"/>
                </a:ext>
              </a:extLst>
            </xdr:cNvPr>
            <xdr:cNvSpPr txBox="1"/>
          </xdr:nvSpPr>
          <xdr:spPr>
            <a:xfrm>
              <a:off x="17213792" y="2283882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p>
                    </m:sSup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BA289F13-1EEF-4635-A103-B865A6DDEEBE}"/>
                </a:ext>
              </a:extLst>
            </xdr:cNvPr>
            <xdr:cNvSpPr txBox="1"/>
          </xdr:nvSpPr>
          <xdr:spPr>
            <a:xfrm>
              <a:off x="17213792" y="2283882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𝐸[𝑥^3]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230718</xdr:colOff>
      <xdr:row>12</xdr:row>
      <xdr:rowOff>188383</xdr:rowOff>
    </xdr:from>
    <xdr:ext cx="372473" cy="1746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1709D973-F886-46B3-973A-2A97CF94542E}"/>
                </a:ext>
              </a:extLst>
            </xdr:cNvPr>
            <xdr:cNvSpPr txBox="1"/>
          </xdr:nvSpPr>
          <xdr:spPr>
            <a:xfrm>
              <a:off x="17213793" y="2474383"/>
              <a:ext cx="372473" cy="1746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p>
                    </m:sSup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1709D973-F886-46B3-973A-2A97CF94542E}"/>
                </a:ext>
              </a:extLst>
            </xdr:cNvPr>
            <xdr:cNvSpPr txBox="1"/>
          </xdr:nvSpPr>
          <xdr:spPr>
            <a:xfrm>
              <a:off x="17213793" y="2474383"/>
              <a:ext cx="372473" cy="1746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𝐸[𝑥^4]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283632</xdr:colOff>
      <xdr:row>15</xdr:row>
      <xdr:rowOff>177798</xdr:rowOff>
    </xdr:from>
    <xdr:ext cx="1713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815B6E13-98E6-445B-9900-FE74496F3BDF}"/>
                </a:ext>
              </a:extLst>
            </xdr:cNvPr>
            <xdr:cNvSpPr txBox="1"/>
          </xdr:nvSpPr>
          <xdr:spPr>
            <a:xfrm>
              <a:off x="17266707" y="3035298"/>
              <a:ext cx="1713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815B6E13-98E6-445B-9900-FE74496F3BDF}"/>
                </a:ext>
              </a:extLst>
            </xdr:cNvPr>
            <xdr:cNvSpPr txBox="1"/>
          </xdr:nvSpPr>
          <xdr:spPr>
            <a:xfrm>
              <a:off x="17266707" y="3035298"/>
              <a:ext cx="1713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1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283633</xdr:colOff>
      <xdr:row>16</xdr:row>
      <xdr:rowOff>177799</xdr:rowOff>
    </xdr:from>
    <xdr:ext cx="1746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4C85DD0C-6396-49F8-927D-6DB74AD3CC7A}"/>
                </a:ext>
              </a:extLst>
            </xdr:cNvPr>
            <xdr:cNvSpPr txBox="1"/>
          </xdr:nvSpPr>
          <xdr:spPr>
            <a:xfrm>
              <a:off x="17266708" y="3225799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4C85DD0C-6396-49F8-927D-6DB74AD3CC7A}"/>
                </a:ext>
              </a:extLst>
            </xdr:cNvPr>
            <xdr:cNvSpPr txBox="1"/>
          </xdr:nvSpPr>
          <xdr:spPr>
            <a:xfrm>
              <a:off x="17266708" y="3225799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2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283634</xdr:colOff>
      <xdr:row>17</xdr:row>
      <xdr:rowOff>167215</xdr:rowOff>
    </xdr:from>
    <xdr:ext cx="1746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4CFB273C-2777-4267-A097-B9650BCF61F8}"/>
                </a:ext>
              </a:extLst>
            </xdr:cNvPr>
            <xdr:cNvSpPr txBox="1"/>
          </xdr:nvSpPr>
          <xdr:spPr>
            <a:xfrm>
              <a:off x="17266709" y="3405715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4CFB273C-2777-4267-A097-B9650BCF61F8}"/>
                </a:ext>
              </a:extLst>
            </xdr:cNvPr>
            <xdr:cNvSpPr txBox="1"/>
          </xdr:nvSpPr>
          <xdr:spPr>
            <a:xfrm>
              <a:off x="17266709" y="3405715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3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294216</xdr:colOff>
      <xdr:row>18</xdr:row>
      <xdr:rowOff>167214</xdr:rowOff>
    </xdr:from>
    <xdr:ext cx="1746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1B13DE9E-EC10-47B6-B0E9-7145907AEB24}"/>
                </a:ext>
              </a:extLst>
            </xdr:cNvPr>
            <xdr:cNvSpPr txBox="1"/>
          </xdr:nvSpPr>
          <xdr:spPr>
            <a:xfrm>
              <a:off x="17277291" y="3596214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1B13DE9E-EC10-47B6-B0E9-7145907AEB24}"/>
                </a:ext>
              </a:extLst>
            </xdr:cNvPr>
            <xdr:cNvSpPr txBox="1"/>
          </xdr:nvSpPr>
          <xdr:spPr>
            <a:xfrm>
              <a:off x="17277291" y="3596214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4</a:t>
              </a:r>
              <a:endParaRPr lang="es-CO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241299</xdr:colOff>
      <xdr:row>9</xdr:row>
      <xdr:rowOff>177798</xdr:rowOff>
    </xdr:from>
    <xdr:ext cx="30360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7628D865-D00D-4BB2-8437-A03E9098D259}"/>
                </a:ext>
              </a:extLst>
            </xdr:cNvPr>
            <xdr:cNvSpPr txBox="1"/>
          </xdr:nvSpPr>
          <xdr:spPr>
            <a:xfrm>
              <a:off x="5146674" y="1892298"/>
              <a:ext cx="3036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7628D865-D00D-4BB2-8437-A03E9098D259}"/>
                </a:ext>
              </a:extLst>
            </xdr:cNvPr>
            <xdr:cNvSpPr txBox="1"/>
          </xdr:nvSpPr>
          <xdr:spPr>
            <a:xfrm>
              <a:off x="5146674" y="1892298"/>
              <a:ext cx="3036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230717</xdr:colOff>
      <xdr:row>10</xdr:row>
      <xdr:rowOff>188383</xdr:rowOff>
    </xdr:from>
    <xdr:ext cx="37247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86452AD2-4BB7-4DE7-9DEF-F5A9C4DAA2AB}"/>
                </a:ext>
              </a:extLst>
            </xdr:cNvPr>
            <xdr:cNvSpPr txBox="1"/>
          </xdr:nvSpPr>
          <xdr:spPr>
            <a:xfrm>
              <a:off x="5136092" y="2093383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86452AD2-4BB7-4DE7-9DEF-F5A9C4DAA2AB}"/>
                </a:ext>
              </a:extLst>
            </xdr:cNvPr>
            <xdr:cNvSpPr txBox="1"/>
          </xdr:nvSpPr>
          <xdr:spPr>
            <a:xfrm>
              <a:off x="5136092" y="2093383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𝐸[𝑥^2]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230717</xdr:colOff>
      <xdr:row>11</xdr:row>
      <xdr:rowOff>188382</xdr:rowOff>
    </xdr:from>
    <xdr:ext cx="37247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BA289F13-1EEF-4635-A103-B865A6DDEEBE}"/>
                </a:ext>
              </a:extLst>
            </xdr:cNvPr>
            <xdr:cNvSpPr txBox="1"/>
          </xdr:nvSpPr>
          <xdr:spPr>
            <a:xfrm>
              <a:off x="5136092" y="2283882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p>
                    </m:sSup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BA289F13-1EEF-4635-A103-B865A6DDEEBE}"/>
                </a:ext>
              </a:extLst>
            </xdr:cNvPr>
            <xdr:cNvSpPr txBox="1"/>
          </xdr:nvSpPr>
          <xdr:spPr>
            <a:xfrm>
              <a:off x="5136092" y="2283882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𝐸[𝑥^3]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230718</xdr:colOff>
      <xdr:row>12</xdr:row>
      <xdr:rowOff>188383</xdr:rowOff>
    </xdr:from>
    <xdr:ext cx="372473" cy="1746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1709D973-F886-46B3-973A-2A97CF94542E}"/>
                </a:ext>
              </a:extLst>
            </xdr:cNvPr>
            <xdr:cNvSpPr txBox="1"/>
          </xdr:nvSpPr>
          <xdr:spPr>
            <a:xfrm>
              <a:off x="5136093" y="2474383"/>
              <a:ext cx="372473" cy="1746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p>
                    </m:sSup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1709D973-F886-46B3-973A-2A97CF94542E}"/>
                </a:ext>
              </a:extLst>
            </xdr:cNvPr>
            <xdr:cNvSpPr txBox="1"/>
          </xdr:nvSpPr>
          <xdr:spPr>
            <a:xfrm>
              <a:off x="5136093" y="2474383"/>
              <a:ext cx="372473" cy="1746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𝐸[𝑥^4]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283632</xdr:colOff>
      <xdr:row>15</xdr:row>
      <xdr:rowOff>177798</xdr:rowOff>
    </xdr:from>
    <xdr:ext cx="1713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815B6E13-98E6-445B-9900-FE74496F3BDF}"/>
                </a:ext>
              </a:extLst>
            </xdr:cNvPr>
            <xdr:cNvSpPr txBox="1"/>
          </xdr:nvSpPr>
          <xdr:spPr>
            <a:xfrm>
              <a:off x="5189007" y="3035298"/>
              <a:ext cx="1713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815B6E13-98E6-445B-9900-FE74496F3BDF}"/>
                </a:ext>
              </a:extLst>
            </xdr:cNvPr>
            <xdr:cNvSpPr txBox="1"/>
          </xdr:nvSpPr>
          <xdr:spPr>
            <a:xfrm>
              <a:off x="5189007" y="3035298"/>
              <a:ext cx="1713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1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283633</xdr:colOff>
      <xdr:row>16</xdr:row>
      <xdr:rowOff>177799</xdr:rowOff>
    </xdr:from>
    <xdr:ext cx="1746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C85DD0C-6396-49F8-927D-6DB74AD3CC7A}"/>
                </a:ext>
              </a:extLst>
            </xdr:cNvPr>
            <xdr:cNvSpPr txBox="1"/>
          </xdr:nvSpPr>
          <xdr:spPr>
            <a:xfrm>
              <a:off x="5189008" y="3225799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C85DD0C-6396-49F8-927D-6DB74AD3CC7A}"/>
                </a:ext>
              </a:extLst>
            </xdr:cNvPr>
            <xdr:cNvSpPr txBox="1"/>
          </xdr:nvSpPr>
          <xdr:spPr>
            <a:xfrm>
              <a:off x="5189008" y="3225799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2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283634</xdr:colOff>
      <xdr:row>17</xdr:row>
      <xdr:rowOff>167215</xdr:rowOff>
    </xdr:from>
    <xdr:ext cx="1746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4CFB273C-2777-4267-A097-B9650BCF61F8}"/>
                </a:ext>
              </a:extLst>
            </xdr:cNvPr>
            <xdr:cNvSpPr txBox="1"/>
          </xdr:nvSpPr>
          <xdr:spPr>
            <a:xfrm>
              <a:off x="5189009" y="3405715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4CFB273C-2777-4267-A097-B9650BCF61F8}"/>
                </a:ext>
              </a:extLst>
            </xdr:cNvPr>
            <xdr:cNvSpPr txBox="1"/>
          </xdr:nvSpPr>
          <xdr:spPr>
            <a:xfrm>
              <a:off x="5189009" y="3405715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3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294216</xdr:colOff>
      <xdr:row>18</xdr:row>
      <xdr:rowOff>167214</xdr:rowOff>
    </xdr:from>
    <xdr:ext cx="1746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B13DE9E-EC10-47B6-B0E9-7145907AEB24}"/>
                </a:ext>
              </a:extLst>
            </xdr:cNvPr>
            <xdr:cNvSpPr txBox="1"/>
          </xdr:nvSpPr>
          <xdr:spPr>
            <a:xfrm>
              <a:off x="5199591" y="3596214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B13DE9E-EC10-47B6-B0E9-7145907AEB24}"/>
                </a:ext>
              </a:extLst>
            </xdr:cNvPr>
            <xdr:cNvSpPr txBox="1"/>
          </xdr:nvSpPr>
          <xdr:spPr>
            <a:xfrm>
              <a:off x="5199591" y="3596214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4</a:t>
              </a:r>
              <a:endParaRPr lang="es-CO" sz="1100"/>
            </a:p>
          </xdr:txBody>
        </xdr:sp>
      </mc:Fallback>
    </mc:AlternateContent>
    <xdr:clientData/>
  </xdr:oneCellAnchor>
  <xdr:twoCellAnchor>
    <xdr:from>
      <xdr:col>9</xdr:col>
      <xdr:colOff>687916</xdr:colOff>
      <xdr:row>21</xdr:row>
      <xdr:rowOff>131234</xdr:rowOff>
    </xdr:from>
    <xdr:to>
      <xdr:col>13</xdr:col>
      <xdr:colOff>158750</xdr:colOff>
      <xdr:row>36</xdr:row>
      <xdr:rowOff>16934</xdr:rowOff>
    </xdr:to>
    <mc:AlternateContent xmlns:mc="http://schemas.openxmlformats.org/markup-compatibility/2006">
      <mc:Choice xmlns:cx="http://schemas.microsoft.com/office/drawing/2014/chartex" Requires="cx">
        <xdr:graphicFrame macro="">
          <xdr:nvGraphicFramePr>
            <xdr:cNvPr id="11" name="Gráfico 10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:chart xmlns:c="http://schemas.openxmlformats.org/drawingml/2006/chart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18</xdr:col>
      <xdr:colOff>10584</xdr:colOff>
      <xdr:row>21</xdr:row>
      <xdr:rowOff>120650</xdr:rowOff>
    </xdr:from>
    <xdr:to>
      <xdr:col>21</xdr:col>
      <xdr:colOff>433916</xdr:colOff>
      <xdr:row>36</xdr:row>
      <xdr:rowOff>6350</xdr:rowOff>
    </xdr:to>
    <mc:AlternateContent xmlns:mc="http://schemas.openxmlformats.org/markup-compatibility/2006">
      <mc:Choice xmlns:cx="http://schemas.microsoft.com/office/drawing/2014/chartex" Requires="cx">
        <xdr:graphicFrame macro="">
          <xdr:nvGraphicFramePr>
            <xdr:cNvPr id="12" name="Gráfico 1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:chart xmlns:c="http://schemas.openxmlformats.org/drawingml/2006/chart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oneCellAnchor>
    <xdr:from>
      <xdr:col>18</xdr:col>
      <xdr:colOff>241299</xdr:colOff>
      <xdr:row>9</xdr:row>
      <xdr:rowOff>177798</xdr:rowOff>
    </xdr:from>
    <xdr:ext cx="30360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CuadroTexto 28">
              <a:extLst>
                <a:ext uri="{FF2B5EF4-FFF2-40B4-BE49-F238E27FC236}">
                  <a16:creationId xmlns:a16="http://schemas.microsoft.com/office/drawing/2014/main" id="{7628D865-D00D-4BB2-8437-A03E9098D259}"/>
                </a:ext>
              </a:extLst>
            </xdr:cNvPr>
            <xdr:cNvSpPr txBox="1"/>
          </xdr:nvSpPr>
          <xdr:spPr>
            <a:xfrm>
              <a:off x="9131299" y="1892298"/>
              <a:ext cx="3036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𝑥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9" name="CuadroTexto 28">
              <a:extLst>
                <a:ext uri="{FF2B5EF4-FFF2-40B4-BE49-F238E27FC236}">
                  <a16:creationId xmlns:a16="http://schemas.microsoft.com/office/drawing/2014/main" id="{7628D865-D00D-4BB2-8437-A03E9098D259}"/>
                </a:ext>
              </a:extLst>
            </xdr:cNvPr>
            <xdr:cNvSpPr txBox="1"/>
          </xdr:nvSpPr>
          <xdr:spPr>
            <a:xfrm>
              <a:off x="9131299" y="1892298"/>
              <a:ext cx="3036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18</xdr:col>
      <xdr:colOff>230717</xdr:colOff>
      <xdr:row>10</xdr:row>
      <xdr:rowOff>188383</xdr:rowOff>
    </xdr:from>
    <xdr:ext cx="37247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86452AD2-4BB7-4DE7-9DEF-F5A9C4DAA2AB}"/>
                </a:ext>
              </a:extLst>
            </xdr:cNvPr>
            <xdr:cNvSpPr txBox="1"/>
          </xdr:nvSpPr>
          <xdr:spPr>
            <a:xfrm>
              <a:off x="9120717" y="2093383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86452AD2-4BB7-4DE7-9DEF-F5A9C4DAA2AB}"/>
                </a:ext>
              </a:extLst>
            </xdr:cNvPr>
            <xdr:cNvSpPr txBox="1"/>
          </xdr:nvSpPr>
          <xdr:spPr>
            <a:xfrm>
              <a:off x="9120717" y="2093383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𝐸[𝑥^2]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18</xdr:col>
      <xdr:colOff>230717</xdr:colOff>
      <xdr:row>11</xdr:row>
      <xdr:rowOff>188382</xdr:rowOff>
    </xdr:from>
    <xdr:ext cx="37247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BA289F13-1EEF-4635-A103-B865A6DDEEBE}"/>
                </a:ext>
              </a:extLst>
            </xdr:cNvPr>
            <xdr:cNvSpPr txBox="1"/>
          </xdr:nvSpPr>
          <xdr:spPr>
            <a:xfrm>
              <a:off x="9120717" y="2283882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p>
                    </m:sSup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BA289F13-1EEF-4635-A103-B865A6DDEEBE}"/>
                </a:ext>
              </a:extLst>
            </xdr:cNvPr>
            <xdr:cNvSpPr txBox="1"/>
          </xdr:nvSpPr>
          <xdr:spPr>
            <a:xfrm>
              <a:off x="9120717" y="2283882"/>
              <a:ext cx="37247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𝐸[𝑥^3]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18</xdr:col>
      <xdr:colOff>230718</xdr:colOff>
      <xdr:row>12</xdr:row>
      <xdr:rowOff>188383</xdr:rowOff>
    </xdr:from>
    <xdr:ext cx="372473" cy="1746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1709D973-F886-46B3-973A-2A97CF94542E}"/>
                </a:ext>
              </a:extLst>
            </xdr:cNvPr>
            <xdr:cNvSpPr txBox="1"/>
          </xdr:nvSpPr>
          <xdr:spPr>
            <a:xfrm>
              <a:off x="9120718" y="2474383"/>
              <a:ext cx="372473" cy="1746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CO" sz="1100" b="0" i="1">
                        <a:latin typeface="Cambria Math" panose="02040503050406030204" pitchFamily="18" charset="0"/>
                      </a:rPr>
                      <m:t>𝐸</m:t>
                    </m:r>
                    <m:r>
                      <a:rPr lang="es-CO" sz="1100" b="0" i="1">
                        <a:latin typeface="Cambria Math" panose="02040503050406030204" pitchFamily="18" charset="0"/>
                      </a:rPr>
                      <m:t>[</m:t>
                    </m:r>
                    <m:sSup>
                      <m:sSup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p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p>
                    </m:sSup>
                    <m:r>
                      <a:rPr lang="es-CO" sz="11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1709D973-F886-46B3-973A-2A97CF94542E}"/>
                </a:ext>
              </a:extLst>
            </xdr:cNvPr>
            <xdr:cNvSpPr txBox="1"/>
          </xdr:nvSpPr>
          <xdr:spPr>
            <a:xfrm>
              <a:off x="9120718" y="2474383"/>
              <a:ext cx="372473" cy="1746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𝐸[𝑥^4]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18</xdr:col>
      <xdr:colOff>283632</xdr:colOff>
      <xdr:row>15</xdr:row>
      <xdr:rowOff>177798</xdr:rowOff>
    </xdr:from>
    <xdr:ext cx="1713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815B6E13-98E6-445B-9900-FE74496F3BDF}"/>
                </a:ext>
              </a:extLst>
            </xdr:cNvPr>
            <xdr:cNvSpPr txBox="1"/>
          </xdr:nvSpPr>
          <xdr:spPr>
            <a:xfrm>
              <a:off x="9173632" y="3035298"/>
              <a:ext cx="1713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815B6E13-98E6-445B-9900-FE74496F3BDF}"/>
                </a:ext>
              </a:extLst>
            </xdr:cNvPr>
            <xdr:cNvSpPr txBox="1"/>
          </xdr:nvSpPr>
          <xdr:spPr>
            <a:xfrm>
              <a:off x="9173632" y="3035298"/>
              <a:ext cx="1713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1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18</xdr:col>
      <xdr:colOff>283633</xdr:colOff>
      <xdr:row>16</xdr:row>
      <xdr:rowOff>177799</xdr:rowOff>
    </xdr:from>
    <xdr:ext cx="1746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4C85DD0C-6396-49F8-927D-6DB74AD3CC7A}"/>
                </a:ext>
              </a:extLst>
            </xdr:cNvPr>
            <xdr:cNvSpPr txBox="1"/>
          </xdr:nvSpPr>
          <xdr:spPr>
            <a:xfrm>
              <a:off x="9173633" y="3225799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4C85DD0C-6396-49F8-927D-6DB74AD3CC7A}"/>
                </a:ext>
              </a:extLst>
            </xdr:cNvPr>
            <xdr:cNvSpPr txBox="1"/>
          </xdr:nvSpPr>
          <xdr:spPr>
            <a:xfrm>
              <a:off x="9173633" y="3225799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2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18</xdr:col>
      <xdr:colOff>283634</xdr:colOff>
      <xdr:row>17</xdr:row>
      <xdr:rowOff>167215</xdr:rowOff>
    </xdr:from>
    <xdr:ext cx="1746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4CFB273C-2777-4267-A097-B9650BCF61F8}"/>
                </a:ext>
              </a:extLst>
            </xdr:cNvPr>
            <xdr:cNvSpPr txBox="1"/>
          </xdr:nvSpPr>
          <xdr:spPr>
            <a:xfrm>
              <a:off x="9173634" y="3405715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4CFB273C-2777-4267-A097-B9650BCF61F8}"/>
                </a:ext>
              </a:extLst>
            </xdr:cNvPr>
            <xdr:cNvSpPr txBox="1"/>
          </xdr:nvSpPr>
          <xdr:spPr>
            <a:xfrm>
              <a:off x="9173634" y="3405715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3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18</xdr:col>
      <xdr:colOff>294216</xdr:colOff>
      <xdr:row>18</xdr:row>
      <xdr:rowOff>167214</xdr:rowOff>
    </xdr:from>
    <xdr:ext cx="174600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CuadroTexto 35">
              <a:extLst>
                <a:ext uri="{FF2B5EF4-FFF2-40B4-BE49-F238E27FC236}">
                  <a16:creationId xmlns:a16="http://schemas.microsoft.com/office/drawing/2014/main" id="{1B13DE9E-EC10-47B6-B0E9-7145907AEB24}"/>
                </a:ext>
              </a:extLst>
            </xdr:cNvPr>
            <xdr:cNvSpPr txBox="1"/>
          </xdr:nvSpPr>
          <xdr:spPr>
            <a:xfrm>
              <a:off x="9184216" y="3596214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𝜇</m:t>
                        </m:r>
                      </m:e>
                      <m:sub>
                        <m:r>
                          <a:rPr lang="es-CO" sz="1100" b="0" i="1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6" name="CuadroTexto 35">
              <a:extLst>
                <a:ext uri="{FF2B5EF4-FFF2-40B4-BE49-F238E27FC236}">
                  <a16:creationId xmlns:a16="http://schemas.microsoft.com/office/drawing/2014/main" id="{1B13DE9E-EC10-47B6-B0E9-7145907AEB24}"/>
                </a:ext>
              </a:extLst>
            </xdr:cNvPr>
            <xdr:cNvSpPr txBox="1"/>
          </xdr:nvSpPr>
          <xdr:spPr>
            <a:xfrm>
              <a:off x="9184216" y="3596214"/>
              <a:ext cx="174600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𝜇_</a:t>
              </a:r>
              <a:r>
                <a:rPr lang="es-CO" sz="1100" b="0" i="0">
                  <a:latin typeface="Cambria Math" panose="02040503050406030204" pitchFamily="18" charset="0"/>
                </a:rPr>
                <a:t>4</a:t>
              </a:r>
              <a:endParaRPr lang="es-CO" sz="11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Fitter/Recursos/fitte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1/Downloads/Proyecto%20simulaci&#243;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araciones"/>
      <sheetName val="BETA"/>
      <sheetName val="burr"/>
      <sheetName val="BETA 4P"/>
      <sheetName val="GAMMA"/>
      <sheetName val="normal"/>
      <sheetName val="lognormal"/>
      <sheetName val="Johnson SB"/>
      <sheetName val="exponencial"/>
      <sheetName val="weibull"/>
      <sheetName val="Johnson SU"/>
      <sheetName val="Trapezoidal"/>
      <sheetName val="Triangular"/>
      <sheetName val="uniforme"/>
      <sheetName val="erlang"/>
      <sheetName val="error function"/>
      <sheetName val="Gen. Normal"/>
      <sheetName val="Gen. Logistic"/>
      <sheetName val="Gen. Extreme Value"/>
      <sheetName val="Fatigue Life"/>
      <sheetName val="dagum"/>
      <sheetName val="Frechet"/>
      <sheetName val="F"/>
      <sheetName val="cauchy"/>
      <sheetName val="chi2"/>
      <sheetName val="Prueba chi2"/>
      <sheetName val="Prueba KS"/>
      <sheetName val=" Prueba AD Weibull"/>
      <sheetName val="Prueba AD Norm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iudades"/>
      <sheetName val="Probabilidades Origen-Destino"/>
      <sheetName val="Distancias entre ciudades"/>
      <sheetName val="Facturación"/>
      <sheetName val="Ciclo Operativo"/>
      <sheetName val="Datos Históricos"/>
      <sheetName val="Análisis T. Carga"/>
      <sheetName val="Análisis T.Mantenimiento"/>
      <sheetName val="Análisis C. Mantenimiento"/>
      <sheetName val="Modelo de simulación"/>
    </sheetNames>
    <sheetDataSet>
      <sheetData sheetId="0" refreshError="1"/>
      <sheetData sheetId="1">
        <row r="5">
          <cell r="D5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K2160"/>
  <sheetViews>
    <sheetView tabSelected="1" zoomScale="90" zoomScaleNormal="90" workbookViewId="0">
      <selection activeCell="J14" sqref="J14"/>
    </sheetView>
  </sheetViews>
  <sheetFormatPr baseColWidth="10" defaultRowHeight="15" x14ac:dyDescent="0.25"/>
  <cols>
    <col min="1" max="1" width="7.28515625" customWidth="1"/>
    <col min="4" max="4" width="7.5703125" customWidth="1"/>
    <col min="5" max="5" width="17.140625" bestFit="1" customWidth="1"/>
    <col min="6" max="6" width="16.5703125" bestFit="1" customWidth="1"/>
    <col min="7" max="7" width="13" bestFit="1" customWidth="1"/>
    <col min="9" max="9" width="12.85546875" customWidth="1"/>
    <col min="10" max="10" width="17.85546875" bestFit="1" customWidth="1"/>
    <col min="11" max="11" width="18.7109375" bestFit="1" customWidth="1"/>
  </cols>
  <sheetData>
    <row r="2" spans="2:11" x14ac:dyDescent="0.25">
      <c r="B2" s="4" t="s">
        <v>0</v>
      </c>
      <c r="C2" s="4" t="s">
        <v>1</v>
      </c>
      <c r="E2" s="4" t="s">
        <v>28</v>
      </c>
      <c r="F2" s="4" t="s">
        <v>29</v>
      </c>
      <c r="G2" s="4" t="s">
        <v>26</v>
      </c>
      <c r="H2" s="2"/>
      <c r="I2" s="4" t="s">
        <v>2</v>
      </c>
      <c r="J2" s="4" t="s">
        <v>3</v>
      </c>
      <c r="K2" s="4" t="s">
        <v>4</v>
      </c>
    </row>
    <row r="3" spans="2:11" x14ac:dyDescent="0.25">
      <c r="B3" s="3" t="s">
        <v>13</v>
      </c>
      <c r="C3" s="3">
        <v>5</v>
      </c>
      <c r="E3" s="3">
        <f ca="1">RAND()</f>
        <v>0.74839903209174552</v>
      </c>
      <c r="F3" s="3">
        <f ca="1">RAND()</f>
        <v>0.96303009789439409</v>
      </c>
      <c r="G3" s="3">
        <f ca="1">SQRT(_xlfn.NORM.INV(E3,$C$3*COS($C$6),$C$4)^2+_xlfn.NORM.INV(F3,$C$3*SIN($C$6),$C$4)^2)</f>
        <v>13.450537466855536</v>
      </c>
      <c r="H3" s="2"/>
      <c r="I3" s="3" t="s">
        <v>5</v>
      </c>
      <c r="J3" s="3">
        <f ca="1">AVERAGE(G3:G2160)</f>
        <v>7.7594825755505665</v>
      </c>
      <c r="K3" s="3"/>
    </row>
    <row r="4" spans="2:11" x14ac:dyDescent="0.25">
      <c r="B4" s="3" t="s">
        <v>14</v>
      </c>
      <c r="C4" s="3">
        <v>5</v>
      </c>
      <c r="E4" s="3">
        <f t="shared" ref="E4:F67" ca="1" si="0">RAND()</f>
        <v>0.46489247425344671</v>
      </c>
      <c r="F4" s="3">
        <f t="shared" ca="1" si="0"/>
        <v>0.84183262344799703</v>
      </c>
      <c r="G4" s="3">
        <f t="shared" ref="G4:G67" ca="1" si="1">SQRT(_xlfn.NORM.INV(E4,$C$3*COS($C$6),$C$4)^2+_xlfn.NORM.INV(F4,$C$3*SIN($C$6),$C$4)^2)</f>
        <v>9.851867113818777</v>
      </c>
      <c r="H4" s="2"/>
      <c r="I4" s="3" t="s">
        <v>6</v>
      </c>
      <c r="J4" s="3">
        <f ca="1">_xlfn.VAR.S(G3:G2160)</f>
        <v>14.805232947688882</v>
      </c>
      <c r="K4" s="3"/>
    </row>
    <row r="5" spans="2:11" x14ac:dyDescent="0.25">
      <c r="B5" s="2"/>
      <c r="C5" s="2"/>
      <c r="E5" s="3">
        <f t="shared" ca="1" si="0"/>
        <v>0.25580681774742964</v>
      </c>
      <c r="F5" s="3">
        <f t="shared" ca="1" si="0"/>
        <v>0.42906273092062186</v>
      </c>
      <c r="G5" s="3">
        <f t="shared" ca="1" si="1"/>
        <v>6.5788740162131365</v>
      </c>
      <c r="H5" s="2"/>
      <c r="I5" s="3" t="s">
        <v>7</v>
      </c>
      <c r="J5" s="3">
        <f ca="1">_xlfn.STDEV.S(G3:G2160)</f>
        <v>3.8477568722164452</v>
      </c>
      <c r="K5" s="3"/>
    </row>
    <row r="6" spans="2:11" x14ac:dyDescent="0.25">
      <c r="B6" s="4" t="s">
        <v>27</v>
      </c>
      <c r="C6" s="3">
        <v>90</v>
      </c>
      <c r="E6" s="3">
        <f t="shared" ca="1" si="0"/>
        <v>0.65577223348087987</v>
      </c>
      <c r="F6" s="3">
        <f t="shared" ca="1" si="0"/>
        <v>5.4123597903924625E-2</v>
      </c>
      <c r="G6" s="3">
        <f t="shared" ca="1" si="1"/>
        <v>3.5684113210019595</v>
      </c>
      <c r="H6" s="2"/>
      <c r="I6" s="3" t="s">
        <v>8</v>
      </c>
      <c r="J6" s="3">
        <f ca="1">SKEW(G3:G2160)</f>
        <v>0.54839172273655523</v>
      </c>
      <c r="K6" s="3"/>
    </row>
    <row r="7" spans="2:11" x14ac:dyDescent="0.25">
      <c r="E7" s="3">
        <f t="shared" ca="1" si="0"/>
        <v>0.37130726603136677</v>
      </c>
      <c r="F7" s="3">
        <f t="shared" ca="1" si="0"/>
        <v>0.75450265591710064</v>
      </c>
      <c r="G7" s="3">
        <f t="shared" ca="1" si="1"/>
        <v>8.8146420617414876</v>
      </c>
      <c r="H7" s="2"/>
      <c r="I7" s="3" t="s">
        <v>9</v>
      </c>
      <c r="J7" s="3">
        <f ca="1">J20/(J5^4)</f>
        <v>3.1089872744112901</v>
      </c>
      <c r="K7" s="3"/>
    </row>
    <row r="8" spans="2:11" x14ac:dyDescent="0.25">
      <c r="E8" s="3">
        <f t="shared" ca="1" si="0"/>
        <v>0.24330854192161566</v>
      </c>
      <c r="F8" s="3">
        <f t="shared" ca="1" si="0"/>
        <v>0.86039983857547542</v>
      </c>
      <c r="G8" s="3">
        <f t="shared" ca="1" si="1"/>
        <v>11.416264652732751</v>
      </c>
      <c r="H8" s="2"/>
      <c r="I8" s="3" t="s">
        <v>10</v>
      </c>
      <c r="J8" s="3">
        <f ca="1">MEDIAN(G3:G2160)</f>
        <v>7.3642054862205901</v>
      </c>
      <c r="K8" s="3"/>
    </row>
    <row r="9" spans="2:11" x14ac:dyDescent="0.25">
      <c r="E9" s="3">
        <f t="shared" ca="1" si="0"/>
        <v>0.96840497200281561</v>
      </c>
      <c r="F9" s="3">
        <f t="shared" ca="1" si="0"/>
        <v>0.23025302282754367</v>
      </c>
      <c r="G9" s="3">
        <f t="shared" ca="1" si="1"/>
        <v>7.0919061378561103</v>
      </c>
      <c r="H9" s="2"/>
      <c r="I9" s="2"/>
      <c r="J9" s="2"/>
      <c r="K9" s="2"/>
    </row>
    <row r="10" spans="2:11" x14ac:dyDescent="0.25">
      <c r="E10" s="3">
        <f t="shared" ca="1" si="0"/>
        <v>9.9024000935255208E-2</v>
      </c>
      <c r="F10" s="3">
        <f t="shared" ca="1" si="0"/>
        <v>0.73113133920558471</v>
      </c>
      <c r="G10" s="3">
        <f t="shared" ca="1" si="1"/>
        <v>11.501902745906817</v>
      </c>
      <c r="H10" s="2"/>
      <c r="I10" s="10" t="s">
        <v>11</v>
      </c>
      <c r="J10" s="11"/>
      <c r="K10" s="2"/>
    </row>
    <row r="11" spans="2:11" x14ac:dyDescent="0.25">
      <c r="E11" s="3">
        <f t="shared" ca="1" si="0"/>
        <v>0.1171018273227491</v>
      </c>
      <c r="F11" s="3">
        <f t="shared" ca="1" si="0"/>
        <v>0.7661907042506384</v>
      </c>
      <c r="G11" s="3">
        <f t="shared" ca="1" si="1"/>
        <v>11.519036363328782</v>
      </c>
      <c r="H11" s="2"/>
      <c r="I11" s="3"/>
      <c r="J11" s="3">
        <f ca="1">SUMPRODUCT(G3:G2160)/COUNT(G3:G2160)</f>
        <v>7.7594825755505665</v>
      </c>
      <c r="K11" s="2"/>
    </row>
    <row r="12" spans="2:11" x14ac:dyDescent="0.25">
      <c r="E12" s="3">
        <f t="shared" ca="1" si="0"/>
        <v>0.96928062110071467</v>
      </c>
      <c r="F12" s="3">
        <f t="shared" ca="1" si="0"/>
        <v>0.64234912591042959</v>
      </c>
      <c r="G12" s="3">
        <f t="shared" ca="1" si="1"/>
        <v>9.4963525133198825</v>
      </c>
      <c r="H12" s="2"/>
      <c r="I12" s="3"/>
      <c r="J12" s="3">
        <f ca="1">SUMPRODUCT(G3:G2160,G3:G2160)/COUNT(G3:G2160)</f>
        <v>75.007942161016558</v>
      </c>
      <c r="K12" s="2"/>
    </row>
    <row r="13" spans="2:11" x14ac:dyDescent="0.25">
      <c r="E13" s="3">
        <f t="shared" ca="1" si="0"/>
        <v>0.19301712317388064</v>
      </c>
      <c r="F13" s="3">
        <f t="shared" ca="1" si="0"/>
        <v>7.9941108335726541E-2</v>
      </c>
      <c r="G13" s="3">
        <f t="shared" ca="1" si="1"/>
        <v>7.0543933856825545</v>
      </c>
      <c r="H13" s="2"/>
      <c r="I13" s="3"/>
      <c r="J13" s="3">
        <f ca="1">SUMPRODUCT(G3:G2160,G3:G2160,G3:G2160)/COUNT(G3:G2160)</f>
        <v>842.87502522846978</v>
      </c>
      <c r="K13" s="2"/>
    </row>
    <row r="14" spans="2:11" x14ac:dyDescent="0.25">
      <c r="E14" s="3">
        <f t="shared" ca="1" si="0"/>
        <v>0.59946024410155052</v>
      </c>
      <c r="F14" s="3">
        <f t="shared" ca="1" si="0"/>
        <v>0.16184914462794031</v>
      </c>
      <c r="G14" s="3">
        <f t="shared" ca="1" si="1"/>
        <v>1.0850448245884405</v>
      </c>
      <c r="H14" s="2"/>
      <c r="I14" s="3"/>
      <c r="J14" s="3">
        <f ca="1">SUMPRODUCT(G3:G2160,G3:G2160,G3:G2160,G3:G2160)/COUNT(G3:G2160)</f>
        <v>10620.971819935881</v>
      </c>
      <c r="K14" s="2"/>
    </row>
    <row r="15" spans="2:11" x14ac:dyDescent="0.25">
      <c r="E15" s="3">
        <f t="shared" ca="1" si="0"/>
        <v>0.91681516889659043</v>
      </c>
      <c r="F15" s="3">
        <f t="shared" ca="1" si="0"/>
        <v>0.36800055301185752</v>
      </c>
      <c r="G15" s="3">
        <f t="shared" ca="1" si="1"/>
        <v>5.4450984206129371</v>
      </c>
      <c r="H15" s="2"/>
      <c r="I15" s="2"/>
      <c r="J15" s="2"/>
      <c r="K15" s="2"/>
    </row>
    <row r="16" spans="2:11" x14ac:dyDescent="0.25">
      <c r="E16" s="3">
        <f t="shared" ca="1" si="0"/>
        <v>0.63410605528472197</v>
      </c>
      <c r="F16" s="3">
        <f t="shared" ca="1" si="0"/>
        <v>0.42522956651981247</v>
      </c>
      <c r="G16" s="3">
        <f t="shared" ca="1" si="1"/>
        <v>3.5664160323815004</v>
      </c>
      <c r="H16" s="2"/>
      <c r="I16" s="10" t="s">
        <v>12</v>
      </c>
      <c r="J16" s="11"/>
      <c r="K16" s="2"/>
    </row>
    <row r="17" spans="5:11" x14ac:dyDescent="0.25">
      <c r="E17" s="3">
        <f t="shared" ca="1" si="0"/>
        <v>0.69881471659501426</v>
      </c>
      <c r="F17" s="3">
        <f t="shared" ca="1" si="0"/>
        <v>0.8730961310781985</v>
      </c>
      <c r="G17" s="3">
        <f t="shared" ca="1" si="1"/>
        <v>10.18226049214341</v>
      </c>
      <c r="H17" s="2"/>
      <c r="I17" s="3"/>
      <c r="J17" s="3">
        <v>0</v>
      </c>
      <c r="K17" s="2"/>
    </row>
    <row r="18" spans="5:11" x14ac:dyDescent="0.25">
      <c r="E18" s="3">
        <f t="shared" ca="1" si="0"/>
        <v>0.29735689861658055</v>
      </c>
      <c r="F18" s="3">
        <f t="shared" ca="1" si="0"/>
        <v>0.8024660748846123</v>
      </c>
      <c r="G18" s="3">
        <f t="shared" ca="1" si="1"/>
        <v>10.004645839244517</v>
      </c>
      <c r="H18" s="2"/>
      <c r="I18" s="3"/>
      <c r="J18" s="3">
        <f ca="1">J12-J11^2</f>
        <v>14.798372320743702</v>
      </c>
      <c r="K18" s="2"/>
    </row>
    <row r="19" spans="5:11" x14ac:dyDescent="0.25">
      <c r="E19" s="3">
        <f t="shared" ca="1" si="0"/>
        <v>9.1814304816887349E-3</v>
      </c>
      <c r="F19" s="3">
        <f t="shared" ca="1" si="0"/>
        <v>0.6337003455065342</v>
      </c>
      <c r="G19" s="3">
        <f t="shared" ca="1" si="1"/>
        <v>15.331462443111249</v>
      </c>
      <c r="H19" s="2"/>
      <c r="I19" s="3"/>
      <c r="J19" s="3">
        <f ca="1">J13-3*J11*J12+2*J11^3</f>
        <v>31.196780663516051</v>
      </c>
      <c r="K19" s="2"/>
    </row>
    <row r="20" spans="5:11" x14ac:dyDescent="0.25">
      <c r="E20" s="3">
        <f t="shared" ca="1" si="0"/>
        <v>0.64442031524408627</v>
      </c>
      <c r="F20" s="3">
        <f t="shared" ca="1" si="0"/>
        <v>0.74629119765005769</v>
      </c>
      <c r="G20" s="3">
        <f t="shared" ca="1" si="1"/>
        <v>7.7940108614776351</v>
      </c>
      <c r="H20" s="2"/>
      <c r="I20" s="3"/>
      <c r="J20" s="3">
        <f ca="1">J14-4*J11*J13+6*(J11^2)*J12-3*(J11^4)</f>
        <v>681.47422508881573</v>
      </c>
      <c r="K20" s="2"/>
    </row>
    <row r="21" spans="5:11" x14ac:dyDescent="0.25">
      <c r="E21" s="3">
        <f t="shared" ca="1" si="0"/>
        <v>0.3890498543458687</v>
      </c>
      <c r="F21" s="3">
        <f t="shared" ca="1" si="0"/>
        <v>0.89734291985542014</v>
      </c>
      <c r="G21" s="3">
        <f t="shared" ca="1" si="1"/>
        <v>11.402518474289</v>
      </c>
      <c r="H21" s="2"/>
      <c r="I21" s="2"/>
      <c r="J21" s="2"/>
      <c r="K21" s="2"/>
    </row>
    <row r="22" spans="5:11" x14ac:dyDescent="0.25">
      <c r="E22" s="3">
        <f t="shared" ca="1" si="0"/>
        <v>0.34098102158972154</v>
      </c>
      <c r="F22" s="3">
        <f t="shared" ca="1" si="0"/>
        <v>0.38713473901329765</v>
      </c>
      <c r="G22" s="3">
        <f t="shared" ca="1" si="1"/>
        <v>5.2550436896617541</v>
      </c>
      <c r="H22" s="2"/>
      <c r="I22" s="2"/>
      <c r="J22" s="2"/>
      <c r="K22" s="2"/>
    </row>
    <row r="23" spans="5:11" x14ac:dyDescent="0.25">
      <c r="E23" s="3">
        <f t="shared" ca="1" si="0"/>
        <v>7.2616767802351601E-2</v>
      </c>
      <c r="F23" s="3">
        <f t="shared" ca="1" si="0"/>
        <v>0.68213473093921018</v>
      </c>
      <c r="G23" s="3">
        <f t="shared" ca="1" si="1"/>
        <v>11.724140952507627</v>
      </c>
      <c r="H23" s="2"/>
      <c r="I23" s="2"/>
      <c r="J23" s="2"/>
      <c r="K23" s="2"/>
    </row>
    <row r="24" spans="5:11" x14ac:dyDescent="0.25">
      <c r="E24" s="3">
        <f t="shared" ca="1" si="0"/>
        <v>0.2117822259196922</v>
      </c>
      <c r="F24" s="3">
        <f t="shared" ca="1" si="0"/>
        <v>0.62231752000507168</v>
      </c>
      <c r="G24" s="3">
        <f t="shared" ca="1" si="1"/>
        <v>8.6771494391077972</v>
      </c>
      <c r="H24" s="2"/>
      <c r="I24" s="2"/>
      <c r="J24" s="2"/>
      <c r="K24" s="2"/>
    </row>
    <row r="25" spans="5:11" x14ac:dyDescent="0.25">
      <c r="E25" s="3">
        <f t="shared" ca="1" si="0"/>
        <v>0.92179896825597707</v>
      </c>
      <c r="F25" s="3">
        <f t="shared" ca="1" si="0"/>
        <v>0.70480762348291548</v>
      </c>
      <c r="G25" s="3">
        <f t="shared" ca="1" si="1"/>
        <v>8.6469167907261539</v>
      </c>
      <c r="H25" s="2"/>
      <c r="I25" s="2"/>
      <c r="J25" s="2"/>
      <c r="K25" s="2"/>
    </row>
    <row r="26" spans="5:11" x14ac:dyDescent="0.25">
      <c r="E26" s="3">
        <f t="shared" ca="1" si="0"/>
        <v>0.98512193548230131</v>
      </c>
      <c r="F26" s="3">
        <f t="shared" ca="1" si="0"/>
        <v>0.85887417150787415</v>
      </c>
      <c r="G26" s="3">
        <f t="shared" ca="1" si="1"/>
        <v>13.090560378796631</v>
      </c>
      <c r="H26" s="2"/>
      <c r="I26" s="2"/>
      <c r="J26" s="2"/>
      <c r="K26" s="2"/>
    </row>
    <row r="27" spans="5:11" x14ac:dyDescent="0.25">
      <c r="E27" s="3">
        <f t="shared" ca="1" si="0"/>
        <v>0.25918659381322384</v>
      </c>
      <c r="F27" s="3">
        <f t="shared" ca="1" si="0"/>
        <v>0.92508510862063698</v>
      </c>
      <c r="G27" s="3">
        <f t="shared" ca="1" si="1"/>
        <v>12.888794770455712</v>
      </c>
      <c r="H27" s="2"/>
      <c r="I27" s="2"/>
      <c r="J27" s="2"/>
      <c r="K27" s="2"/>
    </row>
    <row r="28" spans="5:11" x14ac:dyDescent="0.25">
      <c r="E28" s="3">
        <f t="shared" ca="1" si="0"/>
        <v>0.79112195672039998</v>
      </c>
      <c r="F28" s="3">
        <f t="shared" ca="1" si="0"/>
        <v>0.89357572342275771</v>
      </c>
      <c r="G28" s="3">
        <f t="shared" ca="1" si="1"/>
        <v>10.851068475188699</v>
      </c>
      <c r="H28" s="2"/>
      <c r="I28" s="2"/>
      <c r="J28" s="2"/>
      <c r="K28" s="2"/>
    </row>
    <row r="29" spans="5:11" x14ac:dyDescent="0.25">
      <c r="E29" s="3">
        <f t="shared" ca="1" si="0"/>
        <v>0.82071761064351201</v>
      </c>
      <c r="F29" s="3">
        <f t="shared" ca="1" si="0"/>
        <v>0.63664291975039033</v>
      </c>
      <c r="G29" s="3">
        <f t="shared" ca="1" si="1"/>
        <v>6.6468248870506486</v>
      </c>
      <c r="H29" s="2"/>
      <c r="I29" s="2"/>
      <c r="J29" s="2"/>
      <c r="K29" s="2"/>
    </row>
    <row r="30" spans="5:11" x14ac:dyDescent="0.25">
      <c r="E30" s="3">
        <f t="shared" ca="1" si="0"/>
        <v>0.83386563856776463</v>
      </c>
      <c r="F30" s="3">
        <f t="shared" ca="1" si="0"/>
        <v>0.10342240836403449</v>
      </c>
      <c r="G30" s="3">
        <f t="shared" ca="1" si="1"/>
        <v>3.1921047037627286</v>
      </c>
      <c r="H30" s="2"/>
      <c r="I30" s="2"/>
      <c r="J30" s="2"/>
      <c r="K30" s="2"/>
    </row>
    <row r="31" spans="5:11" x14ac:dyDescent="0.25">
      <c r="E31" s="3">
        <f t="shared" ca="1" si="0"/>
        <v>0.46064514441741511</v>
      </c>
      <c r="F31" s="3">
        <f t="shared" ca="1" si="0"/>
        <v>0.62924973195128286</v>
      </c>
      <c r="G31" s="3">
        <f t="shared" ca="1" si="1"/>
        <v>6.7024661683354783</v>
      </c>
      <c r="H31" s="2"/>
      <c r="I31" s="2"/>
      <c r="J31" s="2"/>
      <c r="K31" s="2"/>
    </row>
    <row r="32" spans="5:11" x14ac:dyDescent="0.25">
      <c r="E32" s="3">
        <f t="shared" ca="1" si="0"/>
        <v>0.15738347609186842</v>
      </c>
      <c r="F32" s="3">
        <f t="shared" ca="1" si="0"/>
        <v>0.63242281070269113</v>
      </c>
      <c r="G32" s="3">
        <f t="shared" ca="1" si="1"/>
        <v>9.5272054136603259</v>
      </c>
      <c r="H32" s="2"/>
      <c r="I32" s="2"/>
      <c r="J32" s="2"/>
      <c r="K32" s="2"/>
    </row>
    <row r="33" spans="5:11" x14ac:dyDescent="0.25">
      <c r="E33" s="3">
        <f t="shared" ca="1" si="0"/>
        <v>0.79064948970148397</v>
      </c>
      <c r="F33" s="3">
        <f t="shared" ca="1" si="0"/>
        <v>0.71442730476974547</v>
      </c>
      <c r="G33" s="3">
        <f t="shared" ca="1" si="1"/>
        <v>7.5211238666068807</v>
      </c>
      <c r="H33" s="2"/>
      <c r="I33" s="2"/>
      <c r="J33" s="2"/>
      <c r="K33" s="2"/>
    </row>
    <row r="34" spans="5:11" x14ac:dyDescent="0.25">
      <c r="E34" s="3">
        <f t="shared" ca="1" si="0"/>
        <v>0.24570504822052586</v>
      </c>
      <c r="F34" s="3">
        <f t="shared" ca="1" si="0"/>
        <v>0.8675250617835597</v>
      </c>
      <c r="G34" s="3">
        <f t="shared" ca="1" si="1"/>
        <v>11.539012666372205</v>
      </c>
      <c r="H34" s="2"/>
      <c r="I34" s="2"/>
      <c r="J34" s="2"/>
      <c r="K34" s="2"/>
    </row>
    <row r="35" spans="5:11" x14ac:dyDescent="0.25">
      <c r="E35" s="3">
        <f t="shared" ca="1" si="0"/>
        <v>0.38966945892161164</v>
      </c>
      <c r="F35" s="3">
        <f t="shared" ca="1" si="0"/>
        <v>0.77191665255071529</v>
      </c>
      <c r="G35" s="3">
        <f t="shared" ca="1" si="1"/>
        <v>8.9683246484011292</v>
      </c>
      <c r="H35" s="2"/>
      <c r="I35" s="2"/>
      <c r="J35" s="2"/>
      <c r="K35" s="2"/>
    </row>
    <row r="36" spans="5:11" x14ac:dyDescent="0.25">
      <c r="E36" s="3">
        <f t="shared" ca="1" si="0"/>
        <v>0.21329668008964298</v>
      </c>
      <c r="F36" s="3">
        <f t="shared" ca="1" si="0"/>
        <v>0.52443853017511932</v>
      </c>
      <c r="G36" s="3">
        <f t="shared" ca="1" si="1"/>
        <v>7.8388511019830363</v>
      </c>
      <c r="H36" s="2"/>
      <c r="I36" s="2"/>
      <c r="J36" s="2"/>
      <c r="K36" s="2"/>
    </row>
    <row r="37" spans="5:11" x14ac:dyDescent="0.25">
      <c r="E37" s="3">
        <f t="shared" ca="1" si="0"/>
        <v>0.87192962276442698</v>
      </c>
      <c r="F37" s="3">
        <f t="shared" ca="1" si="0"/>
        <v>0.49206986384919227</v>
      </c>
      <c r="G37" s="3">
        <f t="shared" ca="1" si="1"/>
        <v>5.5603930973888973</v>
      </c>
      <c r="H37" s="2"/>
      <c r="I37" s="2"/>
      <c r="J37" s="2"/>
      <c r="K37" s="2"/>
    </row>
    <row r="38" spans="5:11" x14ac:dyDescent="0.25">
      <c r="E38" s="3">
        <f t="shared" ca="1" si="0"/>
        <v>0.63290219038613083</v>
      </c>
      <c r="F38" s="3">
        <f t="shared" ca="1" si="0"/>
        <v>0.79508104461456286</v>
      </c>
      <c r="G38" s="3">
        <f t="shared" ca="1" si="1"/>
        <v>8.6079973221540502</v>
      </c>
      <c r="H38" s="2"/>
      <c r="I38" s="2"/>
      <c r="J38" s="2"/>
      <c r="K38" s="2"/>
    </row>
    <row r="39" spans="5:11" x14ac:dyDescent="0.25">
      <c r="E39" s="3">
        <f t="shared" ca="1" si="0"/>
        <v>0.38394988955800458</v>
      </c>
      <c r="F39" s="3">
        <f t="shared" ca="1" si="0"/>
        <v>0.45231688776044032</v>
      </c>
      <c r="G39" s="3">
        <f t="shared" ca="1" si="1"/>
        <v>5.3658799386186713</v>
      </c>
      <c r="H39" s="2"/>
      <c r="I39" s="2"/>
      <c r="J39" s="2"/>
      <c r="K39" s="2"/>
    </row>
    <row r="40" spans="5:11" x14ac:dyDescent="0.25">
      <c r="E40" s="3">
        <f t="shared" ca="1" si="0"/>
        <v>0.15890885998433835</v>
      </c>
      <c r="F40" s="3">
        <f t="shared" ca="1" si="0"/>
        <v>0.91245229227058433</v>
      </c>
      <c r="G40" s="3">
        <f t="shared" ca="1" si="1"/>
        <v>13.375745338235687</v>
      </c>
      <c r="H40" s="2"/>
      <c r="I40" s="2"/>
      <c r="J40" s="2"/>
      <c r="K40" s="2"/>
    </row>
    <row r="41" spans="5:11" x14ac:dyDescent="0.25">
      <c r="E41" s="3">
        <f t="shared" ca="1" si="0"/>
        <v>0.83389625680597534</v>
      </c>
      <c r="F41" s="3">
        <f t="shared" ca="1" si="0"/>
        <v>0.9983597945199415</v>
      </c>
      <c r="G41" s="3">
        <f t="shared" ca="1" si="1"/>
        <v>19.347376983858805</v>
      </c>
      <c r="H41" s="2"/>
      <c r="I41" s="2"/>
      <c r="J41" s="2"/>
      <c r="K41" s="2"/>
    </row>
    <row r="42" spans="5:11" x14ac:dyDescent="0.25">
      <c r="E42" s="3">
        <f t="shared" ca="1" si="0"/>
        <v>0.19332599945212792</v>
      </c>
      <c r="F42" s="3">
        <f t="shared" ca="1" si="0"/>
        <v>3.0090872600059937E-2</v>
      </c>
      <c r="G42" s="3">
        <f t="shared" ca="1" si="1"/>
        <v>8.211503420549354</v>
      </c>
      <c r="H42" s="2"/>
      <c r="I42" s="2"/>
      <c r="J42" s="2"/>
      <c r="K42" s="2"/>
    </row>
    <row r="43" spans="5:11" x14ac:dyDescent="0.25">
      <c r="E43" s="3">
        <f t="shared" ca="1" si="0"/>
        <v>0.95457588909173674</v>
      </c>
      <c r="F43" s="3">
        <f t="shared" ca="1" si="0"/>
        <v>0.24971740348122784</v>
      </c>
      <c r="G43" s="3">
        <f t="shared" ca="1" si="1"/>
        <v>6.3097363789342271</v>
      </c>
      <c r="H43" s="2"/>
      <c r="I43" s="2"/>
      <c r="J43" s="2"/>
      <c r="K43" s="2"/>
    </row>
    <row r="44" spans="5:11" x14ac:dyDescent="0.25">
      <c r="E44" s="3">
        <f t="shared" ca="1" si="0"/>
        <v>0.548835151411734</v>
      </c>
      <c r="F44" s="3">
        <f t="shared" ca="1" si="0"/>
        <v>0.67242491294184037</v>
      </c>
      <c r="G44" s="3">
        <f t="shared" ca="1" si="1"/>
        <v>6.8976554917527535</v>
      </c>
      <c r="H44" s="2"/>
      <c r="I44" s="2"/>
      <c r="J44" s="2"/>
      <c r="K44" s="2"/>
    </row>
    <row r="45" spans="5:11" x14ac:dyDescent="0.25">
      <c r="E45" s="3">
        <f t="shared" ca="1" si="0"/>
        <v>0.65664880648585155</v>
      </c>
      <c r="F45" s="3">
        <f t="shared" ca="1" si="0"/>
        <v>0.44985796373702014</v>
      </c>
      <c r="G45" s="3">
        <f t="shared" ca="1" si="1"/>
        <v>3.8463926282813863</v>
      </c>
      <c r="H45" s="2"/>
      <c r="I45" s="2"/>
      <c r="J45" s="2"/>
      <c r="K45" s="2"/>
    </row>
    <row r="46" spans="5:11" x14ac:dyDescent="0.25">
      <c r="E46" s="3">
        <f t="shared" ca="1" si="0"/>
        <v>0.74171595358253828</v>
      </c>
      <c r="F46" s="3">
        <f t="shared" ca="1" si="0"/>
        <v>0.3778510193802167</v>
      </c>
      <c r="G46" s="3">
        <f t="shared" ca="1" si="1"/>
        <v>3.0820555535996528</v>
      </c>
      <c r="H46" s="2"/>
      <c r="I46" s="2"/>
      <c r="J46" s="2"/>
      <c r="K46" s="2"/>
    </row>
    <row r="47" spans="5:11" x14ac:dyDescent="0.25">
      <c r="E47" s="3">
        <f t="shared" ca="1" si="0"/>
        <v>7.673681897944884E-2</v>
      </c>
      <c r="F47" s="3">
        <f t="shared" ca="1" si="0"/>
        <v>0.26570873867930456</v>
      </c>
      <c r="G47" s="3">
        <f t="shared" ca="1" si="1"/>
        <v>9.4725788882947235</v>
      </c>
      <c r="H47" s="2"/>
      <c r="I47" s="2"/>
      <c r="J47" s="2"/>
      <c r="K47" s="2"/>
    </row>
    <row r="48" spans="5:11" x14ac:dyDescent="0.25">
      <c r="E48" s="3">
        <f t="shared" ca="1" si="0"/>
        <v>0.74945864965588183</v>
      </c>
      <c r="F48" s="3">
        <f t="shared" ca="1" si="0"/>
        <v>0.21737451966271015</v>
      </c>
      <c r="G48" s="3">
        <f t="shared" ca="1" si="1"/>
        <v>1.2574169484630782</v>
      </c>
      <c r="H48" s="2"/>
      <c r="I48" s="2"/>
      <c r="J48" s="2"/>
      <c r="K48" s="2"/>
    </row>
    <row r="49" spans="5:11" x14ac:dyDescent="0.25">
      <c r="E49" s="3">
        <f t="shared" ca="1" si="0"/>
        <v>2.3070694690527804E-2</v>
      </c>
      <c r="F49" s="3">
        <f t="shared" ca="1" si="0"/>
        <v>0.32706024159445213</v>
      </c>
      <c r="G49" s="3">
        <f t="shared" ca="1" si="1"/>
        <v>12.412768472931617</v>
      </c>
      <c r="H49" s="2"/>
      <c r="I49" s="2"/>
      <c r="J49" s="2"/>
      <c r="K49" s="2"/>
    </row>
    <row r="50" spans="5:11" x14ac:dyDescent="0.25">
      <c r="E50" s="3">
        <f t="shared" ca="1" si="0"/>
        <v>0.7144167047778387</v>
      </c>
      <c r="F50" s="3">
        <f t="shared" ca="1" si="0"/>
        <v>0.29009957420188748</v>
      </c>
      <c r="G50" s="3">
        <f t="shared" ca="1" si="1"/>
        <v>1.8041639582691731</v>
      </c>
      <c r="H50" s="2"/>
      <c r="I50" s="2"/>
      <c r="J50" s="2"/>
      <c r="K50" s="2"/>
    </row>
    <row r="51" spans="5:11" x14ac:dyDescent="0.25">
      <c r="E51" s="3">
        <f t="shared" ca="1" si="0"/>
        <v>0.99928325191554712</v>
      </c>
      <c r="F51" s="3">
        <f t="shared" ca="1" si="0"/>
        <v>0.88329408136457832</v>
      </c>
      <c r="G51" s="3">
        <f t="shared" ca="1" si="1"/>
        <v>17.216265520980915</v>
      </c>
      <c r="H51" s="2"/>
      <c r="I51" s="2"/>
      <c r="J51" s="2"/>
      <c r="K51" s="2"/>
    </row>
    <row r="52" spans="5:11" x14ac:dyDescent="0.25">
      <c r="E52" s="3">
        <f t="shared" ca="1" si="0"/>
        <v>0.93647594153488389</v>
      </c>
      <c r="F52" s="3">
        <f t="shared" ca="1" si="0"/>
        <v>0.99234562693385442</v>
      </c>
      <c r="G52" s="3">
        <f t="shared" ca="1" si="1"/>
        <v>17.44797731697404</v>
      </c>
      <c r="H52" s="2"/>
      <c r="I52" s="2"/>
      <c r="J52" s="2"/>
      <c r="K52" s="2"/>
    </row>
    <row r="53" spans="5:11" x14ac:dyDescent="0.25">
      <c r="E53" s="3">
        <f t="shared" ca="1" si="0"/>
        <v>0.83027547307753913</v>
      </c>
      <c r="F53" s="3">
        <f t="shared" ca="1" si="0"/>
        <v>0.36637026043952836</v>
      </c>
      <c r="G53" s="3">
        <f t="shared" ca="1" si="1"/>
        <v>3.750014917099981</v>
      </c>
      <c r="H53" s="2"/>
      <c r="I53" s="2"/>
      <c r="J53" s="2"/>
      <c r="K53" s="2"/>
    </row>
    <row r="54" spans="5:11" x14ac:dyDescent="0.25">
      <c r="E54" s="3">
        <f t="shared" ca="1" si="0"/>
        <v>0.52956430539511912</v>
      </c>
      <c r="F54" s="3">
        <f t="shared" ca="1" si="0"/>
        <v>0.31240681169042961</v>
      </c>
      <c r="G54" s="3">
        <f t="shared" ca="1" si="1"/>
        <v>2.755860078457391</v>
      </c>
      <c r="H54" s="2"/>
      <c r="I54" s="2"/>
      <c r="J54" s="2"/>
      <c r="K54" s="2"/>
    </row>
    <row r="55" spans="5:11" x14ac:dyDescent="0.25">
      <c r="E55" s="3">
        <f t="shared" ca="1" si="0"/>
        <v>0.6917488261939565</v>
      </c>
      <c r="F55" s="3">
        <f t="shared" ca="1" si="0"/>
        <v>1.883118641718784E-2</v>
      </c>
      <c r="G55" s="3">
        <f t="shared" ca="1" si="1"/>
        <v>5.9284363938077282</v>
      </c>
      <c r="H55" s="2"/>
      <c r="I55" s="2"/>
      <c r="J55" s="2"/>
      <c r="K55" s="2"/>
    </row>
    <row r="56" spans="5:11" x14ac:dyDescent="0.25">
      <c r="E56" s="3">
        <f t="shared" ca="1" si="0"/>
        <v>0.93638088180019807</v>
      </c>
      <c r="F56" s="3">
        <f t="shared" ca="1" si="0"/>
        <v>0.67095825609206206</v>
      </c>
      <c r="G56" s="3">
        <f t="shared" ca="1" si="1"/>
        <v>8.5824476253239439</v>
      </c>
      <c r="H56" s="2"/>
      <c r="I56" s="2"/>
      <c r="J56" s="2"/>
      <c r="K56" s="2"/>
    </row>
    <row r="57" spans="5:11" x14ac:dyDescent="0.25">
      <c r="E57" s="3">
        <f t="shared" ca="1" si="0"/>
        <v>2.621948157207632E-2</v>
      </c>
      <c r="F57" s="3">
        <f t="shared" ca="1" si="0"/>
        <v>0.17385440199944657</v>
      </c>
      <c r="G57" s="3">
        <f t="shared" ca="1" si="1"/>
        <v>11.940055110602501</v>
      </c>
      <c r="H57" s="2"/>
      <c r="I57" s="2"/>
      <c r="J57" s="2"/>
      <c r="K57" s="2"/>
    </row>
    <row r="58" spans="5:11" x14ac:dyDescent="0.25">
      <c r="E58" s="3">
        <f t="shared" ca="1" si="0"/>
        <v>0.43205259462449874</v>
      </c>
      <c r="F58" s="3">
        <f t="shared" ca="1" si="0"/>
        <v>0.71097196083528302</v>
      </c>
      <c r="G58" s="3">
        <f t="shared" ca="1" si="1"/>
        <v>7.8844560417664642</v>
      </c>
      <c r="H58" s="2"/>
      <c r="I58" s="2"/>
      <c r="J58" s="2"/>
      <c r="K58" s="2"/>
    </row>
    <row r="59" spans="5:11" x14ac:dyDescent="0.25">
      <c r="E59" s="3">
        <f t="shared" ca="1" si="0"/>
        <v>0.59932347810821562</v>
      </c>
      <c r="F59" s="3">
        <f t="shared" ca="1" si="0"/>
        <v>0.87517854931641592</v>
      </c>
      <c r="G59" s="3">
        <f t="shared" ca="1" si="1"/>
        <v>10.273148179796667</v>
      </c>
      <c r="H59" s="2"/>
      <c r="I59" s="2"/>
      <c r="J59" s="2"/>
      <c r="K59" s="2"/>
    </row>
    <row r="60" spans="5:11" x14ac:dyDescent="0.25">
      <c r="E60" s="3">
        <f t="shared" ca="1" si="0"/>
        <v>0.9596386843786826</v>
      </c>
      <c r="F60" s="3">
        <f t="shared" ca="1" si="0"/>
        <v>0.38155866226436286</v>
      </c>
      <c r="G60" s="3">
        <f t="shared" ca="1" si="1"/>
        <v>7.1363788558140175</v>
      </c>
      <c r="H60" s="2"/>
      <c r="I60" s="2"/>
      <c r="J60" s="2"/>
      <c r="K60" s="2"/>
    </row>
    <row r="61" spans="5:11" x14ac:dyDescent="0.25">
      <c r="E61" s="3">
        <f t="shared" ca="1" si="0"/>
        <v>0.92040218164625953</v>
      </c>
      <c r="F61" s="3">
        <f t="shared" ca="1" si="0"/>
        <v>0.19194125951982821</v>
      </c>
      <c r="G61" s="3">
        <f t="shared" ca="1" si="1"/>
        <v>4.7999475641560521</v>
      </c>
      <c r="H61" s="2"/>
      <c r="I61" s="2"/>
      <c r="J61" s="2"/>
      <c r="K61" s="2"/>
    </row>
    <row r="62" spans="5:11" x14ac:dyDescent="0.25">
      <c r="E62" s="3">
        <f t="shared" ca="1" si="0"/>
        <v>0.18538681529045009</v>
      </c>
      <c r="F62" s="3">
        <f t="shared" ca="1" si="0"/>
        <v>0.52619720039857842</v>
      </c>
      <c r="G62" s="3">
        <f t="shared" ca="1" si="1"/>
        <v>8.2537245287521035</v>
      </c>
      <c r="H62" s="2"/>
      <c r="I62" s="2"/>
      <c r="J62" s="2"/>
      <c r="K62" s="2"/>
    </row>
    <row r="63" spans="5:11" x14ac:dyDescent="0.25">
      <c r="E63" s="3">
        <f t="shared" ca="1" si="0"/>
        <v>0.66764248128466108</v>
      </c>
      <c r="F63" s="3">
        <f t="shared" ca="1" si="0"/>
        <v>0.84250429335810495</v>
      </c>
      <c r="G63" s="3">
        <f t="shared" ca="1" si="1"/>
        <v>9.4942844890296296</v>
      </c>
      <c r="H63" s="2"/>
      <c r="I63" s="2"/>
      <c r="J63" s="2"/>
      <c r="K63" s="2"/>
    </row>
    <row r="64" spans="5:11" x14ac:dyDescent="0.25">
      <c r="E64" s="3">
        <f t="shared" ca="1" si="0"/>
        <v>0.82764296787737002</v>
      </c>
      <c r="F64" s="3">
        <f t="shared" ca="1" si="0"/>
        <v>0.11847677419483871</v>
      </c>
      <c r="G64" s="3">
        <f t="shared" ca="1" si="1"/>
        <v>2.8728945320315895</v>
      </c>
      <c r="H64" s="2"/>
      <c r="I64" s="2"/>
      <c r="J64" s="2"/>
      <c r="K64" s="2"/>
    </row>
    <row r="65" spans="5:11" x14ac:dyDescent="0.25">
      <c r="E65" s="3">
        <f t="shared" ca="1" si="0"/>
        <v>7.9726056519754174E-2</v>
      </c>
      <c r="F65" s="3">
        <f t="shared" ca="1" si="0"/>
        <v>0.96571000254944439</v>
      </c>
      <c r="G65" s="3">
        <f t="shared" ca="1" si="1"/>
        <v>16.441681340763797</v>
      </c>
      <c r="H65" s="2"/>
      <c r="I65" s="2"/>
      <c r="J65" s="2"/>
      <c r="K65" s="2"/>
    </row>
    <row r="66" spans="5:11" x14ac:dyDescent="0.25">
      <c r="E66" s="3">
        <f t="shared" ca="1" si="0"/>
        <v>0.28104188713444433</v>
      </c>
      <c r="F66" s="3">
        <f t="shared" ca="1" si="0"/>
        <v>0.95567727431285965</v>
      </c>
      <c r="G66" s="3">
        <f t="shared" ca="1" si="1"/>
        <v>13.963044588112231</v>
      </c>
      <c r="H66" s="2"/>
      <c r="I66" s="2"/>
      <c r="J66" s="2"/>
      <c r="K66" s="2"/>
    </row>
    <row r="67" spans="5:11" x14ac:dyDescent="0.25">
      <c r="E67" s="3">
        <f t="shared" ca="1" si="0"/>
        <v>3.49028533050465E-2</v>
      </c>
      <c r="F67" s="3">
        <f t="shared" ca="1" si="0"/>
        <v>0.43682083746933664</v>
      </c>
      <c r="G67" s="3">
        <f t="shared" ca="1" si="1"/>
        <v>11.888428271356355</v>
      </c>
      <c r="H67" s="2"/>
      <c r="I67" s="2"/>
      <c r="J67" s="2"/>
      <c r="K67" s="2"/>
    </row>
    <row r="68" spans="5:11" x14ac:dyDescent="0.25">
      <c r="E68" s="3">
        <f t="shared" ref="E68:F131" ca="1" si="2">RAND()</f>
        <v>0.71511812276268816</v>
      </c>
      <c r="F68" s="3">
        <f t="shared" ca="1" si="2"/>
        <v>0.79754384885322371</v>
      </c>
      <c r="G68" s="3">
        <f t="shared" ref="G68:G131" ca="1" si="3">SQRT(_xlfn.NORM.INV(E68,$C$3*COS($C$6),$C$4)^2+_xlfn.NORM.INV(F68,$C$3*SIN($C$6),$C$4)^2)</f>
        <v>8.6553191481856331</v>
      </c>
      <c r="H68" s="2"/>
      <c r="I68" s="2"/>
      <c r="J68" s="2"/>
      <c r="K68" s="2"/>
    </row>
    <row r="69" spans="5:11" x14ac:dyDescent="0.25">
      <c r="E69" s="3">
        <f t="shared" ca="1" si="2"/>
        <v>0.18379384759757345</v>
      </c>
      <c r="F69" s="3">
        <f t="shared" ca="1" si="2"/>
        <v>0.20177921563977352</v>
      </c>
      <c r="G69" s="3">
        <f t="shared" ca="1" si="3"/>
        <v>6.7517592048205568</v>
      </c>
      <c r="H69" s="2"/>
      <c r="I69" s="2"/>
      <c r="J69" s="2"/>
      <c r="K69" s="2"/>
    </row>
    <row r="70" spans="5:11" x14ac:dyDescent="0.25">
      <c r="E70" s="3">
        <f t="shared" ca="1" si="2"/>
        <v>0.7091753526641692</v>
      </c>
      <c r="F70" s="3">
        <f t="shared" ca="1" si="2"/>
        <v>0.1952152165815495</v>
      </c>
      <c r="G70" s="3">
        <f t="shared" ca="1" si="3"/>
        <v>0.54372212849210466</v>
      </c>
      <c r="H70" s="2"/>
      <c r="I70" s="2"/>
      <c r="J70" s="2"/>
      <c r="K70" s="2"/>
    </row>
    <row r="71" spans="5:11" x14ac:dyDescent="0.25">
      <c r="E71" s="3">
        <f t="shared" ca="1" si="2"/>
        <v>0.36770804517212807</v>
      </c>
      <c r="F71" s="3">
        <f t="shared" ca="1" si="2"/>
        <v>0.8652787781529655</v>
      </c>
      <c r="G71" s="3">
        <f t="shared" ca="1" si="3"/>
        <v>10.736829834783732</v>
      </c>
      <c r="H71" s="2"/>
      <c r="I71" s="2"/>
      <c r="J71" s="2"/>
      <c r="K71" s="2"/>
    </row>
    <row r="72" spans="5:11" x14ac:dyDescent="0.25">
      <c r="E72" s="3">
        <f t="shared" ca="1" si="2"/>
        <v>0.82282609937565443</v>
      </c>
      <c r="F72" s="3">
        <f t="shared" ca="1" si="2"/>
        <v>0.33089493054203567</v>
      </c>
      <c r="G72" s="3">
        <f t="shared" ca="1" si="3"/>
        <v>3.3054318911299654</v>
      </c>
      <c r="H72" s="2"/>
      <c r="I72" s="2"/>
      <c r="J72" s="2"/>
      <c r="K72" s="2"/>
    </row>
    <row r="73" spans="5:11" x14ac:dyDescent="0.25">
      <c r="E73" s="3">
        <f t="shared" ca="1" si="2"/>
        <v>0.19353470144060525</v>
      </c>
      <c r="F73" s="3">
        <f t="shared" ca="1" si="2"/>
        <v>0.65594209345096433</v>
      </c>
      <c r="G73" s="3">
        <f t="shared" ca="1" si="3"/>
        <v>9.2223952746766038</v>
      </c>
      <c r="H73" s="2"/>
      <c r="I73" s="2"/>
      <c r="J73" s="2"/>
      <c r="K73" s="2"/>
    </row>
    <row r="74" spans="5:11" x14ac:dyDescent="0.25">
      <c r="E74" s="3">
        <f t="shared" ca="1" si="2"/>
        <v>0.5527504924417117</v>
      </c>
      <c r="F74" s="3">
        <f t="shared" ca="1" si="2"/>
        <v>0.96414676621227546</v>
      </c>
      <c r="G74" s="3">
        <f t="shared" ca="1" si="3"/>
        <v>13.56687085076941</v>
      </c>
      <c r="H74" s="2"/>
      <c r="I74" s="2"/>
      <c r="J74" s="2"/>
      <c r="K74" s="2"/>
    </row>
    <row r="75" spans="5:11" x14ac:dyDescent="0.25">
      <c r="E75" s="3">
        <f t="shared" ca="1" si="2"/>
        <v>0.8956398098197611</v>
      </c>
      <c r="F75" s="3">
        <f t="shared" ca="1" si="2"/>
        <v>0.8388330205948018</v>
      </c>
      <c r="G75" s="3">
        <f t="shared" ca="1" si="3"/>
        <v>10.250270761719438</v>
      </c>
      <c r="H75" s="2"/>
      <c r="I75" s="2"/>
      <c r="J75" s="2"/>
      <c r="K75" s="2"/>
    </row>
    <row r="76" spans="5:11" x14ac:dyDescent="0.25">
      <c r="E76" s="3">
        <f t="shared" ca="1" si="2"/>
        <v>0.92138518692301297</v>
      </c>
      <c r="F76" s="3">
        <f t="shared" ca="1" si="2"/>
        <v>7.7027766744098836E-3</v>
      </c>
      <c r="G76" s="3">
        <f t="shared" ca="1" si="3"/>
        <v>9.0427110686975336</v>
      </c>
      <c r="H76" s="2"/>
      <c r="I76" s="2"/>
      <c r="J76" s="2"/>
      <c r="K76" s="2"/>
    </row>
    <row r="77" spans="5:11" x14ac:dyDescent="0.25">
      <c r="E77" s="3">
        <f t="shared" ca="1" si="2"/>
        <v>0.81369762822216574</v>
      </c>
      <c r="F77" s="3">
        <f t="shared" ca="1" si="2"/>
        <v>0.79698701683133677</v>
      </c>
      <c r="G77" s="3">
        <f t="shared" ca="1" si="3"/>
        <v>8.9050742336224307</v>
      </c>
      <c r="H77" s="2"/>
      <c r="I77" s="2"/>
      <c r="J77" s="2"/>
      <c r="K77" s="2"/>
    </row>
    <row r="78" spans="5:11" x14ac:dyDescent="0.25">
      <c r="E78" s="3">
        <f t="shared" ca="1" si="2"/>
        <v>0.25776276115570029</v>
      </c>
      <c r="F78" s="3">
        <f t="shared" ca="1" si="2"/>
        <v>6.0836884386479384E-2</v>
      </c>
      <c r="G78" s="3">
        <f t="shared" ca="1" si="3"/>
        <v>6.3909572070711711</v>
      </c>
      <c r="H78" s="2"/>
      <c r="I78" s="2"/>
      <c r="J78" s="2"/>
      <c r="K78" s="2"/>
    </row>
    <row r="79" spans="5:11" x14ac:dyDescent="0.25">
      <c r="E79" s="3">
        <f t="shared" ca="1" si="2"/>
        <v>0.55287994400736096</v>
      </c>
      <c r="F79" s="3">
        <f t="shared" ca="1" si="2"/>
        <v>0.47346461399716766</v>
      </c>
      <c r="G79" s="3">
        <f t="shared" ca="1" si="3"/>
        <v>4.4270597241042964</v>
      </c>
      <c r="H79" s="2"/>
      <c r="I79" s="2"/>
      <c r="J79" s="2"/>
      <c r="K79" s="2"/>
    </row>
    <row r="80" spans="5:11" x14ac:dyDescent="0.25">
      <c r="E80" s="3">
        <f t="shared" ca="1" si="2"/>
        <v>0.32773001935423918</v>
      </c>
      <c r="F80" s="3">
        <f t="shared" ca="1" si="2"/>
        <v>0.84839346860970111</v>
      </c>
      <c r="G80" s="3">
        <f t="shared" ca="1" si="3"/>
        <v>10.606373734000798</v>
      </c>
      <c r="H80" s="2"/>
      <c r="I80" s="2"/>
      <c r="J80" s="2"/>
      <c r="K80" s="2"/>
    </row>
    <row r="81" spans="5:11" x14ac:dyDescent="0.25">
      <c r="E81" s="3">
        <f t="shared" ca="1" si="2"/>
        <v>0.93132484174684482</v>
      </c>
      <c r="F81" s="3">
        <f t="shared" ca="1" si="2"/>
        <v>3.8830270358278796E-2</v>
      </c>
      <c r="G81" s="3">
        <f t="shared" ca="1" si="3"/>
        <v>6.7719590803715244</v>
      </c>
      <c r="H81" s="2"/>
      <c r="I81" s="2"/>
      <c r="J81" s="2"/>
      <c r="K81" s="2"/>
    </row>
    <row r="82" spans="5:11" x14ac:dyDescent="0.25">
      <c r="E82" s="3">
        <f t="shared" ca="1" si="2"/>
        <v>0.65202307247966518</v>
      </c>
      <c r="F82" s="3">
        <f t="shared" ca="1" si="2"/>
        <v>0.87828722312822516</v>
      </c>
      <c r="G82" s="3">
        <f t="shared" ca="1" si="3"/>
        <v>10.306300813748509</v>
      </c>
      <c r="H82" s="2"/>
      <c r="I82" s="2"/>
      <c r="J82" s="2"/>
      <c r="K82" s="2"/>
    </row>
    <row r="83" spans="5:11" x14ac:dyDescent="0.25">
      <c r="E83" s="3">
        <f t="shared" ca="1" si="2"/>
        <v>0.88777220444168647</v>
      </c>
      <c r="F83" s="3">
        <f t="shared" ca="1" si="2"/>
        <v>0.86910335346108814</v>
      </c>
      <c r="G83" s="3">
        <f t="shared" ca="1" si="3"/>
        <v>10.785076030199107</v>
      </c>
      <c r="H83" s="2"/>
      <c r="I83" s="2"/>
      <c r="J83" s="2"/>
      <c r="K83" s="2"/>
    </row>
    <row r="84" spans="5:11" x14ac:dyDescent="0.25">
      <c r="E84" s="3">
        <f t="shared" ca="1" si="2"/>
        <v>0.88004781329475468</v>
      </c>
      <c r="F84" s="3">
        <f t="shared" ca="1" si="2"/>
        <v>0.94019968121045094</v>
      </c>
      <c r="G84" s="3">
        <f t="shared" ca="1" si="3"/>
        <v>12.780306368104114</v>
      </c>
      <c r="H84" s="2"/>
      <c r="I84" s="2"/>
      <c r="J84" s="2"/>
      <c r="K84" s="2"/>
    </row>
    <row r="85" spans="5:11" x14ac:dyDescent="0.25">
      <c r="E85" s="3">
        <f t="shared" ca="1" si="2"/>
        <v>0.61007104448677241</v>
      </c>
      <c r="F85" s="3">
        <f t="shared" ca="1" si="2"/>
        <v>0.97502545647352867</v>
      </c>
      <c r="G85" s="3">
        <f t="shared" ca="1" si="3"/>
        <v>14.296847934814306</v>
      </c>
      <c r="H85" s="2"/>
      <c r="I85" s="2"/>
      <c r="J85" s="2"/>
      <c r="K85" s="2"/>
    </row>
    <row r="86" spans="5:11" x14ac:dyDescent="0.25">
      <c r="E86" s="3">
        <f t="shared" ca="1" si="2"/>
        <v>9.9942279967980885E-2</v>
      </c>
      <c r="F86" s="3">
        <f t="shared" ca="1" si="2"/>
        <v>0.34731521458556347</v>
      </c>
      <c r="G86" s="3">
        <f t="shared" ca="1" si="3"/>
        <v>9.0057772838523729</v>
      </c>
      <c r="H86" s="2"/>
      <c r="I86" s="2"/>
      <c r="J86" s="2"/>
      <c r="K86" s="2"/>
    </row>
    <row r="87" spans="5:11" x14ac:dyDescent="0.25">
      <c r="E87" s="3">
        <f t="shared" ca="1" si="2"/>
        <v>0.96003791200357025</v>
      </c>
      <c r="F87" s="3">
        <f t="shared" ca="1" si="2"/>
        <v>0.34133526859755048</v>
      </c>
      <c r="G87" s="3">
        <f t="shared" ca="1" si="3"/>
        <v>6.9522312677564315</v>
      </c>
      <c r="H87" s="2"/>
      <c r="I87" s="2"/>
      <c r="J87" s="2"/>
      <c r="K87" s="2"/>
    </row>
    <row r="88" spans="5:11" x14ac:dyDescent="0.25">
      <c r="E88" s="3">
        <f t="shared" ca="1" si="2"/>
        <v>0.61995080258198454</v>
      </c>
      <c r="F88" s="3">
        <f t="shared" ca="1" si="2"/>
        <v>0.77911955803865152</v>
      </c>
      <c r="G88" s="3">
        <f t="shared" ca="1" si="3"/>
        <v>8.3466603146352618</v>
      </c>
      <c r="H88" s="2"/>
      <c r="I88" s="2"/>
      <c r="J88" s="2"/>
      <c r="K88" s="2"/>
    </row>
    <row r="89" spans="5:11" x14ac:dyDescent="0.25">
      <c r="E89" s="3">
        <f t="shared" ca="1" si="2"/>
        <v>0.66901712478288655</v>
      </c>
      <c r="F89" s="3">
        <f t="shared" ca="1" si="2"/>
        <v>1.5359918067353484E-2</v>
      </c>
      <c r="G89" s="3">
        <f t="shared" ca="1" si="3"/>
        <v>6.3336649264570939</v>
      </c>
      <c r="H89" s="2"/>
      <c r="I89" s="2"/>
      <c r="J89" s="2"/>
      <c r="K89" s="2"/>
    </row>
    <row r="90" spans="5:11" x14ac:dyDescent="0.25">
      <c r="E90" s="3">
        <f t="shared" ca="1" si="2"/>
        <v>0.54060804868640711</v>
      </c>
      <c r="F90" s="3">
        <f t="shared" ca="1" si="2"/>
        <v>0.1611649443016705</v>
      </c>
      <c r="G90" s="3">
        <f t="shared" ca="1" si="3"/>
        <v>1.7954543474152349</v>
      </c>
      <c r="H90" s="2"/>
      <c r="I90" s="2"/>
      <c r="J90" s="2"/>
      <c r="K90" s="2"/>
    </row>
    <row r="91" spans="5:11" x14ac:dyDescent="0.25">
      <c r="E91" s="3">
        <f t="shared" ca="1" si="2"/>
        <v>0.93699858524427049</v>
      </c>
      <c r="F91" s="3">
        <f t="shared" ca="1" si="2"/>
        <v>1.508656484860349E-2</v>
      </c>
      <c r="G91" s="3">
        <f t="shared" ca="1" si="3"/>
        <v>8.3565650346592637</v>
      </c>
      <c r="H91" s="2"/>
      <c r="I91" s="2"/>
      <c r="J91" s="2"/>
      <c r="K91" s="2"/>
    </row>
    <row r="92" spans="5:11" x14ac:dyDescent="0.25">
      <c r="E92" s="3">
        <f t="shared" ca="1" si="2"/>
        <v>0.64271355768516958</v>
      </c>
      <c r="F92" s="3">
        <f t="shared" ca="1" si="2"/>
        <v>0.89471892679668041</v>
      </c>
      <c r="G92" s="3">
        <f t="shared" ca="1" si="3"/>
        <v>10.737986836632837</v>
      </c>
      <c r="H92" s="2"/>
      <c r="I92" s="2"/>
      <c r="J92" s="2"/>
      <c r="K92" s="2"/>
    </row>
    <row r="93" spans="5:11" x14ac:dyDescent="0.25">
      <c r="E93" s="3">
        <f t="shared" ca="1" si="2"/>
        <v>0.16985942064487791</v>
      </c>
      <c r="F93" s="3">
        <f t="shared" ca="1" si="2"/>
        <v>0.18290544312542445</v>
      </c>
      <c r="G93" s="3">
        <f t="shared" ca="1" si="3"/>
        <v>7.0141637001974511</v>
      </c>
      <c r="H93" s="2"/>
      <c r="I93" s="2"/>
      <c r="J93" s="2"/>
      <c r="K93" s="2"/>
    </row>
    <row r="94" spans="5:11" x14ac:dyDescent="0.25">
      <c r="E94" s="3">
        <f t="shared" ca="1" si="2"/>
        <v>0.82920681561855758</v>
      </c>
      <c r="F94" s="3">
        <f t="shared" ca="1" si="2"/>
        <v>0.4433450657667527</v>
      </c>
      <c r="G94" s="3">
        <f t="shared" ca="1" si="3"/>
        <v>4.5214142671735633</v>
      </c>
      <c r="H94" s="2"/>
      <c r="I94" s="2"/>
      <c r="J94" s="2"/>
      <c r="K94" s="2"/>
    </row>
    <row r="95" spans="5:11" x14ac:dyDescent="0.25">
      <c r="E95" s="3">
        <f t="shared" ca="1" si="2"/>
        <v>0.72846854520320059</v>
      </c>
      <c r="F95" s="3">
        <f t="shared" ca="1" si="2"/>
        <v>0.65777272444991508</v>
      </c>
      <c r="G95" s="3">
        <f t="shared" ca="1" si="3"/>
        <v>6.5510445688857226</v>
      </c>
      <c r="H95" s="2"/>
      <c r="I95" s="2"/>
      <c r="J95" s="2"/>
      <c r="K95" s="2"/>
    </row>
    <row r="96" spans="5:11" x14ac:dyDescent="0.25">
      <c r="E96" s="3">
        <f t="shared" ca="1" si="2"/>
        <v>0.97144758722150726</v>
      </c>
      <c r="F96" s="3">
        <f t="shared" ca="1" si="2"/>
        <v>0.95457685175045814</v>
      </c>
      <c r="G96" s="3">
        <f t="shared" ca="1" si="3"/>
        <v>14.830145818528903</v>
      </c>
      <c r="H96" s="2"/>
      <c r="I96" s="2"/>
      <c r="J96" s="2"/>
      <c r="K96" s="2"/>
    </row>
    <row r="97" spans="5:11" x14ac:dyDescent="0.25">
      <c r="E97" s="3">
        <f t="shared" ca="1" si="2"/>
        <v>7.4450571715263592E-2</v>
      </c>
      <c r="F97" s="3">
        <f t="shared" ca="1" si="2"/>
        <v>0.22224704297191655</v>
      </c>
      <c r="G97" s="3">
        <f t="shared" ca="1" si="3"/>
        <v>9.4795818642234959</v>
      </c>
      <c r="H97" s="2"/>
      <c r="I97" s="2"/>
      <c r="J97" s="2"/>
      <c r="K97" s="2"/>
    </row>
    <row r="98" spans="5:11" x14ac:dyDescent="0.25">
      <c r="E98" s="3">
        <f t="shared" ca="1" si="2"/>
        <v>5.6747395390145838E-2</v>
      </c>
      <c r="F98" s="3">
        <f t="shared" ca="1" si="2"/>
        <v>0.66158669011672278</v>
      </c>
      <c r="G98" s="3">
        <f t="shared" ca="1" si="3"/>
        <v>12.085254084005022</v>
      </c>
      <c r="H98" s="2"/>
      <c r="I98" s="2"/>
      <c r="J98" s="2"/>
      <c r="K98" s="2"/>
    </row>
    <row r="99" spans="5:11" x14ac:dyDescent="0.25">
      <c r="E99" s="3">
        <f t="shared" ca="1" si="2"/>
        <v>0.72864223866493627</v>
      </c>
      <c r="F99" s="3">
        <f t="shared" ca="1" si="2"/>
        <v>0.14872130456483745</v>
      </c>
      <c r="G99" s="3">
        <f t="shared" ca="1" si="3"/>
        <v>1.0919003226462145</v>
      </c>
      <c r="H99" s="2"/>
      <c r="I99" s="2"/>
      <c r="J99" s="2"/>
      <c r="K99" s="2"/>
    </row>
    <row r="100" spans="5:11" x14ac:dyDescent="0.25">
      <c r="E100" s="3">
        <f t="shared" ca="1" si="2"/>
        <v>0.14660693645681333</v>
      </c>
      <c r="F100" s="3">
        <f t="shared" ca="1" si="2"/>
        <v>0.86141361783015669</v>
      </c>
      <c r="G100" s="3">
        <f t="shared" ca="1" si="3"/>
        <v>12.420389377071487</v>
      </c>
      <c r="H100" s="2"/>
      <c r="I100" s="2"/>
      <c r="J100" s="2"/>
      <c r="K100" s="2"/>
    </row>
    <row r="101" spans="5:11" x14ac:dyDescent="0.25">
      <c r="E101" s="3">
        <f t="shared" ca="1" si="2"/>
        <v>0.50697810663761145</v>
      </c>
      <c r="F101" s="3">
        <f t="shared" ca="1" si="2"/>
        <v>0.70393460612356873</v>
      </c>
      <c r="G101" s="3">
        <f t="shared" ca="1" si="3"/>
        <v>7.4658857321914232</v>
      </c>
      <c r="H101" s="2"/>
      <c r="I101" s="2"/>
      <c r="J101" s="2"/>
      <c r="K101" s="2"/>
    </row>
    <row r="102" spans="5:11" x14ac:dyDescent="0.25">
      <c r="E102" s="3">
        <f t="shared" ca="1" si="2"/>
        <v>0.61432267427145715</v>
      </c>
      <c r="F102" s="3">
        <f t="shared" ca="1" si="2"/>
        <v>0.55643367705740687</v>
      </c>
      <c r="G102" s="3">
        <f t="shared" ca="1" si="3"/>
        <v>5.239150392594988</v>
      </c>
      <c r="H102" s="2"/>
      <c r="I102" s="2"/>
      <c r="J102" s="2"/>
      <c r="K102" s="2"/>
    </row>
    <row r="103" spans="5:11" x14ac:dyDescent="0.25">
      <c r="E103" s="3">
        <f t="shared" ca="1" si="2"/>
        <v>0.9564773235480023</v>
      </c>
      <c r="F103" s="3">
        <f t="shared" ca="1" si="2"/>
        <v>0.57392759190971654</v>
      </c>
      <c r="G103" s="3">
        <f t="shared" ca="1" si="3"/>
        <v>8.3106732503566594</v>
      </c>
      <c r="H103" s="2"/>
      <c r="I103" s="2"/>
      <c r="J103" s="2"/>
      <c r="K103" s="2"/>
    </row>
    <row r="104" spans="5:11" x14ac:dyDescent="0.25">
      <c r="E104" s="3">
        <f t="shared" ca="1" si="2"/>
        <v>0.81234091766479999</v>
      </c>
      <c r="F104" s="3">
        <f t="shared" ca="1" si="2"/>
        <v>0.43849522244195405</v>
      </c>
      <c r="G104" s="3">
        <f t="shared" ca="1" si="3"/>
        <v>4.2973820675808749</v>
      </c>
      <c r="H104" s="2"/>
      <c r="I104" s="2"/>
      <c r="J104" s="2"/>
      <c r="K104" s="2"/>
    </row>
    <row r="105" spans="5:11" x14ac:dyDescent="0.25">
      <c r="E105" s="3">
        <f t="shared" ca="1" si="2"/>
        <v>0.28222435829709369</v>
      </c>
      <c r="F105" s="3">
        <f t="shared" ca="1" si="2"/>
        <v>3.6966564623546638E-2</v>
      </c>
      <c r="G105" s="3">
        <f t="shared" ca="1" si="3"/>
        <v>6.7947303397558558</v>
      </c>
      <c r="H105" s="2"/>
      <c r="I105" s="2"/>
      <c r="J105" s="2"/>
      <c r="K105" s="2"/>
    </row>
    <row r="106" spans="5:11" x14ac:dyDescent="0.25">
      <c r="E106" s="3">
        <f t="shared" ca="1" si="2"/>
        <v>0.16909678518824811</v>
      </c>
      <c r="F106" s="3">
        <f t="shared" ca="1" si="2"/>
        <v>0.3413785335022187</v>
      </c>
      <c r="G106" s="3">
        <f t="shared" ca="1" si="3"/>
        <v>7.4360991935167053</v>
      </c>
      <c r="H106" s="2"/>
      <c r="I106" s="2"/>
      <c r="J106" s="2"/>
      <c r="K106" s="2"/>
    </row>
    <row r="107" spans="5:11" x14ac:dyDescent="0.25">
      <c r="E107" s="3">
        <f t="shared" ca="1" si="2"/>
        <v>0.16909702647464764</v>
      </c>
      <c r="F107" s="3">
        <f t="shared" ca="1" si="2"/>
        <v>7.6569332267553136E-2</v>
      </c>
      <c r="G107" s="3">
        <f t="shared" ca="1" si="3"/>
        <v>7.5200389975630193</v>
      </c>
      <c r="H107" s="2"/>
      <c r="I107" s="2"/>
      <c r="J107" s="2"/>
      <c r="K107" s="2"/>
    </row>
    <row r="108" spans="5:11" x14ac:dyDescent="0.25">
      <c r="E108" s="3">
        <f t="shared" ca="1" si="2"/>
        <v>7.3098738093808291E-2</v>
      </c>
      <c r="F108" s="3">
        <f t="shared" ca="1" si="2"/>
        <v>0.86153122690232009</v>
      </c>
      <c r="G108" s="3">
        <f t="shared" ca="1" si="3"/>
        <v>13.729237606901096</v>
      </c>
      <c r="H108" s="2"/>
      <c r="I108" s="2"/>
      <c r="J108" s="2"/>
      <c r="K108" s="2"/>
    </row>
    <row r="109" spans="5:11" x14ac:dyDescent="0.25">
      <c r="E109" s="3">
        <f t="shared" ca="1" si="2"/>
        <v>0.61391926183453638</v>
      </c>
      <c r="F109" s="3">
        <f t="shared" ca="1" si="2"/>
        <v>0.57552883353952233</v>
      </c>
      <c r="G109" s="3">
        <f t="shared" ca="1" si="3"/>
        <v>5.4799497481181625</v>
      </c>
      <c r="H109" s="2"/>
      <c r="I109" s="2"/>
      <c r="J109" s="2"/>
      <c r="K109" s="2"/>
    </row>
    <row r="110" spans="5:11" x14ac:dyDescent="0.25">
      <c r="E110" s="3">
        <f t="shared" ca="1" si="2"/>
        <v>0.36169139155848051</v>
      </c>
      <c r="F110" s="3">
        <f t="shared" ca="1" si="2"/>
        <v>0.77535927112081915</v>
      </c>
      <c r="G110" s="3">
        <f t="shared" ca="1" si="3"/>
        <v>9.1757043287667255</v>
      </c>
      <c r="H110" s="2"/>
      <c r="I110" s="2"/>
      <c r="J110" s="2"/>
      <c r="K110" s="2"/>
    </row>
    <row r="111" spans="5:11" x14ac:dyDescent="0.25">
      <c r="E111" s="3">
        <f t="shared" ca="1" si="2"/>
        <v>0.91810742996592765</v>
      </c>
      <c r="F111" s="3">
        <f t="shared" ca="1" si="2"/>
        <v>0.76812249058782911</v>
      </c>
      <c r="G111" s="3">
        <f t="shared" ca="1" si="3"/>
        <v>9.4046833191494521</v>
      </c>
      <c r="H111" s="2"/>
      <c r="I111" s="2"/>
      <c r="J111" s="2"/>
      <c r="K111" s="2"/>
    </row>
    <row r="112" spans="5:11" x14ac:dyDescent="0.25">
      <c r="E112" s="3">
        <f t="shared" ca="1" si="2"/>
        <v>0.34577278129702527</v>
      </c>
      <c r="F112" s="3">
        <f t="shared" ca="1" si="2"/>
        <v>0.69638101447323264</v>
      </c>
      <c r="G112" s="3">
        <f t="shared" ca="1" si="3"/>
        <v>8.2101345344449026</v>
      </c>
      <c r="H112" s="2"/>
      <c r="I112" s="2"/>
      <c r="J112" s="2"/>
      <c r="K112" s="2"/>
    </row>
    <row r="113" spans="5:11" x14ac:dyDescent="0.25">
      <c r="E113" s="3">
        <f t="shared" ca="1" si="2"/>
        <v>0.45454283854355315</v>
      </c>
      <c r="F113" s="3">
        <f t="shared" ca="1" si="2"/>
        <v>0.26113066377144256</v>
      </c>
      <c r="G113" s="3">
        <f t="shared" ca="1" si="3"/>
        <v>3.0851505453458636</v>
      </c>
      <c r="H113" s="2"/>
      <c r="I113" s="2"/>
      <c r="J113" s="2"/>
      <c r="K113" s="2"/>
    </row>
    <row r="114" spans="5:11" x14ac:dyDescent="0.25">
      <c r="E114" s="3">
        <f t="shared" ca="1" si="2"/>
        <v>0.84923879824463189</v>
      </c>
      <c r="F114" s="3">
        <f t="shared" ca="1" si="2"/>
        <v>0.49750710123324826</v>
      </c>
      <c r="G114" s="3">
        <f t="shared" ca="1" si="3"/>
        <v>5.3161049999788643</v>
      </c>
      <c r="H114" s="2"/>
      <c r="I114" s="2"/>
      <c r="J114" s="2"/>
      <c r="K114" s="2"/>
    </row>
    <row r="115" spans="5:11" x14ac:dyDescent="0.25">
      <c r="E115" s="3">
        <f t="shared" ca="1" si="2"/>
        <v>0.5747243192166015</v>
      </c>
      <c r="F115" s="3">
        <f t="shared" ca="1" si="2"/>
        <v>0.45451072823058147</v>
      </c>
      <c r="G115" s="3">
        <f t="shared" ca="1" si="3"/>
        <v>4.1091110406465852</v>
      </c>
      <c r="H115" s="2"/>
      <c r="I115" s="2"/>
      <c r="J115" s="2"/>
      <c r="K115" s="2"/>
    </row>
    <row r="116" spans="5:11" x14ac:dyDescent="0.25">
      <c r="E116" s="3">
        <f t="shared" ca="1" si="2"/>
        <v>0.38215490366627691</v>
      </c>
      <c r="F116" s="3">
        <f t="shared" ca="1" si="2"/>
        <v>0.6679612257822467</v>
      </c>
      <c r="G116" s="3">
        <f t="shared" ca="1" si="3"/>
        <v>7.6218445928602323</v>
      </c>
      <c r="H116" s="2"/>
      <c r="I116" s="2"/>
      <c r="J116" s="2"/>
      <c r="K116" s="2"/>
    </row>
    <row r="117" spans="5:11" x14ac:dyDescent="0.25">
      <c r="E117" s="3">
        <f t="shared" ca="1" si="2"/>
        <v>0.48630167924886902</v>
      </c>
      <c r="F117" s="3">
        <f t="shared" ca="1" si="2"/>
        <v>5.0180741879435442E-2</v>
      </c>
      <c r="G117" s="3">
        <f t="shared" ca="1" si="3"/>
        <v>4.4550180928121019</v>
      </c>
      <c r="H117" s="2"/>
      <c r="I117" s="2"/>
      <c r="J117" s="2"/>
      <c r="K117" s="2"/>
    </row>
    <row r="118" spans="5:11" x14ac:dyDescent="0.25">
      <c r="E118" s="3">
        <f t="shared" ca="1" si="2"/>
        <v>0.25078643862184724</v>
      </c>
      <c r="F118" s="3">
        <f t="shared" ca="1" si="2"/>
        <v>0.13516619663446583</v>
      </c>
      <c r="G118" s="3">
        <f t="shared" ca="1" si="3"/>
        <v>5.6964729855698426</v>
      </c>
      <c r="H118" s="2"/>
      <c r="I118" s="2"/>
      <c r="J118" s="2"/>
      <c r="K118" s="2"/>
    </row>
    <row r="119" spans="5:11" x14ac:dyDescent="0.25">
      <c r="E119" s="3">
        <f t="shared" ca="1" si="2"/>
        <v>0.1368103351024359</v>
      </c>
      <c r="F119" s="3">
        <f t="shared" ca="1" si="2"/>
        <v>9.3042606549963547E-2</v>
      </c>
      <c r="G119" s="3">
        <f t="shared" ca="1" si="3"/>
        <v>8.0058473038544662</v>
      </c>
      <c r="H119" s="2"/>
      <c r="I119" s="2"/>
      <c r="J119" s="2"/>
      <c r="K119" s="2"/>
    </row>
    <row r="120" spans="5:11" x14ac:dyDescent="0.25">
      <c r="E120" s="3">
        <f t="shared" ca="1" si="2"/>
        <v>0.22142508007041206</v>
      </c>
      <c r="F120" s="3">
        <f t="shared" ca="1" si="2"/>
        <v>0.7601288317221333</v>
      </c>
      <c r="G120" s="3">
        <f t="shared" ca="1" si="3"/>
        <v>10.049420599727066</v>
      </c>
      <c r="H120" s="2"/>
      <c r="I120" s="2"/>
      <c r="J120" s="2"/>
      <c r="K120" s="2"/>
    </row>
    <row r="121" spans="5:11" x14ac:dyDescent="0.25">
      <c r="E121" s="3">
        <f t="shared" ca="1" si="2"/>
        <v>0.39346178180117086</v>
      </c>
      <c r="F121" s="3">
        <f t="shared" ca="1" si="2"/>
        <v>0.53842356367114508</v>
      </c>
      <c r="G121" s="3">
        <f t="shared" ca="1" si="3"/>
        <v>6.1177650845157991</v>
      </c>
      <c r="H121" s="2"/>
      <c r="I121" s="2"/>
      <c r="J121" s="2"/>
      <c r="K121" s="2"/>
    </row>
    <row r="122" spans="5:11" x14ac:dyDescent="0.25">
      <c r="E122" s="3">
        <f t="shared" ca="1" si="2"/>
        <v>0.78142899418735001</v>
      </c>
      <c r="F122" s="3">
        <f t="shared" ca="1" si="2"/>
        <v>0.40006012945476255</v>
      </c>
      <c r="G122" s="3">
        <f t="shared" ca="1" si="3"/>
        <v>3.6015363094143873</v>
      </c>
      <c r="H122" s="2"/>
      <c r="I122" s="2"/>
      <c r="J122" s="2"/>
      <c r="K122" s="2"/>
    </row>
    <row r="123" spans="5:11" x14ac:dyDescent="0.25">
      <c r="E123" s="3">
        <f t="shared" ca="1" si="2"/>
        <v>0.51593740010323741</v>
      </c>
      <c r="F123" s="3">
        <f t="shared" ca="1" si="2"/>
        <v>1.348759154374024E-2</v>
      </c>
      <c r="G123" s="3">
        <f t="shared" ca="1" si="3"/>
        <v>6.8981243781656492</v>
      </c>
      <c r="H123" s="2"/>
      <c r="I123" s="2"/>
      <c r="J123" s="2"/>
      <c r="K123" s="2"/>
    </row>
    <row r="124" spans="5:11" x14ac:dyDescent="0.25">
      <c r="E124" s="3">
        <f t="shared" ca="1" si="2"/>
        <v>0.40293401975532128</v>
      </c>
      <c r="F124" s="3">
        <f t="shared" ca="1" si="2"/>
        <v>0.11147172452891041</v>
      </c>
      <c r="G124" s="3">
        <f t="shared" ca="1" si="3"/>
        <v>3.8303470361166934</v>
      </c>
      <c r="H124" s="2"/>
      <c r="I124" s="2"/>
      <c r="J124" s="2"/>
      <c r="K124" s="2"/>
    </row>
    <row r="125" spans="5:11" x14ac:dyDescent="0.25">
      <c r="E125" s="3">
        <f t="shared" ca="1" si="2"/>
        <v>0.56216510738939429</v>
      </c>
      <c r="F125" s="3">
        <f t="shared" ca="1" si="2"/>
        <v>0.14600225929178878</v>
      </c>
      <c r="G125" s="3">
        <f t="shared" ca="1" si="3"/>
        <v>1.6624843434114112</v>
      </c>
      <c r="H125" s="2"/>
      <c r="I125" s="2"/>
      <c r="J125" s="2"/>
      <c r="K125" s="2"/>
    </row>
    <row r="126" spans="5:11" x14ac:dyDescent="0.25">
      <c r="E126" s="3">
        <f t="shared" ca="1" si="2"/>
        <v>0.18273281823277909</v>
      </c>
      <c r="F126" s="3">
        <f t="shared" ca="1" si="2"/>
        <v>0.37748927316676295</v>
      </c>
      <c r="G126" s="3">
        <f t="shared" ca="1" si="3"/>
        <v>7.3644961378766842</v>
      </c>
      <c r="H126" s="2"/>
      <c r="I126" s="2"/>
      <c r="J126" s="2"/>
      <c r="K126" s="2"/>
    </row>
    <row r="127" spans="5:11" x14ac:dyDescent="0.25">
      <c r="E127" s="3">
        <f t="shared" ca="1" si="2"/>
        <v>0.46532288651255538</v>
      </c>
      <c r="F127" s="3">
        <f t="shared" ca="1" si="2"/>
        <v>0.8953476681740189</v>
      </c>
      <c r="G127" s="3">
        <f t="shared" ca="1" si="3"/>
        <v>11.075408767867135</v>
      </c>
      <c r="H127" s="2"/>
      <c r="I127" s="2"/>
      <c r="J127" s="2"/>
      <c r="K127" s="2"/>
    </row>
    <row r="128" spans="5:11" x14ac:dyDescent="0.25">
      <c r="E128" s="3">
        <f t="shared" ca="1" si="2"/>
        <v>0.31594548726945137</v>
      </c>
      <c r="F128" s="3">
        <f t="shared" ca="1" si="2"/>
        <v>0.86889265990022935</v>
      </c>
      <c r="G128" s="3">
        <f t="shared" ca="1" si="3"/>
        <v>11.091093509113339</v>
      </c>
      <c r="H128" s="2"/>
      <c r="I128" s="2"/>
      <c r="J128" s="2"/>
      <c r="K128" s="2"/>
    </row>
    <row r="129" spans="5:11" x14ac:dyDescent="0.25">
      <c r="E129" s="3">
        <f t="shared" ca="1" si="2"/>
        <v>0.22328808092616692</v>
      </c>
      <c r="F129" s="3">
        <f t="shared" ca="1" si="2"/>
        <v>0.36565199735383636</v>
      </c>
      <c r="G129" s="3">
        <f t="shared" ca="1" si="3"/>
        <v>6.6433287950331952</v>
      </c>
      <c r="H129" s="2"/>
      <c r="I129" s="2"/>
      <c r="J129" s="2"/>
      <c r="K129" s="2"/>
    </row>
    <row r="130" spans="5:11" x14ac:dyDescent="0.25">
      <c r="E130" s="3">
        <f t="shared" ca="1" si="2"/>
        <v>0.23696921829878337</v>
      </c>
      <c r="F130" s="3">
        <f t="shared" ca="1" si="2"/>
        <v>0.79816551797792001</v>
      </c>
      <c r="G130" s="3">
        <f t="shared" ca="1" si="3"/>
        <v>10.422326697308272</v>
      </c>
      <c r="H130" s="2"/>
      <c r="I130" s="2"/>
      <c r="J130" s="2"/>
      <c r="K130" s="2"/>
    </row>
    <row r="131" spans="5:11" x14ac:dyDescent="0.25">
      <c r="E131" s="3">
        <f t="shared" ca="1" si="2"/>
        <v>8.4102530328996616E-3</v>
      </c>
      <c r="F131" s="3">
        <f t="shared" ca="1" si="2"/>
        <v>0.87158934016410483</v>
      </c>
      <c r="G131" s="3">
        <f t="shared" ca="1" si="3"/>
        <v>17.443210953175203</v>
      </c>
      <c r="H131" s="2"/>
      <c r="I131" s="2"/>
      <c r="J131" s="2"/>
      <c r="K131" s="2"/>
    </row>
    <row r="132" spans="5:11" x14ac:dyDescent="0.25">
      <c r="E132" s="3">
        <f t="shared" ref="E132:F195" ca="1" si="4">RAND()</f>
        <v>0.42202942051402492</v>
      </c>
      <c r="F132" s="3">
        <f t="shared" ca="1" si="4"/>
        <v>0.66370178321774442</v>
      </c>
      <c r="G132" s="3">
        <f t="shared" ref="G132:G195" ca="1" si="5">SQRT(_xlfn.NORM.INV(E132,$C$3*COS($C$6),$C$4)^2+_xlfn.NORM.INV(F132,$C$3*SIN($C$6),$C$4)^2)</f>
        <v>7.3299589414400463</v>
      </c>
      <c r="H132" s="2"/>
      <c r="I132" s="2"/>
      <c r="J132" s="2"/>
      <c r="K132" s="2"/>
    </row>
    <row r="133" spans="5:11" x14ac:dyDescent="0.25">
      <c r="E133" s="3">
        <f t="shared" ca="1" si="4"/>
        <v>0.67508717591163259</v>
      </c>
      <c r="F133" s="3">
        <f t="shared" ca="1" si="4"/>
        <v>0.83760609337652558</v>
      </c>
      <c r="G133" s="3">
        <f t="shared" ca="1" si="5"/>
        <v>9.3933636414851343</v>
      </c>
      <c r="H133" s="2"/>
      <c r="I133" s="2"/>
      <c r="J133" s="2"/>
      <c r="K133" s="2"/>
    </row>
    <row r="134" spans="5:11" x14ac:dyDescent="0.25">
      <c r="E134" s="3">
        <f t="shared" ca="1" si="4"/>
        <v>9.7203966077447745E-2</v>
      </c>
      <c r="F134" s="3">
        <f t="shared" ca="1" si="4"/>
        <v>0.61469165241029144</v>
      </c>
      <c r="G134" s="3">
        <f t="shared" ca="1" si="5"/>
        <v>10.551199275154598</v>
      </c>
      <c r="H134" s="2"/>
      <c r="I134" s="2"/>
      <c r="J134" s="2"/>
      <c r="K134" s="2"/>
    </row>
    <row r="135" spans="5:11" x14ac:dyDescent="0.25">
      <c r="E135" s="3">
        <f t="shared" ca="1" si="4"/>
        <v>0.50248997494598746</v>
      </c>
      <c r="F135" s="3">
        <f t="shared" ca="1" si="4"/>
        <v>0.46287808814322218</v>
      </c>
      <c r="G135" s="3">
        <f t="shared" ca="1" si="5"/>
        <v>4.5730572910982552</v>
      </c>
      <c r="H135" s="2"/>
      <c r="I135" s="2"/>
      <c r="J135" s="2"/>
      <c r="K135" s="2"/>
    </row>
    <row r="136" spans="5:11" x14ac:dyDescent="0.25">
      <c r="E136" s="3">
        <f t="shared" ca="1" si="4"/>
        <v>0.12342367708491142</v>
      </c>
      <c r="F136" s="3">
        <f t="shared" ca="1" si="4"/>
        <v>0.91465743380653786</v>
      </c>
      <c r="G136" s="3">
        <f t="shared" ca="1" si="5"/>
        <v>13.879220377507661</v>
      </c>
      <c r="H136" s="2"/>
      <c r="I136" s="2"/>
      <c r="J136" s="2"/>
      <c r="K136" s="2"/>
    </row>
    <row r="137" spans="5:11" x14ac:dyDescent="0.25">
      <c r="E137" s="3">
        <f t="shared" ca="1" si="4"/>
        <v>0.3944463854201109</v>
      </c>
      <c r="F137" s="3">
        <f t="shared" ca="1" si="4"/>
        <v>0.11016137452043451</v>
      </c>
      <c r="G137" s="3">
        <f t="shared" ca="1" si="5"/>
        <v>3.9446451342529776</v>
      </c>
      <c r="H137" s="2"/>
      <c r="I137" s="2"/>
      <c r="J137" s="2"/>
      <c r="K137" s="2"/>
    </row>
    <row r="138" spans="5:11" x14ac:dyDescent="0.25">
      <c r="E138" s="3">
        <f t="shared" ca="1" si="4"/>
        <v>0.76757445741768038</v>
      </c>
      <c r="F138" s="3">
        <f t="shared" ca="1" si="4"/>
        <v>0.54896460553469373</v>
      </c>
      <c r="G138" s="3">
        <f t="shared" ca="1" si="5"/>
        <v>5.2781535516187521</v>
      </c>
      <c r="H138" s="2"/>
      <c r="I138" s="2"/>
      <c r="J138" s="2"/>
      <c r="K138" s="2"/>
    </row>
    <row r="139" spans="5:11" x14ac:dyDescent="0.25">
      <c r="E139" s="3">
        <f t="shared" ca="1" si="4"/>
        <v>0.92605565027210091</v>
      </c>
      <c r="F139" s="3">
        <f t="shared" ca="1" si="4"/>
        <v>0.92809961492437987</v>
      </c>
      <c r="G139" s="3">
        <f t="shared" ca="1" si="5"/>
        <v>12.794148009142571</v>
      </c>
      <c r="H139" s="2"/>
      <c r="I139" s="2"/>
      <c r="J139" s="2"/>
      <c r="K139" s="2"/>
    </row>
    <row r="140" spans="5:11" x14ac:dyDescent="0.25">
      <c r="E140" s="3">
        <f t="shared" ca="1" si="4"/>
        <v>0.59574130823408633</v>
      </c>
      <c r="F140" s="3">
        <f t="shared" ca="1" si="4"/>
        <v>0.65431118812452493</v>
      </c>
      <c r="G140" s="3">
        <f t="shared" ca="1" si="5"/>
        <v>6.5363664847267948</v>
      </c>
      <c r="H140" s="2"/>
      <c r="I140" s="2"/>
      <c r="J140" s="2"/>
      <c r="K140" s="2"/>
    </row>
    <row r="141" spans="5:11" x14ac:dyDescent="0.25">
      <c r="E141" s="3">
        <f t="shared" ca="1" si="4"/>
        <v>0.74313985872300392</v>
      </c>
      <c r="F141" s="3">
        <f t="shared" ca="1" si="4"/>
        <v>0.66573092154740543</v>
      </c>
      <c r="G141" s="3">
        <f t="shared" ca="1" si="5"/>
        <v>6.6897368504730101</v>
      </c>
      <c r="H141" s="2"/>
      <c r="I141" s="2"/>
      <c r="J141" s="2"/>
      <c r="K141" s="2"/>
    </row>
    <row r="142" spans="5:11" x14ac:dyDescent="0.25">
      <c r="E142" s="3">
        <f t="shared" ca="1" si="4"/>
        <v>0.85698464797864082</v>
      </c>
      <c r="F142" s="3">
        <f t="shared" ca="1" si="4"/>
        <v>0.63553398103363157</v>
      </c>
      <c r="G142" s="3">
        <f t="shared" ca="1" si="5"/>
        <v>6.9315508498602822</v>
      </c>
      <c r="H142" s="2"/>
      <c r="I142" s="2"/>
      <c r="J142" s="2"/>
      <c r="K142" s="2"/>
    </row>
    <row r="143" spans="5:11" x14ac:dyDescent="0.25">
      <c r="E143" s="3">
        <f t="shared" ca="1" si="4"/>
        <v>0.52932367610438591</v>
      </c>
      <c r="F143" s="3">
        <f t="shared" ca="1" si="4"/>
        <v>0.49591298205250944</v>
      </c>
      <c r="G143" s="3">
        <f t="shared" ca="1" si="5"/>
        <v>4.7991415610656443</v>
      </c>
      <c r="H143" s="2"/>
      <c r="I143" s="2"/>
      <c r="J143" s="2"/>
      <c r="K143" s="2"/>
    </row>
    <row r="144" spans="5:11" x14ac:dyDescent="0.25">
      <c r="E144" s="3">
        <f t="shared" ca="1" si="4"/>
        <v>0.32012744125683146</v>
      </c>
      <c r="F144" s="3">
        <f t="shared" ca="1" si="4"/>
        <v>0.88403775333442081</v>
      </c>
      <c r="G144" s="3">
        <f t="shared" ca="1" si="5"/>
        <v>11.405735776454302</v>
      </c>
      <c r="H144" s="2"/>
      <c r="I144" s="2"/>
      <c r="J144" s="2"/>
      <c r="K144" s="2"/>
    </row>
    <row r="145" spans="5:11" x14ac:dyDescent="0.25">
      <c r="E145" s="3">
        <f t="shared" ca="1" si="4"/>
        <v>0.90435019818327889</v>
      </c>
      <c r="F145" s="3">
        <f t="shared" ca="1" si="4"/>
        <v>0.75466425375395918</v>
      </c>
      <c r="G145" s="3">
        <f t="shared" ca="1" si="5"/>
        <v>9.0054945749224942</v>
      </c>
      <c r="H145" s="2"/>
      <c r="I145" s="2"/>
      <c r="J145" s="2"/>
      <c r="K145" s="2"/>
    </row>
    <row r="146" spans="5:11" x14ac:dyDescent="0.25">
      <c r="E146" s="3">
        <f t="shared" ca="1" si="4"/>
        <v>0.88354472108169235</v>
      </c>
      <c r="F146" s="3">
        <f t="shared" ca="1" si="4"/>
        <v>0.2299709035083124</v>
      </c>
      <c r="G146" s="3">
        <f t="shared" ca="1" si="5"/>
        <v>3.8039466487158085</v>
      </c>
      <c r="H146" s="2"/>
      <c r="I146" s="2"/>
      <c r="J146" s="2"/>
      <c r="K146" s="2"/>
    </row>
    <row r="147" spans="5:11" x14ac:dyDescent="0.25">
      <c r="E147" s="3">
        <f t="shared" ca="1" si="4"/>
        <v>0.82208628020881602</v>
      </c>
      <c r="F147" s="3">
        <f t="shared" ca="1" si="4"/>
        <v>0.2865411829753377</v>
      </c>
      <c r="G147" s="3">
        <f t="shared" ca="1" si="5"/>
        <v>2.894387665058944</v>
      </c>
      <c r="H147" s="2"/>
      <c r="I147" s="2"/>
      <c r="J147" s="2"/>
      <c r="K147" s="2"/>
    </row>
    <row r="148" spans="5:11" x14ac:dyDescent="0.25">
      <c r="E148" s="3">
        <f t="shared" ca="1" si="4"/>
        <v>0.89596290486620633</v>
      </c>
      <c r="F148" s="3">
        <f t="shared" ca="1" si="4"/>
        <v>0.69533741607768162</v>
      </c>
      <c r="G148" s="3">
        <f t="shared" ca="1" si="5"/>
        <v>8.1109867077792615</v>
      </c>
      <c r="H148" s="2"/>
      <c r="I148" s="2"/>
      <c r="J148" s="2"/>
      <c r="K148" s="2"/>
    </row>
    <row r="149" spans="5:11" x14ac:dyDescent="0.25">
      <c r="E149" s="3">
        <f t="shared" ca="1" si="4"/>
        <v>0.71177401502595083</v>
      </c>
      <c r="F149" s="3">
        <f t="shared" ca="1" si="4"/>
        <v>0.8957393507967748</v>
      </c>
      <c r="G149" s="3">
        <f t="shared" ca="1" si="5"/>
        <v>10.772370846314889</v>
      </c>
      <c r="H149" s="2"/>
      <c r="I149" s="2"/>
      <c r="J149" s="2"/>
      <c r="K149" s="2"/>
    </row>
    <row r="150" spans="5:11" x14ac:dyDescent="0.25">
      <c r="E150" s="3">
        <f t="shared" ca="1" si="4"/>
        <v>0.66678408072950279</v>
      </c>
      <c r="F150" s="3">
        <f t="shared" ca="1" si="4"/>
        <v>0.40390552592238727</v>
      </c>
      <c r="G150" s="3">
        <f t="shared" ca="1" si="5"/>
        <v>3.2548420351655856</v>
      </c>
      <c r="H150" s="2"/>
      <c r="I150" s="2"/>
      <c r="J150" s="2"/>
      <c r="K150" s="2"/>
    </row>
    <row r="151" spans="5:11" x14ac:dyDescent="0.25">
      <c r="E151" s="3">
        <f t="shared" ca="1" si="4"/>
        <v>0.84725701428890288</v>
      </c>
      <c r="F151" s="3">
        <f t="shared" ca="1" si="4"/>
        <v>0.86064872979461005</v>
      </c>
      <c r="G151" s="3">
        <f t="shared" ca="1" si="5"/>
        <v>10.298061838053327</v>
      </c>
      <c r="H151" s="2"/>
      <c r="I151" s="2"/>
      <c r="J151" s="2"/>
      <c r="K151" s="2"/>
    </row>
    <row r="152" spans="5:11" x14ac:dyDescent="0.25">
      <c r="E152" s="3">
        <f t="shared" ca="1" si="4"/>
        <v>0.13443904911019855</v>
      </c>
      <c r="F152" s="3">
        <f t="shared" ca="1" si="4"/>
        <v>0.66803416929497161</v>
      </c>
      <c r="G152" s="3">
        <f t="shared" ca="1" si="5"/>
        <v>10.221224369087629</v>
      </c>
      <c r="H152" s="2"/>
      <c r="I152" s="2"/>
      <c r="J152" s="2"/>
      <c r="K152" s="2"/>
    </row>
    <row r="153" spans="5:11" x14ac:dyDescent="0.25">
      <c r="E153" s="3">
        <f t="shared" ca="1" si="4"/>
        <v>2.6309780068904054E-2</v>
      </c>
      <c r="F153" s="3">
        <f t="shared" ca="1" si="4"/>
        <v>0.58600460967522017</v>
      </c>
      <c r="G153" s="3">
        <f t="shared" ca="1" si="5"/>
        <v>13.160950350444685</v>
      </c>
      <c r="H153" s="2"/>
      <c r="I153" s="2"/>
      <c r="J153" s="2"/>
      <c r="K153" s="2"/>
    </row>
    <row r="154" spans="5:11" x14ac:dyDescent="0.25">
      <c r="E154" s="3">
        <f t="shared" ca="1" si="4"/>
        <v>0.64530242841572771</v>
      </c>
      <c r="F154" s="3">
        <f t="shared" ca="1" si="4"/>
        <v>0.20928853232128541</v>
      </c>
      <c r="G154" s="3">
        <f t="shared" ca="1" si="5"/>
        <v>0.56852146113104707</v>
      </c>
      <c r="H154" s="2"/>
      <c r="I154" s="2"/>
      <c r="J154" s="2"/>
      <c r="K154" s="2"/>
    </row>
    <row r="155" spans="5:11" x14ac:dyDescent="0.25">
      <c r="E155" s="3">
        <f t="shared" ca="1" si="4"/>
        <v>0.51420091401760615</v>
      </c>
      <c r="F155" s="3">
        <f t="shared" ca="1" si="4"/>
        <v>0.17657253043905075</v>
      </c>
      <c r="G155" s="3">
        <f t="shared" ca="1" si="5"/>
        <v>2.0695539755403303</v>
      </c>
      <c r="H155" s="2"/>
      <c r="I155" s="2"/>
      <c r="J155" s="2"/>
      <c r="K155" s="2"/>
    </row>
    <row r="156" spans="5:11" x14ac:dyDescent="0.25">
      <c r="E156" s="3">
        <f t="shared" ca="1" si="4"/>
        <v>0.88749399589469868</v>
      </c>
      <c r="F156" s="3">
        <f t="shared" ca="1" si="4"/>
        <v>0.88463299069023482</v>
      </c>
      <c r="G156" s="3">
        <f t="shared" ca="1" si="5"/>
        <v>11.140019675824167</v>
      </c>
      <c r="H156" s="2"/>
      <c r="I156" s="2"/>
      <c r="J156" s="2"/>
      <c r="K156" s="2"/>
    </row>
    <row r="157" spans="5:11" x14ac:dyDescent="0.25">
      <c r="E157" s="3">
        <f t="shared" ca="1" si="4"/>
        <v>0.52187889884350946</v>
      </c>
      <c r="F157" s="3">
        <f t="shared" ca="1" si="4"/>
        <v>0.52985338488788125</v>
      </c>
      <c r="G157" s="3">
        <f t="shared" ca="1" si="5"/>
        <v>5.2282227968434594</v>
      </c>
      <c r="H157" s="2"/>
      <c r="I157" s="2"/>
      <c r="J157" s="2"/>
      <c r="K157" s="2"/>
    </row>
    <row r="158" spans="5:11" x14ac:dyDescent="0.25">
      <c r="E158" s="3">
        <f t="shared" ca="1" si="4"/>
        <v>0.18015461673646871</v>
      </c>
      <c r="F158" s="3">
        <f t="shared" ca="1" si="4"/>
        <v>0.78696943148145315</v>
      </c>
      <c r="G158" s="3">
        <f t="shared" ca="1" si="5"/>
        <v>10.855043286622879</v>
      </c>
      <c r="H158" s="2"/>
      <c r="I158" s="2"/>
      <c r="J158" s="2"/>
      <c r="K158" s="2"/>
    </row>
    <row r="159" spans="5:11" x14ac:dyDescent="0.25">
      <c r="E159" s="3">
        <f t="shared" ca="1" si="4"/>
        <v>0.82550181685876234</v>
      </c>
      <c r="F159" s="3">
        <f t="shared" ca="1" si="4"/>
        <v>0.14517065875351853</v>
      </c>
      <c r="G159" s="3">
        <f t="shared" ca="1" si="5"/>
        <v>2.5753112689473543</v>
      </c>
      <c r="H159" s="2"/>
      <c r="I159" s="2"/>
      <c r="J159" s="2"/>
      <c r="K159" s="2"/>
    </row>
    <row r="160" spans="5:11" x14ac:dyDescent="0.25">
      <c r="E160" s="3">
        <f t="shared" ca="1" si="4"/>
        <v>0.82296468800801725</v>
      </c>
      <c r="F160" s="3">
        <f t="shared" ca="1" si="4"/>
        <v>0.82675673617092937</v>
      </c>
      <c r="G160" s="3">
        <f t="shared" ca="1" si="5"/>
        <v>9.4840413387751958</v>
      </c>
      <c r="H160" s="2"/>
      <c r="I160" s="2"/>
      <c r="J160" s="2"/>
      <c r="K160" s="2"/>
    </row>
    <row r="161" spans="5:11" x14ac:dyDescent="0.25">
      <c r="E161" s="3">
        <f t="shared" ca="1" si="4"/>
        <v>0.43806804286502765</v>
      </c>
      <c r="F161" s="3">
        <f t="shared" ca="1" si="4"/>
        <v>0.74461352790275581</v>
      </c>
      <c r="G161" s="3">
        <f t="shared" ca="1" si="5"/>
        <v>8.3251225479852877</v>
      </c>
      <c r="H161" s="2"/>
      <c r="I161" s="2"/>
      <c r="J161" s="2"/>
      <c r="K161" s="2"/>
    </row>
    <row r="162" spans="5:11" x14ac:dyDescent="0.25">
      <c r="E162" s="3">
        <f t="shared" ca="1" si="4"/>
        <v>0.78188824861656314</v>
      </c>
      <c r="F162" s="3">
        <f t="shared" ca="1" si="4"/>
        <v>0.12464513317519876</v>
      </c>
      <c r="G162" s="3">
        <f t="shared" ca="1" si="5"/>
        <v>2.0966818481464604</v>
      </c>
      <c r="H162" s="2"/>
      <c r="I162" s="2"/>
      <c r="J162" s="2"/>
      <c r="K162" s="2"/>
    </row>
    <row r="163" spans="5:11" x14ac:dyDescent="0.25">
      <c r="E163" s="3">
        <f t="shared" ca="1" si="4"/>
        <v>0.93424436460125126</v>
      </c>
      <c r="F163" s="3">
        <f t="shared" ca="1" si="4"/>
        <v>0.22161322787351612</v>
      </c>
      <c r="G163" s="3">
        <f t="shared" ca="1" si="5"/>
        <v>5.3385213688747681</v>
      </c>
      <c r="H163" s="2"/>
      <c r="I163" s="2"/>
      <c r="J163" s="2"/>
      <c r="K163" s="2"/>
    </row>
    <row r="164" spans="5:11" x14ac:dyDescent="0.25">
      <c r="E164" s="3">
        <f t="shared" ca="1" si="4"/>
        <v>0.43765080516407506</v>
      </c>
      <c r="F164" s="3">
        <f t="shared" ca="1" si="4"/>
        <v>0.15468047755470937</v>
      </c>
      <c r="G164" s="3">
        <f t="shared" ca="1" si="5"/>
        <v>3.0864609387279458</v>
      </c>
      <c r="H164" s="2"/>
      <c r="I164" s="2"/>
      <c r="J164" s="2"/>
      <c r="K164" s="2"/>
    </row>
    <row r="165" spans="5:11" x14ac:dyDescent="0.25">
      <c r="E165" s="3">
        <f t="shared" ca="1" si="4"/>
        <v>0.23696036219303529</v>
      </c>
      <c r="F165" s="3">
        <f t="shared" ca="1" si="4"/>
        <v>0.16253764371053436</v>
      </c>
      <c r="G165" s="3">
        <f t="shared" ca="1" si="5"/>
        <v>5.8383410056079317</v>
      </c>
      <c r="H165" s="2"/>
      <c r="I165" s="2"/>
      <c r="J165" s="2"/>
      <c r="K165" s="2"/>
    </row>
    <row r="166" spans="5:11" x14ac:dyDescent="0.25">
      <c r="E166" s="3">
        <f t="shared" ca="1" si="4"/>
        <v>0.62058564170934349</v>
      </c>
      <c r="F166" s="3">
        <f t="shared" ca="1" si="4"/>
        <v>0.41616112090962332</v>
      </c>
      <c r="G166" s="3">
        <f t="shared" ca="1" si="5"/>
        <v>3.4835043708036597</v>
      </c>
      <c r="H166" s="2"/>
      <c r="I166" s="2"/>
      <c r="J166" s="2"/>
      <c r="K166" s="2"/>
    </row>
    <row r="167" spans="5:11" x14ac:dyDescent="0.25">
      <c r="E167" s="3">
        <f t="shared" ca="1" si="4"/>
        <v>0.76174451081376404</v>
      </c>
      <c r="F167" s="3">
        <f t="shared" ca="1" si="4"/>
        <v>0.39991810972011876</v>
      </c>
      <c r="G167" s="3">
        <f t="shared" ca="1" si="5"/>
        <v>3.4633006942377182</v>
      </c>
      <c r="H167" s="2"/>
      <c r="I167" s="2"/>
      <c r="J167" s="2"/>
      <c r="K167" s="2"/>
    </row>
    <row r="168" spans="5:11" x14ac:dyDescent="0.25">
      <c r="E168" s="3">
        <f t="shared" ca="1" si="4"/>
        <v>0.38515646148657801</v>
      </c>
      <c r="F168" s="3">
        <f t="shared" ca="1" si="4"/>
        <v>0.20157864269910786</v>
      </c>
      <c r="G168" s="3">
        <f t="shared" ca="1" si="5"/>
        <v>3.7115433146990946</v>
      </c>
      <c r="H168" s="2"/>
      <c r="I168" s="2"/>
      <c r="J168" s="2"/>
      <c r="K168" s="2"/>
    </row>
    <row r="169" spans="5:11" x14ac:dyDescent="0.25">
      <c r="E169" s="3">
        <f t="shared" ca="1" si="4"/>
        <v>0.23783555123687039</v>
      </c>
      <c r="F169" s="3">
        <f t="shared" ca="1" si="4"/>
        <v>0.63479693482158417</v>
      </c>
      <c r="G169" s="3">
        <f t="shared" ca="1" si="5"/>
        <v>8.4894535792571997</v>
      </c>
      <c r="H169" s="2"/>
      <c r="I169" s="2"/>
      <c r="J169" s="2"/>
      <c r="K169" s="2"/>
    </row>
    <row r="170" spans="5:11" x14ac:dyDescent="0.25">
      <c r="E170" s="3">
        <f t="shared" ca="1" si="4"/>
        <v>0.46302580101595192</v>
      </c>
      <c r="F170" s="3">
        <f t="shared" ca="1" si="4"/>
        <v>0.44737434425020017</v>
      </c>
      <c r="G170" s="3">
        <f t="shared" ca="1" si="5"/>
        <v>4.6710386594323161</v>
      </c>
      <c r="H170" s="2"/>
      <c r="I170" s="2"/>
      <c r="J170" s="2"/>
      <c r="K170" s="2"/>
    </row>
    <row r="171" spans="5:11" x14ac:dyDescent="0.25">
      <c r="E171" s="3">
        <f t="shared" ca="1" si="4"/>
        <v>0.20260515609172836</v>
      </c>
      <c r="F171" s="3">
        <f t="shared" ca="1" si="4"/>
        <v>0.21626460683781024</v>
      </c>
      <c r="G171" s="3">
        <f t="shared" ca="1" si="5"/>
        <v>6.4253366799797638</v>
      </c>
      <c r="H171" s="2"/>
      <c r="I171" s="2"/>
      <c r="J171" s="2"/>
      <c r="K171" s="2"/>
    </row>
    <row r="172" spans="5:11" x14ac:dyDescent="0.25">
      <c r="E172" s="3">
        <f t="shared" ca="1" si="4"/>
        <v>0.6417746516948748</v>
      </c>
      <c r="F172" s="3">
        <f t="shared" ca="1" si="4"/>
        <v>0.2038563266268365</v>
      </c>
      <c r="G172" s="3">
        <f t="shared" ca="1" si="5"/>
        <v>0.53776926916134971</v>
      </c>
      <c r="H172" s="2"/>
      <c r="I172" s="2"/>
      <c r="J172" s="2"/>
      <c r="K172" s="2"/>
    </row>
    <row r="173" spans="5:11" x14ac:dyDescent="0.25">
      <c r="E173" s="3">
        <f t="shared" ca="1" si="4"/>
        <v>0.32539168738011959</v>
      </c>
      <c r="F173" s="3">
        <f t="shared" ca="1" si="4"/>
        <v>0.92852535987912577</v>
      </c>
      <c r="G173" s="3">
        <f t="shared" ca="1" si="5"/>
        <v>12.625095478313373</v>
      </c>
      <c r="H173" s="2"/>
      <c r="I173" s="2"/>
      <c r="J173" s="2"/>
      <c r="K173" s="2"/>
    </row>
    <row r="174" spans="5:11" x14ac:dyDescent="0.25">
      <c r="E174" s="3">
        <f t="shared" ca="1" si="4"/>
        <v>0.18096328215181889</v>
      </c>
      <c r="F174" s="3">
        <f t="shared" ca="1" si="4"/>
        <v>0.31329119860076116</v>
      </c>
      <c r="G174" s="3">
        <f t="shared" ca="1" si="5"/>
        <v>7.0975409245988086</v>
      </c>
      <c r="H174" s="2"/>
      <c r="I174" s="2"/>
      <c r="J174" s="2"/>
      <c r="K174" s="2"/>
    </row>
    <row r="175" spans="5:11" x14ac:dyDescent="0.25">
      <c r="E175" s="3">
        <f t="shared" ca="1" si="4"/>
        <v>0.45124580458924002</v>
      </c>
      <c r="F175" s="3">
        <f t="shared" ca="1" si="4"/>
        <v>0.29717915223114966</v>
      </c>
      <c r="G175" s="3">
        <f t="shared" ca="1" si="5"/>
        <v>3.3772332850243996</v>
      </c>
      <c r="H175" s="2"/>
      <c r="I175" s="2"/>
      <c r="J175" s="2"/>
      <c r="K175" s="2"/>
    </row>
    <row r="176" spans="5:11" x14ac:dyDescent="0.25">
      <c r="E176" s="3">
        <f t="shared" ca="1" si="4"/>
        <v>0.29150371456482371</v>
      </c>
      <c r="F176" s="3">
        <f t="shared" ca="1" si="4"/>
        <v>5.8506060585499675E-2</v>
      </c>
      <c r="G176" s="3">
        <f t="shared" ca="1" si="5"/>
        <v>6.0159674694150542</v>
      </c>
      <c r="H176" s="2"/>
      <c r="I176" s="2"/>
      <c r="J176" s="2"/>
      <c r="K176" s="2"/>
    </row>
    <row r="177" spans="5:11" x14ac:dyDescent="0.25">
      <c r="E177" s="3">
        <f t="shared" ca="1" si="4"/>
        <v>0.51023816062803429</v>
      </c>
      <c r="F177" s="3">
        <f t="shared" ca="1" si="4"/>
        <v>0.28973792180631019</v>
      </c>
      <c r="G177" s="3">
        <f t="shared" ca="1" si="5"/>
        <v>2.7107357539038008</v>
      </c>
      <c r="H177" s="2"/>
      <c r="I177" s="2"/>
      <c r="J177" s="2"/>
      <c r="K177" s="2"/>
    </row>
    <row r="178" spans="5:11" x14ac:dyDescent="0.25">
      <c r="E178" s="3">
        <f t="shared" ca="1" si="4"/>
        <v>0.52657262888924061</v>
      </c>
      <c r="F178" s="3">
        <f t="shared" ca="1" si="4"/>
        <v>0.45928874445110612</v>
      </c>
      <c r="G178" s="3">
        <f t="shared" ca="1" si="5"/>
        <v>4.3942570192270836</v>
      </c>
      <c r="H178" s="2"/>
      <c r="I178" s="2"/>
      <c r="J178" s="2"/>
      <c r="K178" s="2"/>
    </row>
    <row r="179" spans="5:11" x14ac:dyDescent="0.25">
      <c r="E179" s="3">
        <f t="shared" ca="1" si="4"/>
        <v>0.57862721202498923</v>
      </c>
      <c r="F179" s="3">
        <f t="shared" ca="1" si="4"/>
        <v>0.14160032794774291</v>
      </c>
      <c r="G179" s="3">
        <f t="shared" ca="1" si="5"/>
        <v>1.5365867252810801</v>
      </c>
      <c r="H179" s="2"/>
      <c r="I179" s="2"/>
      <c r="J179" s="2"/>
      <c r="K179" s="2"/>
    </row>
    <row r="180" spans="5:11" x14ac:dyDescent="0.25">
      <c r="E180" s="3">
        <f t="shared" ca="1" si="4"/>
        <v>0.49291141407275785</v>
      </c>
      <c r="F180" s="3">
        <f t="shared" ca="1" si="4"/>
        <v>0.67888510360556187</v>
      </c>
      <c r="G180" s="3">
        <f t="shared" ca="1" si="5"/>
        <v>7.1811377969804919</v>
      </c>
      <c r="H180" s="2"/>
      <c r="I180" s="2"/>
      <c r="J180" s="2"/>
      <c r="K180" s="2"/>
    </row>
    <row r="181" spans="5:11" x14ac:dyDescent="0.25">
      <c r="E181" s="3">
        <f t="shared" ca="1" si="4"/>
        <v>1.4434185444798464E-2</v>
      </c>
      <c r="F181" s="3">
        <f t="shared" ca="1" si="4"/>
        <v>0.22361501835824049</v>
      </c>
      <c r="G181" s="3">
        <f t="shared" ca="1" si="5"/>
        <v>13.183789212327941</v>
      </c>
      <c r="H181" s="2"/>
      <c r="I181" s="2"/>
      <c r="J181" s="2"/>
      <c r="K181" s="2"/>
    </row>
    <row r="182" spans="5:11" x14ac:dyDescent="0.25">
      <c r="E182" s="3">
        <f t="shared" ca="1" si="4"/>
        <v>0.85261879554854347</v>
      </c>
      <c r="F182" s="3">
        <f t="shared" ca="1" si="4"/>
        <v>0.54723108197102344</v>
      </c>
      <c r="G182" s="3">
        <f t="shared" ca="1" si="5"/>
        <v>5.8844721707301071</v>
      </c>
      <c r="H182" s="2"/>
      <c r="I182" s="2"/>
      <c r="J182" s="2"/>
      <c r="K182" s="2"/>
    </row>
    <row r="183" spans="5:11" x14ac:dyDescent="0.25">
      <c r="E183" s="3">
        <f t="shared" ca="1" si="4"/>
        <v>0.5666111786315321</v>
      </c>
      <c r="F183" s="3">
        <f t="shared" ca="1" si="4"/>
        <v>0.16539005660280892</v>
      </c>
      <c r="G183" s="3">
        <f t="shared" ca="1" si="5"/>
        <v>1.455586849368701</v>
      </c>
      <c r="H183" s="2"/>
      <c r="I183" s="2"/>
      <c r="J183" s="2"/>
      <c r="K183" s="2"/>
    </row>
    <row r="184" spans="5:11" x14ac:dyDescent="0.25">
      <c r="E184" s="3">
        <f t="shared" ca="1" si="4"/>
        <v>0.60129000266813803</v>
      </c>
      <c r="F184" s="3">
        <f t="shared" ca="1" si="4"/>
        <v>0.69363718179141487</v>
      </c>
      <c r="G184" s="3">
        <f t="shared" ca="1" si="5"/>
        <v>7.0660135538690003</v>
      </c>
      <c r="H184" s="2"/>
      <c r="I184" s="2"/>
      <c r="J184" s="2"/>
      <c r="K184" s="2"/>
    </row>
    <row r="185" spans="5:11" x14ac:dyDescent="0.25">
      <c r="E185" s="3">
        <f t="shared" ca="1" si="4"/>
        <v>0.39457815867731627</v>
      </c>
      <c r="F185" s="3">
        <f t="shared" ca="1" si="4"/>
        <v>0.66555635438515748</v>
      </c>
      <c r="G185" s="3">
        <f t="shared" ca="1" si="5"/>
        <v>7.5145346407497744</v>
      </c>
      <c r="H185" s="2"/>
      <c r="I185" s="2"/>
      <c r="J185" s="2"/>
      <c r="K185" s="2"/>
    </row>
    <row r="186" spans="5:11" x14ac:dyDescent="0.25">
      <c r="E186" s="3">
        <f t="shared" ca="1" si="4"/>
        <v>0.43240368594887668</v>
      </c>
      <c r="F186" s="3">
        <f t="shared" ca="1" si="4"/>
        <v>0.91007690158157128</v>
      </c>
      <c r="G186" s="3">
        <f t="shared" ca="1" si="5"/>
        <v>11.595868229766941</v>
      </c>
      <c r="H186" s="2"/>
      <c r="I186" s="2"/>
      <c r="J186" s="2"/>
      <c r="K186" s="2"/>
    </row>
    <row r="187" spans="5:11" x14ac:dyDescent="0.25">
      <c r="E187" s="3">
        <f t="shared" ca="1" si="4"/>
        <v>0.12523909252374466</v>
      </c>
      <c r="F187" s="3">
        <f t="shared" ca="1" si="4"/>
        <v>0.84743981728462281</v>
      </c>
      <c r="G187" s="3">
        <f t="shared" ca="1" si="5"/>
        <v>12.485762853112607</v>
      </c>
      <c r="H187" s="2"/>
      <c r="I187" s="2"/>
      <c r="J187" s="2"/>
      <c r="K187" s="2"/>
    </row>
    <row r="188" spans="5:11" x14ac:dyDescent="0.25">
      <c r="E188" s="3">
        <f t="shared" ca="1" si="4"/>
        <v>0.54638146580904945</v>
      </c>
      <c r="F188" s="3">
        <f t="shared" ca="1" si="4"/>
        <v>0.83061965052575193</v>
      </c>
      <c r="G188" s="3">
        <f t="shared" ca="1" si="5"/>
        <v>9.40039257965344</v>
      </c>
      <c r="H188" s="2"/>
      <c r="I188" s="2"/>
      <c r="J188" s="2"/>
      <c r="K188" s="2"/>
    </row>
    <row r="189" spans="5:11" x14ac:dyDescent="0.25">
      <c r="E189" s="3">
        <f t="shared" ca="1" si="4"/>
        <v>0.46301418331374988</v>
      </c>
      <c r="F189" s="3">
        <f t="shared" ca="1" si="4"/>
        <v>0.37855906293818697</v>
      </c>
      <c r="G189" s="3">
        <f t="shared" ca="1" si="5"/>
        <v>3.98277224479083</v>
      </c>
      <c r="H189" s="2"/>
      <c r="I189" s="2"/>
      <c r="J189" s="2"/>
      <c r="K189" s="2"/>
    </row>
    <row r="190" spans="5:11" x14ac:dyDescent="0.25">
      <c r="E190" s="3">
        <f t="shared" ca="1" si="4"/>
        <v>0.66957198671392482</v>
      </c>
      <c r="F190" s="3">
        <f t="shared" ca="1" si="4"/>
        <v>0.40332448862133896</v>
      </c>
      <c r="G190" s="3">
        <f t="shared" ca="1" si="5"/>
        <v>3.2465626837057693</v>
      </c>
      <c r="H190" s="2"/>
      <c r="I190" s="2"/>
      <c r="J190" s="2"/>
      <c r="K190" s="2"/>
    </row>
    <row r="191" spans="5:11" x14ac:dyDescent="0.25">
      <c r="E191" s="3">
        <f t="shared" ca="1" si="4"/>
        <v>0.85754380615651804</v>
      </c>
      <c r="F191" s="3">
        <f t="shared" ca="1" si="4"/>
        <v>0.72819174625577043</v>
      </c>
      <c r="G191" s="3">
        <f t="shared" ca="1" si="5"/>
        <v>8.1240919529701241</v>
      </c>
      <c r="H191" s="2"/>
      <c r="I191" s="2"/>
      <c r="J191" s="2"/>
      <c r="K191" s="2"/>
    </row>
    <row r="192" spans="5:11" x14ac:dyDescent="0.25">
      <c r="E192" s="3">
        <f t="shared" ca="1" si="4"/>
        <v>0.23398825689834823</v>
      </c>
      <c r="F192" s="3">
        <f t="shared" ca="1" si="4"/>
        <v>0.49533988123974138</v>
      </c>
      <c r="G192" s="3">
        <f t="shared" ca="1" si="5"/>
        <v>7.3423454683575082</v>
      </c>
      <c r="H192" s="2"/>
      <c r="I192" s="2"/>
      <c r="J192" s="2"/>
      <c r="K192" s="2"/>
    </row>
    <row r="193" spans="5:11" x14ac:dyDescent="0.25">
      <c r="E193" s="3">
        <f t="shared" ca="1" si="4"/>
        <v>0.92249823899739691</v>
      </c>
      <c r="F193" s="3">
        <f t="shared" ca="1" si="4"/>
        <v>0.60787717804821484</v>
      </c>
      <c r="G193" s="3">
        <f t="shared" ca="1" si="5"/>
        <v>7.6033083625149533</v>
      </c>
      <c r="H193" s="2"/>
      <c r="I193" s="2"/>
      <c r="J193" s="2"/>
      <c r="K193" s="2"/>
    </row>
    <row r="194" spans="5:11" x14ac:dyDescent="0.25">
      <c r="E194" s="3">
        <f t="shared" ca="1" si="4"/>
        <v>5.5961681934392105E-2</v>
      </c>
      <c r="F194" s="3">
        <f t="shared" ca="1" si="4"/>
        <v>0.71698884662642526</v>
      </c>
      <c r="G194" s="3">
        <f t="shared" ca="1" si="5"/>
        <v>12.556791995575596</v>
      </c>
      <c r="H194" s="2"/>
      <c r="I194" s="2"/>
      <c r="J194" s="2"/>
      <c r="K194" s="2"/>
    </row>
    <row r="195" spans="5:11" x14ac:dyDescent="0.25">
      <c r="E195" s="3">
        <f t="shared" ca="1" si="4"/>
        <v>0.39249682465534375</v>
      </c>
      <c r="F195" s="3">
        <f t="shared" ca="1" si="4"/>
        <v>0.30743001887269128</v>
      </c>
      <c r="G195" s="3">
        <f t="shared" ca="1" si="5"/>
        <v>4.1001408737441549</v>
      </c>
      <c r="H195" s="2"/>
      <c r="I195" s="2"/>
      <c r="J195" s="2"/>
      <c r="K195" s="2"/>
    </row>
    <row r="196" spans="5:11" x14ac:dyDescent="0.25">
      <c r="E196" s="3">
        <f t="shared" ref="E196:F259" ca="1" si="6">RAND()</f>
        <v>0.3325450149878294</v>
      </c>
      <c r="F196" s="3">
        <f t="shared" ca="1" si="6"/>
        <v>0.96576696340807144</v>
      </c>
      <c r="G196" s="3">
        <f t="shared" ref="G196:G259" ca="1" si="7">SQRT(_xlfn.NORM.INV(E196,$C$3*COS($C$6),$C$4)^2+_xlfn.NORM.INV(F196,$C$3*SIN($C$6),$C$4)^2)</f>
        <v>14.276159463199795</v>
      </c>
      <c r="H196" s="2"/>
      <c r="I196" s="2"/>
      <c r="J196" s="2"/>
      <c r="K196" s="2"/>
    </row>
    <row r="197" spans="5:11" x14ac:dyDescent="0.25">
      <c r="E197" s="3">
        <f t="shared" ca="1" si="6"/>
        <v>0.4967088530782372</v>
      </c>
      <c r="F197" s="3">
        <f t="shared" ca="1" si="6"/>
        <v>0.38604374355880666</v>
      </c>
      <c r="G197" s="3">
        <f t="shared" ca="1" si="7"/>
        <v>3.7863947840822871</v>
      </c>
      <c r="H197" s="2"/>
      <c r="I197" s="2"/>
      <c r="J197" s="2"/>
      <c r="K197" s="2"/>
    </row>
    <row r="198" spans="5:11" x14ac:dyDescent="0.25">
      <c r="E198" s="3">
        <f t="shared" ca="1" si="6"/>
        <v>0.52496775914953597</v>
      </c>
      <c r="F198" s="3">
        <f t="shared" ca="1" si="6"/>
        <v>0.78265372210834261</v>
      </c>
      <c r="G198" s="3">
        <f t="shared" ca="1" si="7"/>
        <v>8.5947805542280822</v>
      </c>
      <c r="H198" s="2"/>
      <c r="I198" s="2"/>
      <c r="J198" s="2"/>
      <c r="K198" s="2"/>
    </row>
    <row r="199" spans="5:11" x14ac:dyDescent="0.25">
      <c r="E199" s="3">
        <f t="shared" ca="1" si="6"/>
        <v>0.16335618415149622</v>
      </c>
      <c r="F199" s="3">
        <f t="shared" ca="1" si="6"/>
        <v>0.91443898920599032</v>
      </c>
      <c r="G199" s="3">
        <f t="shared" ca="1" si="7"/>
        <v>13.379962131377763</v>
      </c>
      <c r="H199" s="2"/>
      <c r="I199" s="2"/>
      <c r="J199" s="2"/>
      <c r="K199" s="2"/>
    </row>
    <row r="200" spans="5:11" x14ac:dyDescent="0.25">
      <c r="E200" s="3">
        <f t="shared" ca="1" si="6"/>
        <v>0.54815914690455336</v>
      </c>
      <c r="F200" s="3">
        <f t="shared" ca="1" si="6"/>
        <v>9.1865755725091813E-2</v>
      </c>
      <c r="G200" s="3">
        <f t="shared" ca="1" si="7"/>
        <v>2.7226120314670412</v>
      </c>
      <c r="H200" s="2"/>
      <c r="I200" s="2"/>
      <c r="J200" s="2"/>
      <c r="K200" s="2"/>
    </row>
    <row r="201" spans="5:11" x14ac:dyDescent="0.25">
      <c r="E201" s="3">
        <f t="shared" ca="1" si="6"/>
        <v>1.0720114217008025E-2</v>
      </c>
      <c r="F201" s="3">
        <f t="shared" ca="1" si="6"/>
        <v>0.19558084169164325</v>
      </c>
      <c r="G201" s="3">
        <f t="shared" ca="1" si="7"/>
        <v>13.742284309035689</v>
      </c>
      <c r="H201" s="2"/>
      <c r="I201" s="2"/>
      <c r="J201" s="2"/>
      <c r="K201" s="2"/>
    </row>
    <row r="202" spans="5:11" x14ac:dyDescent="0.25">
      <c r="E202" s="3">
        <f t="shared" ca="1" si="6"/>
        <v>0.5354623455462264</v>
      </c>
      <c r="F202" s="3">
        <f t="shared" ca="1" si="6"/>
        <v>0.87196326114597744</v>
      </c>
      <c r="G202" s="3">
        <f t="shared" ca="1" si="7"/>
        <v>10.306163739944958</v>
      </c>
      <c r="H202" s="2"/>
      <c r="I202" s="2"/>
      <c r="J202" s="2"/>
      <c r="K202" s="2"/>
    </row>
    <row r="203" spans="5:11" x14ac:dyDescent="0.25">
      <c r="E203" s="3">
        <f t="shared" ca="1" si="6"/>
        <v>0.51018501089107793</v>
      </c>
      <c r="F203" s="3">
        <f t="shared" ca="1" si="6"/>
        <v>0.62509564775757098</v>
      </c>
      <c r="G203" s="3">
        <f t="shared" ca="1" si="7"/>
        <v>6.4219130793444723</v>
      </c>
      <c r="H203" s="2"/>
      <c r="I203" s="2"/>
      <c r="J203" s="2"/>
      <c r="K203" s="2"/>
    </row>
    <row r="204" spans="5:11" x14ac:dyDescent="0.25">
      <c r="E204" s="3">
        <f t="shared" ca="1" si="6"/>
        <v>0.9744696342450222</v>
      </c>
      <c r="F204" s="3">
        <f t="shared" ca="1" si="6"/>
        <v>0.35856381756196076</v>
      </c>
      <c r="G204" s="3">
        <f t="shared" ca="1" si="7"/>
        <v>7.9708776359969393</v>
      </c>
      <c r="H204" s="2"/>
      <c r="I204" s="2"/>
      <c r="J204" s="2"/>
      <c r="K204" s="2"/>
    </row>
    <row r="205" spans="5:11" x14ac:dyDescent="0.25">
      <c r="E205" s="3">
        <f t="shared" ca="1" si="6"/>
        <v>0.26619735023446478</v>
      </c>
      <c r="F205" s="3">
        <f t="shared" ca="1" si="6"/>
        <v>0.17574172460532544</v>
      </c>
      <c r="G205" s="3">
        <f t="shared" ca="1" si="7"/>
        <v>5.3654569145939348</v>
      </c>
      <c r="H205" s="2"/>
      <c r="I205" s="2"/>
      <c r="J205" s="2"/>
      <c r="K205" s="2"/>
    </row>
    <row r="206" spans="5:11" x14ac:dyDescent="0.25">
      <c r="E206" s="3">
        <f t="shared" ca="1" si="6"/>
        <v>0.88586840826888613</v>
      </c>
      <c r="F206" s="3">
        <f t="shared" ca="1" si="6"/>
        <v>0.806848761437851</v>
      </c>
      <c r="G206" s="3">
        <f t="shared" ca="1" si="7"/>
        <v>9.5805741381087604</v>
      </c>
      <c r="H206" s="2"/>
      <c r="I206" s="2"/>
      <c r="J206" s="2"/>
      <c r="K206" s="2"/>
    </row>
    <row r="207" spans="5:11" x14ac:dyDescent="0.25">
      <c r="E207" s="3">
        <f t="shared" ca="1" si="6"/>
        <v>0.88723094498734789</v>
      </c>
      <c r="F207" s="3">
        <f t="shared" ca="1" si="6"/>
        <v>0.98180504431435778</v>
      </c>
      <c r="G207" s="3">
        <f t="shared" ca="1" si="7"/>
        <v>15.413390181246024</v>
      </c>
      <c r="H207" s="2"/>
      <c r="I207" s="2"/>
      <c r="J207" s="2"/>
      <c r="K207" s="2"/>
    </row>
    <row r="208" spans="5:11" x14ac:dyDescent="0.25">
      <c r="E208" s="3">
        <f t="shared" ca="1" si="6"/>
        <v>0.14868789685418871</v>
      </c>
      <c r="F208" s="3">
        <f t="shared" ca="1" si="6"/>
        <v>0.85358977866033714</v>
      </c>
      <c r="G208" s="3">
        <f t="shared" ca="1" si="7"/>
        <v>12.25487234562298</v>
      </c>
      <c r="H208" s="2"/>
      <c r="I208" s="2"/>
      <c r="J208" s="2"/>
      <c r="K208" s="2"/>
    </row>
    <row r="209" spans="5:11" x14ac:dyDescent="0.25">
      <c r="E209" s="3">
        <f t="shared" ca="1" si="6"/>
        <v>0.82367255814973028</v>
      </c>
      <c r="F209" s="3">
        <f t="shared" ca="1" si="6"/>
        <v>0.56054205487539843</v>
      </c>
      <c r="G209" s="3">
        <f t="shared" ca="1" si="7"/>
        <v>5.7588046391988232</v>
      </c>
      <c r="H209" s="2"/>
      <c r="I209" s="2"/>
      <c r="J209" s="2"/>
      <c r="K209" s="2"/>
    </row>
    <row r="210" spans="5:11" x14ac:dyDescent="0.25">
      <c r="E210" s="3">
        <f t="shared" ca="1" si="6"/>
        <v>3.6031571264038886E-2</v>
      </c>
      <c r="F210" s="3">
        <f t="shared" ca="1" si="6"/>
        <v>0.45877853407684011</v>
      </c>
      <c r="G210" s="3">
        <f t="shared" ca="1" si="7"/>
        <v>11.908971329269662</v>
      </c>
      <c r="H210" s="2"/>
      <c r="I210" s="2"/>
      <c r="J210" s="2"/>
      <c r="K210" s="2"/>
    </row>
    <row r="211" spans="5:11" x14ac:dyDescent="0.25">
      <c r="E211" s="3">
        <f t="shared" ca="1" si="6"/>
        <v>0.74092235928962258</v>
      </c>
      <c r="F211" s="3">
        <f t="shared" ca="1" si="6"/>
        <v>0.4811602841379593</v>
      </c>
      <c r="G211" s="3">
        <f t="shared" ca="1" si="7"/>
        <v>4.3481164031704003</v>
      </c>
      <c r="H211" s="2"/>
      <c r="I211" s="2"/>
      <c r="J211" s="2"/>
      <c r="K211" s="2"/>
    </row>
    <row r="212" spans="5:11" x14ac:dyDescent="0.25">
      <c r="E212" s="3">
        <f t="shared" ca="1" si="6"/>
        <v>0.63221266187551095</v>
      </c>
      <c r="F212" s="3">
        <f t="shared" ca="1" si="6"/>
        <v>0.64715340444051794</v>
      </c>
      <c r="G212" s="3">
        <f t="shared" ca="1" si="7"/>
        <v>6.3821126621335322</v>
      </c>
      <c r="H212" s="2"/>
      <c r="I212" s="2"/>
      <c r="J212" s="2"/>
      <c r="K212" s="2"/>
    </row>
    <row r="213" spans="5:11" x14ac:dyDescent="0.25">
      <c r="E213" s="3">
        <f t="shared" ca="1" si="6"/>
        <v>0.1258973036731097</v>
      </c>
      <c r="F213" s="3">
        <f t="shared" ca="1" si="6"/>
        <v>0.3012681286821548</v>
      </c>
      <c r="G213" s="3">
        <f t="shared" ca="1" si="7"/>
        <v>8.1859375566987111</v>
      </c>
      <c r="H213" s="2"/>
      <c r="I213" s="2"/>
      <c r="J213" s="2"/>
      <c r="K213" s="2"/>
    </row>
    <row r="214" spans="5:11" x14ac:dyDescent="0.25">
      <c r="E214" s="3">
        <f t="shared" ca="1" si="6"/>
        <v>1.1626132830620084E-2</v>
      </c>
      <c r="F214" s="3">
        <f t="shared" ca="1" si="6"/>
        <v>0.40365159455648159</v>
      </c>
      <c r="G214" s="3">
        <f t="shared" ca="1" si="7"/>
        <v>13.970094685971493</v>
      </c>
      <c r="H214" s="2"/>
      <c r="I214" s="2"/>
      <c r="J214" s="2"/>
      <c r="K214" s="2"/>
    </row>
    <row r="215" spans="5:11" x14ac:dyDescent="0.25">
      <c r="E215" s="3">
        <f t="shared" ca="1" si="6"/>
        <v>0.81518861162681511</v>
      </c>
      <c r="F215" s="3">
        <f t="shared" ca="1" si="6"/>
        <v>0.45725381321912106</v>
      </c>
      <c r="G215" s="3">
        <f t="shared" ca="1" si="7"/>
        <v>4.5290792654640049</v>
      </c>
      <c r="H215" s="2"/>
      <c r="I215" s="2"/>
      <c r="J215" s="2"/>
      <c r="K215" s="2"/>
    </row>
    <row r="216" spans="5:11" x14ac:dyDescent="0.25">
      <c r="E216" s="3">
        <f t="shared" ca="1" si="6"/>
        <v>0.98346208340166308</v>
      </c>
      <c r="F216" s="3">
        <f t="shared" ca="1" si="6"/>
        <v>0.117794297124175</v>
      </c>
      <c r="G216" s="3">
        <f t="shared" ca="1" si="7"/>
        <v>8.5412248643788438</v>
      </c>
      <c r="H216" s="2"/>
      <c r="I216" s="2"/>
      <c r="J216" s="2"/>
      <c r="K216" s="2"/>
    </row>
    <row r="217" spans="5:11" x14ac:dyDescent="0.25">
      <c r="E217" s="3">
        <f t="shared" ca="1" si="6"/>
        <v>0.86077538622754324</v>
      </c>
      <c r="F217" s="3">
        <f t="shared" ca="1" si="6"/>
        <v>0.65656995302869448</v>
      </c>
      <c r="G217" s="3">
        <f t="shared" ca="1" si="7"/>
        <v>7.2226576947307857</v>
      </c>
      <c r="H217" s="2"/>
      <c r="I217" s="2"/>
      <c r="J217" s="2"/>
      <c r="K217" s="2"/>
    </row>
    <row r="218" spans="5:11" x14ac:dyDescent="0.25">
      <c r="E218" s="3">
        <f t="shared" ca="1" si="6"/>
        <v>0.54629333248230449</v>
      </c>
      <c r="F218" s="3">
        <f t="shared" ca="1" si="6"/>
        <v>0.97326690003554495</v>
      </c>
      <c r="G218" s="3">
        <f t="shared" ca="1" si="7"/>
        <v>14.222735967686164</v>
      </c>
      <c r="H218" s="2"/>
      <c r="I218" s="2"/>
      <c r="J218" s="2"/>
      <c r="K218" s="2"/>
    </row>
    <row r="219" spans="5:11" x14ac:dyDescent="0.25">
      <c r="E219" s="3">
        <f t="shared" ca="1" si="6"/>
        <v>0.68641907314678474</v>
      </c>
      <c r="F219" s="3">
        <f t="shared" ca="1" si="6"/>
        <v>0.18885063742105956</v>
      </c>
      <c r="G219" s="3">
        <f t="shared" ca="1" si="7"/>
        <v>0.19737317404639459</v>
      </c>
      <c r="H219" s="2"/>
      <c r="I219" s="2"/>
      <c r="J219" s="2"/>
      <c r="K219" s="2"/>
    </row>
    <row r="220" spans="5:11" x14ac:dyDescent="0.25">
      <c r="E220" s="3">
        <f t="shared" ca="1" si="6"/>
        <v>0.55637555923215976</v>
      </c>
      <c r="F220" s="3">
        <f t="shared" ca="1" si="6"/>
        <v>0.43342846073752728</v>
      </c>
      <c r="G220" s="3">
        <f t="shared" ca="1" si="7"/>
        <v>3.9414093079075703</v>
      </c>
      <c r="H220" s="2"/>
      <c r="I220" s="2"/>
      <c r="J220" s="2"/>
      <c r="K220" s="2"/>
    </row>
    <row r="221" spans="5:11" x14ac:dyDescent="0.25">
      <c r="E221" s="3">
        <f t="shared" ca="1" si="6"/>
        <v>0.29267498685005733</v>
      </c>
      <c r="F221" s="3">
        <f t="shared" ca="1" si="6"/>
        <v>0.52471142644458402</v>
      </c>
      <c r="G221" s="3">
        <f t="shared" ca="1" si="7"/>
        <v>6.8943026296075214</v>
      </c>
      <c r="H221" s="2"/>
      <c r="I221" s="2"/>
      <c r="J221" s="2"/>
      <c r="K221" s="2"/>
    </row>
    <row r="222" spans="5:11" x14ac:dyDescent="0.25">
      <c r="E222" s="3">
        <f t="shared" ca="1" si="6"/>
        <v>0.79045679109002964</v>
      </c>
      <c r="F222" s="3">
        <f t="shared" ca="1" si="6"/>
        <v>8.9892342048602303E-2</v>
      </c>
      <c r="G222" s="3">
        <f t="shared" ca="1" si="7"/>
        <v>2.8711422670794806</v>
      </c>
      <c r="H222" s="2"/>
      <c r="I222" s="2"/>
      <c r="J222" s="2"/>
      <c r="K222" s="2"/>
    </row>
    <row r="223" spans="5:11" x14ac:dyDescent="0.25">
      <c r="E223" s="3">
        <f t="shared" ca="1" si="6"/>
        <v>0.37557360737938561</v>
      </c>
      <c r="F223" s="3">
        <f t="shared" ca="1" si="6"/>
        <v>0.92124915553702846</v>
      </c>
      <c r="G223" s="3">
        <f t="shared" ca="1" si="7"/>
        <v>12.155434968665565</v>
      </c>
      <c r="H223" s="2"/>
      <c r="I223" s="2"/>
      <c r="J223" s="2"/>
      <c r="K223" s="2"/>
    </row>
    <row r="224" spans="5:11" x14ac:dyDescent="0.25">
      <c r="E224" s="3">
        <f t="shared" ca="1" si="6"/>
        <v>0.92613487259024962</v>
      </c>
      <c r="F224" s="3">
        <f t="shared" ca="1" si="6"/>
        <v>8.7890106607136143E-2</v>
      </c>
      <c r="G224" s="3">
        <f t="shared" ca="1" si="7"/>
        <v>5.5011825337076807</v>
      </c>
      <c r="H224" s="2"/>
      <c r="I224" s="2"/>
      <c r="J224" s="2"/>
      <c r="K224" s="2"/>
    </row>
    <row r="225" spans="5:11" x14ac:dyDescent="0.25">
      <c r="E225" s="3">
        <f t="shared" ca="1" si="6"/>
        <v>0.55924814970195935</v>
      </c>
      <c r="F225" s="3">
        <f t="shared" ca="1" si="6"/>
        <v>0.73853483452346014</v>
      </c>
      <c r="G225" s="3">
        <f t="shared" ca="1" si="7"/>
        <v>7.8086167702926979</v>
      </c>
      <c r="H225" s="2"/>
      <c r="I225" s="2"/>
      <c r="J225" s="2"/>
      <c r="K225" s="2"/>
    </row>
    <row r="226" spans="5:11" x14ac:dyDescent="0.25">
      <c r="E226" s="3">
        <f t="shared" ca="1" si="6"/>
        <v>0.63299753413484394</v>
      </c>
      <c r="F226" s="3">
        <f t="shared" ca="1" si="6"/>
        <v>0.35862487509467289</v>
      </c>
      <c r="G226" s="3">
        <f t="shared" ca="1" si="7"/>
        <v>2.7138412601476105</v>
      </c>
      <c r="H226" s="2"/>
      <c r="I226" s="2"/>
      <c r="J226" s="2"/>
      <c r="K226" s="2"/>
    </row>
    <row r="227" spans="5:11" x14ac:dyDescent="0.25">
      <c r="E227" s="3">
        <f t="shared" ca="1" si="6"/>
        <v>0.40451383305127275</v>
      </c>
      <c r="F227" s="3">
        <f t="shared" ca="1" si="6"/>
        <v>0.25792335140127387</v>
      </c>
      <c r="G227" s="3">
        <f t="shared" ca="1" si="7"/>
        <v>3.6585926232136821</v>
      </c>
      <c r="H227" s="2"/>
      <c r="I227" s="2"/>
      <c r="J227" s="2"/>
      <c r="K227" s="2"/>
    </row>
    <row r="228" spans="5:11" x14ac:dyDescent="0.25">
      <c r="E228" s="3">
        <f t="shared" ca="1" si="6"/>
        <v>0.28002054395901299</v>
      </c>
      <c r="F228" s="3">
        <f t="shared" ca="1" si="6"/>
        <v>0.92298499122396815</v>
      </c>
      <c r="G228" s="3">
        <f t="shared" ca="1" si="7"/>
        <v>12.690988102825385</v>
      </c>
      <c r="H228" s="2"/>
      <c r="I228" s="2"/>
      <c r="J228" s="2"/>
      <c r="K228" s="2"/>
    </row>
    <row r="229" spans="5:11" x14ac:dyDescent="0.25">
      <c r="E229" s="3">
        <f t="shared" ca="1" si="6"/>
        <v>0.92750054700741458</v>
      </c>
      <c r="F229" s="3">
        <f t="shared" ca="1" si="6"/>
        <v>0.90886019086980552</v>
      </c>
      <c r="G229" s="3">
        <f t="shared" ca="1" si="7"/>
        <v>12.22878865796249</v>
      </c>
      <c r="H229" s="2"/>
      <c r="I229" s="2"/>
      <c r="J229" s="2"/>
      <c r="K229" s="2"/>
    </row>
    <row r="230" spans="5:11" x14ac:dyDescent="0.25">
      <c r="E230" s="3">
        <f t="shared" ca="1" si="6"/>
        <v>0.92387901955947771</v>
      </c>
      <c r="F230" s="3">
        <f t="shared" ca="1" si="6"/>
        <v>0.80708979246094348</v>
      </c>
      <c r="G230" s="3">
        <f t="shared" ca="1" si="7"/>
        <v>10.086287202998605</v>
      </c>
      <c r="H230" s="2"/>
      <c r="I230" s="2"/>
      <c r="J230" s="2"/>
      <c r="K230" s="2"/>
    </row>
    <row r="231" spans="5:11" x14ac:dyDescent="0.25">
      <c r="E231" s="3">
        <f t="shared" ca="1" si="6"/>
        <v>0.81692892419976293</v>
      </c>
      <c r="F231" s="3">
        <f t="shared" ca="1" si="6"/>
        <v>0.98016916661561637</v>
      </c>
      <c r="G231" s="3">
        <f t="shared" ca="1" si="7"/>
        <v>14.931096119828382</v>
      </c>
      <c r="H231" s="2"/>
      <c r="I231" s="2"/>
      <c r="J231" s="2"/>
      <c r="K231" s="2"/>
    </row>
    <row r="232" spans="5:11" x14ac:dyDescent="0.25">
      <c r="E232" s="3">
        <f t="shared" ca="1" si="6"/>
        <v>0.14752138586739705</v>
      </c>
      <c r="F232" s="3">
        <f t="shared" ca="1" si="6"/>
        <v>0.82204883477735624</v>
      </c>
      <c r="G232" s="3">
        <f t="shared" ca="1" si="7"/>
        <v>11.766288446913359</v>
      </c>
      <c r="H232" s="2"/>
      <c r="I232" s="2"/>
      <c r="J232" s="2"/>
      <c r="K232" s="2"/>
    </row>
    <row r="233" spans="5:11" x14ac:dyDescent="0.25">
      <c r="E233" s="3">
        <f t="shared" ca="1" si="6"/>
        <v>0.37405732906486588</v>
      </c>
      <c r="F233" s="3">
        <f t="shared" ca="1" si="6"/>
        <v>0.87220616837296372</v>
      </c>
      <c r="G233" s="3">
        <f t="shared" ca="1" si="7"/>
        <v>10.858333505833203</v>
      </c>
      <c r="H233" s="2"/>
      <c r="I233" s="2"/>
      <c r="J233" s="2"/>
      <c r="K233" s="2"/>
    </row>
    <row r="234" spans="5:11" x14ac:dyDescent="0.25">
      <c r="E234" s="3">
        <f t="shared" ca="1" si="6"/>
        <v>0.47208315858700134</v>
      </c>
      <c r="F234" s="3">
        <f t="shared" ca="1" si="6"/>
        <v>0.59069837749035603</v>
      </c>
      <c r="G234" s="3">
        <f t="shared" ca="1" si="7"/>
        <v>6.185315747887584</v>
      </c>
      <c r="H234" s="2"/>
      <c r="I234" s="2"/>
      <c r="J234" s="2"/>
      <c r="K234" s="2"/>
    </row>
    <row r="235" spans="5:11" x14ac:dyDescent="0.25">
      <c r="E235" s="3">
        <f t="shared" ca="1" si="6"/>
        <v>0.49595184668327963</v>
      </c>
      <c r="F235" s="3">
        <f t="shared" ca="1" si="6"/>
        <v>0.83313594312269434</v>
      </c>
      <c r="G235" s="3">
        <f t="shared" ca="1" si="7"/>
        <v>9.5811075863995487</v>
      </c>
      <c r="H235" s="2"/>
      <c r="I235" s="2"/>
      <c r="J235" s="2"/>
      <c r="K235" s="2"/>
    </row>
    <row r="236" spans="5:11" x14ac:dyDescent="0.25">
      <c r="E236" s="3">
        <f t="shared" ca="1" si="6"/>
        <v>0.20766366208410481</v>
      </c>
      <c r="F236" s="3">
        <f t="shared" ca="1" si="6"/>
        <v>0.44157307779425092</v>
      </c>
      <c r="G236" s="3">
        <f t="shared" ca="1" si="7"/>
        <v>7.3352926082658128</v>
      </c>
      <c r="H236" s="2"/>
      <c r="I236" s="2"/>
      <c r="J236" s="2"/>
      <c r="K236" s="2"/>
    </row>
    <row r="237" spans="5:11" x14ac:dyDescent="0.25">
      <c r="E237" s="3">
        <f t="shared" ca="1" si="6"/>
        <v>0.17432663245595426</v>
      </c>
      <c r="F237" s="3">
        <f t="shared" ca="1" si="6"/>
        <v>0.44169408288693524</v>
      </c>
      <c r="G237" s="3">
        <f t="shared" ca="1" si="7"/>
        <v>7.870014281685183</v>
      </c>
      <c r="H237" s="2"/>
      <c r="I237" s="2"/>
      <c r="J237" s="2"/>
      <c r="K237" s="2"/>
    </row>
    <row r="238" spans="5:11" x14ac:dyDescent="0.25">
      <c r="E238" s="3">
        <f t="shared" ca="1" si="6"/>
        <v>0.45446598157114915</v>
      </c>
      <c r="F238" s="3">
        <f t="shared" ca="1" si="6"/>
        <v>0.55168140650903907</v>
      </c>
      <c r="G238" s="3">
        <f t="shared" ca="1" si="7"/>
        <v>5.8411185005088084</v>
      </c>
      <c r="H238" s="2"/>
      <c r="I238" s="2"/>
      <c r="J238" s="2"/>
      <c r="K238" s="2"/>
    </row>
    <row r="239" spans="5:11" x14ac:dyDescent="0.25">
      <c r="E239" s="3">
        <f t="shared" ca="1" si="6"/>
        <v>0.29241523160245531</v>
      </c>
      <c r="F239" s="3">
        <f t="shared" ca="1" si="6"/>
        <v>0.67330858745666367</v>
      </c>
      <c r="G239" s="3">
        <f t="shared" ca="1" si="7"/>
        <v>8.3556649395983236</v>
      </c>
      <c r="H239" s="2"/>
      <c r="I239" s="2"/>
      <c r="J239" s="2"/>
      <c r="K239" s="2"/>
    </row>
    <row r="240" spans="5:11" x14ac:dyDescent="0.25">
      <c r="E240" s="3">
        <f t="shared" ca="1" si="6"/>
        <v>0.19258678773142979</v>
      </c>
      <c r="F240" s="3">
        <f t="shared" ca="1" si="6"/>
        <v>0.48913549939253087</v>
      </c>
      <c r="G240" s="3">
        <f t="shared" ca="1" si="7"/>
        <v>7.8809651831636955</v>
      </c>
      <c r="H240" s="2"/>
      <c r="I240" s="2"/>
      <c r="J240" s="2"/>
      <c r="K240" s="2"/>
    </row>
    <row r="241" spans="5:11" x14ac:dyDescent="0.25">
      <c r="E241" s="3">
        <f t="shared" ca="1" si="6"/>
        <v>0.8905496942665676</v>
      </c>
      <c r="F241" s="3">
        <f t="shared" ca="1" si="6"/>
        <v>0.1394538127696312</v>
      </c>
      <c r="G241" s="3">
        <f t="shared" ca="1" si="7"/>
        <v>4.0193202443858382</v>
      </c>
      <c r="H241" s="2"/>
      <c r="I241" s="2"/>
      <c r="J241" s="2"/>
      <c r="K241" s="2"/>
    </row>
    <row r="242" spans="5:11" x14ac:dyDescent="0.25">
      <c r="E242" s="3">
        <f t="shared" ca="1" si="6"/>
        <v>0.95038235701786533</v>
      </c>
      <c r="F242" s="3">
        <f t="shared" ca="1" si="6"/>
        <v>0.62270790706955059</v>
      </c>
      <c r="G242" s="3">
        <f t="shared" ca="1" si="7"/>
        <v>8.5103963799281637</v>
      </c>
      <c r="H242" s="2"/>
      <c r="I242" s="2"/>
      <c r="J242" s="2"/>
      <c r="K242" s="2"/>
    </row>
    <row r="243" spans="5:11" x14ac:dyDescent="0.25">
      <c r="E243" s="3">
        <f t="shared" ca="1" si="6"/>
        <v>0.57067893312720241</v>
      </c>
      <c r="F243" s="3">
        <f t="shared" ca="1" si="6"/>
        <v>0.32410458942398379</v>
      </c>
      <c r="G243" s="3">
        <f t="shared" ca="1" si="7"/>
        <v>2.5715027080532713</v>
      </c>
      <c r="H243" s="2"/>
      <c r="I243" s="2"/>
      <c r="J243" s="2"/>
      <c r="K243" s="2"/>
    </row>
    <row r="244" spans="5:11" x14ac:dyDescent="0.25">
      <c r="E244" s="3">
        <f t="shared" ca="1" si="6"/>
        <v>0.73874367112549955</v>
      </c>
      <c r="F244" s="3">
        <f t="shared" ca="1" si="6"/>
        <v>6.5790687192542885E-3</v>
      </c>
      <c r="G244" s="3">
        <f t="shared" ca="1" si="7"/>
        <v>7.9848766877232684</v>
      </c>
      <c r="H244" s="2"/>
      <c r="I244" s="2"/>
      <c r="J244" s="2"/>
      <c r="K244" s="2"/>
    </row>
    <row r="245" spans="5:11" x14ac:dyDescent="0.25">
      <c r="E245" s="3">
        <f t="shared" ca="1" si="6"/>
        <v>0.10400451094046981</v>
      </c>
      <c r="F245" s="3">
        <f t="shared" ca="1" si="6"/>
        <v>0.51734338724910311</v>
      </c>
      <c r="G245" s="3">
        <f t="shared" ca="1" si="7"/>
        <v>9.7380409084094559</v>
      </c>
      <c r="H245" s="2"/>
      <c r="I245" s="2"/>
      <c r="J245" s="2"/>
      <c r="K245" s="2"/>
    </row>
    <row r="246" spans="5:11" x14ac:dyDescent="0.25">
      <c r="E246" s="3">
        <f t="shared" ca="1" si="6"/>
        <v>0.66182972655324213</v>
      </c>
      <c r="F246" s="3">
        <f t="shared" ca="1" si="6"/>
        <v>0.29650933710264504</v>
      </c>
      <c r="G246" s="3">
        <f t="shared" ca="1" si="7"/>
        <v>1.8041539563525397</v>
      </c>
      <c r="H246" s="2"/>
      <c r="I246" s="2"/>
      <c r="J246" s="2"/>
      <c r="K246" s="2"/>
    </row>
    <row r="247" spans="5:11" x14ac:dyDescent="0.25">
      <c r="E247" s="3">
        <f t="shared" ca="1" si="6"/>
        <v>0.72644852976526109</v>
      </c>
      <c r="F247" s="3">
        <f t="shared" ca="1" si="6"/>
        <v>0.96090080476560247</v>
      </c>
      <c r="G247" s="3">
        <f t="shared" ca="1" si="7"/>
        <v>13.298485984583928</v>
      </c>
      <c r="H247" s="2"/>
      <c r="I247" s="2"/>
      <c r="J247" s="2"/>
      <c r="K247" s="2"/>
    </row>
    <row r="248" spans="5:11" x14ac:dyDescent="0.25">
      <c r="E248" s="3">
        <f t="shared" ca="1" si="6"/>
        <v>0.24170087342314461</v>
      </c>
      <c r="F248" s="3">
        <f t="shared" ca="1" si="6"/>
        <v>0.98003660818973115</v>
      </c>
      <c r="G248" s="3">
        <f t="shared" ca="1" si="7"/>
        <v>15.822193381293348</v>
      </c>
      <c r="H248" s="2"/>
      <c r="I248" s="2"/>
      <c r="J248" s="2"/>
      <c r="K248" s="2"/>
    </row>
    <row r="249" spans="5:11" x14ac:dyDescent="0.25">
      <c r="E249" s="3">
        <f t="shared" ca="1" si="6"/>
        <v>0.79178743978041544</v>
      </c>
      <c r="F249" s="3">
        <f t="shared" ca="1" si="6"/>
        <v>2.8426114995568019E-2</v>
      </c>
      <c r="G249" s="3">
        <f t="shared" ca="1" si="7"/>
        <v>5.3710195721558138</v>
      </c>
      <c r="H249" s="2"/>
      <c r="I249" s="2"/>
      <c r="J249" s="2"/>
      <c r="K249" s="2"/>
    </row>
    <row r="250" spans="5:11" x14ac:dyDescent="0.25">
      <c r="E250" s="3">
        <f t="shared" ca="1" si="6"/>
        <v>0.53417831912753022</v>
      </c>
      <c r="F250" s="3">
        <f t="shared" ca="1" si="6"/>
        <v>0.8966227471014363</v>
      </c>
      <c r="G250" s="3">
        <f t="shared" ca="1" si="7"/>
        <v>10.933788637615871</v>
      </c>
      <c r="H250" s="2"/>
      <c r="I250" s="2"/>
      <c r="J250" s="2"/>
      <c r="K250" s="2"/>
    </row>
    <row r="251" spans="5:11" x14ac:dyDescent="0.25">
      <c r="E251" s="3">
        <f t="shared" ca="1" si="6"/>
        <v>0.80980624412070368</v>
      </c>
      <c r="F251" s="3">
        <f t="shared" ca="1" si="6"/>
        <v>0.18274568656535128</v>
      </c>
      <c r="G251" s="3">
        <f t="shared" ca="1" si="7"/>
        <v>2.1462434813205258</v>
      </c>
      <c r="H251" s="2"/>
      <c r="I251" s="2"/>
      <c r="J251" s="2"/>
      <c r="K251" s="2"/>
    </row>
    <row r="252" spans="5:11" x14ac:dyDescent="0.25">
      <c r="E252" s="3">
        <f t="shared" ca="1" si="6"/>
        <v>0.72079356571652919</v>
      </c>
      <c r="F252" s="3">
        <f t="shared" ca="1" si="6"/>
        <v>0.52977214100839198</v>
      </c>
      <c r="G252" s="3">
        <f t="shared" ca="1" si="7"/>
        <v>4.8917568400040441</v>
      </c>
      <c r="H252" s="2"/>
      <c r="I252" s="2"/>
      <c r="J252" s="2"/>
      <c r="K252" s="2"/>
    </row>
    <row r="253" spans="5:11" x14ac:dyDescent="0.25">
      <c r="E253" s="3">
        <f t="shared" ca="1" si="6"/>
        <v>0.22749053449436396</v>
      </c>
      <c r="F253" s="3">
        <f t="shared" ca="1" si="6"/>
        <v>0.86822059186783884</v>
      </c>
      <c r="G253" s="3">
        <f t="shared" ca="1" si="7"/>
        <v>11.701212799629202</v>
      </c>
      <c r="H253" s="2"/>
      <c r="I253" s="2"/>
      <c r="J253" s="2"/>
      <c r="K253" s="2"/>
    </row>
    <row r="254" spans="5:11" x14ac:dyDescent="0.25">
      <c r="E254" s="3">
        <f t="shared" ca="1" si="6"/>
        <v>0.61841842308507633</v>
      </c>
      <c r="F254" s="3">
        <f t="shared" ca="1" si="6"/>
        <v>0.89379294821834598</v>
      </c>
      <c r="G254" s="3">
        <f t="shared" ca="1" si="7"/>
        <v>10.729872546059298</v>
      </c>
      <c r="H254" s="2"/>
      <c r="I254" s="2"/>
      <c r="J254" s="2"/>
      <c r="K254" s="2"/>
    </row>
    <row r="255" spans="5:11" x14ac:dyDescent="0.25">
      <c r="E255" s="3">
        <f t="shared" ca="1" si="6"/>
        <v>0.90833174257825011</v>
      </c>
      <c r="F255" s="3">
        <f t="shared" ca="1" si="6"/>
        <v>0.95752989675667077</v>
      </c>
      <c r="G255" s="3">
        <f t="shared" ca="1" si="7"/>
        <v>13.807555903268518</v>
      </c>
      <c r="H255" s="2"/>
      <c r="I255" s="2"/>
      <c r="J255" s="2"/>
      <c r="K255" s="2"/>
    </row>
    <row r="256" spans="5:11" x14ac:dyDescent="0.25">
      <c r="E256" s="3">
        <f t="shared" ca="1" si="6"/>
        <v>0.71358383451857921</v>
      </c>
      <c r="F256" s="3">
        <f t="shared" ca="1" si="6"/>
        <v>0.26704899703423957</v>
      </c>
      <c r="G256" s="3">
        <f t="shared" ca="1" si="7"/>
        <v>1.4792201925673334</v>
      </c>
      <c r="H256" s="2"/>
      <c r="I256" s="2"/>
      <c r="J256" s="2"/>
      <c r="K256" s="2"/>
    </row>
    <row r="257" spans="5:11" x14ac:dyDescent="0.25">
      <c r="E257" s="3">
        <f t="shared" ca="1" si="6"/>
        <v>0.88694449647386431</v>
      </c>
      <c r="F257" s="3">
        <f t="shared" ca="1" si="6"/>
        <v>0.97453209350450343</v>
      </c>
      <c r="G257" s="3">
        <f t="shared" ca="1" si="7"/>
        <v>14.73177736480619</v>
      </c>
      <c r="H257" s="2"/>
      <c r="I257" s="2"/>
      <c r="J257" s="2"/>
      <c r="K257" s="2"/>
    </row>
    <row r="258" spans="5:11" x14ac:dyDescent="0.25">
      <c r="E258" s="3">
        <f t="shared" ca="1" si="6"/>
        <v>0.67062386843191213</v>
      </c>
      <c r="F258" s="3">
        <f t="shared" ca="1" si="6"/>
        <v>0.50903992441638224</v>
      </c>
      <c r="G258" s="3">
        <f t="shared" ca="1" si="7"/>
        <v>4.5834046742279124</v>
      </c>
      <c r="H258" s="2"/>
      <c r="I258" s="2"/>
      <c r="J258" s="2"/>
      <c r="K258" s="2"/>
    </row>
    <row r="259" spans="5:11" x14ac:dyDescent="0.25">
      <c r="E259" s="3">
        <f t="shared" ca="1" si="6"/>
        <v>0.33940395619125585</v>
      </c>
      <c r="F259" s="3">
        <f t="shared" ca="1" si="6"/>
        <v>0.43163396068714721</v>
      </c>
      <c r="G259" s="3">
        <f t="shared" ca="1" si="7"/>
        <v>5.6220424797511406</v>
      </c>
      <c r="H259" s="2"/>
      <c r="I259" s="2"/>
      <c r="J259" s="2"/>
      <c r="K259" s="2"/>
    </row>
    <row r="260" spans="5:11" x14ac:dyDescent="0.25">
      <c r="E260" s="3">
        <f t="shared" ref="E260:F323" ca="1" si="8">RAND()</f>
        <v>0.36562255256918186</v>
      </c>
      <c r="F260" s="3">
        <f t="shared" ca="1" si="8"/>
        <v>3.2133133315067064E-2</v>
      </c>
      <c r="G260" s="3">
        <f t="shared" ref="G260:G323" ca="1" si="9">SQRT(_xlfn.NORM.INV(E260,$C$3*COS($C$6),$C$4)^2+_xlfn.NORM.INV(F260,$C$3*SIN($C$6),$C$4)^2)</f>
        <v>6.2070741989658949</v>
      </c>
      <c r="H260" s="2"/>
      <c r="I260" s="2"/>
      <c r="J260" s="2"/>
      <c r="K260" s="2"/>
    </row>
    <row r="261" spans="5:11" x14ac:dyDescent="0.25">
      <c r="E261" s="3">
        <f t="shared" ca="1" si="8"/>
        <v>0.99312325907351806</v>
      </c>
      <c r="F261" s="3">
        <f t="shared" ca="1" si="8"/>
        <v>0.63436316619565158</v>
      </c>
      <c r="G261" s="3">
        <f t="shared" ca="1" si="9"/>
        <v>11.825533990936739</v>
      </c>
      <c r="H261" s="2"/>
      <c r="I261" s="2"/>
      <c r="J261" s="2"/>
      <c r="K261" s="2"/>
    </row>
    <row r="262" spans="5:11" x14ac:dyDescent="0.25">
      <c r="E262" s="3">
        <f t="shared" ca="1" si="8"/>
        <v>0.2603194425417239</v>
      </c>
      <c r="F262" s="3">
        <f t="shared" ca="1" si="8"/>
        <v>0.99411396346821301</v>
      </c>
      <c r="G262" s="3">
        <f t="shared" ca="1" si="9"/>
        <v>17.914336934540348</v>
      </c>
      <c r="H262" s="2"/>
      <c r="I262" s="2"/>
      <c r="J262" s="2"/>
      <c r="K262" s="2"/>
    </row>
    <row r="263" spans="5:11" x14ac:dyDescent="0.25">
      <c r="E263" s="3">
        <f t="shared" ca="1" si="8"/>
        <v>0.99945310605580462</v>
      </c>
      <c r="F263" s="3">
        <f t="shared" ca="1" si="8"/>
        <v>0.56208070288178968</v>
      </c>
      <c r="G263" s="3">
        <f t="shared" ca="1" si="9"/>
        <v>15.032738557557451</v>
      </c>
      <c r="H263" s="2"/>
      <c r="I263" s="2"/>
      <c r="J263" s="2"/>
      <c r="K263" s="2"/>
    </row>
    <row r="264" spans="5:11" x14ac:dyDescent="0.25">
      <c r="E264" s="3">
        <f t="shared" ca="1" si="8"/>
        <v>0.56955288784228675</v>
      </c>
      <c r="F264" s="3">
        <f t="shared" ca="1" si="8"/>
        <v>0.65397260745106189</v>
      </c>
      <c r="G264" s="3">
        <f t="shared" ca="1" si="9"/>
        <v>6.5930029131481671</v>
      </c>
      <c r="H264" s="2"/>
      <c r="I264" s="2"/>
      <c r="J264" s="2"/>
      <c r="K264" s="2"/>
    </row>
    <row r="265" spans="5:11" x14ac:dyDescent="0.25">
      <c r="E265" s="3">
        <f t="shared" ca="1" si="8"/>
        <v>0.92209562279577217</v>
      </c>
      <c r="F265" s="3">
        <f t="shared" ca="1" si="8"/>
        <v>0.84089196528036936</v>
      </c>
      <c r="G265" s="3">
        <f t="shared" ca="1" si="9"/>
        <v>10.634195753101707</v>
      </c>
      <c r="H265" s="2"/>
      <c r="I265" s="2"/>
      <c r="J265" s="2"/>
      <c r="K265" s="2"/>
    </row>
    <row r="266" spans="5:11" x14ac:dyDescent="0.25">
      <c r="E266" s="3">
        <f t="shared" ca="1" si="8"/>
        <v>0.96152895878650113</v>
      </c>
      <c r="F266" s="3">
        <f t="shared" ca="1" si="8"/>
        <v>0.95868825739947439</v>
      </c>
      <c r="G266" s="3">
        <f t="shared" ca="1" si="9"/>
        <v>14.713252707016752</v>
      </c>
      <c r="H266" s="2"/>
      <c r="I266" s="2"/>
      <c r="J266" s="2"/>
      <c r="K266" s="2"/>
    </row>
    <row r="267" spans="5:11" x14ac:dyDescent="0.25">
      <c r="E267" s="3">
        <f t="shared" ca="1" si="8"/>
        <v>0.34745603858011254</v>
      </c>
      <c r="F267" s="3">
        <f t="shared" ca="1" si="8"/>
        <v>0.80602554369512747</v>
      </c>
      <c r="G267" s="3">
        <f t="shared" ca="1" si="9"/>
        <v>9.7394798425651334</v>
      </c>
      <c r="H267" s="2"/>
      <c r="I267" s="2"/>
      <c r="J267" s="2"/>
      <c r="K267" s="2"/>
    </row>
    <row r="268" spans="5:11" x14ac:dyDescent="0.25">
      <c r="E268" s="3">
        <f t="shared" ca="1" si="8"/>
        <v>0.5607398828684339</v>
      </c>
      <c r="F268" s="3">
        <f t="shared" ca="1" si="8"/>
        <v>0.60380000921327148</v>
      </c>
      <c r="G268" s="3">
        <f t="shared" ca="1" si="9"/>
        <v>5.9712921239855588</v>
      </c>
      <c r="H268" s="2"/>
      <c r="I268" s="2"/>
      <c r="J268" s="2"/>
      <c r="K268" s="2"/>
    </row>
    <row r="269" spans="5:11" x14ac:dyDescent="0.25">
      <c r="E269" s="3">
        <f t="shared" ca="1" si="8"/>
        <v>0.17352493106056033</v>
      </c>
      <c r="F269" s="3">
        <f t="shared" ca="1" si="8"/>
        <v>7.9391312030827166E-2</v>
      </c>
      <c r="G269" s="3">
        <f t="shared" ca="1" si="9"/>
        <v>7.4045049615430312</v>
      </c>
      <c r="H269" s="2"/>
      <c r="I269" s="2"/>
      <c r="J269" s="2"/>
      <c r="K269" s="2"/>
    </row>
    <row r="270" spans="5:11" x14ac:dyDescent="0.25">
      <c r="E270" s="3">
        <f t="shared" ca="1" si="8"/>
        <v>0.92154548660330515</v>
      </c>
      <c r="F270" s="3">
        <f t="shared" ca="1" si="8"/>
        <v>0.74690076868309752</v>
      </c>
      <c r="G270" s="3">
        <f t="shared" ca="1" si="9"/>
        <v>9.1729882236695381</v>
      </c>
      <c r="H270" s="2"/>
      <c r="I270" s="2"/>
      <c r="J270" s="2"/>
      <c r="K270" s="2"/>
    </row>
    <row r="271" spans="5:11" x14ac:dyDescent="0.25">
      <c r="E271" s="3">
        <f t="shared" ca="1" si="8"/>
        <v>0.50716995565190359</v>
      </c>
      <c r="F271" s="3">
        <f t="shared" ca="1" si="8"/>
        <v>0.14180452740279392</v>
      </c>
      <c r="G271" s="3">
        <f t="shared" ca="1" si="9"/>
        <v>2.3278715301797397</v>
      </c>
      <c r="H271" s="2"/>
      <c r="I271" s="2"/>
      <c r="J271" s="2"/>
      <c r="K271" s="2"/>
    </row>
    <row r="272" spans="5:11" x14ac:dyDescent="0.25">
      <c r="E272" s="3">
        <f t="shared" ca="1" si="8"/>
        <v>8.4583332569437841E-3</v>
      </c>
      <c r="F272" s="3">
        <f t="shared" ca="1" si="8"/>
        <v>0.29424510806250559</v>
      </c>
      <c r="G272" s="3">
        <f t="shared" ca="1" si="9"/>
        <v>14.292321211696883</v>
      </c>
      <c r="H272" s="2"/>
      <c r="I272" s="2"/>
      <c r="J272" s="2"/>
      <c r="K272" s="2"/>
    </row>
    <row r="273" spans="5:11" x14ac:dyDescent="0.25">
      <c r="E273" s="3">
        <f t="shared" ca="1" si="8"/>
        <v>0.75166381880267763</v>
      </c>
      <c r="F273" s="3">
        <f t="shared" ca="1" si="8"/>
        <v>0.76239926414136416</v>
      </c>
      <c r="G273" s="3">
        <f t="shared" ca="1" si="9"/>
        <v>8.1231981168129437</v>
      </c>
      <c r="H273" s="2"/>
      <c r="I273" s="2"/>
      <c r="J273" s="2"/>
      <c r="K273" s="2"/>
    </row>
    <row r="274" spans="5:11" x14ac:dyDescent="0.25">
      <c r="E274" s="3">
        <f t="shared" ca="1" si="8"/>
        <v>0.49622058265205216</v>
      </c>
      <c r="F274" s="3">
        <f t="shared" ca="1" si="8"/>
        <v>0.88924529976076561</v>
      </c>
      <c r="G274" s="3">
        <f t="shared" ca="1" si="9"/>
        <v>10.827061917960741</v>
      </c>
      <c r="H274" s="2"/>
      <c r="I274" s="2"/>
      <c r="J274" s="2"/>
      <c r="K274" s="2"/>
    </row>
    <row r="275" spans="5:11" x14ac:dyDescent="0.25">
      <c r="E275" s="3">
        <f t="shared" ca="1" si="8"/>
        <v>0.11510003996775253</v>
      </c>
      <c r="F275" s="3">
        <f t="shared" ca="1" si="8"/>
        <v>0.40745648293411774</v>
      </c>
      <c r="G275" s="3">
        <f t="shared" ca="1" si="9"/>
        <v>8.8756751527635558</v>
      </c>
      <c r="H275" s="2"/>
      <c r="I275" s="2"/>
      <c r="J275" s="2"/>
      <c r="K275" s="2"/>
    </row>
    <row r="276" spans="5:11" x14ac:dyDescent="0.25">
      <c r="E276" s="3">
        <f t="shared" ca="1" si="8"/>
        <v>6.8489796307775297E-2</v>
      </c>
      <c r="F276" s="3">
        <f t="shared" ca="1" si="8"/>
        <v>0.11018726037750626</v>
      </c>
      <c r="G276" s="3">
        <f t="shared" ca="1" si="9"/>
        <v>9.8170034608793202</v>
      </c>
      <c r="H276" s="2"/>
      <c r="I276" s="2"/>
      <c r="J276" s="2"/>
      <c r="K276" s="2"/>
    </row>
    <row r="277" spans="5:11" x14ac:dyDescent="0.25">
      <c r="E277" s="3">
        <f t="shared" ca="1" si="8"/>
        <v>0.46844333277132155</v>
      </c>
      <c r="F277" s="3">
        <f t="shared" ca="1" si="8"/>
        <v>0.45849491976778001</v>
      </c>
      <c r="G277" s="3">
        <f t="shared" ca="1" si="9"/>
        <v>4.7479928639836135</v>
      </c>
      <c r="H277" s="2"/>
      <c r="I277" s="2"/>
      <c r="J277" s="2"/>
      <c r="K277" s="2"/>
    </row>
    <row r="278" spans="5:11" x14ac:dyDescent="0.25">
      <c r="E278" s="3">
        <f t="shared" ca="1" si="8"/>
        <v>4.2693358002188209E-3</v>
      </c>
      <c r="F278" s="3">
        <f t="shared" ca="1" si="8"/>
        <v>0.52364867573596818</v>
      </c>
      <c r="G278" s="3">
        <f t="shared" ca="1" si="9"/>
        <v>16.11155764441499</v>
      </c>
      <c r="H278" s="2"/>
      <c r="I278" s="2"/>
      <c r="J278" s="2"/>
      <c r="K278" s="2"/>
    </row>
    <row r="279" spans="5:11" x14ac:dyDescent="0.25">
      <c r="E279" s="3">
        <f t="shared" ca="1" si="8"/>
        <v>0.36318069142944509</v>
      </c>
      <c r="F279" s="3">
        <f t="shared" ca="1" si="8"/>
        <v>0.48426477435907234</v>
      </c>
      <c r="G279" s="3">
        <f t="shared" ca="1" si="9"/>
        <v>5.8461928155730183</v>
      </c>
      <c r="H279" s="2"/>
      <c r="I279" s="2"/>
      <c r="J279" s="2"/>
      <c r="K279" s="2"/>
    </row>
    <row r="280" spans="5:11" x14ac:dyDescent="0.25">
      <c r="E280" s="3">
        <f t="shared" ca="1" si="8"/>
        <v>0.32591780446258944</v>
      </c>
      <c r="F280" s="3">
        <f t="shared" ca="1" si="8"/>
        <v>9.5626358689385738E-2</v>
      </c>
      <c r="G280" s="3">
        <f t="shared" ca="1" si="9"/>
        <v>4.947706474974602</v>
      </c>
      <c r="H280" s="2"/>
      <c r="I280" s="2"/>
      <c r="J280" s="2"/>
      <c r="K280" s="2"/>
    </row>
    <row r="281" spans="5:11" x14ac:dyDescent="0.25">
      <c r="E281" s="3">
        <f t="shared" ca="1" si="8"/>
        <v>0.98607865054652821</v>
      </c>
      <c r="F281" s="3">
        <f t="shared" ca="1" si="8"/>
        <v>0.51580057808897328</v>
      </c>
      <c r="G281" s="3">
        <f t="shared" ca="1" si="9"/>
        <v>9.9235990296692638</v>
      </c>
      <c r="H281" s="2"/>
      <c r="I281" s="2"/>
      <c r="J281" s="2"/>
      <c r="K281" s="2"/>
    </row>
    <row r="282" spans="5:11" x14ac:dyDescent="0.25">
      <c r="E282" s="3">
        <f t="shared" ca="1" si="8"/>
        <v>0.30167501626605908</v>
      </c>
      <c r="F282" s="3">
        <f t="shared" ca="1" si="8"/>
        <v>0.70072659682688498</v>
      </c>
      <c r="G282" s="3">
        <f t="shared" ca="1" si="9"/>
        <v>8.593831292329682</v>
      </c>
      <c r="H282" s="2"/>
      <c r="I282" s="2"/>
      <c r="J282" s="2"/>
      <c r="K282" s="2"/>
    </row>
    <row r="283" spans="5:11" x14ac:dyDescent="0.25">
      <c r="E283" s="3">
        <f t="shared" ca="1" si="8"/>
        <v>0.75439137674846879</v>
      </c>
      <c r="F283" s="3">
        <f t="shared" ca="1" si="8"/>
        <v>0.66698658635437413</v>
      </c>
      <c r="G283" s="3">
        <f t="shared" ca="1" si="9"/>
        <v>6.7360416188606402</v>
      </c>
      <c r="H283" s="2"/>
      <c r="I283" s="2"/>
      <c r="J283" s="2"/>
      <c r="K283" s="2"/>
    </row>
    <row r="284" spans="5:11" x14ac:dyDescent="0.25">
      <c r="E284" s="3">
        <f t="shared" ca="1" si="8"/>
        <v>0.64800200023996568</v>
      </c>
      <c r="F284" s="3">
        <f t="shared" ca="1" si="8"/>
        <v>0.91186289391947395</v>
      </c>
      <c r="G284" s="3">
        <f t="shared" ca="1" si="9"/>
        <v>11.236730382303382</v>
      </c>
      <c r="H284" s="2"/>
      <c r="I284" s="2"/>
      <c r="J284" s="2"/>
      <c r="K284" s="2"/>
    </row>
    <row r="285" spans="5:11" x14ac:dyDescent="0.25">
      <c r="E285" s="3">
        <f t="shared" ca="1" si="8"/>
        <v>0.21928727945272597</v>
      </c>
      <c r="F285" s="3">
        <f t="shared" ca="1" si="8"/>
        <v>0.85523998045135707</v>
      </c>
      <c r="G285" s="3">
        <f t="shared" ca="1" si="9"/>
        <v>11.521520017444001</v>
      </c>
      <c r="H285" s="2"/>
      <c r="I285" s="2"/>
      <c r="J285" s="2"/>
      <c r="K285" s="2"/>
    </row>
    <row r="286" spans="5:11" x14ac:dyDescent="0.25">
      <c r="E286" s="3">
        <f t="shared" ca="1" si="8"/>
        <v>6.5291983787946761E-2</v>
      </c>
      <c r="F286" s="3">
        <f t="shared" ca="1" si="8"/>
        <v>0.66224066059654663</v>
      </c>
      <c r="G286" s="3">
        <f t="shared" ca="1" si="9"/>
        <v>11.79405575045541</v>
      </c>
      <c r="H286" s="2"/>
      <c r="I286" s="2"/>
      <c r="J286" s="2"/>
      <c r="K286" s="2"/>
    </row>
    <row r="287" spans="5:11" x14ac:dyDescent="0.25">
      <c r="E287" s="3">
        <f t="shared" ca="1" si="8"/>
        <v>0.57208769274616866</v>
      </c>
      <c r="F287" s="3">
        <f t="shared" ca="1" si="8"/>
        <v>0.69757828565062918</v>
      </c>
      <c r="G287" s="3">
        <f t="shared" ca="1" si="9"/>
        <v>7.1818093898497946</v>
      </c>
      <c r="H287" s="2"/>
      <c r="I287" s="2"/>
      <c r="J287" s="2"/>
      <c r="K287" s="2"/>
    </row>
    <row r="288" spans="5:11" x14ac:dyDescent="0.25">
      <c r="E288" s="3">
        <f t="shared" ca="1" si="8"/>
        <v>0.64618853339904359</v>
      </c>
      <c r="F288" s="3">
        <f t="shared" ca="1" si="8"/>
        <v>0.13144012544432382</v>
      </c>
      <c r="G288" s="3">
        <f t="shared" ca="1" si="9"/>
        <v>1.1856800158825351</v>
      </c>
      <c r="H288" s="2"/>
      <c r="I288" s="2"/>
      <c r="J288" s="2"/>
      <c r="K288" s="2"/>
    </row>
    <row r="289" spans="5:11" x14ac:dyDescent="0.25">
      <c r="E289" s="3">
        <f t="shared" ca="1" si="8"/>
        <v>0.57574286941334718</v>
      </c>
      <c r="F289" s="3">
        <f t="shared" ca="1" si="8"/>
        <v>0.8945149632851811</v>
      </c>
      <c r="G289" s="3">
        <f t="shared" ca="1" si="9"/>
        <v>10.801240176361436</v>
      </c>
      <c r="H289" s="2"/>
      <c r="I289" s="2"/>
      <c r="J289" s="2"/>
      <c r="K289" s="2"/>
    </row>
    <row r="290" spans="5:11" x14ac:dyDescent="0.25">
      <c r="E290" s="3">
        <f t="shared" ca="1" si="8"/>
        <v>0.26635002552488862</v>
      </c>
      <c r="F290" s="3">
        <f t="shared" ca="1" si="8"/>
        <v>0.14426167259219302</v>
      </c>
      <c r="G290" s="3">
        <f t="shared" ca="1" si="9"/>
        <v>5.4247533366423104</v>
      </c>
      <c r="H290" s="2"/>
      <c r="I290" s="2"/>
      <c r="J290" s="2"/>
      <c r="K290" s="2"/>
    </row>
    <row r="291" spans="5:11" x14ac:dyDescent="0.25">
      <c r="E291" s="3">
        <f t="shared" ca="1" si="8"/>
        <v>0.70018875659652346</v>
      </c>
      <c r="F291" s="3">
        <f t="shared" ca="1" si="8"/>
        <v>0.89421936640828037</v>
      </c>
      <c r="G291" s="3">
        <f t="shared" ca="1" si="9"/>
        <v>10.723292871055</v>
      </c>
      <c r="H291" s="2"/>
      <c r="I291" s="2"/>
      <c r="J291" s="2"/>
      <c r="K291" s="2"/>
    </row>
    <row r="292" spans="5:11" x14ac:dyDescent="0.25">
      <c r="E292" s="3">
        <f t="shared" ca="1" si="8"/>
        <v>0.49193822953999988</v>
      </c>
      <c r="F292" s="3">
        <f t="shared" ca="1" si="8"/>
        <v>0.41816055937098862</v>
      </c>
      <c r="G292" s="3">
        <f t="shared" ca="1" si="9"/>
        <v>4.1587287559878572</v>
      </c>
      <c r="H292" s="2"/>
      <c r="I292" s="2"/>
      <c r="J292" s="2"/>
      <c r="K292" s="2"/>
    </row>
    <row r="293" spans="5:11" x14ac:dyDescent="0.25">
      <c r="E293" s="3">
        <f t="shared" ca="1" si="8"/>
        <v>0.71099667874204009</v>
      </c>
      <c r="F293" s="3">
        <f t="shared" ca="1" si="8"/>
        <v>0.71050799628870231</v>
      </c>
      <c r="G293" s="3">
        <f t="shared" ca="1" si="9"/>
        <v>7.2645121835154978</v>
      </c>
      <c r="H293" s="2"/>
      <c r="I293" s="2"/>
      <c r="J293" s="2"/>
      <c r="K293" s="2"/>
    </row>
    <row r="294" spans="5:11" x14ac:dyDescent="0.25">
      <c r="E294" s="3">
        <f t="shared" ca="1" si="8"/>
        <v>0.77296007431026081</v>
      </c>
      <c r="F294" s="3">
        <f t="shared" ca="1" si="8"/>
        <v>0.45875877702666445</v>
      </c>
      <c r="G294" s="3">
        <f t="shared" ca="1" si="9"/>
        <v>4.2282463946922242</v>
      </c>
      <c r="H294" s="2"/>
      <c r="I294" s="2"/>
      <c r="J294" s="2"/>
      <c r="K294" s="2"/>
    </row>
    <row r="295" spans="5:11" x14ac:dyDescent="0.25">
      <c r="E295" s="3">
        <f t="shared" ca="1" si="8"/>
        <v>0.26185393759487119</v>
      </c>
      <c r="F295" s="3">
        <f t="shared" ca="1" si="8"/>
        <v>0.6080550186276602</v>
      </c>
      <c r="G295" s="3">
        <f t="shared" ca="1" si="9"/>
        <v>7.9743066205868915</v>
      </c>
      <c r="H295" s="2"/>
      <c r="I295" s="2"/>
      <c r="J295" s="2"/>
      <c r="K295" s="2"/>
    </row>
    <row r="296" spans="5:11" x14ac:dyDescent="0.25">
      <c r="E296" s="3">
        <f t="shared" ca="1" si="8"/>
        <v>0.74434511257620972</v>
      </c>
      <c r="F296" s="3">
        <f t="shared" ca="1" si="8"/>
        <v>0.45971398107996442</v>
      </c>
      <c r="G296" s="3">
        <f t="shared" ca="1" si="9"/>
        <v>4.0992850923420434</v>
      </c>
      <c r="H296" s="2"/>
      <c r="I296" s="2"/>
      <c r="J296" s="2"/>
      <c r="K296" s="2"/>
    </row>
    <row r="297" spans="5:11" x14ac:dyDescent="0.25">
      <c r="E297" s="3">
        <f t="shared" ca="1" si="8"/>
        <v>3.3434475968657007E-2</v>
      </c>
      <c r="F297" s="3">
        <f t="shared" ca="1" si="8"/>
        <v>0.94144611771435005</v>
      </c>
      <c r="G297" s="3">
        <f t="shared" ca="1" si="9"/>
        <v>16.776405994278026</v>
      </c>
      <c r="H297" s="2"/>
      <c r="I297" s="2"/>
      <c r="J297" s="2"/>
      <c r="K297" s="2"/>
    </row>
    <row r="298" spans="5:11" x14ac:dyDescent="0.25">
      <c r="E298" s="3">
        <f t="shared" ca="1" si="8"/>
        <v>0.59234401178508878</v>
      </c>
      <c r="F298" s="3">
        <f t="shared" ca="1" si="8"/>
        <v>0.10689664565197543</v>
      </c>
      <c r="G298" s="3">
        <f t="shared" ca="1" si="9"/>
        <v>2.0491010478471221</v>
      </c>
      <c r="H298" s="2"/>
      <c r="I298" s="2"/>
      <c r="J298" s="2"/>
      <c r="K298" s="2"/>
    </row>
    <row r="299" spans="5:11" x14ac:dyDescent="0.25">
      <c r="E299" s="3">
        <f t="shared" ca="1" si="8"/>
        <v>8.0850795357755634E-2</v>
      </c>
      <c r="F299" s="3">
        <f t="shared" ca="1" si="8"/>
        <v>0.85383106514070117</v>
      </c>
      <c r="G299" s="3">
        <f t="shared" ca="1" si="9"/>
        <v>13.420018829735351</v>
      </c>
      <c r="H299" s="2"/>
      <c r="I299" s="2"/>
      <c r="J299" s="2"/>
      <c r="K299" s="2"/>
    </row>
    <row r="300" spans="5:11" x14ac:dyDescent="0.25">
      <c r="E300" s="3">
        <f t="shared" ca="1" si="8"/>
        <v>0.85451052482390699</v>
      </c>
      <c r="F300" s="3">
        <f t="shared" ca="1" si="8"/>
        <v>0.59846296300795687</v>
      </c>
      <c r="G300" s="3">
        <f t="shared" ca="1" si="9"/>
        <v>6.4746327473376581</v>
      </c>
      <c r="H300" s="2"/>
      <c r="I300" s="2"/>
      <c r="J300" s="2"/>
      <c r="K300" s="2"/>
    </row>
    <row r="301" spans="5:11" x14ac:dyDescent="0.25">
      <c r="E301" s="3">
        <f t="shared" ca="1" si="8"/>
        <v>0.36097544288624095</v>
      </c>
      <c r="F301" s="3">
        <f t="shared" ca="1" si="8"/>
        <v>0.48870471643585756</v>
      </c>
      <c r="G301" s="3">
        <f t="shared" ca="1" si="9"/>
        <v>5.9069853352008828</v>
      </c>
      <c r="H301" s="2"/>
      <c r="I301" s="2"/>
      <c r="J301" s="2"/>
      <c r="K301" s="2"/>
    </row>
    <row r="302" spans="5:11" x14ac:dyDescent="0.25">
      <c r="E302" s="3">
        <f t="shared" ca="1" si="8"/>
        <v>0.85758392467255218</v>
      </c>
      <c r="F302" s="3">
        <f t="shared" ca="1" si="8"/>
        <v>0.9028797790333577</v>
      </c>
      <c r="G302" s="3">
        <f t="shared" ca="1" si="9"/>
        <v>11.392598846282164</v>
      </c>
      <c r="H302" s="2"/>
      <c r="I302" s="2"/>
      <c r="J302" s="2"/>
      <c r="K302" s="2"/>
    </row>
    <row r="303" spans="5:11" x14ac:dyDescent="0.25">
      <c r="E303" s="3">
        <f t="shared" ca="1" si="8"/>
        <v>0.25246614557021052</v>
      </c>
      <c r="F303" s="3">
        <f t="shared" ca="1" si="8"/>
        <v>0.11003674079782177</v>
      </c>
      <c r="G303" s="3">
        <f t="shared" ca="1" si="9"/>
        <v>5.8165225408118859</v>
      </c>
      <c r="H303" s="2"/>
      <c r="I303" s="2"/>
      <c r="J303" s="2"/>
      <c r="K303" s="2"/>
    </row>
    <row r="304" spans="5:11" x14ac:dyDescent="0.25">
      <c r="E304" s="3">
        <f t="shared" ca="1" si="8"/>
        <v>0.43823666048933219</v>
      </c>
      <c r="F304" s="3">
        <f t="shared" ca="1" si="8"/>
        <v>0.32628013872677974</v>
      </c>
      <c r="G304" s="3">
        <f t="shared" ca="1" si="9"/>
        <v>3.745592608093721</v>
      </c>
      <c r="H304" s="2"/>
      <c r="I304" s="2"/>
      <c r="J304" s="2"/>
      <c r="K304" s="2"/>
    </row>
    <row r="305" spans="5:11" x14ac:dyDescent="0.25">
      <c r="E305" s="3">
        <f t="shared" ca="1" si="8"/>
        <v>0.82640739048575751</v>
      </c>
      <c r="F305" s="3">
        <f t="shared" ca="1" si="8"/>
        <v>0.71610680780336911</v>
      </c>
      <c r="G305" s="3">
        <f t="shared" ca="1" si="9"/>
        <v>7.7285037388654088</v>
      </c>
      <c r="H305" s="2"/>
      <c r="I305" s="2"/>
      <c r="J305" s="2"/>
      <c r="K305" s="2"/>
    </row>
    <row r="306" spans="5:11" x14ac:dyDescent="0.25">
      <c r="E306" s="3">
        <f t="shared" ca="1" si="8"/>
        <v>8.2665897145504319E-2</v>
      </c>
      <c r="F306" s="3">
        <f t="shared" ca="1" si="8"/>
        <v>0.99698342817443109</v>
      </c>
      <c r="G306" s="3">
        <f t="shared" ca="1" si="9"/>
        <v>20.382719360881822</v>
      </c>
      <c r="H306" s="2"/>
      <c r="I306" s="2"/>
      <c r="J306" s="2"/>
      <c r="K306" s="2"/>
    </row>
    <row r="307" spans="5:11" x14ac:dyDescent="0.25">
      <c r="E307" s="3">
        <f t="shared" ca="1" si="8"/>
        <v>0.65035949572026097</v>
      </c>
      <c r="F307" s="3">
        <f t="shared" ca="1" si="8"/>
        <v>0.35242223602659228</v>
      </c>
      <c r="G307" s="3">
        <f t="shared" ca="1" si="9"/>
        <v>2.5944936162591992</v>
      </c>
      <c r="H307" s="2"/>
      <c r="I307" s="2"/>
      <c r="J307" s="2"/>
      <c r="K307" s="2"/>
    </row>
    <row r="308" spans="5:11" x14ac:dyDescent="0.25">
      <c r="E308" s="3">
        <f t="shared" ca="1" si="8"/>
        <v>0.16697602470807127</v>
      </c>
      <c r="F308" s="3">
        <f t="shared" ca="1" si="8"/>
        <v>0.75785614004289659</v>
      </c>
      <c r="G308" s="3">
        <f t="shared" ca="1" si="9"/>
        <v>10.652594996377776</v>
      </c>
      <c r="H308" s="2"/>
      <c r="I308" s="2"/>
      <c r="J308" s="2"/>
      <c r="K308" s="2"/>
    </row>
    <row r="309" spans="5:11" x14ac:dyDescent="0.25">
      <c r="E309" s="3">
        <f t="shared" ca="1" si="8"/>
        <v>0.86090243564539903</v>
      </c>
      <c r="F309" s="3">
        <f t="shared" ca="1" si="8"/>
        <v>0.91842650070837584</v>
      </c>
      <c r="G309" s="3">
        <f t="shared" ca="1" si="9"/>
        <v>11.876873187251276</v>
      </c>
      <c r="H309" s="2"/>
      <c r="I309" s="2"/>
      <c r="J309" s="2"/>
      <c r="K309" s="2"/>
    </row>
    <row r="310" spans="5:11" x14ac:dyDescent="0.25">
      <c r="E310" s="3">
        <f t="shared" ca="1" si="8"/>
        <v>0.82530180203895398</v>
      </c>
      <c r="F310" s="3">
        <f t="shared" ca="1" si="8"/>
        <v>0.6767772886369956</v>
      </c>
      <c r="G310" s="3">
        <f t="shared" ca="1" si="9"/>
        <v>7.1896501488293953</v>
      </c>
      <c r="H310" s="2"/>
      <c r="I310" s="2"/>
      <c r="J310" s="2"/>
      <c r="K310" s="2"/>
    </row>
    <row r="311" spans="5:11" x14ac:dyDescent="0.25">
      <c r="E311" s="3">
        <f t="shared" ca="1" si="8"/>
        <v>0.50343744223976639</v>
      </c>
      <c r="F311" s="3">
        <f t="shared" ca="1" si="8"/>
        <v>0.22114080054565566</v>
      </c>
      <c r="G311" s="3">
        <f t="shared" ca="1" si="9"/>
        <v>2.2853371052278217</v>
      </c>
      <c r="H311" s="2"/>
      <c r="I311" s="2"/>
      <c r="J311" s="2"/>
      <c r="K311" s="2"/>
    </row>
    <row r="312" spans="5:11" x14ac:dyDescent="0.25">
      <c r="E312" s="3">
        <f t="shared" ca="1" si="8"/>
        <v>0.83137905629392561</v>
      </c>
      <c r="F312" s="3">
        <f t="shared" ca="1" si="8"/>
        <v>0.50625345696779323</v>
      </c>
      <c r="G312" s="3">
        <f t="shared" ca="1" si="9"/>
        <v>5.2182203530247904</v>
      </c>
      <c r="H312" s="2"/>
      <c r="I312" s="2"/>
      <c r="J312" s="2"/>
      <c r="K312" s="2"/>
    </row>
    <row r="313" spans="5:11" x14ac:dyDescent="0.25">
      <c r="E313" s="3">
        <f t="shared" ca="1" si="8"/>
        <v>0.70496699838371679</v>
      </c>
      <c r="F313" s="3">
        <f t="shared" ca="1" si="8"/>
        <v>0.9607774382872506</v>
      </c>
      <c r="G313" s="3">
        <f t="shared" ca="1" si="9"/>
        <v>13.276624940177861</v>
      </c>
      <c r="H313" s="2"/>
      <c r="I313" s="2"/>
      <c r="J313" s="2"/>
      <c r="K313" s="2"/>
    </row>
    <row r="314" spans="5:11" x14ac:dyDescent="0.25">
      <c r="E314" s="3">
        <f t="shared" ca="1" si="8"/>
        <v>0.33158693103247927</v>
      </c>
      <c r="F314" s="3">
        <f t="shared" ca="1" si="8"/>
        <v>0.20242504722233301</v>
      </c>
      <c r="G314" s="3">
        <f t="shared" ca="1" si="9"/>
        <v>4.4285624539724706</v>
      </c>
      <c r="H314" s="2"/>
      <c r="I314" s="2"/>
      <c r="J314" s="2"/>
      <c r="K314" s="2"/>
    </row>
    <row r="315" spans="5:11" x14ac:dyDescent="0.25">
      <c r="E315" s="3">
        <f t="shared" ca="1" si="8"/>
        <v>0.47844288510042376</v>
      </c>
      <c r="F315" s="3">
        <f t="shared" ca="1" si="8"/>
        <v>7.4279075874835176E-2</v>
      </c>
      <c r="G315" s="3">
        <f t="shared" ca="1" si="9"/>
        <v>3.7260961599719256</v>
      </c>
      <c r="H315" s="2"/>
      <c r="I315" s="2"/>
      <c r="J315" s="2"/>
      <c r="K315" s="2"/>
    </row>
    <row r="316" spans="5:11" x14ac:dyDescent="0.25">
      <c r="E316" s="3">
        <f t="shared" ca="1" si="8"/>
        <v>0.42198353613565598</v>
      </c>
      <c r="F316" s="3">
        <f t="shared" ca="1" si="8"/>
        <v>0.33515140411286126</v>
      </c>
      <c r="G316" s="3">
        <f t="shared" ca="1" si="9"/>
        <v>3.9848504683969042</v>
      </c>
      <c r="H316" s="2"/>
      <c r="I316" s="2"/>
      <c r="J316" s="2"/>
      <c r="K316" s="2"/>
    </row>
    <row r="317" spans="5:11" x14ac:dyDescent="0.25">
      <c r="E317" s="3">
        <f t="shared" ca="1" si="8"/>
        <v>0.83883972153262376</v>
      </c>
      <c r="F317" s="3">
        <f t="shared" ca="1" si="8"/>
        <v>0.9337388776569584</v>
      </c>
      <c r="G317" s="3">
        <f t="shared" ca="1" si="9"/>
        <v>12.293137410488708</v>
      </c>
      <c r="H317" s="2"/>
      <c r="I317" s="2"/>
      <c r="J317" s="2"/>
      <c r="K317" s="2"/>
    </row>
    <row r="318" spans="5:11" x14ac:dyDescent="0.25">
      <c r="E318" s="3">
        <f t="shared" ca="1" si="8"/>
        <v>0.81153591700429006</v>
      </c>
      <c r="F318" s="3">
        <f t="shared" ca="1" si="8"/>
        <v>0.92780509235220154</v>
      </c>
      <c r="G318" s="3">
        <f t="shared" ca="1" si="9"/>
        <v>11.967925587156705</v>
      </c>
      <c r="H318" s="2"/>
      <c r="I318" s="2"/>
      <c r="J318" s="2"/>
      <c r="K318" s="2"/>
    </row>
    <row r="319" spans="5:11" x14ac:dyDescent="0.25">
      <c r="E319" s="3">
        <f t="shared" ca="1" si="8"/>
        <v>0.24886554008077033</v>
      </c>
      <c r="F319" s="3">
        <f t="shared" ca="1" si="8"/>
        <v>0.6277553622766423</v>
      </c>
      <c r="G319" s="3">
        <f t="shared" ca="1" si="9"/>
        <v>8.3011573860212557</v>
      </c>
      <c r="H319" s="2"/>
      <c r="I319" s="2"/>
      <c r="J319" s="2"/>
      <c r="K319" s="2"/>
    </row>
    <row r="320" spans="5:11" x14ac:dyDescent="0.25">
      <c r="E320" s="3">
        <f t="shared" ca="1" si="8"/>
        <v>0.39648642531104417</v>
      </c>
      <c r="F320" s="3">
        <f t="shared" ca="1" si="8"/>
        <v>0.84737994307168607</v>
      </c>
      <c r="G320" s="3">
        <f t="shared" ca="1" si="9"/>
        <v>10.232786011772879</v>
      </c>
      <c r="H320" s="2"/>
      <c r="I320" s="2"/>
      <c r="J320" s="2"/>
      <c r="K320" s="2"/>
    </row>
    <row r="321" spans="5:11" x14ac:dyDescent="0.25">
      <c r="E321" s="3">
        <f t="shared" ca="1" si="8"/>
        <v>0.72202898724613307</v>
      </c>
      <c r="F321" s="3">
        <f t="shared" ca="1" si="8"/>
        <v>0.43470354481489992</v>
      </c>
      <c r="G321" s="3">
        <f t="shared" ca="1" si="9"/>
        <v>3.7152409694313544</v>
      </c>
      <c r="H321" s="2"/>
      <c r="I321" s="2"/>
      <c r="J321" s="2"/>
      <c r="K321" s="2"/>
    </row>
    <row r="322" spans="5:11" x14ac:dyDescent="0.25">
      <c r="E322" s="3">
        <f t="shared" ca="1" si="8"/>
        <v>0.88156623587873928</v>
      </c>
      <c r="F322" s="3">
        <f t="shared" ca="1" si="8"/>
        <v>0.24701032069461126</v>
      </c>
      <c r="G322" s="3">
        <f t="shared" ca="1" si="9"/>
        <v>3.8210900254180933</v>
      </c>
      <c r="H322" s="2"/>
      <c r="I322" s="2"/>
      <c r="J322" s="2"/>
      <c r="K322" s="2"/>
    </row>
    <row r="323" spans="5:11" x14ac:dyDescent="0.25">
      <c r="E323" s="3">
        <f t="shared" ca="1" si="8"/>
        <v>0.48561063646204616</v>
      </c>
      <c r="F323" s="3">
        <f t="shared" ca="1" si="8"/>
        <v>7.9584168516717901E-2</v>
      </c>
      <c r="G323" s="3">
        <f t="shared" ca="1" si="9"/>
        <v>3.5301257706074058</v>
      </c>
      <c r="H323" s="2"/>
      <c r="I323" s="2"/>
      <c r="J323" s="2"/>
      <c r="K323" s="2"/>
    </row>
    <row r="324" spans="5:11" x14ac:dyDescent="0.25">
      <c r="E324" s="3">
        <f t="shared" ref="E324:F387" ca="1" si="10">RAND()</f>
        <v>0.98369800010360697</v>
      </c>
      <c r="F324" s="3">
        <f t="shared" ca="1" si="10"/>
        <v>0.79551422148312212</v>
      </c>
      <c r="G324" s="3">
        <f t="shared" ref="G324:G387" ca="1" si="11">SQRT(_xlfn.NORM.INV(E324,$C$3*COS($C$6),$C$4)^2+_xlfn.NORM.INV(F324,$C$3*SIN($C$6),$C$4)^2)</f>
        <v>12.051551799201075</v>
      </c>
      <c r="H324" s="2"/>
      <c r="I324" s="2"/>
      <c r="J324" s="2"/>
      <c r="K324" s="2"/>
    </row>
    <row r="325" spans="5:11" x14ac:dyDescent="0.25">
      <c r="E325" s="3">
        <f t="shared" ca="1" si="10"/>
        <v>0.8791897084587218</v>
      </c>
      <c r="F325" s="3">
        <f t="shared" ca="1" si="10"/>
        <v>0.34496402727979059</v>
      </c>
      <c r="G325" s="3">
        <f t="shared" ca="1" si="11"/>
        <v>4.3806753130330236</v>
      </c>
      <c r="H325" s="2"/>
      <c r="I325" s="2"/>
      <c r="J325" s="2"/>
      <c r="K325" s="2"/>
    </row>
    <row r="326" spans="5:11" x14ac:dyDescent="0.25">
      <c r="E326" s="3">
        <f t="shared" ca="1" si="10"/>
        <v>0.33446448066338974</v>
      </c>
      <c r="F326" s="3">
        <f t="shared" ca="1" si="10"/>
        <v>0.88728383211812456</v>
      </c>
      <c r="G326" s="3">
        <f t="shared" ca="1" si="11"/>
        <v>11.404976310742711</v>
      </c>
      <c r="H326" s="2"/>
      <c r="I326" s="2"/>
      <c r="J326" s="2"/>
      <c r="K326" s="2"/>
    </row>
    <row r="327" spans="5:11" x14ac:dyDescent="0.25">
      <c r="E327" s="3">
        <f t="shared" ca="1" si="10"/>
        <v>0.73071023420205761</v>
      </c>
      <c r="F327" s="3">
        <f t="shared" ca="1" si="10"/>
        <v>0.87911482393802742</v>
      </c>
      <c r="G327" s="3">
        <f t="shared" ca="1" si="11"/>
        <v>10.356520690866706</v>
      </c>
      <c r="H327" s="2"/>
      <c r="I327" s="2"/>
      <c r="J327" s="2"/>
      <c r="K327" s="2"/>
    </row>
    <row r="328" spans="5:11" x14ac:dyDescent="0.25">
      <c r="E328" s="3">
        <f t="shared" ca="1" si="10"/>
        <v>0.15868567572311398</v>
      </c>
      <c r="F328" s="3">
        <f t="shared" ca="1" si="10"/>
        <v>8.5630318569063224E-3</v>
      </c>
      <c r="G328" s="3">
        <f t="shared" ca="1" si="11"/>
        <v>10.388254808207659</v>
      </c>
      <c r="H328" s="2"/>
      <c r="I328" s="2"/>
      <c r="J328" s="2"/>
      <c r="K328" s="2"/>
    </row>
    <row r="329" spans="5:11" x14ac:dyDescent="0.25">
      <c r="E329" s="3">
        <f t="shared" ca="1" si="10"/>
        <v>0.16335735066115364</v>
      </c>
      <c r="F329" s="3">
        <f t="shared" ca="1" si="10"/>
        <v>6.7033883222267554E-2</v>
      </c>
      <c r="G329" s="3">
        <f t="shared" ca="1" si="11"/>
        <v>7.7567217709425691</v>
      </c>
      <c r="H329" s="2"/>
      <c r="I329" s="2"/>
      <c r="J329" s="2"/>
      <c r="K329" s="2"/>
    </row>
    <row r="330" spans="5:11" x14ac:dyDescent="0.25">
      <c r="E330" s="3">
        <f t="shared" ca="1" si="10"/>
        <v>0.25895821228311167</v>
      </c>
      <c r="F330" s="3">
        <f t="shared" ca="1" si="10"/>
        <v>0.74395784718506952</v>
      </c>
      <c r="G330" s="3">
        <f t="shared" ca="1" si="11"/>
        <v>9.4861218328031107</v>
      </c>
      <c r="H330" s="2"/>
      <c r="I330" s="2"/>
      <c r="J330" s="2"/>
      <c r="K330" s="2"/>
    </row>
    <row r="331" spans="5:11" x14ac:dyDescent="0.25">
      <c r="E331" s="3">
        <f t="shared" ca="1" si="10"/>
        <v>0.30716649275722174</v>
      </c>
      <c r="F331" s="3">
        <f t="shared" ca="1" si="10"/>
        <v>0.31589506886610019</v>
      </c>
      <c r="G331" s="3">
        <f t="shared" ca="1" si="11"/>
        <v>5.1920592526350013</v>
      </c>
      <c r="H331" s="2"/>
      <c r="I331" s="2"/>
      <c r="J331" s="2"/>
      <c r="K331" s="2"/>
    </row>
    <row r="332" spans="5:11" x14ac:dyDescent="0.25">
      <c r="E332" s="3">
        <f t="shared" ca="1" si="10"/>
        <v>0.82860777161831944</v>
      </c>
      <c r="F332" s="3">
        <f t="shared" ca="1" si="10"/>
        <v>0.68242828670500288</v>
      </c>
      <c r="G332" s="3">
        <f t="shared" ca="1" si="11"/>
        <v>7.2859242014167851</v>
      </c>
      <c r="H332" s="2"/>
      <c r="I332" s="2"/>
      <c r="J332" s="2"/>
      <c r="K332" s="2"/>
    </row>
    <row r="333" spans="5:11" x14ac:dyDescent="0.25">
      <c r="E333" s="3">
        <f t="shared" ca="1" si="10"/>
        <v>0.5519843227927359</v>
      </c>
      <c r="F333" s="3">
        <f t="shared" ca="1" si="10"/>
        <v>0.70866167440074113</v>
      </c>
      <c r="G333" s="3">
        <f t="shared" ca="1" si="11"/>
        <v>7.3897962344132413</v>
      </c>
      <c r="H333" s="2"/>
      <c r="I333" s="2"/>
      <c r="J333" s="2"/>
      <c r="K333" s="2"/>
    </row>
    <row r="334" spans="5:11" x14ac:dyDescent="0.25">
      <c r="E334" s="3">
        <f t="shared" ca="1" si="10"/>
        <v>0.91065002409352036</v>
      </c>
      <c r="F334" s="3">
        <f t="shared" ca="1" si="10"/>
        <v>0.21089180743861746</v>
      </c>
      <c r="G334" s="3">
        <f t="shared" ca="1" si="11"/>
        <v>4.5063353453705153</v>
      </c>
      <c r="H334" s="2"/>
      <c r="I334" s="2"/>
      <c r="J334" s="2"/>
      <c r="K334" s="2"/>
    </row>
    <row r="335" spans="5:11" x14ac:dyDescent="0.25">
      <c r="E335" s="3">
        <f t="shared" ca="1" si="10"/>
        <v>7.9084033919814001E-2</v>
      </c>
      <c r="F335" s="3">
        <f t="shared" ca="1" si="10"/>
        <v>9.4873600523825652E-2</v>
      </c>
      <c r="G335" s="3">
        <f t="shared" ca="1" si="11"/>
        <v>9.5279655079533079</v>
      </c>
      <c r="H335" s="2"/>
      <c r="I335" s="2"/>
      <c r="J335" s="2"/>
      <c r="K335" s="2"/>
    </row>
    <row r="336" spans="5:11" x14ac:dyDescent="0.25">
      <c r="E336" s="3">
        <f t="shared" ca="1" si="10"/>
        <v>2.1659520370503116E-2</v>
      </c>
      <c r="F336" s="3">
        <f t="shared" ca="1" si="10"/>
        <v>0.7540386910424749</v>
      </c>
      <c r="G336" s="3">
        <f t="shared" ca="1" si="11"/>
        <v>14.658449593856172</v>
      </c>
      <c r="H336" s="2"/>
      <c r="I336" s="2"/>
      <c r="J336" s="2"/>
      <c r="K336" s="2"/>
    </row>
    <row r="337" spans="5:11" x14ac:dyDescent="0.25">
      <c r="E337" s="3">
        <f t="shared" ca="1" si="10"/>
        <v>5.8890832615301481E-2</v>
      </c>
      <c r="F337" s="3">
        <f t="shared" ca="1" si="10"/>
        <v>0.23016128013740333</v>
      </c>
      <c r="G337" s="3">
        <f t="shared" ca="1" si="11"/>
        <v>10.091199235499781</v>
      </c>
      <c r="H337" s="2"/>
      <c r="I337" s="2"/>
      <c r="J337" s="2"/>
      <c r="K337" s="2"/>
    </row>
    <row r="338" spans="5:11" x14ac:dyDescent="0.25">
      <c r="E338" s="3">
        <f t="shared" ca="1" si="10"/>
        <v>0.67341191084497154</v>
      </c>
      <c r="F338" s="3">
        <f t="shared" ca="1" si="10"/>
        <v>0.36331992940802393</v>
      </c>
      <c r="G338" s="3">
        <f t="shared" ca="1" si="11"/>
        <v>2.7219971628360602</v>
      </c>
      <c r="H338" s="2"/>
      <c r="I338" s="2"/>
      <c r="J338" s="2"/>
      <c r="K338" s="2"/>
    </row>
    <row r="339" spans="5:11" x14ac:dyDescent="0.25">
      <c r="E339" s="3">
        <f t="shared" ca="1" si="10"/>
        <v>0.97533463212699389</v>
      </c>
      <c r="F339" s="3">
        <f t="shared" ca="1" si="10"/>
        <v>0.25825028539376438</v>
      </c>
      <c r="G339" s="3">
        <f t="shared" ca="1" si="11"/>
        <v>7.6866814931489085</v>
      </c>
      <c r="H339" s="2"/>
      <c r="I339" s="2"/>
      <c r="J339" s="2"/>
      <c r="K339" s="2"/>
    </row>
    <row r="340" spans="5:11" x14ac:dyDescent="0.25">
      <c r="E340" s="3">
        <f t="shared" ca="1" si="10"/>
        <v>0.89900327813631453</v>
      </c>
      <c r="F340" s="3">
        <f t="shared" ca="1" si="10"/>
        <v>0.6026786417095471</v>
      </c>
      <c r="G340" s="3">
        <f t="shared" ca="1" si="11"/>
        <v>7.1022079339472226</v>
      </c>
      <c r="H340" s="2"/>
      <c r="I340" s="2"/>
      <c r="J340" s="2"/>
      <c r="K340" s="2"/>
    </row>
    <row r="341" spans="5:11" x14ac:dyDescent="0.25">
      <c r="E341" s="3">
        <f t="shared" ca="1" si="10"/>
        <v>0.3085144413663421</v>
      </c>
      <c r="F341" s="3">
        <f t="shared" ca="1" si="10"/>
        <v>5.6607254930253204E-3</v>
      </c>
      <c r="G341" s="3">
        <f t="shared" ca="1" si="11"/>
        <v>9.4657874779879219</v>
      </c>
      <c r="H341" s="2"/>
      <c r="I341" s="2"/>
      <c r="J341" s="2"/>
      <c r="K341" s="2"/>
    </row>
    <row r="342" spans="5:11" x14ac:dyDescent="0.25">
      <c r="E342" s="3">
        <f t="shared" ca="1" si="10"/>
        <v>0.20138339955444307</v>
      </c>
      <c r="F342" s="3">
        <f t="shared" ca="1" si="10"/>
        <v>0.4944755523564589</v>
      </c>
      <c r="G342" s="3">
        <f t="shared" ca="1" si="11"/>
        <v>7.7866538030151133</v>
      </c>
      <c r="H342" s="2"/>
      <c r="I342" s="2"/>
      <c r="J342" s="2"/>
      <c r="K342" s="2"/>
    </row>
    <row r="343" spans="5:11" x14ac:dyDescent="0.25">
      <c r="E343" s="3">
        <f t="shared" ca="1" si="10"/>
        <v>0.83460755061907677</v>
      </c>
      <c r="F343" s="3">
        <f t="shared" ca="1" si="10"/>
        <v>0.26791419339573386</v>
      </c>
      <c r="G343" s="3">
        <f t="shared" ca="1" si="11"/>
        <v>2.9606103899645753</v>
      </c>
      <c r="H343" s="2"/>
      <c r="I343" s="2"/>
      <c r="J343" s="2"/>
      <c r="K343" s="2"/>
    </row>
    <row r="344" spans="5:11" x14ac:dyDescent="0.25">
      <c r="E344" s="3">
        <f t="shared" ca="1" si="10"/>
        <v>0.68920562839557642</v>
      </c>
      <c r="F344" s="3">
        <f t="shared" ca="1" si="10"/>
        <v>0.6082816737109874</v>
      </c>
      <c r="G344" s="3">
        <f t="shared" ca="1" si="11"/>
        <v>5.8486311178041817</v>
      </c>
      <c r="H344" s="2"/>
      <c r="I344" s="2"/>
      <c r="J344" s="2"/>
      <c r="K344" s="2"/>
    </row>
    <row r="345" spans="5:11" x14ac:dyDescent="0.25">
      <c r="E345" s="3">
        <f t="shared" ca="1" si="10"/>
        <v>0.96820087172071412</v>
      </c>
      <c r="F345" s="3">
        <f t="shared" ca="1" si="10"/>
        <v>0.17035435290546297</v>
      </c>
      <c r="G345" s="3">
        <f t="shared" ca="1" si="11"/>
        <v>7.0406954039536416</v>
      </c>
      <c r="H345" s="2"/>
      <c r="I345" s="2"/>
      <c r="J345" s="2"/>
      <c r="K345" s="2"/>
    </row>
    <row r="346" spans="5:11" x14ac:dyDescent="0.25">
      <c r="E346" s="3">
        <f t="shared" ca="1" si="10"/>
        <v>0.48680609805348019</v>
      </c>
      <c r="F346" s="3">
        <f t="shared" ca="1" si="10"/>
        <v>0.23795365764431753</v>
      </c>
      <c r="G346" s="3">
        <f t="shared" ca="1" si="11"/>
        <v>2.5705199842981816</v>
      </c>
      <c r="H346" s="2"/>
      <c r="I346" s="2"/>
      <c r="J346" s="2"/>
      <c r="K346" s="2"/>
    </row>
    <row r="347" spans="5:11" x14ac:dyDescent="0.25">
      <c r="E347" s="3">
        <f t="shared" ca="1" si="10"/>
        <v>0.78556322285251712</v>
      </c>
      <c r="F347" s="3">
        <f t="shared" ca="1" si="10"/>
        <v>0.79916276472756376</v>
      </c>
      <c r="G347" s="3">
        <f t="shared" ca="1" si="11"/>
        <v>8.8313247840711515</v>
      </c>
      <c r="H347" s="2"/>
      <c r="I347" s="2"/>
      <c r="J347" s="2"/>
      <c r="K347" s="2"/>
    </row>
    <row r="348" spans="5:11" x14ac:dyDescent="0.25">
      <c r="E348" s="3">
        <f t="shared" ca="1" si="10"/>
        <v>0.68465039492139457</v>
      </c>
      <c r="F348" s="3">
        <f t="shared" ca="1" si="10"/>
        <v>0.49807711258297405</v>
      </c>
      <c r="G348" s="3">
        <f t="shared" ca="1" si="11"/>
        <v>4.4488831591684885</v>
      </c>
      <c r="H348" s="2"/>
      <c r="I348" s="2"/>
      <c r="J348" s="2"/>
      <c r="K348" s="2"/>
    </row>
    <row r="349" spans="5:11" x14ac:dyDescent="0.25">
      <c r="E349" s="3">
        <f t="shared" ca="1" si="10"/>
        <v>0.43100485229415864</v>
      </c>
      <c r="F349" s="3">
        <f t="shared" ca="1" si="10"/>
        <v>0.64548258817255333</v>
      </c>
      <c r="G349" s="3">
        <f t="shared" ca="1" si="11"/>
        <v>7.0576460196301598</v>
      </c>
      <c r="H349" s="2"/>
      <c r="I349" s="2"/>
      <c r="J349" s="2"/>
      <c r="K349" s="2"/>
    </row>
    <row r="350" spans="5:11" x14ac:dyDescent="0.25">
      <c r="E350" s="3">
        <f t="shared" ca="1" si="10"/>
        <v>0.47416208799916337</v>
      </c>
      <c r="F350" s="3">
        <f t="shared" ca="1" si="10"/>
        <v>0.45590599426203549</v>
      </c>
      <c r="G350" s="3">
        <f t="shared" ca="1" si="11"/>
        <v>4.6811355761793481</v>
      </c>
      <c r="H350" s="2"/>
      <c r="I350" s="2"/>
      <c r="J350" s="2"/>
      <c r="K350" s="2"/>
    </row>
    <row r="351" spans="5:11" x14ac:dyDescent="0.25">
      <c r="E351" s="3">
        <f t="shared" ca="1" si="10"/>
        <v>3.8237102455622618E-2</v>
      </c>
      <c r="F351" s="3">
        <f t="shared" ca="1" si="10"/>
        <v>9.4216396033139804E-2</v>
      </c>
      <c r="G351" s="3">
        <f t="shared" ca="1" si="11"/>
        <v>11.296055326040447</v>
      </c>
      <c r="H351" s="2"/>
      <c r="I351" s="2"/>
      <c r="J351" s="2"/>
      <c r="K351" s="2"/>
    </row>
    <row r="352" spans="5:11" x14ac:dyDescent="0.25">
      <c r="E352" s="3">
        <f t="shared" ca="1" si="10"/>
        <v>0.52503848430546129</v>
      </c>
      <c r="F352" s="3">
        <f t="shared" ca="1" si="10"/>
        <v>0.29638983430174781</v>
      </c>
      <c r="G352" s="3">
        <f t="shared" ca="1" si="11"/>
        <v>2.6336596808333033</v>
      </c>
      <c r="H352" s="2"/>
      <c r="I352" s="2"/>
      <c r="J352" s="2"/>
      <c r="K352" s="2"/>
    </row>
    <row r="353" spans="5:11" x14ac:dyDescent="0.25">
      <c r="E353" s="3">
        <f t="shared" ca="1" si="10"/>
        <v>0.80216673497706359</v>
      </c>
      <c r="F353" s="3">
        <f t="shared" ca="1" si="10"/>
        <v>0.7711321545649289</v>
      </c>
      <c r="G353" s="3">
        <f t="shared" ca="1" si="11"/>
        <v>8.425313786352989</v>
      </c>
      <c r="H353" s="2"/>
      <c r="I353" s="2"/>
      <c r="J353" s="2"/>
      <c r="K353" s="2"/>
    </row>
    <row r="354" spans="5:11" x14ac:dyDescent="0.25">
      <c r="E354" s="3">
        <f t="shared" ca="1" si="10"/>
        <v>0.28149481540078791</v>
      </c>
      <c r="F354" s="3">
        <f t="shared" ca="1" si="10"/>
        <v>0.50165449732520762</v>
      </c>
      <c r="G354" s="3">
        <f t="shared" ca="1" si="11"/>
        <v>6.819684922835461</v>
      </c>
      <c r="H354" s="2"/>
      <c r="I354" s="2"/>
      <c r="J354" s="2"/>
      <c r="K354" s="2"/>
    </row>
    <row r="355" spans="5:11" x14ac:dyDescent="0.25">
      <c r="E355" s="3">
        <f t="shared" ca="1" si="10"/>
        <v>0.9724499883639266</v>
      </c>
      <c r="F355" s="3">
        <f t="shared" ca="1" si="10"/>
        <v>0.78785113517403138</v>
      </c>
      <c r="G355" s="3">
        <f t="shared" ca="1" si="11"/>
        <v>11.210634828784368</v>
      </c>
      <c r="H355" s="2"/>
      <c r="I355" s="2"/>
      <c r="J355" s="2"/>
      <c r="K355" s="2"/>
    </row>
    <row r="356" spans="5:11" x14ac:dyDescent="0.25">
      <c r="E356" s="3">
        <f t="shared" ca="1" si="10"/>
        <v>0.15336449335959512</v>
      </c>
      <c r="F356" s="3">
        <f t="shared" ca="1" si="10"/>
        <v>0.50414888287681781</v>
      </c>
      <c r="G356" s="3">
        <f t="shared" ca="1" si="11"/>
        <v>8.6304288603318149</v>
      </c>
      <c r="H356" s="2"/>
      <c r="I356" s="2"/>
      <c r="J356" s="2"/>
      <c r="K356" s="2"/>
    </row>
    <row r="357" spans="5:11" x14ac:dyDescent="0.25">
      <c r="E357" s="3">
        <f t="shared" ca="1" si="10"/>
        <v>5.0489471094227412E-2</v>
      </c>
      <c r="F357" s="3">
        <f t="shared" ca="1" si="10"/>
        <v>0.61625828653026049</v>
      </c>
      <c r="G357" s="3">
        <f t="shared" ca="1" si="11"/>
        <v>12.016531209477574</v>
      </c>
      <c r="H357" s="2"/>
      <c r="I357" s="2"/>
      <c r="J357" s="2"/>
      <c r="K357" s="2"/>
    </row>
    <row r="358" spans="5:11" x14ac:dyDescent="0.25">
      <c r="E358" s="3">
        <f t="shared" ca="1" si="10"/>
        <v>1.5838560248907507E-2</v>
      </c>
      <c r="F358" s="3">
        <f t="shared" ca="1" si="10"/>
        <v>0.5484003144629529</v>
      </c>
      <c r="G358" s="3">
        <f t="shared" ca="1" si="11"/>
        <v>13.94047415439322</v>
      </c>
      <c r="H358" s="2"/>
      <c r="I358" s="2"/>
      <c r="J358" s="2"/>
      <c r="K358" s="2"/>
    </row>
    <row r="359" spans="5:11" x14ac:dyDescent="0.25">
      <c r="E359" s="3">
        <f t="shared" ca="1" si="10"/>
        <v>0.45479094168863798</v>
      </c>
      <c r="F359" s="3">
        <f t="shared" ca="1" si="10"/>
        <v>0.29659505159158284</v>
      </c>
      <c r="G359" s="3">
        <f t="shared" ca="1" si="11"/>
        <v>3.3349626934085252</v>
      </c>
      <c r="H359" s="2"/>
      <c r="I359" s="2"/>
      <c r="J359" s="2"/>
      <c r="K359" s="2"/>
    </row>
    <row r="360" spans="5:11" x14ac:dyDescent="0.25">
      <c r="E360" s="3">
        <f t="shared" ca="1" si="10"/>
        <v>0.26580284713756142</v>
      </c>
      <c r="F360" s="3">
        <f t="shared" ca="1" si="10"/>
        <v>0.92948736423040601</v>
      </c>
      <c r="G360" s="3">
        <f t="shared" ca="1" si="11"/>
        <v>12.990905901653329</v>
      </c>
      <c r="H360" s="2"/>
      <c r="I360" s="2"/>
      <c r="J360" s="2"/>
      <c r="K360" s="2"/>
    </row>
    <row r="361" spans="5:11" x14ac:dyDescent="0.25">
      <c r="E361" s="3">
        <f t="shared" ca="1" si="10"/>
        <v>5.9045700274357849E-2</v>
      </c>
      <c r="F361" s="3">
        <f t="shared" ca="1" si="10"/>
        <v>0.23236543243704777</v>
      </c>
      <c r="G361" s="3">
        <f t="shared" ca="1" si="11"/>
        <v>10.087487003258266</v>
      </c>
      <c r="H361" s="2"/>
      <c r="I361" s="2"/>
      <c r="J361" s="2"/>
      <c r="K361" s="2"/>
    </row>
    <row r="362" spans="5:11" x14ac:dyDescent="0.25">
      <c r="E362" s="3">
        <f t="shared" ca="1" si="10"/>
        <v>3.4182308241823223E-2</v>
      </c>
      <c r="F362" s="3">
        <f t="shared" ca="1" si="10"/>
        <v>0.38178683442182237</v>
      </c>
      <c r="G362" s="3">
        <f t="shared" ca="1" si="11"/>
        <v>11.73438612873491</v>
      </c>
      <c r="H362" s="2"/>
      <c r="I362" s="2"/>
      <c r="J362" s="2"/>
      <c r="K362" s="2"/>
    </row>
    <row r="363" spans="5:11" x14ac:dyDescent="0.25">
      <c r="E363" s="3">
        <f t="shared" ca="1" si="10"/>
        <v>0.33968968823978463</v>
      </c>
      <c r="F363" s="3">
        <f t="shared" ca="1" si="10"/>
        <v>0.4269755628795584</v>
      </c>
      <c r="G363" s="3">
        <f t="shared" ca="1" si="11"/>
        <v>5.5811389552174804</v>
      </c>
      <c r="H363" s="2"/>
      <c r="I363" s="2"/>
      <c r="J363" s="2"/>
      <c r="K363" s="2"/>
    </row>
    <row r="364" spans="5:11" x14ac:dyDescent="0.25">
      <c r="E364" s="3">
        <f t="shared" ca="1" si="10"/>
        <v>0.94226777571339471</v>
      </c>
      <c r="F364" s="3">
        <f t="shared" ca="1" si="10"/>
        <v>0.59528174948135881</v>
      </c>
      <c r="G364" s="3">
        <f t="shared" ca="1" si="11"/>
        <v>7.9945280502963039</v>
      </c>
      <c r="H364" s="2"/>
      <c r="I364" s="2"/>
      <c r="J364" s="2"/>
      <c r="K364" s="2"/>
    </row>
    <row r="365" spans="5:11" x14ac:dyDescent="0.25">
      <c r="E365" s="3">
        <f t="shared" ca="1" si="10"/>
        <v>0.3155055492854536</v>
      </c>
      <c r="F365" s="3">
        <f t="shared" ca="1" si="10"/>
        <v>0.58171609200684515</v>
      </c>
      <c r="G365" s="3">
        <f t="shared" ca="1" si="11"/>
        <v>7.198101258180305</v>
      </c>
      <c r="H365" s="2"/>
      <c r="I365" s="2"/>
      <c r="J365" s="2"/>
      <c r="K365" s="2"/>
    </row>
    <row r="366" spans="5:11" x14ac:dyDescent="0.25">
      <c r="E366" s="3">
        <f t="shared" ca="1" si="10"/>
        <v>0.95837758469850842</v>
      </c>
      <c r="F366" s="3">
        <f t="shared" ca="1" si="10"/>
        <v>0.58091907988848746</v>
      </c>
      <c r="G366" s="3">
        <f t="shared" ca="1" si="11"/>
        <v>8.4483974158285111</v>
      </c>
      <c r="H366" s="2"/>
      <c r="I366" s="2"/>
      <c r="J366" s="2"/>
      <c r="K366" s="2"/>
    </row>
    <row r="367" spans="5:11" x14ac:dyDescent="0.25">
      <c r="E367" s="3">
        <f t="shared" ca="1" si="10"/>
        <v>8.0360039386724424E-2</v>
      </c>
      <c r="F367" s="3">
        <f t="shared" ca="1" si="10"/>
        <v>0.95239769735764734</v>
      </c>
      <c r="G367" s="3">
        <f t="shared" ca="1" si="11"/>
        <v>15.804974736292211</v>
      </c>
      <c r="H367" s="2"/>
      <c r="I367" s="2"/>
      <c r="J367" s="2"/>
      <c r="K367" s="2"/>
    </row>
    <row r="368" spans="5:11" x14ac:dyDescent="0.25">
      <c r="E368" s="3">
        <f t="shared" ca="1" si="10"/>
        <v>0.96266960275130886</v>
      </c>
      <c r="F368" s="3">
        <f t="shared" ca="1" si="10"/>
        <v>0.26064803322310992</v>
      </c>
      <c r="G368" s="3">
        <f t="shared" ca="1" si="11"/>
        <v>6.7908731618050897</v>
      </c>
      <c r="H368" s="2"/>
      <c r="I368" s="2"/>
      <c r="J368" s="2"/>
      <c r="K368" s="2"/>
    </row>
    <row r="369" spans="5:11" x14ac:dyDescent="0.25">
      <c r="E369" s="3">
        <f t="shared" ca="1" si="10"/>
        <v>0.94453675363973466</v>
      </c>
      <c r="F369" s="3">
        <f t="shared" ca="1" si="10"/>
        <v>0.99271461667430161</v>
      </c>
      <c r="G369" s="3">
        <f t="shared" ca="1" si="11"/>
        <v>17.640833408263905</v>
      </c>
      <c r="H369" s="2"/>
      <c r="I369" s="2"/>
      <c r="J369" s="2"/>
      <c r="K369" s="2"/>
    </row>
    <row r="370" spans="5:11" x14ac:dyDescent="0.25">
      <c r="E370" s="3">
        <f t="shared" ca="1" si="10"/>
        <v>0.94648419530600592</v>
      </c>
      <c r="F370" s="3">
        <f t="shared" ca="1" si="10"/>
        <v>0.42082186640127306</v>
      </c>
      <c r="G370" s="3">
        <f t="shared" ca="1" si="11"/>
        <v>6.7747704541145222</v>
      </c>
      <c r="H370" s="2"/>
      <c r="I370" s="2"/>
      <c r="J370" s="2"/>
      <c r="K370" s="2"/>
    </row>
    <row r="371" spans="5:11" x14ac:dyDescent="0.25">
      <c r="E371" s="3">
        <f t="shared" ca="1" si="10"/>
        <v>0.18366788200890916</v>
      </c>
      <c r="F371" s="3">
        <f t="shared" ca="1" si="10"/>
        <v>0.47025717155557556</v>
      </c>
      <c r="G371" s="3">
        <f t="shared" ca="1" si="11"/>
        <v>7.8940709911445248</v>
      </c>
      <c r="H371" s="2"/>
      <c r="I371" s="2"/>
      <c r="J371" s="2"/>
      <c r="K371" s="2"/>
    </row>
    <row r="372" spans="5:11" x14ac:dyDescent="0.25">
      <c r="E372" s="3">
        <f t="shared" ca="1" si="10"/>
        <v>0.47426297359998637</v>
      </c>
      <c r="F372" s="3">
        <f t="shared" ca="1" si="10"/>
        <v>0.36284972573934438</v>
      </c>
      <c r="G372" s="3">
        <f t="shared" ca="1" si="11"/>
        <v>3.7342916686183703</v>
      </c>
      <c r="H372" s="2"/>
      <c r="I372" s="2"/>
      <c r="J372" s="2"/>
      <c r="K372" s="2"/>
    </row>
    <row r="373" spans="5:11" x14ac:dyDescent="0.25">
      <c r="E373" s="3">
        <f t="shared" ca="1" si="10"/>
        <v>0.55141340123501892</v>
      </c>
      <c r="F373" s="3">
        <f t="shared" ca="1" si="10"/>
        <v>0.71096545077112505</v>
      </c>
      <c r="G373" s="3">
        <f t="shared" ca="1" si="11"/>
        <v>7.4242020114685969</v>
      </c>
      <c r="H373" s="2"/>
      <c r="I373" s="2"/>
      <c r="J373" s="2"/>
      <c r="K373" s="2"/>
    </row>
    <row r="374" spans="5:11" x14ac:dyDescent="0.25">
      <c r="E374" s="3">
        <f t="shared" ca="1" si="10"/>
        <v>0.24281833449407519</v>
      </c>
      <c r="F374" s="3">
        <f t="shared" ca="1" si="10"/>
        <v>8.4395503390603865E-2</v>
      </c>
      <c r="G374" s="3">
        <f t="shared" ca="1" si="11"/>
        <v>6.2133409557398469</v>
      </c>
      <c r="H374" s="2"/>
      <c r="I374" s="2"/>
      <c r="J374" s="2"/>
      <c r="K374" s="2"/>
    </row>
    <row r="375" spans="5:11" x14ac:dyDescent="0.25">
      <c r="E375" s="3">
        <f t="shared" ca="1" si="10"/>
        <v>1.6698014962385099E-2</v>
      </c>
      <c r="F375" s="3">
        <f t="shared" ca="1" si="10"/>
        <v>0.32310876291474533</v>
      </c>
      <c r="G375" s="3">
        <f t="shared" ca="1" si="11"/>
        <v>13.059189805150776</v>
      </c>
      <c r="H375" s="2"/>
      <c r="I375" s="2"/>
      <c r="J375" s="2"/>
      <c r="K375" s="2"/>
    </row>
    <row r="376" spans="5:11" x14ac:dyDescent="0.25">
      <c r="E376" s="3">
        <f t="shared" ca="1" si="10"/>
        <v>0.48857558560465797</v>
      </c>
      <c r="F376" s="3">
        <f t="shared" ca="1" si="10"/>
        <v>0.69379187636650663</v>
      </c>
      <c r="G376" s="3">
        <f t="shared" ca="1" si="11"/>
        <v>7.3976422104536139</v>
      </c>
      <c r="H376" s="2"/>
      <c r="I376" s="2"/>
      <c r="J376" s="2"/>
      <c r="K376" s="2"/>
    </row>
    <row r="377" spans="5:11" x14ac:dyDescent="0.25">
      <c r="E377" s="3">
        <f t="shared" ca="1" si="10"/>
        <v>0.7310954875341078</v>
      </c>
      <c r="F377" s="3">
        <f t="shared" ca="1" si="10"/>
        <v>0.28610980067865854</v>
      </c>
      <c r="G377" s="3">
        <f t="shared" ca="1" si="11"/>
        <v>1.8481255216318606</v>
      </c>
      <c r="H377" s="2"/>
      <c r="I377" s="2"/>
      <c r="J377" s="2"/>
      <c r="K377" s="2"/>
    </row>
    <row r="378" spans="5:11" x14ac:dyDescent="0.25">
      <c r="E378" s="3">
        <f t="shared" ca="1" si="10"/>
        <v>0.88490491438276553</v>
      </c>
      <c r="F378" s="3">
        <f t="shared" ca="1" si="10"/>
        <v>0.82338739072728795</v>
      </c>
      <c r="G378" s="3">
        <f t="shared" ca="1" si="11"/>
        <v>9.8566597646922069</v>
      </c>
      <c r="H378" s="2"/>
      <c r="I378" s="2"/>
      <c r="J378" s="2"/>
      <c r="K378" s="2"/>
    </row>
    <row r="379" spans="5:11" x14ac:dyDescent="0.25">
      <c r="E379" s="3">
        <f t="shared" ca="1" si="10"/>
        <v>7.9044691543676326E-2</v>
      </c>
      <c r="F379" s="3">
        <f t="shared" ca="1" si="10"/>
        <v>0.18495311458933905</v>
      </c>
      <c r="G379" s="3">
        <f t="shared" ca="1" si="11"/>
        <v>9.2980107913350984</v>
      </c>
      <c r="H379" s="2"/>
      <c r="I379" s="2"/>
      <c r="J379" s="2"/>
      <c r="K379" s="2"/>
    </row>
    <row r="380" spans="5:11" x14ac:dyDescent="0.25">
      <c r="E380" s="3">
        <f t="shared" ca="1" si="10"/>
        <v>0.87520364157611363</v>
      </c>
      <c r="F380" s="3">
        <f t="shared" ca="1" si="10"/>
        <v>0.71727417740796562</v>
      </c>
      <c r="G380" s="3">
        <f t="shared" ca="1" si="11"/>
        <v>8.142231272529532</v>
      </c>
      <c r="H380" s="2"/>
      <c r="I380" s="2"/>
      <c r="J380" s="2"/>
      <c r="K380" s="2"/>
    </row>
    <row r="381" spans="5:11" x14ac:dyDescent="0.25">
      <c r="E381" s="3">
        <f t="shared" ca="1" si="10"/>
        <v>0.59263570499286711</v>
      </c>
      <c r="F381" s="3">
        <f t="shared" ca="1" si="10"/>
        <v>0.44852985687396441</v>
      </c>
      <c r="G381" s="3">
        <f t="shared" ca="1" si="11"/>
        <v>3.9696667359036306</v>
      </c>
      <c r="H381" s="2"/>
      <c r="I381" s="2"/>
      <c r="J381" s="2"/>
      <c r="K381" s="2"/>
    </row>
    <row r="382" spans="5:11" x14ac:dyDescent="0.25">
      <c r="E382" s="3">
        <f t="shared" ca="1" si="10"/>
        <v>0.38405006486536408</v>
      </c>
      <c r="F382" s="3">
        <f t="shared" ca="1" si="10"/>
        <v>0.21843821786773654</v>
      </c>
      <c r="G382" s="3">
        <f t="shared" ca="1" si="11"/>
        <v>3.7600803527215896</v>
      </c>
      <c r="H382" s="2"/>
      <c r="I382" s="2"/>
      <c r="J382" s="2"/>
      <c r="K382" s="2"/>
    </row>
    <row r="383" spans="5:11" x14ac:dyDescent="0.25">
      <c r="E383" s="3">
        <f t="shared" ca="1" si="10"/>
        <v>3.1824577020718503E-2</v>
      </c>
      <c r="F383" s="3">
        <f t="shared" ca="1" si="10"/>
        <v>0.74611939511017322</v>
      </c>
      <c r="G383" s="3">
        <f t="shared" ca="1" si="11"/>
        <v>13.896570804824597</v>
      </c>
      <c r="H383" s="2"/>
      <c r="I383" s="2"/>
      <c r="J383" s="2"/>
      <c r="K383" s="2"/>
    </row>
    <row r="384" spans="5:11" x14ac:dyDescent="0.25">
      <c r="E384" s="3">
        <f t="shared" ca="1" si="10"/>
        <v>0.94725602109179863</v>
      </c>
      <c r="F384" s="3">
        <f t="shared" ca="1" si="10"/>
        <v>0.13217036446804264</v>
      </c>
      <c r="G384" s="3">
        <f t="shared" ca="1" si="11"/>
        <v>5.9581787002340203</v>
      </c>
      <c r="H384" s="2"/>
      <c r="I384" s="2"/>
      <c r="J384" s="2"/>
      <c r="K384" s="2"/>
    </row>
    <row r="385" spans="5:11" x14ac:dyDescent="0.25">
      <c r="E385" s="3">
        <f t="shared" ca="1" si="10"/>
        <v>0.90899967860455544</v>
      </c>
      <c r="F385" s="3">
        <f t="shared" ca="1" si="10"/>
        <v>5.5317288794851538E-2</v>
      </c>
      <c r="G385" s="3">
        <f t="shared" ca="1" si="11"/>
        <v>5.6521188101388233</v>
      </c>
      <c r="H385" s="2"/>
      <c r="I385" s="2"/>
      <c r="J385" s="2"/>
      <c r="K385" s="2"/>
    </row>
    <row r="386" spans="5:11" x14ac:dyDescent="0.25">
      <c r="E386" s="3">
        <f t="shared" ca="1" si="10"/>
        <v>1.3776042305738923E-2</v>
      </c>
      <c r="F386" s="3">
        <f t="shared" ca="1" si="10"/>
        <v>0.2713611836677845</v>
      </c>
      <c r="G386" s="3">
        <f t="shared" ca="1" si="11"/>
        <v>13.334913463921913</v>
      </c>
      <c r="H386" s="2"/>
      <c r="I386" s="2"/>
      <c r="J386" s="2"/>
      <c r="K386" s="2"/>
    </row>
    <row r="387" spans="5:11" x14ac:dyDescent="0.25">
      <c r="E387" s="3">
        <f t="shared" ca="1" si="10"/>
        <v>0.33326508285853229</v>
      </c>
      <c r="F387" s="3">
        <f t="shared" ca="1" si="10"/>
        <v>0.3725542605549903</v>
      </c>
      <c r="G387" s="3">
        <f t="shared" ca="1" si="11"/>
        <v>5.2351435884099331</v>
      </c>
      <c r="H387" s="2"/>
      <c r="I387" s="2"/>
      <c r="J387" s="2"/>
      <c r="K387" s="2"/>
    </row>
    <row r="388" spans="5:11" x14ac:dyDescent="0.25">
      <c r="E388" s="3">
        <f t="shared" ref="E388:F451" ca="1" si="12">RAND()</f>
        <v>0.62115109140188385</v>
      </c>
      <c r="F388" s="3">
        <f t="shared" ca="1" si="12"/>
        <v>0.12557724192983222</v>
      </c>
      <c r="G388" s="3">
        <f t="shared" ref="G388:G451" ca="1" si="13">SQRT(_xlfn.NORM.INV(E388,$C$3*COS($C$6),$C$4)^2+_xlfn.NORM.INV(F388,$C$3*SIN($C$6),$C$4)^2)</f>
        <v>1.4471391103335234</v>
      </c>
      <c r="H388" s="2"/>
      <c r="I388" s="2"/>
      <c r="J388" s="2"/>
      <c r="K388" s="2"/>
    </row>
    <row r="389" spans="5:11" x14ac:dyDescent="0.25">
      <c r="E389" s="3">
        <f t="shared" ca="1" si="12"/>
        <v>0.30515882729712229</v>
      </c>
      <c r="F389" s="3">
        <f t="shared" ca="1" si="12"/>
        <v>3.966981699899752E-2</v>
      </c>
      <c r="G389" s="3">
        <f t="shared" ca="1" si="13"/>
        <v>6.4375768757636225</v>
      </c>
      <c r="H389" s="2"/>
      <c r="I389" s="2"/>
      <c r="J389" s="2"/>
      <c r="K389" s="2"/>
    </row>
    <row r="390" spans="5:11" x14ac:dyDescent="0.25">
      <c r="E390" s="3">
        <f t="shared" ca="1" si="12"/>
        <v>0.13436026762822195</v>
      </c>
      <c r="F390" s="3">
        <f t="shared" ca="1" si="12"/>
        <v>0.80270094333711905</v>
      </c>
      <c r="G390" s="3">
        <f t="shared" ca="1" si="13"/>
        <v>11.684687850224163</v>
      </c>
      <c r="H390" s="2"/>
      <c r="I390" s="2"/>
      <c r="J390" s="2"/>
      <c r="K390" s="2"/>
    </row>
    <row r="391" spans="5:11" x14ac:dyDescent="0.25">
      <c r="E391" s="3">
        <f t="shared" ca="1" si="12"/>
        <v>0.5867101376711551</v>
      </c>
      <c r="F391" s="3">
        <f t="shared" ca="1" si="12"/>
        <v>0.5886294019608993</v>
      </c>
      <c r="G391" s="3">
        <f t="shared" ca="1" si="13"/>
        <v>5.7061287127733564</v>
      </c>
      <c r="H391" s="2"/>
      <c r="I391" s="2"/>
      <c r="J391" s="2"/>
      <c r="K391" s="2"/>
    </row>
    <row r="392" spans="5:11" x14ac:dyDescent="0.25">
      <c r="E392" s="3">
        <f t="shared" ca="1" si="12"/>
        <v>0.18188248168067089</v>
      </c>
      <c r="F392" s="3">
        <f t="shared" ca="1" si="12"/>
        <v>0.87370915620096934</v>
      </c>
      <c r="G392" s="3">
        <f t="shared" ca="1" si="13"/>
        <v>12.2406697958879</v>
      </c>
      <c r="H392" s="2"/>
      <c r="I392" s="2"/>
      <c r="J392" s="2"/>
      <c r="K392" s="2"/>
    </row>
    <row r="393" spans="5:11" x14ac:dyDescent="0.25">
      <c r="E393" s="3">
        <f t="shared" ca="1" si="12"/>
        <v>0.66048499730430432</v>
      </c>
      <c r="F393" s="3">
        <f t="shared" ca="1" si="12"/>
        <v>0.79335580224422597</v>
      </c>
      <c r="G393" s="3">
        <f t="shared" ca="1" si="13"/>
        <v>8.5623020813388333</v>
      </c>
      <c r="H393" s="2"/>
      <c r="I393" s="2"/>
      <c r="J393" s="2"/>
      <c r="K393" s="2"/>
    </row>
    <row r="394" spans="5:11" x14ac:dyDescent="0.25">
      <c r="E394" s="3">
        <f t="shared" ca="1" si="12"/>
        <v>0.11532520808972635</v>
      </c>
      <c r="F394" s="3">
        <f t="shared" ca="1" si="12"/>
        <v>0.12096141808202865</v>
      </c>
      <c r="G394" s="3">
        <f t="shared" ca="1" si="13"/>
        <v>8.3488012843027697</v>
      </c>
      <c r="H394" s="2"/>
      <c r="I394" s="2"/>
      <c r="J394" s="2"/>
      <c r="K394" s="2"/>
    </row>
    <row r="395" spans="5:11" x14ac:dyDescent="0.25">
      <c r="E395" s="3">
        <f t="shared" ca="1" si="12"/>
        <v>0.3864912380339639</v>
      </c>
      <c r="F395" s="3">
        <f t="shared" ca="1" si="12"/>
        <v>0.73300639216550778</v>
      </c>
      <c r="G395" s="3">
        <f t="shared" ca="1" si="13"/>
        <v>8.4269537534852645</v>
      </c>
      <c r="H395" s="2"/>
      <c r="I395" s="2"/>
      <c r="J395" s="2"/>
      <c r="K395" s="2"/>
    </row>
    <row r="396" spans="5:11" x14ac:dyDescent="0.25">
      <c r="E396" s="3">
        <f t="shared" ca="1" si="12"/>
        <v>0.15468086105398482</v>
      </c>
      <c r="F396" s="3">
        <f t="shared" ca="1" si="12"/>
        <v>0.95663067212311848</v>
      </c>
      <c r="G396" s="3">
        <f t="shared" ca="1" si="13"/>
        <v>14.950626872245216</v>
      </c>
      <c r="H396" s="2"/>
      <c r="I396" s="2"/>
      <c r="J396" s="2"/>
      <c r="K396" s="2"/>
    </row>
    <row r="397" spans="5:11" x14ac:dyDescent="0.25">
      <c r="E397" s="3">
        <f t="shared" ca="1" si="12"/>
        <v>0.18747595476799617</v>
      </c>
      <c r="F397" s="3">
        <f t="shared" ca="1" si="12"/>
        <v>0.72740704790439314</v>
      </c>
      <c r="G397" s="3">
        <f t="shared" ca="1" si="13"/>
        <v>10.037444056350385</v>
      </c>
      <c r="H397" s="2"/>
      <c r="I397" s="2"/>
      <c r="J397" s="2"/>
      <c r="K397" s="2"/>
    </row>
    <row r="398" spans="5:11" x14ac:dyDescent="0.25">
      <c r="E398" s="3">
        <f t="shared" ca="1" si="12"/>
        <v>0.5684212363878296</v>
      </c>
      <c r="F398" s="3">
        <f t="shared" ca="1" si="12"/>
        <v>0.1487195431648719</v>
      </c>
      <c r="G398" s="3">
        <f t="shared" ca="1" si="13"/>
        <v>1.5645095310706603</v>
      </c>
      <c r="H398" s="2"/>
      <c r="I398" s="2"/>
      <c r="J398" s="2"/>
      <c r="K398" s="2"/>
    </row>
    <row r="399" spans="5:11" x14ac:dyDescent="0.25">
      <c r="E399" s="3">
        <f t="shared" ca="1" si="12"/>
        <v>1.4928246248572252E-3</v>
      </c>
      <c r="F399" s="3">
        <f t="shared" ca="1" si="12"/>
        <v>0.79312330989450408</v>
      </c>
      <c r="G399" s="3">
        <f t="shared" ca="1" si="13"/>
        <v>19.10915764881711</v>
      </c>
      <c r="H399" s="2"/>
      <c r="I399" s="2"/>
      <c r="J399" s="2"/>
      <c r="K399" s="2"/>
    </row>
    <row r="400" spans="5:11" x14ac:dyDescent="0.25">
      <c r="E400" s="3">
        <f t="shared" ca="1" si="12"/>
        <v>0.97414883099506167</v>
      </c>
      <c r="F400" s="3">
        <f t="shared" ca="1" si="12"/>
        <v>0.11968693602572322</v>
      </c>
      <c r="G400" s="3">
        <f t="shared" ca="1" si="13"/>
        <v>7.6197689799351886</v>
      </c>
      <c r="H400" s="2"/>
      <c r="I400" s="2"/>
      <c r="J400" s="2"/>
      <c r="K400" s="2"/>
    </row>
    <row r="401" spans="5:11" x14ac:dyDescent="0.25">
      <c r="E401" s="3">
        <f t="shared" ca="1" si="12"/>
        <v>0.78591180549137973</v>
      </c>
      <c r="F401" s="3">
        <f t="shared" ca="1" si="12"/>
        <v>0.24893429329764538</v>
      </c>
      <c r="G401" s="3">
        <f t="shared" ca="1" si="13"/>
        <v>2.0323845557351707</v>
      </c>
      <c r="H401" s="2"/>
      <c r="I401" s="2"/>
      <c r="J401" s="2"/>
      <c r="K401" s="2"/>
    </row>
    <row r="402" spans="5:11" x14ac:dyDescent="0.25">
      <c r="E402" s="3">
        <f t="shared" ca="1" si="12"/>
        <v>0.70362943403300005</v>
      </c>
      <c r="F402" s="3">
        <f t="shared" ca="1" si="12"/>
        <v>0.17533733516714489</v>
      </c>
      <c r="G402" s="3">
        <f t="shared" ca="1" si="13"/>
        <v>0.47635493277853491</v>
      </c>
      <c r="H402" s="2"/>
      <c r="I402" s="2"/>
      <c r="J402" s="2"/>
      <c r="K402" s="2"/>
    </row>
    <row r="403" spans="5:11" x14ac:dyDescent="0.25">
      <c r="E403" s="3">
        <f t="shared" ca="1" si="12"/>
        <v>0.4064837643019813</v>
      </c>
      <c r="F403" s="3">
        <f t="shared" ca="1" si="12"/>
        <v>0.24374388515283241</v>
      </c>
      <c r="G403" s="3">
        <f t="shared" ca="1" si="13"/>
        <v>3.5659920467536348</v>
      </c>
      <c r="H403" s="2"/>
      <c r="I403" s="2"/>
      <c r="J403" s="2"/>
      <c r="K403" s="2"/>
    </row>
    <row r="404" spans="5:11" x14ac:dyDescent="0.25">
      <c r="E404" s="3">
        <f t="shared" ca="1" si="12"/>
        <v>0.62268542949981731</v>
      </c>
      <c r="F404" s="3">
        <f t="shared" ca="1" si="12"/>
        <v>2.1846907166036655E-2</v>
      </c>
      <c r="G404" s="3">
        <f t="shared" ca="1" si="13"/>
        <v>5.6558422336454717</v>
      </c>
      <c r="H404" s="2"/>
      <c r="I404" s="2"/>
      <c r="J404" s="2"/>
      <c r="K404" s="2"/>
    </row>
    <row r="405" spans="5:11" x14ac:dyDescent="0.25">
      <c r="E405" s="3">
        <f t="shared" ca="1" si="12"/>
        <v>0.27554678967763602</v>
      </c>
      <c r="F405" s="3">
        <f t="shared" ca="1" si="12"/>
        <v>0.16744779194539694</v>
      </c>
      <c r="G405" s="3">
        <f t="shared" ca="1" si="13"/>
        <v>5.2327991959530493</v>
      </c>
      <c r="H405" s="2"/>
      <c r="I405" s="2"/>
      <c r="J405" s="2"/>
      <c r="K405" s="2"/>
    </row>
    <row r="406" spans="5:11" x14ac:dyDescent="0.25">
      <c r="E406" s="3">
        <f t="shared" ca="1" si="12"/>
        <v>7.8152322513301842E-2</v>
      </c>
      <c r="F406" s="3">
        <f t="shared" ca="1" si="12"/>
        <v>0.92131055475289025</v>
      </c>
      <c r="G406" s="3">
        <f t="shared" ca="1" si="13"/>
        <v>14.838595851168499</v>
      </c>
      <c r="H406" s="2"/>
      <c r="I406" s="2"/>
      <c r="J406" s="2"/>
      <c r="K406" s="2"/>
    </row>
    <row r="407" spans="5:11" x14ac:dyDescent="0.25">
      <c r="E407" s="3">
        <f t="shared" ca="1" si="12"/>
        <v>7.271611171942205E-2</v>
      </c>
      <c r="F407" s="3">
        <f t="shared" ca="1" si="12"/>
        <v>0.36381072922753643</v>
      </c>
      <c r="G407" s="3">
        <f t="shared" ca="1" si="13"/>
        <v>9.902960711946724</v>
      </c>
      <c r="H407" s="2"/>
      <c r="I407" s="2"/>
      <c r="J407" s="2"/>
      <c r="K407" s="2"/>
    </row>
    <row r="408" spans="5:11" x14ac:dyDescent="0.25">
      <c r="E408" s="3">
        <f t="shared" ca="1" si="12"/>
        <v>0.83574295916765096</v>
      </c>
      <c r="F408" s="3">
        <f t="shared" ca="1" si="12"/>
        <v>0.81433291048588152</v>
      </c>
      <c r="G408" s="3">
        <f t="shared" ca="1" si="13"/>
        <v>9.3229967761382877</v>
      </c>
      <c r="H408" s="2"/>
      <c r="I408" s="2"/>
      <c r="J408" s="2"/>
      <c r="K408" s="2"/>
    </row>
    <row r="409" spans="5:11" x14ac:dyDescent="0.25">
      <c r="E409" s="3">
        <f t="shared" ca="1" si="12"/>
        <v>0.51865671423515769</v>
      </c>
      <c r="F409" s="3">
        <f t="shared" ca="1" si="12"/>
        <v>0.92262073461891758</v>
      </c>
      <c r="G409" s="3">
        <f t="shared" ca="1" si="13"/>
        <v>11.757072805550152</v>
      </c>
      <c r="H409" s="2"/>
      <c r="I409" s="2"/>
      <c r="J409" s="2"/>
      <c r="K409" s="2"/>
    </row>
    <row r="410" spans="5:11" x14ac:dyDescent="0.25">
      <c r="E410" s="3">
        <f t="shared" ca="1" si="12"/>
        <v>0.81010505331427352</v>
      </c>
      <c r="F410" s="3">
        <f t="shared" ca="1" si="12"/>
        <v>0.2128544646228876</v>
      </c>
      <c r="G410" s="3">
        <f t="shared" ca="1" si="13"/>
        <v>2.2055340316899978</v>
      </c>
      <c r="H410" s="2"/>
      <c r="I410" s="2"/>
      <c r="J410" s="2"/>
      <c r="K410" s="2"/>
    </row>
    <row r="411" spans="5:11" x14ac:dyDescent="0.25">
      <c r="E411" s="3">
        <f t="shared" ca="1" si="12"/>
        <v>0.82796335274846666</v>
      </c>
      <c r="F411" s="3">
        <f t="shared" ca="1" si="12"/>
        <v>0.54742245932622979</v>
      </c>
      <c r="G411" s="3">
        <f t="shared" ca="1" si="13"/>
        <v>5.6447930837362748</v>
      </c>
      <c r="H411" s="2"/>
      <c r="I411" s="2"/>
      <c r="J411" s="2"/>
      <c r="K411" s="2"/>
    </row>
    <row r="412" spans="5:11" x14ac:dyDescent="0.25">
      <c r="E412" s="3">
        <f t="shared" ca="1" si="12"/>
        <v>0.16027439119551545</v>
      </c>
      <c r="F412" s="3">
        <f t="shared" ca="1" si="12"/>
        <v>0.99566858334929309</v>
      </c>
      <c r="G412" s="3">
        <f t="shared" ca="1" si="13"/>
        <v>19.014175553005963</v>
      </c>
      <c r="H412" s="2"/>
      <c r="I412" s="2"/>
      <c r="J412" s="2"/>
      <c r="K412" s="2"/>
    </row>
    <row r="413" spans="5:11" x14ac:dyDescent="0.25">
      <c r="E413" s="3">
        <f t="shared" ca="1" si="12"/>
        <v>0.50229481314414015</v>
      </c>
      <c r="F413" s="3">
        <f t="shared" ca="1" si="12"/>
        <v>0.93919695294772487</v>
      </c>
      <c r="G413" s="3">
        <f t="shared" ca="1" si="13"/>
        <v>12.408993280365783</v>
      </c>
      <c r="H413" s="2"/>
      <c r="I413" s="2"/>
      <c r="J413" s="2"/>
      <c r="K413" s="2"/>
    </row>
    <row r="414" spans="5:11" x14ac:dyDescent="0.25">
      <c r="E414" s="3">
        <f t="shared" ca="1" si="12"/>
        <v>0.50219172356659914</v>
      </c>
      <c r="F414" s="3">
        <f t="shared" ca="1" si="12"/>
        <v>0.3284788474509186</v>
      </c>
      <c r="G414" s="3">
        <f t="shared" ca="1" si="13"/>
        <v>3.1554245902090958</v>
      </c>
      <c r="H414" s="2"/>
      <c r="I414" s="2"/>
      <c r="J414" s="2"/>
      <c r="K414" s="2"/>
    </row>
    <row r="415" spans="5:11" x14ac:dyDescent="0.25">
      <c r="E415" s="3">
        <f t="shared" ca="1" si="12"/>
        <v>0.1154510022466847</v>
      </c>
      <c r="F415" s="3">
        <f t="shared" ca="1" si="12"/>
        <v>8.4853543317583546E-2</v>
      </c>
      <c r="G415" s="3">
        <f t="shared" ca="1" si="13"/>
        <v>8.5721482324059739</v>
      </c>
      <c r="H415" s="2"/>
      <c r="I415" s="2"/>
      <c r="J415" s="2"/>
      <c r="K415" s="2"/>
    </row>
    <row r="416" spans="5:11" x14ac:dyDescent="0.25">
      <c r="E416" s="3">
        <f t="shared" ca="1" si="12"/>
        <v>0.98470240522410446</v>
      </c>
      <c r="F416" s="3">
        <f t="shared" ca="1" si="12"/>
        <v>0.39514850305901883</v>
      </c>
      <c r="G416" s="3">
        <f t="shared" ca="1" si="13"/>
        <v>9.1283081528489216</v>
      </c>
      <c r="H416" s="2"/>
      <c r="I416" s="2"/>
      <c r="J416" s="2"/>
      <c r="K416" s="2"/>
    </row>
    <row r="417" spans="5:11" x14ac:dyDescent="0.25">
      <c r="E417" s="3">
        <f t="shared" ca="1" si="12"/>
        <v>0.41105043579548528</v>
      </c>
      <c r="F417" s="3">
        <f t="shared" ca="1" si="12"/>
        <v>0.12764967713126674</v>
      </c>
      <c r="G417" s="3">
        <f t="shared" ca="1" si="13"/>
        <v>3.5782206653626338</v>
      </c>
      <c r="H417" s="2"/>
      <c r="I417" s="2"/>
      <c r="J417" s="2"/>
      <c r="K417" s="2"/>
    </row>
    <row r="418" spans="5:11" x14ac:dyDescent="0.25">
      <c r="E418" s="3">
        <f t="shared" ca="1" si="12"/>
        <v>0.2321308933242916</v>
      </c>
      <c r="F418" s="3">
        <f t="shared" ca="1" si="12"/>
        <v>0.41742915604890529</v>
      </c>
      <c r="G418" s="3">
        <f t="shared" ca="1" si="13"/>
        <v>6.8230375316298435</v>
      </c>
      <c r="H418" s="2"/>
      <c r="I418" s="2"/>
      <c r="J418" s="2"/>
      <c r="K418" s="2"/>
    </row>
    <row r="419" spans="5:11" x14ac:dyDescent="0.25">
      <c r="E419" s="3">
        <f t="shared" ca="1" si="12"/>
        <v>0.79884522606514308</v>
      </c>
      <c r="F419" s="3">
        <f t="shared" ca="1" si="12"/>
        <v>0.22427118058538731</v>
      </c>
      <c r="G419" s="3">
        <f t="shared" ca="1" si="13"/>
        <v>2.0627187863489023</v>
      </c>
      <c r="H419" s="2"/>
      <c r="I419" s="2"/>
      <c r="J419" s="2"/>
      <c r="K419" s="2"/>
    </row>
    <row r="420" spans="5:11" x14ac:dyDescent="0.25">
      <c r="E420" s="3">
        <f t="shared" ca="1" si="12"/>
        <v>0.90816341661793099</v>
      </c>
      <c r="F420" s="3">
        <f t="shared" ca="1" si="12"/>
        <v>0.86480673168218425</v>
      </c>
      <c r="G420" s="3">
        <f t="shared" ca="1" si="13"/>
        <v>10.91061191437786</v>
      </c>
      <c r="H420" s="2"/>
      <c r="I420" s="2"/>
      <c r="J420" s="2"/>
      <c r="K420" s="2"/>
    </row>
    <row r="421" spans="5:11" x14ac:dyDescent="0.25">
      <c r="E421" s="3">
        <f t="shared" ca="1" si="12"/>
        <v>6.8240052013690211E-2</v>
      </c>
      <c r="F421" s="3">
        <f t="shared" ca="1" si="12"/>
        <v>0.1480046264674747</v>
      </c>
      <c r="G421" s="3">
        <f t="shared" ca="1" si="13"/>
        <v>9.7149009886014159</v>
      </c>
      <c r="H421" s="2"/>
      <c r="I421" s="2"/>
      <c r="J421" s="2"/>
      <c r="K421" s="2"/>
    </row>
    <row r="422" spans="5:11" x14ac:dyDescent="0.25">
      <c r="E422" s="3">
        <f t="shared" ca="1" si="12"/>
        <v>0.34728334509374248</v>
      </c>
      <c r="F422" s="3">
        <f t="shared" ca="1" si="12"/>
        <v>4.0986739450831533E-2</v>
      </c>
      <c r="G422" s="3">
        <f t="shared" ca="1" si="13"/>
        <v>5.961253438450453</v>
      </c>
      <c r="H422" s="2"/>
      <c r="I422" s="2"/>
      <c r="J422" s="2"/>
      <c r="K422" s="2"/>
    </row>
    <row r="423" spans="5:11" x14ac:dyDescent="0.25">
      <c r="E423" s="3">
        <f t="shared" ca="1" si="12"/>
        <v>0.51049026655069529</v>
      </c>
      <c r="F423" s="3">
        <f t="shared" ca="1" si="12"/>
        <v>0.2060495344692802</v>
      </c>
      <c r="G423" s="3">
        <f t="shared" ca="1" si="13"/>
        <v>2.1409089119486815</v>
      </c>
      <c r="H423" s="2"/>
      <c r="I423" s="2"/>
      <c r="J423" s="2"/>
      <c r="K423" s="2"/>
    </row>
    <row r="424" spans="5:11" x14ac:dyDescent="0.25">
      <c r="E424" s="3">
        <f t="shared" ca="1" si="12"/>
        <v>0.77426180017623636</v>
      </c>
      <c r="F424" s="3">
        <f t="shared" ca="1" si="12"/>
        <v>0.17269581402079259</v>
      </c>
      <c r="G424" s="3">
        <f t="shared" ca="1" si="13"/>
        <v>1.5444279824253175</v>
      </c>
      <c r="H424" s="2"/>
      <c r="I424" s="2"/>
      <c r="J424" s="2"/>
      <c r="K424" s="2"/>
    </row>
    <row r="425" spans="5:11" x14ac:dyDescent="0.25">
      <c r="E425" s="3">
        <f t="shared" ca="1" si="12"/>
        <v>0.66423225844613332</v>
      </c>
      <c r="F425" s="3">
        <f t="shared" ca="1" si="12"/>
        <v>0.37885515956237381</v>
      </c>
      <c r="G425" s="3">
        <f t="shared" ca="1" si="13"/>
        <v>2.9300035812380583</v>
      </c>
      <c r="H425" s="2"/>
      <c r="I425" s="2"/>
      <c r="J425" s="2"/>
      <c r="K425" s="2"/>
    </row>
    <row r="426" spans="5:11" x14ac:dyDescent="0.25">
      <c r="E426" s="3">
        <f t="shared" ca="1" si="12"/>
        <v>0.57539968943154596</v>
      </c>
      <c r="F426" s="3">
        <f t="shared" ca="1" si="12"/>
        <v>0.52127505456800205</v>
      </c>
      <c r="G426" s="3">
        <f t="shared" ca="1" si="13"/>
        <v>4.9091845886697936</v>
      </c>
      <c r="H426" s="2"/>
      <c r="I426" s="2"/>
      <c r="J426" s="2"/>
      <c r="K426" s="2"/>
    </row>
    <row r="427" spans="5:11" x14ac:dyDescent="0.25">
      <c r="E427" s="3">
        <f t="shared" ca="1" si="12"/>
        <v>0.44626584019447635</v>
      </c>
      <c r="F427" s="3">
        <f t="shared" ca="1" si="12"/>
        <v>0.63740824950663533</v>
      </c>
      <c r="G427" s="3">
        <f t="shared" ca="1" si="13"/>
        <v>6.8765070057061468</v>
      </c>
      <c r="H427" s="2"/>
      <c r="I427" s="2"/>
      <c r="J427" s="2"/>
      <c r="K427" s="2"/>
    </row>
    <row r="428" spans="5:11" x14ac:dyDescent="0.25">
      <c r="E428" s="3">
        <f t="shared" ca="1" si="12"/>
        <v>0.29317780912807434</v>
      </c>
      <c r="F428" s="3">
        <f t="shared" ca="1" si="12"/>
        <v>0.30777455519988872</v>
      </c>
      <c r="G428" s="3">
        <f t="shared" ca="1" si="13"/>
        <v>5.3338238293521929</v>
      </c>
      <c r="H428" s="2"/>
      <c r="I428" s="2"/>
      <c r="J428" s="2"/>
      <c r="K428" s="2"/>
    </row>
    <row r="429" spans="5:11" x14ac:dyDescent="0.25">
      <c r="E429" s="3">
        <f t="shared" ca="1" si="12"/>
        <v>0.87130619314726709</v>
      </c>
      <c r="F429" s="3">
        <f t="shared" ca="1" si="12"/>
        <v>4.680435531462801E-3</v>
      </c>
      <c r="G429" s="3">
        <f t="shared" ca="1" si="13"/>
        <v>9.1844737146195055</v>
      </c>
      <c r="H429" s="2"/>
      <c r="I429" s="2"/>
      <c r="J429" s="2"/>
      <c r="K429" s="2"/>
    </row>
    <row r="430" spans="5:11" x14ac:dyDescent="0.25">
      <c r="E430" s="3">
        <f t="shared" ca="1" si="12"/>
        <v>0.27219791900872214</v>
      </c>
      <c r="F430" s="3">
        <f t="shared" ca="1" si="12"/>
        <v>0.13113796248398846</v>
      </c>
      <c r="G430" s="3">
        <f t="shared" ca="1" si="13"/>
        <v>5.3921053659669278</v>
      </c>
      <c r="H430" s="2"/>
      <c r="I430" s="2"/>
      <c r="J430" s="2"/>
      <c r="K430" s="2"/>
    </row>
    <row r="431" spans="5:11" x14ac:dyDescent="0.25">
      <c r="E431" s="3">
        <f t="shared" ca="1" si="12"/>
        <v>0.42048738856385826</v>
      </c>
      <c r="F431" s="3">
        <f t="shared" ca="1" si="12"/>
        <v>0.26095104219608733</v>
      </c>
      <c r="G431" s="3">
        <f t="shared" ca="1" si="13"/>
        <v>3.4826040083802927</v>
      </c>
      <c r="H431" s="2"/>
      <c r="I431" s="2"/>
      <c r="J431" s="2"/>
      <c r="K431" s="2"/>
    </row>
    <row r="432" spans="5:11" x14ac:dyDescent="0.25">
      <c r="E432" s="3">
        <f t="shared" ca="1" si="12"/>
        <v>0.69968417006092321</v>
      </c>
      <c r="F432" s="3">
        <f t="shared" ca="1" si="12"/>
        <v>0.51258965095102038</v>
      </c>
      <c r="G432" s="3">
        <f t="shared" ca="1" si="13"/>
        <v>4.643135622532772</v>
      </c>
      <c r="H432" s="2"/>
      <c r="I432" s="2"/>
      <c r="J432" s="2"/>
      <c r="K432" s="2"/>
    </row>
    <row r="433" spans="5:11" x14ac:dyDescent="0.25">
      <c r="E433" s="3">
        <f t="shared" ca="1" si="12"/>
        <v>0.38919076802340047</v>
      </c>
      <c r="F433" s="3">
        <f t="shared" ca="1" si="12"/>
        <v>0.48385591983088316</v>
      </c>
      <c r="G433" s="3">
        <f t="shared" ca="1" si="13"/>
        <v>5.6139723745625147</v>
      </c>
      <c r="H433" s="2"/>
      <c r="I433" s="2"/>
      <c r="J433" s="2"/>
      <c r="K433" s="2"/>
    </row>
    <row r="434" spans="5:11" x14ac:dyDescent="0.25">
      <c r="E434" s="3">
        <f t="shared" ca="1" si="12"/>
        <v>1.5403742687721822E-3</v>
      </c>
      <c r="F434" s="3">
        <f t="shared" ca="1" si="12"/>
        <v>0.24752371182762001</v>
      </c>
      <c r="G434" s="3">
        <f t="shared" ca="1" si="13"/>
        <v>17.07103346485486</v>
      </c>
      <c r="H434" s="2"/>
      <c r="I434" s="2"/>
      <c r="J434" s="2"/>
      <c r="K434" s="2"/>
    </row>
    <row r="435" spans="5:11" x14ac:dyDescent="0.25">
      <c r="E435" s="3">
        <f t="shared" ca="1" si="12"/>
        <v>0.92311149669545556</v>
      </c>
      <c r="F435" s="3">
        <f t="shared" ca="1" si="12"/>
        <v>0.41688466776923228</v>
      </c>
      <c r="G435" s="3">
        <f t="shared" ca="1" si="13"/>
        <v>5.9686446557858837</v>
      </c>
      <c r="H435" s="2"/>
      <c r="I435" s="2"/>
      <c r="J435" s="2"/>
      <c r="K435" s="2"/>
    </row>
    <row r="436" spans="5:11" x14ac:dyDescent="0.25">
      <c r="E436" s="3">
        <f t="shared" ca="1" si="12"/>
        <v>0.62352321186731241</v>
      </c>
      <c r="F436" s="3">
        <f t="shared" ca="1" si="12"/>
        <v>0.11169416263763798</v>
      </c>
      <c r="G436" s="3">
        <f t="shared" ca="1" si="13"/>
        <v>1.7498149023145904</v>
      </c>
      <c r="H436" s="2"/>
      <c r="I436" s="2"/>
      <c r="J436" s="2"/>
      <c r="K436" s="2"/>
    </row>
    <row r="437" spans="5:11" x14ac:dyDescent="0.25">
      <c r="E437" s="3">
        <f t="shared" ca="1" si="12"/>
        <v>0.28987015258673299</v>
      </c>
      <c r="F437" s="3">
        <f t="shared" ca="1" si="12"/>
        <v>0.85325671584357277</v>
      </c>
      <c r="G437" s="3">
        <f t="shared" ca="1" si="13"/>
        <v>10.937047875210373</v>
      </c>
      <c r="H437" s="2"/>
      <c r="I437" s="2"/>
      <c r="J437" s="2"/>
      <c r="K437" s="2"/>
    </row>
    <row r="438" spans="5:11" x14ac:dyDescent="0.25">
      <c r="E438" s="3">
        <f t="shared" ca="1" si="12"/>
        <v>0.28269503463179346</v>
      </c>
      <c r="F438" s="3">
        <f t="shared" ca="1" si="12"/>
        <v>0.61233328726042158</v>
      </c>
      <c r="G438" s="3">
        <f t="shared" ca="1" si="13"/>
        <v>7.8060401324592181</v>
      </c>
      <c r="H438" s="2"/>
      <c r="I438" s="2"/>
      <c r="J438" s="2"/>
      <c r="K438" s="2"/>
    </row>
    <row r="439" spans="5:11" x14ac:dyDescent="0.25">
      <c r="E439" s="3">
        <f t="shared" ca="1" si="12"/>
        <v>0.36067982039048985</v>
      </c>
      <c r="F439" s="3">
        <f t="shared" ca="1" si="12"/>
        <v>0.25017375750491477</v>
      </c>
      <c r="G439" s="3">
        <f t="shared" ca="1" si="13"/>
        <v>4.1713044130518115</v>
      </c>
      <c r="H439" s="2"/>
      <c r="I439" s="2"/>
      <c r="J439" s="2"/>
      <c r="K439" s="2"/>
    </row>
    <row r="440" spans="5:11" x14ac:dyDescent="0.25">
      <c r="E440" s="3">
        <f t="shared" ca="1" si="12"/>
        <v>0.27400415500402875</v>
      </c>
      <c r="F440" s="3">
        <f t="shared" ca="1" si="12"/>
        <v>0.85664199788801265</v>
      </c>
      <c r="G440" s="3">
        <f t="shared" ca="1" si="13"/>
        <v>11.112018562766929</v>
      </c>
      <c r="H440" s="2"/>
      <c r="I440" s="2"/>
      <c r="J440" s="2"/>
      <c r="K440" s="2"/>
    </row>
    <row r="441" spans="5:11" x14ac:dyDescent="0.25">
      <c r="E441" s="3">
        <f t="shared" ca="1" si="12"/>
        <v>0.90875537662471673</v>
      </c>
      <c r="F441" s="3">
        <f t="shared" ca="1" si="12"/>
        <v>0.45257027907140457</v>
      </c>
      <c r="G441" s="3">
        <f t="shared" ca="1" si="13"/>
        <v>5.8814972394734504</v>
      </c>
      <c r="H441" s="2"/>
      <c r="I441" s="2"/>
      <c r="J441" s="2"/>
      <c r="K441" s="2"/>
    </row>
    <row r="442" spans="5:11" x14ac:dyDescent="0.25">
      <c r="E442" s="3">
        <f t="shared" ca="1" si="12"/>
        <v>0.63019075845811856</v>
      </c>
      <c r="F442" s="3">
        <f t="shared" ca="1" si="12"/>
        <v>4.1785735869180773E-2</v>
      </c>
      <c r="G442" s="3">
        <f t="shared" ca="1" si="13"/>
        <v>4.2214988646177414</v>
      </c>
      <c r="H442" s="2"/>
      <c r="I442" s="2"/>
      <c r="J442" s="2"/>
      <c r="K442" s="2"/>
    </row>
    <row r="443" spans="5:11" x14ac:dyDescent="0.25">
      <c r="E443" s="3">
        <f t="shared" ca="1" si="12"/>
        <v>0.65098571185849141</v>
      </c>
      <c r="F443" s="3">
        <f t="shared" ca="1" si="12"/>
        <v>0.71945237888769464</v>
      </c>
      <c r="G443" s="3">
        <f t="shared" ca="1" si="13"/>
        <v>7.3821773836203883</v>
      </c>
      <c r="H443" s="2"/>
      <c r="I443" s="2"/>
      <c r="J443" s="2"/>
      <c r="K443" s="2"/>
    </row>
    <row r="444" spans="5:11" x14ac:dyDescent="0.25">
      <c r="E444" s="3">
        <f t="shared" ca="1" si="12"/>
        <v>0.29363987634194832</v>
      </c>
      <c r="F444" s="3">
        <f t="shared" ca="1" si="12"/>
        <v>9.2333353698627829E-2</v>
      </c>
      <c r="G444" s="3">
        <f t="shared" ca="1" si="13"/>
        <v>5.4057234616349454</v>
      </c>
      <c r="H444" s="2"/>
      <c r="I444" s="2"/>
      <c r="J444" s="2"/>
      <c r="K444" s="2"/>
    </row>
    <row r="445" spans="5:11" x14ac:dyDescent="0.25">
      <c r="E445" s="3">
        <f t="shared" ca="1" si="12"/>
        <v>0.9795789847720392</v>
      </c>
      <c r="F445" s="3">
        <f t="shared" ca="1" si="12"/>
        <v>0.88740526659092844</v>
      </c>
      <c r="G445" s="3">
        <f t="shared" ca="1" si="13"/>
        <v>13.218705610536594</v>
      </c>
      <c r="H445" s="2"/>
      <c r="I445" s="2"/>
      <c r="J445" s="2"/>
      <c r="K445" s="2"/>
    </row>
    <row r="446" spans="5:11" x14ac:dyDescent="0.25">
      <c r="E446" s="3">
        <f t="shared" ca="1" si="12"/>
        <v>0.18373622349938257</v>
      </c>
      <c r="F446" s="3">
        <f t="shared" ca="1" si="12"/>
        <v>0.74788979176385928</v>
      </c>
      <c r="G446" s="3">
        <f t="shared" ca="1" si="13"/>
        <v>10.319879403491086</v>
      </c>
      <c r="H446" s="2"/>
      <c r="I446" s="2"/>
      <c r="J446" s="2"/>
      <c r="K446" s="2"/>
    </row>
    <row r="447" spans="5:11" x14ac:dyDescent="0.25">
      <c r="E447" s="3">
        <f t="shared" ca="1" si="12"/>
        <v>0.83524360324949787</v>
      </c>
      <c r="F447" s="3">
        <f t="shared" ca="1" si="12"/>
        <v>0.36281314678905341</v>
      </c>
      <c r="G447" s="3">
        <f t="shared" ca="1" si="13"/>
        <v>3.783690590861192</v>
      </c>
      <c r="H447" s="2"/>
      <c r="I447" s="2"/>
      <c r="J447" s="2"/>
      <c r="K447" s="2"/>
    </row>
    <row r="448" spans="5:11" x14ac:dyDescent="0.25">
      <c r="E448" s="3">
        <f t="shared" ca="1" si="12"/>
        <v>0.37290645869060557</v>
      </c>
      <c r="F448" s="3">
        <f t="shared" ca="1" si="12"/>
        <v>0.26332912640140238</v>
      </c>
      <c r="G448" s="3">
        <f t="shared" ca="1" si="13"/>
        <v>4.0755732646946408</v>
      </c>
      <c r="H448" s="2"/>
      <c r="I448" s="2"/>
      <c r="J448" s="2"/>
      <c r="K448" s="2"/>
    </row>
    <row r="449" spans="5:11" x14ac:dyDescent="0.25">
      <c r="E449" s="3">
        <f t="shared" ca="1" si="12"/>
        <v>0.90128428474762901</v>
      </c>
      <c r="F449" s="3">
        <f t="shared" ca="1" si="12"/>
        <v>0.19099299289977301</v>
      </c>
      <c r="G449" s="3">
        <f t="shared" ca="1" si="13"/>
        <v>4.205312425998418</v>
      </c>
      <c r="H449" s="2"/>
      <c r="I449" s="2"/>
      <c r="J449" s="2"/>
      <c r="K449" s="2"/>
    </row>
    <row r="450" spans="5:11" x14ac:dyDescent="0.25">
      <c r="E450" s="3">
        <f t="shared" ca="1" si="12"/>
        <v>0.81784355393242636</v>
      </c>
      <c r="F450" s="3">
        <f t="shared" ca="1" si="12"/>
        <v>0.60065966386495462</v>
      </c>
      <c r="G450" s="3">
        <f t="shared" ca="1" si="13"/>
        <v>6.1868732583635628</v>
      </c>
      <c r="H450" s="2"/>
      <c r="I450" s="2"/>
      <c r="J450" s="2"/>
      <c r="K450" s="2"/>
    </row>
    <row r="451" spans="5:11" x14ac:dyDescent="0.25">
      <c r="E451" s="3">
        <f t="shared" ca="1" si="12"/>
        <v>0.78777616450430255</v>
      </c>
      <c r="F451" s="3">
        <f t="shared" ca="1" si="12"/>
        <v>6.3219752928733275E-2</v>
      </c>
      <c r="G451" s="3">
        <f t="shared" ca="1" si="13"/>
        <v>3.6238531128843641</v>
      </c>
      <c r="H451" s="2"/>
      <c r="I451" s="2"/>
      <c r="J451" s="2"/>
      <c r="K451" s="2"/>
    </row>
    <row r="452" spans="5:11" x14ac:dyDescent="0.25">
      <c r="E452" s="3">
        <f t="shared" ref="E452:F515" ca="1" si="14">RAND()</f>
        <v>0.63128781576550697</v>
      </c>
      <c r="F452" s="3">
        <f t="shared" ca="1" si="14"/>
        <v>0.13087591546319555</v>
      </c>
      <c r="G452" s="3">
        <f t="shared" ref="G452:G515" ca="1" si="15">SQRT(_xlfn.NORM.INV(E452,$C$3*COS($C$6),$C$4)^2+_xlfn.NORM.INV(F452,$C$3*SIN($C$6),$C$4)^2)</f>
        <v>1.2730845501661103</v>
      </c>
      <c r="H452" s="2"/>
      <c r="I452" s="2"/>
      <c r="J452" s="2"/>
      <c r="K452" s="2"/>
    </row>
    <row r="453" spans="5:11" x14ac:dyDescent="0.25">
      <c r="E453" s="3">
        <f t="shared" ca="1" si="14"/>
        <v>0.76402578939833188</v>
      </c>
      <c r="F453" s="3">
        <f t="shared" ca="1" si="14"/>
        <v>0.94407227680066674</v>
      </c>
      <c r="G453" s="3">
        <f t="shared" ca="1" si="15"/>
        <v>12.493353274038089</v>
      </c>
      <c r="H453" s="2"/>
      <c r="I453" s="2"/>
      <c r="J453" s="2"/>
      <c r="K453" s="2"/>
    </row>
    <row r="454" spans="5:11" x14ac:dyDescent="0.25">
      <c r="E454" s="3">
        <f t="shared" ca="1" si="14"/>
        <v>0.82063134807088878</v>
      </c>
      <c r="F454" s="3">
        <f t="shared" ca="1" si="14"/>
        <v>0.35159561300297293</v>
      </c>
      <c r="G454" s="3">
        <f t="shared" ca="1" si="15"/>
        <v>3.4776688031458791</v>
      </c>
      <c r="H454" s="2"/>
      <c r="I454" s="2"/>
      <c r="J454" s="2"/>
      <c r="K454" s="2"/>
    </row>
    <row r="455" spans="5:11" x14ac:dyDescent="0.25">
      <c r="E455" s="3">
        <f t="shared" ca="1" si="14"/>
        <v>0.98486758240713534</v>
      </c>
      <c r="F455" s="3">
        <f t="shared" ca="1" si="14"/>
        <v>0.91995824340353605</v>
      </c>
      <c r="G455" s="3">
        <f t="shared" ca="1" si="15"/>
        <v>14.350766907173011</v>
      </c>
      <c r="H455" s="2"/>
      <c r="I455" s="2"/>
      <c r="J455" s="2"/>
      <c r="K455" s="2"/>
    </row>
    <row r="456" spans="5:11" x14ac:dyDescent="0.25">
      <c r="E456" s="3">
        <f t="shared" ca="1" si="14"/>
        <v>0.22923720117702451</v>
      </c>
      <c r="F456" s="3">
        <f t="shared" ca="1" si="14"/>
        <v>0.17017724769826748</v>
      </c>
      <c r="G456" s="3">
        <f t="shared" ca="1" si="15"/>
        <v>5.9546030739115716</v>
      </c>
      <c r="H456" s="2"/>
      <c r="I456" s="2"/>
      <c r="J456" s="2"/>
      <c r="K456" s="2"/>
    </row>
    <row r="457" spans="5:11" x14ac:dyDescent="0.25">
      <c r="E457" s="3">
        <f t="shared" ca="1" si="14"/>
        <v>9.6102583119540896E-2</v>
      </c>
      <c r="F457" s="3">
        <f t="shared" ca="1" si="14"/>
        <v>0.47675439097605699</v>
      </c>
      <c r="G457" s="3">
        <f t="shared" ca="1" si="15"/>
        <v>9.7062364980426139</v>
      </c>
      <c r="H457" s="2"/>
      <c r="I457" s="2"/>
      <c r="J457" s="2"/>
      <c r="K457" s="2"/>
    </row>
    <row r="458" spans="5:11" x14ac:dyDescent="0.25">
      <c r="E458" s="3">
        <f t="shared" ca="1" si="14"/>
        <v>0.13529464779852363</v>
      </c>
      <c r="F458" s="3">
        <f t="shared" ca="1" si="14"/>
        <v>0.68384264439844011</v>
      </c>
      <c r="G458" s="3">
        <f t="shared" ca="1" si="15"/>
        <v>10.350708925763758</v>
      </c>
      <c r="H458" s="2"/>
      <c r="I458" s="2"/>
      <c r="J458" s="2"/>
      <c r="K458" s="2"/>
    </row>
    <row r="459" spans="5:11" x14ac:dyDescent="0.25">
      <c r="E459" s="3">
        <f t="shared" ca="1" si="14"/>
        <v>0.54601823444743536</v>
      </c>
      <c r="F459" s="3">
        <f t="shared" ca="1" si="14"/>
        <v>0.56726343748698893</v>
      </c>
      <c r="G459" s="3">
        <f t="shared" ca="1" si="15"/>
        <v>5.5708396388912735</v>
      </c>
      <c r="H459" s="2"/>
      <c r="I459" s="2"/>
      <c r="J459" s="2"/>
      <c r="K459" s="2"/>
    </row>
    <row r="460" spans="5:11" x14ac:dyDescent="0.25">
      <c r="E460" s="3">
        <f t="shared" ca="1" si="14"/>
        <v>0.57999808552447696</v>
      </c>
      <c r="F460" s="3">
        <f t="shared" ca="1" si="14"/>
        <v>0.69611607738078163</v>
      </c>
      <c r="G460" s="3">
        <f t="shared" ca="1" si="15"/>
        <v>7.143152119130062</v>
      </c>
      <c r="H460" s="2"/>
      <c r="I460" s="2"/>
      <c r="J460" s="2"/>
      <c r="K460" s="2"/>
    </row>
    <row r="461" spans="5:11" x14ac:dyDescent="0.25">
      <c r="E461" s="3">
        <f t="shared" ca="1" si="14"/>
        <v>0.23234314364189923</v>
      </c>
      <c r="F461" s="3">
        <f t="shared" ca="1" si="14"/>
        <v>2.618681202558848E-2</v>
      </c>
      <c r="G461" s="3">
        <f t="shared" ca="1" si="15"/>
        <v>7.8816250945554884</v>
      </c>
      <c r="H461" s="2"/>
      <c r="I461" s="2"/>
      <c r="J461" s="2"/>
      <c r="K461" s="2"/>
    </row>
    <row r="462" spans="5:11" x14ac:dyDescent="0.25">
      <c r="E462" s="3">
        <f t="shared" ca="1" si="14"/>
        <v>6.9590527370721689E-2</v>
      </c>
      <c r="F462" s="3">
        <f t="shared" ca="1" si="14"/>
        <v>0.37196744927996173</v>
      </c>
      <c r="G462" s="3">
        <f t="shared" ca="1" si="15"/>
        <v>10.043543905430445</v>
      </c>
      <c r="H462" s="2"/>
      <c r="I462" s="2"/>
      <c r="J462" s="2"/>
      <c r="K462" s="2"/>
    </row>
    <row r="463" spans="5:11" x14ac:dyDescent="0.25">
      <c r="E463" s="3">
        <f t="shared" ca="1" si="14"/>
        <v>8.0216043635230605E-3</v>
      </c>
      <c r="F463" s="3">
        <f t="shared" ca="1" si="14"/>
        <v>6.0660214861249284E-2</v>
      </c>
      <c r="G463" s="3">
        <f t="shared" ca="1" si="15"/>
        <v>14.651046385032483</v>
      </c>
      <c r="H463" s="2"/>
      <c r="I463" s="2"/>
      <c r="J463" s="2"/>
      <c r="K463" s="2"/>
    </row>
    <row r="464" spans="5:11" x14ac:dyDescent="0.25">
      <c r="E464" s="3">
        <f t="shared" ca="1" si="14"/>
        <v>0.95608425058039326</v>
      </c>
      <c r="F464" s="3">
        <f t="shared" ca="1" si="14"/>
        <v>0.40911679076550223</v>
      </c>
      <c r="G464" s="3">
        <f t="shared" ca="1" si="15"/>
        <v>7.1167085738546918</v>
      </c>
      <c r="H464" s="2"/>
      <c r="I464" s="2"/>
      <c r="J464" s="2"/>
      <c r="K464" s="2"/>
    </row>
    <row r="465" spans="5:11" x14ac:dyDescent="0.25">
      <c r="E465" s="3">
        <f t="shared" ca="1" si="14"/>
        <v>0.92418137335479789</v>
      </c>
      <c r="F465" s="3">
        <f t="shared" ca="1" si="14"/>
        <v>8.895511549111923E-2</v>
      </c>
      <c r="G465" s="3">
        <f t="shared" ca="1" si="15"/>
        <v>5.4245066787421576</v>
      </c>
      <c r="H465" s="2"/>
      <c r="I465" s="2"/>
      <c r="J465" s="2"/>
      <c r="K465" s="2"/>
    </row>
    <row r="466" spans="5:11" x14ac:dyDescent="0.25">
      <c r="E466" s="3">
        <f t="shared" ca="1" si="14"/>
        <v>0.29466572883774067</v>
      </c>
      <c r="F466" s="3">
        <f t="shared" ca="1" si="14"/>
        <v>0.94933889002743843</v>
      </c>
      <c r="G466" s="3">
        <f t="shared" ca="1" si="15"/>
        <v>13.591658646080534</v>
      </c>
      <c r="H466" s="2"/>
      <c r="I466" s="2"/>
      <c r="J466" s="2"/>
      <c r="K466" s="2"/>
    </row>
    <row r="467" spans="5:11" x14ac:dyDescent="0.25">
      <c r="E467" s="3">
        <f t="shared" ca="1" si="14"/>
        <v>0.33190559901942152</v>
      </c>
      <c r="F467" s="3">
        <f t="shared" ca="1" si="14"/>
        <v>0.5273416104541816</v>
      </c>
      <c r="G467" s="3">
        <f t="shared" ca="1" si="15"/>
        <v>6.5302852484030884</v>
      </c>
      <c r="H467" s="2"/>
      <c r="I467" s="2"/>
      <c r="J467" s="2"/>
      <c r="K467" s="2"/>
    </row>
    <row r="468" spans="5:11" x14ac:dyDescent="0.25">
      <c r="E468" s="3">
        <f t="shared" ca="1" si="14"/>
        <v>0.13967413222253944</v>
      </c>
      <c r="F468" s="3">
        <f t="shared" ca="1" si="14"/>
        <v>0.53249660721787517</v>
      </c>
      <c r="G468" s="3">
        <f t="shared" ca="1" si="15"/>
        <v>9.0721440537554212</v>
      </c>
      <c r="H468" s="2"/>
      <c r="I468" s="2"/>
      <c r="J468" s="2"/>
      <c r="K468" s="2"/>
    </row>
    <row r="469" spans="5:11" x14ac:dyDescent="0.25">
      <c r="E469" s="3">
        <f t="shared" ca="1" si="14"/>
        <v>0.25850240650901402</v>
      </c>
      <c r="F469" s="3">
        <f t="shared" ca="1" si="14"/>
        <v>0.5065835111983078</v>
      </c>
      <c r="G469" s="3">
        <f t="shared" ca="1" si="15"/>
        <v>7.1244648737770655</v>
      </c>
      <c r="H469" s="2"/>
      <c r="I469" s="2"/>
      <c r="J469" s="2"/>
      <c r="K469" s="2"/>
    </row>
    <row r="470" spans="5:11" x14ac:dyDescent="0.25">
      <c r="E470" s="3">
        <f t="shared" ca="1" si="14"/>
        <v>0.47208411190276933</v>
      </c>
      <c r="F470" s="3">
        <f t="shared" ca="1" si="14"/>
        <v>0.46808780851926157</v>
      </c>
      <c r="G470" s="3">
        <f t="shared" ca="1" si="15"/>
        <v>4.8241522281908669</v>
      </c>
      <c r="H470" s="2"/>
      <c r="I470" s="2"/>
      <c r="J470" s="2"/>
      <c r="K470" s="2"/>
    </row>
    <row r="471" spans="5:11" x14ac:dyDescent="0.25">
      <c r="E471" s="3">
        <f t="shared" ca="1" si="14"/>
        <v>0.12356048011816367</v>
      </c>
      <c r="F471" s="3">
        <f t="shared" ca="1" si="14"/>
        <v>9.3760066456535118E-2</v>
      </c>
      <c r="G471" s="3">
        <f t="shared" ca="1" si="15"/>
        <v>8.3023917676761645</v>
      </c>
      <c r="H471" s="2"/>
      <c r="I471" s="2"/>
      <c r="J471" s="2"/>
      <c r="K471" s="2"/>
    </row>
    <row r="472" spans="5:11" x14ac:dyDescent="0.25">
      <c r="E472" s="3">
        <f t="shared" ca="1" si="14"/>
        <v>0.63257001416862091</v>
      </c>
      <c r="F472" s="3">
        <f t="shared" ca="1" si="14"/>
        <v>0.66712040662306304</v>
      </c>
      <c r="G472" s="3">
        <f t="shared" ca="1" si="15"/>
        <v>6.6523904044202089</v>
      </c>
      <c r="H472" s="2"/>
      <c r="I472" s="2"/>
      <c r="J472" s="2"/>
      <c r="K472" s="2"/>
    </row>
    <row r="473" spans="5:11" x14ac:dyDescent="0.25">
      <c r="E473" s="3">
        <f t="shared" ca="1" si="14"/>
        <v>0.78879749902193408</v>
      </c>
      <c r="F473" s="3">
        <f t="shared" ca="1" si="14"/>
        <v>0.93392571586809925</v>
      </c>
      <c r="G473" s="3">
        <f t="shared" ca="1" si="15"/>
        <v>12.128383594025193</v>
      </c>
      <c r="H473" s="2"/>
      <c r="I473" s="2"/>
      <c r="J473" s="2"/>
      <c r="K473" s="2"/>
    </row>
    <row r="474" spans="5:11" x14ac:dyDescent="0.25">
      <c r="E474" s="3">
        <f t="shared" ca="1" si="14"/>
        <v>0.99994293508004339</v>
      </c>
      <c r="F474" s="3">
        <f t="shared" ca="1" si="14"/>
        <v>0.70815728997781213</v>
      </c>
      <c r="G474" s="3">
        <f t="shared" ca="1" si="15"/>
        <v>18.513330010673712</v>
      </c>
      <c r="H474" s="2"/>
      <c r="I474" s="2"/>
      <c r="J474" s="2"/>
      <c r="K474" s="2"/>
    </row>
    <row r="475" spans="5:11" x14ac:dyDescent="0.25">
      <c r="E475" s="3">
        <f t="shared" ca="1" si="14"/>
        <v>0.53026207987406437</v>
      </c>
      <c r="F475" s="3">
        <f t="shared" ca="1" si="14"/>
        <v>0.29648416564352731</v>
      </c>
      <c r="G475" s="3">
        <f t="shared" ca="1" si="15"/>
        <v>2.5869929921044714</v>
      </c>
      <c r="H475" s="2"/>
      <c r="I475" s="2"/>
      <c r="J475" s="2"/>
      <c r="K475" s="2"/>
    </row>
    <row r="476" spans="5:11" x14ac:dyDescent="0.25">
      <c r="E476" s="3">
        <f t="shared" ca="1" si="14"/>
        <v>0.64637633625142032</v>
      </c>
      <c r="F476" s="3">
        <f t="shared" ca="1" si="14"/>
        <v>0.49283539236375751</v>
      </c>
      <c r="G476" s="3">
        <f t="shared" ca="1" si="15"/>
        <v>4.3951653822012648</v>
      </c>
      <c r="H476" s="2"/>
      <c r="I476" s="2"/>
      <c r="J476" s="2"/>
      <c r="K476" s="2"/>
    </row>
    <row r="477" spans="5:11" x14ac:dyDescent="0.25">
      <c r="E477" s="3">
        <f t="shared" ca="1" si="14"/>
        <v>0.82191964616659774</v>
      </c>
      <c r="F477" s="3">
        <f t="shared" ca="1" si="14"/>
        <v>0.36945404534817905</v>
      </c>
      <c r="G477" s="3">
        <f t="shared" ca="1" si="15"/>
        <v>3.6730659233723721</v>
      </c>
      <c r="H477" s="2"/>
      <c r="I477" s="2"/>
      <c r="J477" s="2"/>
      <c r="K477" s="2"/>
    </row>
    <row r="478" spans="5:11" x14ac:dyDescent="0.25">
      <c r="E478" s="3">
        <f t="shared" ca="1" si="14"/>
        <v>0.1620618980291374</v>
      </c>
      <c r="F478" s="3">
        <f t="shared" ca="1" si="14"/>
        <v>0.96101422195934427</v>
      </c>
      <c r="G478" s="3">
        <f t="shared" ca="1" si="15"/>
        <v>15.094713279843193</v>
      </c>
      <c r="H478" s="2"/>
      <c r="I478" s="2"/>
      <c r="J478" s="2"/>
      <c r="K478" s="2"/>
    </row>
    <row r="479" spans="5:11" x14ac:dyDescent="0.25">
      <c r="E479" s="3">
        <f t="shared" ca="1" si="14"/>
        <v>0.24873133798915281</v>
      </c>
      <c r="F479" s="3">
        <f t="shared" ca="1" si="14"/>
        <v>0.47123377246024711</v>
      </c>
      <c r="G479" s="3">
        <f t="shared" ca="1" si="15"/>
        <v>6.9723396736249139</v>
      </c>
      <c r="H479" s="2"/>
      <c r="I479" s="2"/>
      <c r="J479" s="2"/>
      <c r="K479" s="2"/>
    </row>
    <row r="480" spans="5:11" x14ac:dyDescent="0.25">
      <c r="E480" s="3">
        <f t="shared" ca="1" si="14"/>
        <v>0.61537190898487837</v>
      </c>
      <c r="F480" s="3">
        <f t="shared" ca="1" si="14"/>
        <v>0.19643377863404332</v>
      </c>
      <c r="G480" s="3">
        <f t="shared" ca="1" si="15"/>
        <v>0.79852448348164384</v>
      </c>
      <c r="H480" s="2"/>
      <c r="I480" s="2"/>
      <c r="J480" s="2"/>
      <c r="K480" s="2"/>
    </row>
    <row r="481" spans="5:11" x14ac:dyDescent="0.25">
      <c r="E481" s="3">
        <f t="shared" ca="1" si="14"/>
        <v>0.97075522618924315</v>
      </c>
      <c r="F481" s="3">
        <f t="shared" ca="1" si="14"/>
        <v>4.0657252720529113E-2</v>
      </c>
      <c r="G481" s="3">
        <f t="shared" ca="1" si="15"/>
        <v>8.3754804636748776</v>
      </c>
      <c r="H481" s="2"/>
      <c r="I481" s="2"/>
      <c r="J481" s="2"/>
      <c r="K481" s="2"/>
    </row>
    <row r="482" spans="5:11" x14ac:dyDescent="0.25">
      <c r="E482" s="3">
        <f t="shared" ca="1" si="14"/>
        <v>0.30545274472755912</v>
      </c>
      <c r="F482" s="3">
        <f t="shared" ca="1" si="14"/>
        <v>0.49278785340920483</v>
      </c>
      <c r="G482" s="3">
        <f t="shared" ca="1" si="15"/>
        <v>6.4861446908177438</v>
      </c>
      <c r="H482" s="2"/>
      <c r="I482" s="2"/>
      <c r="J482" s="2"/>
      <c r="K482" s="2"/>
    </row>
    <row r="483" spans="5:11" x14ac:dyDescent="0.25">
      <c r="E483" s="3">
        <f t="shared" ca="1" si="14"/>
        <v>0.93424744868137644</v>
      </c>
      <c r="F483" s="3">
        <f t="shared" ca="1" si="14"/>
        <v>0.12121139981035578</v>
      </c>
      <c r="G483" s="3">
        <f t="shared" ca="1" si="15"/>
        <v>5.4759795352054565</v>
      </c>
      <c r="H483" s="2"/>
      <c r="I483" s="2"/>
      <c r="J483" s="2"/>
      <c r="K483" s="2"/>
    </row>
    <row r="484" spans="5:11" x14ac:dyDescent="0.25">
      <c r="E484" s="3">
        <f t="shared" ca="1" si="14"/>
        <v>0.15330739315155584</v>
      </c>
      <c r="F484" s="3">
        <f t="shared" ca="1" si="14"/>
        <v>0.53592088371058477</v>
      </c>
      <c r="G484" s="3">
        <f t="shared" ca="1" si="15"/>
        <v>8.8469169017950922</v>
      </c>
      <c r="H484" s="2"/>
      <c r="I484" s="2"/>
      <c r="J484" s="2"/>
      <c r="K484" s="2"/>
    </row>
    <row r="485" spans="5:11" x14ac:dyDescent="0.25">
      <c r="E485" s="3">
        <f t="shared" ca="1" si="14"/>
        <v>6.015372608261027E-2</v>
      </c>
      <c r="F485" s="3">
        <f t="shared" ca="1" si="14"/>
        <v>0.43286288248653182</v>
      </c>
      <c r="G485" s="3">
        <f t="shared" ca="1" si="15"/>
        <v>10.643923177523721</v>
      </c>
      <c r="H485" s="2"/>
      <c r="I485" s="2"/>
      <c r="J485" s="2"/>
      <c r="K485" s="2"/>
    </row>
    <row r="486" spans="5:11" x14ac:dyDescent="0.25">
      <c r="E486" s="3">
        <f t="shared" ca="1" si="14"/>
        <v>0.70449817971571727</v>
      </c>
      <c r="F486" s="3">
        <f t="shared" ca="1" si="14"/>
        <v>0.12931620439810043</v>
      </c>
      <c r="G486" s="3">
        <f t="shared" ca="1" si="15"/>
        <v>1.2599485900450511</v>
      </c>
      <c r="H486" s="2"/>
      <c r="I486" s="2"/>
      <c r="J486" s="2"/>
      <c r="K486" s="2"/>
    </row>
    <row r="487" spans="5:11" x14ac:dyDescent="0.25">
      <c r="E487" s="3">
        <f t="shared" ca="1" si="14"/>
        <v>0.95802392203513109</v>
      </c>
      <c r="F487" s="3">
        <f t="shared" ca="1" si="14"/>
        <v>0.99595990572424042</v>
      </c>
      <c r="G487" s="3">
        <f t="shared" ca="1" si="15"/>
        <v>18.834430175440293</v>
      </c>
      <c r="H487" s="2"/>
      <c r="I487" s="2"/>
      <c r="J487" s="2"/>
      <c r="K487" s="2"/>
    </row>
    <row r="488" spans="5:11" x14ac:dyDescent="0.25">
      <c r="E488" s="3">
        <f t="shared" ca="1" si="14"/>
        <v>0.96681711531796344</v>
      </c>
      <c r="F488" s="3">
        <f t="shared" ca="1" si="14"/>
        <v>0.35357641415469732</v>
      </c>
      <c r="G488" s="3">
        <f t="shared" ca="1" si="15"/>
        <v>7.4074907947077566</v>
      </c>
      <c r="H488" s="2"/>
      <c r="I488" s="2"/>
      <c r="J488" s="2"/>
      <c r="K488" s="2"/>
    </row>
    <row r="489" spans="5:11" x14ac:dyDescent="0.25">
      <c r="E489" s="3">
        <f t="shared" ca="1" si="14"/>
        <v>0.41482141349160317</v>
      </c>
      <c r="F489" s="3">
        <f t="shared" ca="1" si="14"/>
        <v>0.79424059922994472</v>
      </c>
      <c r="G489" s="3">
        <f t="shared" ca="1" si="15"/>
        <v>9.1949165924397764</v>
      </c>
      <c r="H489" s="2"/>
      <c r="I489" s="2"/>
      <c r="J489" s="2"/>
      <c r="K489" s="2"/>
    </row>
    <row r="490" spans="5:11" x14ac:dyDescent="0.25">
      <c r="E490" s="3">
        <f t="shared" ca="1" si="14"/>
        <v>0.2925843105551873</v>
      </c>
      <c r="F490" s="3">
        <f t="shared" ca="1" si="14"/>
        <v>0.50066289945035902</v>
      </c>
      <c r="G490" s="3">
        <f t="shared" ca="1" si="15"/>
        <v>6.6897107534283018</v>
      </c>
      <c r="H490" s="2"/>
      <c r="I490" s="2"/>
      <c r="J490" s="2"/>
      <c r="K490" s="2"/>
    </row>
    <row r="491" spans="5:11" x14ac:dyDescent="0.25">
      <c r="E491" s="3">
        <f t="shared" ca="1" si="14"/>
        <v>0.59310987777008495</v>
      </c>
      <c r="F491" s="3">
        <f t="shared" ca="1" si="14"/>
        <v>0.92208540037755149</v>
      </c>
      <c r="G491" s="3">
        <f t="shared" ca="1" si="15"/>
        <v>11.614890241195672</v>
      </c>
      <c r="H491" s="2"/>
      <c r="I491" s="2"/>
      <c r="J491" s="2"/>
      <c r="K491" s="2"/>
    </row>
    <row r="492" spans="5:11" x14ac:dyDescent="0.25">
      <c r="E492" s="3">
        <f t="shared" ca="1" si="14"/>
        <v>0.64592499071202969</v>
      </c>
      <c r="F492" s="3">
        <f t="shared" ca="1" si="14"/>
        <v>0.16785804871643517</v>
      </c>
      <c r="G492" s="3">
        <f t="shared" ca="1" si="15"/>
        <v>0.50377573289042121</v>
      </c>
      <c r="H492" s="2"/>
      <c r="I492" s="2"/>
      <c r="J492" s="2"/>
      <c r="K492" s="2"/>
    </row>
    <row r="493" spans="5:11" x14ac:dyDescent="0.25">
      <c r="E493" s="3">
        <f t="shared" ca="1" si="14"/>
        <v>0.39991170223550077</v>
      </c>
      <c r="F493" s="3">
        <f t="shared" ca="1" si="14"/>
        <v>0.12981806029461807</v>
      </c>
      <c r="G493" s="3">
        <f t="shared" ca="1" si="15"/>
        <v>3.6970243696511886</v>
      </c>
      <c r="H493" s="2"/>
      <c r="I493" s="2"/>
      <c r="J493" s="2"/>
      <c r="K493" s="2"/>
    </row>
    <row r="494" spans="5:11" x14ac:dyDescent="0.25">
      <c r="E494" s="3">
        <f t="shared" ca="1" si="14"/>
        <v>0.16024772320166014</v>
      </c>
      <c r="F494" s="3">
        <f t="shared" ca="1" si="14"/>
        <v>0.69428911881219324</v>
      </c>
      <c r="G494" s="3">
        <f t="shared" ca="1" si="15"/>
        <v>10.054455720688095</v>
      </c>
      <c r="H494" s="2"/>
      <c r="I494" s="2"/>
      <c r="J494" s="2"/>
      <c r="K494" s="2"/>
    </row>
    <row r="495" spans="5:11" x14ac:dyDescent="0.25">
      <c r="E495" s="3">
        <f t="shared" ca="1" si="14"/>
        <v>0.64209573992123981</v>
      </c>
      <c r="F495" s="3">
        <f t="shared" ca="1" si="14"/>
        <v>0.62386315579583862</v>
      </c>
      <c r="G495" s="3">
        <f t="shared" ca="1" si="15"/>
        <v>6.0627649115791051</v>
      </c>
      <c r="H495" s="2"/>
      <c r="I495" s="2"/>
      <c r="J495" s="2"/>
      <c r="K495" s="2"/>
    </row>
    <row r="496" spans="5:11" x14ac:dyDescent="0.25">
      <c r="E496" s="3">
        <f t="shared" ca="1" si="14"/>
        <v>0.71248640793623108</v>
      </c>
      <c r="F496" s="3">
        <f t="shared" ca="1" si="14"/>
        <v>0.73171802769656002</v>
      </c>
      <c r="G496" s="3">
        <f t="shared" ca="1" si="15"/>
        <v>7.5810002425605374</v>
      </c>
      <c r="H496" s="2"/>
      <c r="I496" s="2"/>
      <c r="J496" s="2"/>
      <c r="K496" s="2"/>
    </row>
    <row r="497" spans="5:11" x14ac:dyDescent="0.25">
      <c r="E497" s="3">
        <f t="shared" ca="1" si="14"/>
        <v>4.0848098674959976E-2</v>
      </c>
      <c r="F497" s="3">
        <f t="shared" ca="1" si="14"/>
        <v>3.2445420376312373E-2</v>
      </c>
      <c r="G497" s="3">
        <f t="shared" ca="1" si="15"/>
        <v>11.935300989655659</v>
      </c>
      <c r="H497" s="2"/>
      <c r="I497" s="2"/>
      <c r="J497" s="2"/>
      <c r="K497" s="2"/>
    </row>
    <row r="498" spans="5:11" x14ac:dyDescent="0.25">
      <c r="E498" s="3">
        <f t="shared" ca="1" si="14"/>
        <v>0.41890374701923316</v>
      </c>
      <c r="F498" s="3">
        <f t="shared" ca="1" si="14"/>
        <v>5.3008560622429757E-2</v>
      </c>
      <c r="G498" s="3">
        <f t="shared" ca="1" si="15"/>
        <v>4.8680499488087978</v>
      </c>
      <c r="H498" s="2"/>
      <c r="I498" s="2"/>
      <c r="J498" s="2"/>
      <c r="K498" s="2"/>
    </row>
    <row r="499" spans="5:11" x14ac:dyDescent="0.25">
      <c r="E499" s="3">
        <f t="shared" ca="1" si="14"/>
        <v>0.92588173399931717</v>
      </c>
      <c r="F499" s="3">
        <f t="shared" ca="1" si="14"/>
        <v>0.79301275747582933</v>
      </c>
      <c r="G499" s="3">
        <f t="shared" ca="1" si="15"/>
        <v>9.9028642353093002</v>
      </c>
      <c r="H499" s="2"/>
      <c r="I499" s="2"/>
      <c r="J499" s="2"/>
      <c r="K499" s="2"/>
    </row>
    <row r="500" spans="5:11" x14ac:dyDescent="0.25">
      <c r="E500" s="3">
        <f t="shared" ca="1" si="14"/>
        <v>0.33500820588710689</v>
      </c>
      <c r="F500" s="3">
        <f t="shared" ca="1" si="14"/>
        <v>0.10476836413172752</v>
      </c>
      <c r="G500" s="3">
        <f t="shared" ca="1" si="15"/>
        <v>4.7287213357056022</v>
      </c>
      <c r="H500" s="2"/>
      <c r="I500" s="2"/>
      <c r="J500" s="2"/>
      <c r="K500" s="2"/>
    </row>
    <row r="501" spans="5:11" x14ac:dyDescent="0.25">
      <c r="E501" s="3">
        <f t="shared" ca="1" si="14"/>
        <v>0.90961131040130749</v>
      </c>
      <c r="F501" s="3">
        <f t="shared" ca="1" si="14"/>
        <v>0.58714947667131223</v>
      </c>
      <c r="G501" s="3">
        <f t="shared" ca="1" si="15"/>
        <v>7.1310843832168045</v>
      </c>
      <c r="H501" s="2"/>
      <c r="I501" s="2"/>
      <c r="J501" s="2"/>
      <c r="K501" s="2"/>
    </row>
    <row r="502" spans="5:11" x14ac:dyDescent="0.25">
      <c r="E502" s="3">
        <f t="shared" ca="1" si="14"/>
        <v>0.47027269068175881</v>
      </c>
      <c r="F502" s="3">
        <f t="shared" ca="1" si="14"/>
        <v>0.83705665884155489</v>
      </c>
      <c r="G502" s="3">
        <f t="shared" ca="1" si="15"/>
        <v>9.7393003816015717</v>
      </c>
      <c r="H502" s="2"/>
      <c r="I502" s="2"/>
      <c r="J502" s="2"/>
      <c r="K502" s="2"/>
    </row>
    <row r="503" spans="5:11" x14ac:dyDescent="0.25">
      <c r="E503" s="3">
        <f t="shared" ca="1" si="14"/>
        <v>0.66139209015155043</v>
      </c>
      <c r="F503" s="3">
        <f t="shared" ca="1" si="14"/>
        <v>4.856025645230011E-2</v>
      </c>
      <c r="G503" s="3">
        <f t="shared" ca="1" si="15"/>
        <v>3.8282046276883754</v>
      </c>
      <c r="H503" s="2"/>
      <c r="I503" s="2"/>
      <c r="J503" s="2"/>
      <c r="K503" s="2"/>
    </row>
    <row r="504" spans="5:11" x14ac:dyDescent="0.25">
      <c r="E504" s="3">
        <f t="shared" ca="1" si="14"/>
        <v>0.41169255027452756</v>
      </c>
      <c r="F504" s="3">
        <f t="shared" ca="1" si="14"/>
        <v>0.16478853632424306</v>
      </c>
      <c r="G504" s="3">
        <f t="shared" ca="1" si="15"/>
        <v>3.380662894418649</v>
      </c>
      <c r="H504" s="2"/>
      <c r="I504" s="2"/>
      <c r="J504" s="2"/>
      <c r="K504" s="2"/>
    </row>
    <row r="505" spans="5:11" x14ac:dyDescent="0.25">
      <c r="E505" s="3">
        <f t="shared" ca="1" si="14"/>
        <v>3.947693506622918E-2</v>
      </c>
      <c r="F505" s="3">
        <f t="shared" ca="1" si="14"/>
        <v>0.20992929376445957</v>
      </c>
      <c r="G505" s="3">
        <f t="shared" ca="1" si="15"/>
        <v>11.032954480199068</v>
      </c>
      <c r="H505" s="2"/>
      <c r="I505" s="2"/>
      <c r="J505" s="2"/>
      <c r="K505" s="2"/>
    </row>
    <row r="506" spans="5:11" x14ac:dyDescent="0.25">
      <c r="E506" s="3">
        <f t="shared" ca="1" si="14"/>
        <v>0.23802702159578026</v>
      </c>
      <c r="F506" s="3">
        <f t="shared" ca="1" si="14"/>
        <v>4.7127170013082642E-2</v>
      </c>
      <c r="G506" s="3">
        <f t="shared" ca="1" si="15"/>
        <v>6.9905908647291799</v>
      </c>
      <c r="H506" s="2"/>
      <c r="I506" s="2"/>
      <c r="J506" s="2"/>
      <c r="K506" s="2"/>
    </row>
    <row r="507" spans="5:11" x14ac:dyDescent="0.25">
      <c r="E507" s="3">
        <f t="shared" ca="1" si="14"/>
        <v>7.9995465987826586E-3</v>
      </c>
      <c r="F507" s="3">
        <f t="shared" ca="1" si="14"/>
        <v>0.3056966509492588</v>
      </c>
      <c r="G507" s="3">
        <f t="shared" ca="1" si="15"/>
        <v>14.414777663435054</v>
      </c>
      <c r="H507" s="2"/>
      <c r="I507" s="2"/>
      <c r="J507" s="2"/>
      <c r="K507" s="2"/>
    </row>
    <row r="508" spans="5:11" x14ac:dyDescent="0.25">
      <c r="E508" s="3">
        <f t="shared" ca="1" si="14"/>
        <v>3.5624431030348513E-2</v>
      </c>
      <c r="F508" s="3">
        <f t="shared" ca="1" si="14"/>
        <v>0.64993305182369643</v>
      </c>
      <c r="G508" s="3">
        <f t="shared" ca="1" si="15"/>
        <v>12.949441256405921</v>
      </c>
      <c r="H508" s="2"/>
      <c r="I508" s="2"/>
      <c r="J508" s="2"/>
      <c r="K508" s="2"/>
    </row>
    <row r="509" spans="5:11" x14ac:dyDescent="0.25">
      <c r="E509" s="3">
        <f t="shared" ca="1" si="14"/>
        <v>0.68660322639099203</v>
      </c>
      <c r="F509" s="3">
        <f t="shared" ca="1" si="14"/>
        <v>0.33651779111178171</v>
      </c>
      <c r="G509" s="3">
        <f t="shared" ca="1" si="15"/>
        <v>2.3677603353005416</v>
      </c>
      <c r="H509" s="2"/>
      <c r="I509" s="2"/>
      <c r="J509" s="2"/>
      <c r="K509" s="2"/>
    </row>
    <row r="510" spans="5:11" x14ac:dyDescent="0.25">
      <c r="E510" s="3">
        <f t="shared" ca="1" si="14"/>
        <v>4.2144490514227306E-2</v>
      </c>
      <c r="F510" s="3">
        <f t="shared" ca="1" si="14"/>
        <v>0.98383977688238067</v>
      </c>
      <c r="G510" s="3">
        <f t="shared" ca="1" si="15"/>
        <v>18.665290579294698</v>
      </c>
      <c r="H510" s="2"/>
      <c r="I510" s="2"/>
      <c r="J510" s="2"/>
      <c r="K510" s="2"/>
    </row>
    <row r="511" spans="5:11" x14ac:dyDescent="0.25">
      <c r="E511" s="3">
        <f t="shared" ca="1" si="14"/>
        <v>0.71676672733619118</v>
      </c>
      <c r="F511" s="3">
        <f t="shared" ca="1" si="14"/>
        <v>1.4667603450991384E-2</v>
      </c>
      <c r="G511" s="3">
        <f t="shared" ca="1" si="15"/>
        <v>6.4551986325773996</v>
      </c>
      <c r="H511" s="2"/>
      <c r="I511" s="2"/>
      <c r="J511" s="2"/>
      <c r="K511" s="2"/>
    </row>
    <row r="512" spans="5:11" x14ac:dyDescent="0.25">
      <c r="E512" s="3">
        <f t="shared" ca="1" si="14"/>
        <v>0.24268275457958455</v>
      </c>
      <c r="F512" s="3">
        <f t="shared" ca="1" si="14"/>
        <v>0.46662516018083677</v>
      </c>
      <c r="G512" s="3">
        <f t="shared" ca="1" si="15"/>
        <v>7.0165596807564423</v>
      </c>
      <c r="H512" s="2"/>
      <c r="I512" s="2"/>
      <c r="J512" s="2"/>
      <c r="K512" s="2"/>
    </row>
    <row r="513" spans="5:11" x14ac:dyDescent="0.25">
      <c r="E513" s="3">
        <f t="shared" ca="1" si="14"/>
        <v>0.21558937634593445</v>
      </c>
      <c r="F513" s="3">
        <f t="shared" ca="1" si="14"/>
        <v>0.16998527523036655</v>
      </c>
      <c r="G513" s="3">
        <f t="shared" ca="1" si="15"/>
        <v>6.1835856644591303</v>
      </c>
      <c r="H513" s="2"/>
      <c r="I513" s="2"/>
      <c r="J513" s="2"/>
      <c r="K513" s="2"/>
    </row>
    <row r="514" spans="5:11" x14ac:dyDescent="0.25">
      <c r="E514" s="3">
        <f t="shared" ca="1" si="14"/>
        <v>0.52087725345909741</v>
      </c>
      <c r="F514" s="3">
        <f t="shared" ca="1" si="14"/>
        <v>0.91429859654570511</v>
      </c>
      <c r="G514" s="3">
        <f t="shared" ca="1" si="15"/>
        <v>11.480321000772074</v>
      </c>
      <c r="H514" s="2"/>
      <c r="I514" s="2"/>
      <c r="J514" s="2"/>
      <c r="K514" s="2"/>
    </row>
    <row r="515" spans="5:11" x14ac:dyDescent="0.25">
      <c r="E515" s="3">
        <f t="shared" ca="1" si="14"/>
        <v>0.93452743224663959</v>
      </c>
      <c r="F515" s="3">
        <f t="shared" ca="1" si="14"/>
        <v>0.55731631779876611</v>
      </c>
      <c r="G515" s="3">
        <f t="shared" ca="1" si="15"/>
        <v>7.4267980440516261</v>
      </c>
      <c r="H515" s="2"/>
      <c r="I515" s="2"/>
      <c r="J515" s="2"/>
      <c r="K515" s="2"/>
    </row>
    <row r="516" spans="5:11" x14ac:dyDescent="0.25">
      <c r="E516" s="3">
        <f t="shared" ref="E516:F579" ca="1" si="16">RAND()</f>
        <v>0.71432299324189164</v>
      </c>
      <c r="F516" s="3">
        <f t="shared" ca="1" si="16"/>
        <v>0.74572133119151207</v>
      </c>
      <c r="G516" s="3">
        <f t="shared" ref="G516:G579" ca="1" si="17">SQRT(_xlfn.NORM.INV(E516,$C$3*COS($C$6),$C$4)^2+_xlfn.NORM.INV(F516,$C$3*SIN($C$6),$C$4)^2)</f>
        <v>7.7977587749682522</v>
      </c>
      <c r="H516" s="2"/>
      <c r="I516" s="2"/>
      <c r="J516" s="2"/>
      <c r="K516" s="2"/>
    </row>
    <row r="517" spans="5:11" x14ac:dyDescent="0.25">
      <c r="E517" s="3">
        <f t="shared" ca="1" si="16"/>
        <v>0.74011421734251714</v>
      </c>
      <c r="F517" s="3">
        <f t="shared" ca="1" si="16"/>
        <v>0.30218216770790818</v>
      </c>
      <c r="G517" s="3">
        <f t="shared" ca="1" si="17"/>
        <v>2.1186139043597905</v>
      </c>
      <c r="H517" s="2"/>
      <c r="I517" s="2"/>
      <c r="J517" s="2"/>
      <c r="K517" s="2"/>
    </row>
    <row r="518" spans="5:11" x14ac:dyDescent="0.25">
      <c r="E518" s="3">
        <f t="shared" ca="1" si="16"/>
        <v>0.8168316951726583</v>
      </c>
      <c r="F518" s="3">
        <f t="shared" ca="1" si="16"/>
        <v>0.55153281939272958</v>
      </c>
      <c r="G518" s="3">
        <f t="shared" ca="1" si="17"/>
        <v>5.6011152537904589</v>
      </c>
      <c r="H518" s="2"/>
      <c r="I518" s="2"/>
      <c r="J518" s="2"/>
      <c r="K518" s="2"/>
    </row>
    <row r="519" spans="5:11" x14ac:dyDescent="0.25">
      <c r="E519" s="3">
        <f t="shared" ca="1" si="16"/>
        <v>4.105549163705613E-2</v>
      </c>
      <c r="F519" s="3">
        <f t="shared" ca="1" si="16"/>
        <v>9.1917739018787636E-2</v>
      </c>
      <c r="G519" s="3">
        <f t="shared" ca="1" si="17"/>
        <v>11.147485520676502</v>
      </c>
      <c r="H519" s="2"/>
      <c r="I519" s="2"/>
      <c r="J519" s="2"/>
      <c r="K519" s="2"/>
    </row>
    <row r="520" spans="5:11" x14ac:dyDescent="0.25">
      <c r="E520" s="3">
        <f t="shared" ca="1" si="16"/>
        <v>0.93106519682829758</v>
      </c>
      <c r="F520" s="3">
        <f t="shared" ca="1" si="16"/>
        <v>0.34037703058791835</v>
      </c>
      <c r="G520" s="3">
        <f t="shared" ca="1" si="17"/>
        <v>5.7130028091039406</v>
      </c>
      <c r="H520" s="2"/>
      <c r="I520" s="2"/>
      <c r="J520" s="2"/>
      <c r="K520" s="2"/>
    </row>
    <row r="521" spans="5:11" x14ac:dyDescent="0.25">
      <c r="E521" s="3">
        <f t="shared" ca="1" si="16"/>
        <v>0.13886749534539988</v>
      </c>
      <c r="F521" s="3">
        <f t="shared" ca="1" si="16"/>
        <v>0.36080105465228074</v>
      </c>
      <c r="G521" s="3">
        <f t="shared" ca="1" si="17"/>
        <v>8.1251235650435003</v>
      </c>
      <c r="H521" s="2"/>
      <c r="I521" s="2"/>
      <c r="J521" s="2"/>
      <c r="K521" s="2"/>
    </row>
    <row r="522" spans="5:11" x14ac:dyDescent="0.25">
      <c r="E522" s="3">
        <f t="shared" ca="1" si="16"/>
        <v>3.531555340121717E-2</v>
      </c>
      <c r="F522" s="3">
        <f t="shared" ca="1" si="16"/>
        <v>0.12443003436862887</v>
      </c>
      <c r="G522" s="3">
        <f t="shared" ca="1" si="17"/>
        <v>11.353745163716139</v>
      </c>
      <c r="H522" s="2"/>
      <c r="I522" s="2"/>
      <c r="J522" s="2"/>
      <c r="K522" s="2"/>
    </row>
    <row r="523" spans="5:11" x14ac:dyDescent="0.25">
      <c r="E523" s="3">
        <f t="shared" ca="1" si="16"/>
        <v>0.20564318770880241</v>
      </c>
      <c r="F523" s="3">
        <f t="shared" ca="1" si="16"/>
        <v>0.79291965566272782</v>
      </c>
      <c r="G523" s="3">
        <f t="shared" ca="1" si="17"/>
        <v>10.651609658313633</v>
      </c>
      <c r="H523" s="2"/>
      <c r="I523" s="2"/>
      <c r="J523" s="2"/>
      <c r="K523" s="2"/>
    </row>
    <row r="524" spans="5:11" x14ac:dyDescent="0.25">
      <c r="E524" s="3">
        <f t="shared" ca="1" si="16"/>
        <v>9.5288569294637249E-2</v>
      </c>
      <c r="F524" s="3">
        <f t="shared" ca="1" si="16"/>
        <v>0.63392596065082085</v>
      </c>
      <c r="G524" s="3">
        <f t="shared" ca="1" si="17"/>
        <v>10.741529110289456</v>
      </c>
      <c r="H524" s="2"/>
      <c r="I524" s="2"/>
      <c r="J524" s="2"/>
      <c r="K524" s="2"/>
    </row>
    <row r="525" spans="5:11" x14ac:dyDescent="0.25">
      <c r="E525" s="3">
        <f t="shared" ca="1" si="16"/>
        <v>0.47124793663442233</v>
      </c>
      <c r="F525" s="3">
        <f t="shared" ca="1" si="16"/>
        <v>0.91592515846702638</v>
      </c>
      <c r="G525" s="3">
        <f t="shared" ca="1" si="17"/>
        <v>11.654798445121125</v>
      </c>
      <c r="H525" s="2"/>
      <c r="I525" s="2"/>
      <c r="J525" s="2"/>
      <c r="K525" s="2"/>
    </row>
    <row r="526" spans="5:11" x14ac:dyDescent="0.25">
      <c r="E526" s="3">
        <f t="shared" ca="1" si="16"/>
        <v>0.55124235456199255</v>
      </c>
      <c r="F526" s="3">
        <f t="shared" ca="1" si="16"/>
        <v>0.36529950680904533</v>
      </c>
      <c r="G526" s="3">
        <f t="shared" ca="1" si="17"/>
        <v>3.1783245805680123</v>
      </c>
      <c r="H526" s="2"/>
      <c r="I526" s="2"/>
      <c r="J526" s="2"/>
      <c r="K526" s="2"/>
    </row>
    <row r="527" spans="5:11" x14ac:dyDescent="0.25">
      <c r="E527" s="3">
        <f t="shared" ca="1" si="16"/>
        <v>0.67842714530489379</v>
      </c>
      <c r="F527" s="3">
        <f t="shared" ca="1" si="16"/>
        <v>0.74702998287650757</v>
      </c>
      <c r="G527" s="3">
        <f t="shared" ca="1" si="17"/>
        <v>7.7962188393300087</v>
      </c>
      <c r="H527" s="2"/>
      <c r="I527" s="2"/>
      <c r="J527" s="2"/>
      <c r="K527" s="2"/>
    </row>
    <row r="528" spans="5:11" x14ac:dyDescent="0.25">
      <c r="E528" s="3">
        <f t="shared" ca="1" si="16"/>
        <v>0.18603654940391112</v>
      </c>
      <c r="F528" s="3">
        <f t="shared" ca="1" si="16"/>
        <v>0.30343541755367809</v>
      </c>
      <c r="G528" s="3">
        <f t="shared" ca="1" si="17"/>
        <v>6.9666719393406806</v>
      </c>
      <c r="H528" s="2"/>
      <c r="I528" s="2"/>
      <c r="J528" s="2"/>
      <c r="K528" s="2"/>
    </row>
    <row r="529" spans="5:11" x14ac:dyDescent="0.25">
      <c r="E529" s="3">
        <f t="shared" ca="1" si="16"/>
        <v>0.43837119852860362</v>
      </c>
      <c r="F529" s="3">
        <f t="shared" ca="1" si="16"/>
        <v>0.70049015977151641</v>
      </c>
      <c r="G529" s="3">
        <f t="shared" ca="1" si="17"/>
        <v>7.7130923307542982</v>
      </c>
      <c r="H529" s="2"/>
      <c r="I529" s="2"/>
      <c r="J529" s="2"/>
      <c r="K529" s="2"/>
    </row>
    <row r="530" spans="5:11" x14ac:dyDescent="0.25">
      <c r="E530" s="3">
        <f t="shared" ca="1" si="16"/>
        <v>8.6064437843622499E-2</v>
      </c>
      <c r="F530" s="3">
        <f t="shared" ca="1" si="16"/>
        <v>0.99122253679349337</v>
      </c>
      <c r="G530" s="3">
        <f t="shared" ca="1" si="17"/>
        <v>18.69103167656802</v>
      </c>
      <c r="H530" s="2"/>
      <c r="I530" s="2"/>
      <c r="J530" s="2"/>
      <c r="K530" s="2"/>
    </row>
    <row r="531" spans="5:11" x14ac:dyDescent="0.25">
      <c r="E531" s="3">
        <f t="shared" ca="1" si="16"/>
        <v>0.61293687785882356</v>
      </c>
      <c r="F531" s="3">
        <f t="shared" ca="1" si="16"/>
        <v>0.15825831144519109</v>
      </c>
      <c r="G531" s="3">
        <f t="shared" ca="1" si="17"/>
        <v>0.9687368669488069</v>
      </c>
      <c r="H531" s="2"/>
      <c r="I531" s="2"/>
      <c r="J531" s="2"/>
      <c r="K531" s="2"/>
    </row>
    <row r="532" spans="5:11" x14ac:dyDescent="0.25">
      <c r="E532" s="3">
        <f t="shared" ca="1" si="16"/>
        <v>0.64585583311954731</v>
      </c>
      <c r="F532" s="3">
        <f t="shared" ca="1" si="16"/>
        <v>0.9942627287785234</v>
      </c>
      <c r="G532" s="3">
        <f t="shared" ca="1" si="17"/>
        <v>17.113499221461247</v>
      </c>
      <c r="H532" s="2"/>
      <c r="I532" s="2"/>
      <c r="J532" s="2"/>
      <c r="K532" s="2"/>
    </row>
    <row r="533" spans="5:11" x14ac:dyDescent="0.25">
      <c r="E533" s="3">
        <f t="shared" ca="1" si="16"/>
        <v>0.80792155692651679</v>
      </c>
      <c r="F533" s="3">
        <f t="shared" ca="1" si="16"/>
        <v>0.67496155788170265</v>
      </c>
      <c r="G533" s="3">
        <f t="shared" ca="1" si="17"/>
        <v>7.0611784068708205</v>
      </c>
      <c r="H533" s="2"/>
      <c r="I533" s="2"/>
      <c r="J533" s="2"/>
      <c r="K533" s="2"/>
    </row>
    <row r="534" spans="5:11" x14ac:dyDescent="0.25">
      <c r="E534" s="3">
        <f t="shared" ca="1" si="16"/>
        <v>0.96120793554879214</v>
      </c>
      <c r="F534" s="3">
        <f t="shared" ca="1" si="16"/>
        <v>0.81957298623566555</v>
      </c>
      <c r="G534" s="3">
        <f t="shared" ca="1" si="17"/>
        <v>11.182446184191095</v>
      </c>
      <c r="H534" s="2"/>
      <c r="I534" s="2"/>
      <c r="J534" s="2"/>
      <c r="K534" s="2"/>
    </row>
    <row r="535" spans="5:11" x14ac:dyDescent="0.25">
      <c r="E535" s="3">
        <f t="shared" ca="1" si="16"/>
        <v>0.77050537863401958</v>
      </c>
      <c r="F535" s="3">
        <f t="shared" ca="1" si="16"/>
        <v>0.47060132284061962</v>
      </c>
      <c r="G535" s="3">
        <f t="shared" ca="1" si="17"/>
        <v>4.3540532468427724</v>
      </c>
      <c r="H535" s="2"/>
      <c r="I535" s="2"/>
      <c r="J535" s="2"/>
      <c r="K535" s="2"/>
    </row>
    <row r="536" spans="5:11" x14ac:dyDescent="0.25">
      <c r="E536" s="3">
        <f t="shared" ca="1" si="16"/>
        <v>0.98482460230095026</v>
      </c>
      <c r="F536" s="3">
        <f t="shared" ca="1" si="16"/>
        <v>7.6650624762097941E-2</v>
      </c>
      <c r="G536" s="3">
        <f t="shared" ca="1" si="17"/>
        <v>8.9925193099861271</v>
      </c>
      <c r="H536" s="2"/>
      <c r="I536" s="2"/>
      <c r="J536" s="2"/>
      <c r="K536" s="2"/>
    </row>
    <row r="537" spans="5:11" x14ac:dyDescent="0.25">
      <c r="E537" s="3">
        <f t="shared" ca="1" si="16"/>
        <v>0.94921832906589709</v>
      </c>
      <c r="F537" s="3">
        <f t="shared" ca="1" si="16"/>
        <v>0.1129332025471923</v>
      </c>
      <c r="G537" s="3">
        <f t="shared" ca="1" si="17"/>
        <v>6.1539606603496892</v>
      </c>
      <c r="H537" s="2"/>
      <c r="I537" s="2"/>
      <c r="J537" s="2"/>
      <c r="K537" s="2"/>
    </row>
    <row r="538" spans="5:11" x14ac:dyDescent="0.25">
      <c r="E538" s="3">
        <f t="shared" ca="1" si="16"/>
        <v>0.17437636953745861</v>
      </c>
      <c r="F538" s="3">
        <f t="shared" ca="1" si="16"/>
        <v>0.58940316086170974</v>
      </c>
      <c r="G538" s="3">
        <f t="shared" ca="1" si="17"/>
        <v>8.9062830107314284</v>
      </c>
      <c r="H538" s="2"/>
      <c r="I538" s="2"/>
      <c r="J538" s="2"/>
      <c r="K538" s="2"/>
    </row>
    <row r="539" spans="5:11" x14ac:dyDescent="0.25">
      <c r="E539" s="3">
        <f t="shared" ca="1" si="16"/>
        <v>0.19612669806051231</v>
      </c>
      <c r="F539" s="3">
        <f t="shared" ca="1" si="16"/>
        <v>0.82715147898525909</v>
      </c>
      <c r="G539" s="3">
        <f t="shared" ca="1" si="17"/>
        <v>11.262597363262728</v>
      </c>
      <c r="H539" s="2"/>
      <c r="I539" s="2"/>
      <c r="J539" s="2"/>
      <c r="K539" s="2"/>
    </row>
    <row r="540" spans="5:11" x14ac:dyDescent="0.25">
      <c r="E540" s="3">
        <f t="shared" ca="1" si="16"/>
        <v>0.22269996449056917</v>
      </c>
      <c r="F540" s="3">
        <f t="shared" ca="1" si="16"/>
        <v>0.36818948203571589</v>
      </c>
      <c r="G540" s="3">
        <f t="shared" ca="1" si="17"/>
        <v>6.6663140854341165</v>
      </c>
      <c r="H540" s="2"/>
      <c r="I540" s="2"/>
      <c r="J540" s="2"/>
      <c r="K540" s="2"/>
    </row>
    <row r="541" spans="5:11" x14ac:dyDescent="0.25">
      <c r="E541" s="3">
        <f t="shared" ca="1" si="16"/>
        <v>0.8925975380583745</v>
      </c>
      <c r="F541" s="3">
        <f t="shared" ca="1" si="16"/>
        <v>0.64660168404101936</v>
      </c>
      <c r="G541" s="3">
        <f t="shared" ca="1" si="17"/>
        <v>7.4852859862490559</v>
      </c>
      <c r="H541" s="2"/>
      <c r="I541" s="2"/>
      <c r="J541" s="2"/>
      <c r="K541" s="2"/>
    </row>
    <row r="542" spans="5:11" x14ac:dyDescent="0.25">
      <c r="E542" s="3">
        <f t="shared" ca="1" si="16"/>
        <v>0.27883162429380093</v>
      </c>
      <c r="F542" s="3">
        <f t="shared" ca="1" si="16"/>
        <v>0.40302026780252365</v>
      </c>
      <c r="G542" s="3">
        <f t="shared" ca="1" si="17"/>
        <v>6.1042227013889772</v>
      </c>
      <c r="H542" s="2"/>
      <c r="I542" s="2"/>
      <c r="J542" s="2"/>
      <c r="K542" s="2"/>
    </row>
    <row r="543" spans="5:11" x14ac:dyDescent="0.25">
      <c r="E543" s="3">
        <f t="shared" ca="1" si="16"/>
        <v>0.42767325921562149</v>
      </c>
      <c r="F543" s="3">
        <f t="shared" ca="1" si="16"/>
        <v>0.99074531229866247</v>
      </c>
      <c r="G543" s="3">
        <f t="shared" ca="1" si="17"/>
        <v>16.549237007474588</v>
      </c>
      <c r="H543" s="2"/>
      <c r="I543" s="2"/>
      <c r="J543" s="2"/>
      <c r="K543" s="2"/>
    </row>
    <row r="544" spans="5:11" x14ac:dyDescent="0.25">
      <c r="E544" s="3">
        <f t="shared" ca="1" si="16"/>
        <v>0.12337369020189592</v>
      </c>
      <c r="F544" s="3">
        <f t="shared" ca="1" si="16"/>
        <v>0.86748550748964037</v>
      </c>
      <c r="G544" s="3">
        <f t="shared" ca="1" si="17"/>
        <v>12.859611979803011</v>
      </c>
      <c r="H544" s="2"/>
      <c r="I544" s="2"/>
      <c r="J544" s="2"/>
      <c r="K544" s="2"/>
    </row>
    <row r="545" spans="5:11" x14ac:dyDescent="0.25">
      <c r="E545" s="3">
        <f t="shared" ca="1" si="16"/>
        <v>0.7994141519161222</v>
      </c>
      <c r="F545" s="3">
        <f t="shared" ca="1" si="16"/>
        <v>0.47029234457965674</v>
      </c>
      <c r="G545" s="3">
        <f t="shared" ca="1" si="17"/>
        <v>4.5408035689711461</v>
      </c>
      <c r="H545" s="2"/>
      <c r="I545" s="2"/>
      <c r="J545" s="2"/>
      <c r="K545" s="2"/>
    </row>
    <row r="546" spans="5:11" x14ac:dyDescent="0.25">
      <c r="E546" s="3">
        <f t="shared" ca="1" si="16"/>
        <v>0.31363737511181844</v>
      </c>
      <c r="F546" s="3">
        <f t="shared" ca="1" si="16"/>
        <v>0.97839576551209984</v>
      </c>
      <c r="G546" s="3">
        <f t="shared" ca="1" si="17"/>
        <v>15.307602259479159</v>
      </c>
      <c r="H546" s="2"/>
      <c r="I546" s="2"/>
      <c r="J546" s="2"/>
      <c r="K546" s="2"/>
    </row>
    <row r="547" spans="5:11" x14ac:dyDescent="0.25">
      <c r="E547" s="3">
        <f t="shared" ca="1" si="16"/>
        <v>0.91646641241690674</v>
      </c>
      <c r="F547" s="3">
        <f t="shared" ca="1" si="16"/>
        <v>0.78991927062896294</v>
      </c>
      <c r="G547" s="3">
        <f t="shared" ca="1" si="17"/>
        <v>9.6980752604488512</v>
      </c>
      <c r="H547" s="2"/>
      <c r="I547" s="2"/>
      <c r="J547" s="2"/>
      <c r="K547" s="2"/>
    </row>
    <row r="548" spans="5:11" x14ac:dyDescent="0.25">
      <c r="E548" s="3">
        <f t="shared" ca="1" si="16"/>
        <v>0.58133805930676741</v>
      </c>
      <c r="F548" s="3">
        <f t="shared" ca="1" si="16"/>
        <v>0.71900657038066029</v>
      </c>
      <c r="G548" s="3">
        <f t="shared" ca="1" si="17"/>
        <v>7.4687361586470633</v>
      </c>
      <c r="H548" s="2"/>
      <c r="I548" s="2"/>
      <c r="J548" s="2"/>
      <c r="K548" s="2"/>
    </row>
    <row r="549" spans="5:11" x14ac:dyDescent="0.25">
      <c r="E549" s="3">
        <f t="shared" ca="1" si="16"/>
        <v>0.83403174004379566</v>
      </c>
      <c r="F549" s="3">
        <f t="shared" ca="1" si="16"/>
        <v>0.32915774408731346</v>
      </c>
      <c r="G549" s="3">
        <f t="shared" ca="1" si="17"/>
        <v>3.4522512164190018</v>
      </c>
      <c r="H549" s="2"/>
      <c r="I549" s="2"/>
      <c r="J549" s="2"/>
      <c r="K549" s="2"/>
    </row>
    <row r="550" spans="5:11" x14ac:dyDescent="0.25">
      <c r="E550" s="3">
        <f t="shared" ca="1" si="16"/>
        <v>0.15150100796123778</v>
      </c>
      <c r="F550" s="3">
        <f t="shared" ca="1" si="16"/>
        <v>0.22486538644369081</v>
      </c>
      <c r="G550" s="3">
        <f t="shared" ca="1" si="17"/>
        <v>7.4226554832545446</v>
      </c>
      <c r="H550" s="2"/>
      <c r="I550" s="2"/>
      <c r="J550" s="2"/>
      <c r="K550" s="2"/>
    </row>
    <row r="551" spans="5:11" x14ac:dyDescent="0.25">
      <c r="E551" s="3">
        <f t="shared" ca="1" si="16"/>
        <v>0.71025226944419129</v>
      </c>
      <c r="F551" s="3">
        <f t="shared" ca="1" si="16"/>
        <v>0.27894877884307889</v>
      </c>
      <c r="G551" s="3">
        <f t="shared" ca="1" si="17"/>
        <v>1.6288675361662377</v>
      </c>
      <c r="H551" s="2"/>
      <c r="I551" s="2"/>
      <c r="J551" s="2"/>
      <c r="K551" s="2"/>
    </row>
    <row r="552" spans="5:11" x14ac:dyDescent="0.25">
      <c r="E552" s="3">
        <f t="shared" ca="1" si="16"/>
        <v>0.59451227993590827</v>
      </c>
      <c r="F552" s="3">
        <f t="shared" ca="1" si="16"/>
        <v>0.80470285486518389</v>
      </c>
      <c r="G552" s="3">
        <f t="shared" ca="1" si="17"/>
        <v>8.8247192296960719</v>
      </c>
      <c r="H552" s="2"/>
      <c r="I552" s="2"/>
      <c r="J552" s="2"/>
      <c r="K552" s="2"/>
    </row>
    <row r="553" spans="5:11" x14ac:dyDescent="0.25">
      <c r="E553" s="3">
        <f t="shared" ca="1" si="16"/>
        <v>0.8511291748477875</v>
      </c>
      <c r="F553" s="3">
        <f t="shared" ca="1" si="16"/>
        <v>0.11248023073919655</v>
      </c>
      <c r="G553" s="3">
        <f t="shared" ca="1" si="17"/>
        <v>3.3687904806376001</v>
      </c>
      <c r="H553" s="2"/>
      <c r="I553" s="2"/>
      <c r="J553" s="2"/>
      <c r="K553" s="2"/>
    </row>
    <row r="554" spans="5:11" x14ac:dyDescent="0.25">
      <c r="E554" s="3">
        <f t="shared" ca="1" si="16"/>
        <v>0.29069888263206223</v>
      </c>
      <c r="F554" s="3">
        <f t="shared" ca="1" si="16"/>
        <v>5.8553697369865376E-2</v>
      </c>
      <c r="G554" s="3">
        <f t="shared" ca="1" si="17"/>
        <v>6.0245568758696217</v>
      </c>
      <c r="H554" s="2"/>
      <c r="I554" s="2"/>
      <c r="J554" s="2"/>
      <c r="K554" s="2"/>
    </row>
    <row r="555" spans="5:11" x14ac:dyDescent="0.25">
      <c r="E555" s="3">
        <f t="shared" ca="1" si="16"/>
        <v>0.64901555651388931</v>
      </c>
      <c r="F555" s="3">
        <f t="shared" ca="1" si="16"/>
        <v>0.39897047730669966</v>
      </c>
      <c r="G555" s="3">
        <f t="shared" ca="1" si="17"/>
        <v>3.2066408654585636</v>
      </c>
      <c r="H555" s="2"/>
      <c r="I555" s="2"/>
      <c r="J555" s="2"/>
      <c r="K555" s="2"/>
    </row>
    <row r="556" spans="5:11" x14ac:dyDescent="0.25">
      <c r="E556" s="3">
        <f t="shared" ca="1" si="16"/>
        <v>0.45537274408177153</v>
      </c>
      <c r="F556" s="3">
        <f t="shared" ca="1" si="16"/>
        <v>0.67142995058873567</v>
      </c>
      <c r="G556" s="3">
        <f t="shared" ca="1" si="17"/>
        <v>7.2520112963733734</v>
      </c>
      <c r="H556" s="2"/>
      <c r="I556" s="2"/>
      <c r="J556" s="2"/>
      <c r="K556" s="2"/>
    </row>
    <row r="557" spans="5:11" x14ac:dyDescent="0.25">
      <c r="E557" s="3">
        <f t="shared" ca="1" si="16"/>
        <v>0.68664991563591626</v>
      </c>
      <c r="F557" s="3">
        <f t="shared" ca="1" si="16"/>
        <v>4.9815845868757425E-2</v>
      </c>
      <c r="G557" s="3">
        <f t="shared" ca="1" si="17"/>
        <v>3.7680957818505201</v>
      </c>
      <c r="H557" s="2"/>
      <c r="I557" s="2"/>
      <c r="J557" s="2"/>
      <c r="K557" s="2"/>
    </row>
    <row r="558" spans="5:11" x14ac:dyDescent="0.25">
      <c r="E558" s="3">
        <f t="shared" ca="1" si="16"/>
        <v>0.78647924838722261</v>
      </c>
      <c r="F558" s="3">
        <f t="shared" ca="1" si="16"/>
        <v>0.23268863842419374</v>
      </c>
      <c r="G558" s="3">
        <f t="shared" ca="1" si="17"/>
        <v>1.9153071803844288</v>
      </c>
      <c r="H558" s="2"/>
      <c r="I558" s="2"/>
      <c r="J558" s="2"/>
      <c r="K558" s="2"/>
    </row>
    <row r="559" spans="5:11" x14ac:dyDescent="0.25">
      <c r="E559" s="3">
        <f t="shared" ca="1" si="16"/>
        <v>0.36826395326285255</v>
      </c>
      <c r="F559" s="3">
        <f t="shared" ca="1" si="16"/>
        <v>0.83569895891711032</v>
      </c>
      <c r="G559" s="3">
        <f t="shared" ca="1" si="17"/>
        <v>10.143796767401749</v>
      </c>
      <c r="H559" s="2"/>
      <c r="I559" s="2"/>
      <c r="J559" s="2"/>
      <c r="K559" s="2"/>
    </row>
    <row r="560" spans="5:11" x14ac:dyDescent="0.25">
      <c r="E560" s="3">
        <f t="shared" ca="1" si="16"/>
        <v>0.11035205035301709</v>
      </c>
      <c r="F560" s="3">
        <f t="shared" ca="1" si="16"/>
        <v>0.14278072910457118</v>
      </c>
      <c r="G560" s="3">
        <f t="shared" ca="1" si="17"/>
        <v>8.4087405098313752</v>
      </c>
      <c r="H560" s="2"/>
      <c r="I560" s="2"/>
      <c r="J560" s="2"/>
      <c r="K560" s="2"/>
    </row>
    <row r="561" spans="5:11" x14ac:dyDescent="0.25">
      <c r="E561" s="3">
        <f t="shared" ca="1" si="16"/>
        <v>0.71299442246578026</v>
      </c>
      <c r="F561" s="3">
        <f t="shared" ca="1" si="16"/>
        <v>0.30791820205658371</v>
      </c>
      <c r="G561" s="3">
        <f t="shared" ca="1" si="17"/>
        <v>2.042449340240581</v>
      </c>
      <c r="H561" s="2"/>
      <c r="I561" s="2"/>
      <c r="J561" s="2"/>
      <c r="K561" s="2"/>
    </row>
    <row r="562" spans="5:11" x14ac:dyDescent="0.25">
      <c r="E562" s="3">
        <f t="shared" ca="1" si="16"/>
        <v>0.42838121518799177</v>
      </c>
      <c r="F562" s="3">
        <f t="shared" ca="1" si="16"/>
        <v>0.85230475269127237</v>
      </c>
      <c r="G562" s="3">
        <f t="shared" ca="1" si="17"/>
        <v>10.198188096025198</v>
      </c>
      <c r="H562" s="2"/>
      <c r="I562" s="2"/>
      <c r="J562" s="2"/>
      <c r="K562" s="2"/>
    </row>
    <row r="563" spans="5:11" x14ac:dyDescent="0.25">
      <c r="E563" s="3">
        <f t="shared" ca="1" si="16"/>
        <v>0.86790394856774722</v>
      </c>
      <c r="F563" s="3">
        <f t="shared" ca="1" si="16"/>
        <v>0.41100575734949207</v>
      </c>
      <c r="G563" s="3">
        <f t="shared" ca="1" si="17"/>
        <v>4.728784277563002</v>
      </c>
      <c r="H563" s="2"/>
      <c r="I563" s="2"/>
      <c r="J563" s="2"/>
      <c r="K563" s="2"/>
    </row>
    <row r="564" spans="5:11" x14ac:dyDescent="0.25">
      <c r="E564" s="3">
        <f t="shared" ca="1" si="16"/>
        <v>0.47023331767490661</v>
      </c>
      <c r="F564" s="3">
        <f t="shared" ca="1" si="16"/>
        <v>0.40445815041519739</v>
      </c>
      <c r="G564" s="3">
        <f t="shared" ca="1" si="17"/>
        <v>4.1791256567516939</v>
      </c>
      <c r="H564" s="2"/>
      <c r="I564" s="2"/>
      <c r="J564" s="2"/>
      <c r="K564" s="2"/>
    </row>
    <row r="565" spans="5:11" x14ac:dyDescent="0.25">
      <c r="E565" s="3">
        <f t="shared" ca="1" si="16"/>
        <v>0.19215307526097491</v>
      </c>
      <c r="F565" s="3">
        <f t="shared" ca="1" si="16"/>
        <v>0.50848016659710682</v>
      </c>
      <c r="G565" s="3">
        <f t="shared" ca="1" si="17"/>
        <v>8.0233749950223743</v>
      </c>
      <c r="H565" s="2"/>
      <c r="I565" s="2"/>
      <c r="J565" s="2"/>
      <c r="K565" s="2"/>
    </row>
    <row r="566" spans="5:11" x14ac:dyDescent="0.25">
      <c r="E566" s="3">
        <f t="shared" ca="1" si="16"/>
        <v>8.7152357297605398E-2</v>
      </c>
      <c r="F566" s="3">
        <f t="shared" ca="1" si="16"/>
        <v>0.11093387443808744</v>
      </c>
      <c r="G566" s="3">
        <f t="shared" ca="1" si="17"/>
        <v>9.1801703358135569</v>
      </c>
      <c r="H566" s="2"/>
      <c r="I566" s="2"/>
      <c r="J566" s="2"/>
      <c r="K566" s="2"/>
    </row>
    <row r="567" spans="5:11" x14ac:dyDescent="0.25">
      <c r="E567" s="3">
        <f t="shared" ca="1" si="16"/>
        <v>0.43449669283211256</v>
      </c>
      <c r="F567" s="3">
        <f t="shared" ca="1" si="16"/>
        <v>0.5048148500690941</v>
      </c>
      <c r="G567" s="3">
        <f t="shared" ca="1" si="17"/>
        <v>5.4697757968347718</v>
      </c>
      <c r="H567" s="2"/>
      <c r="I567" s="2"/>
      <c r="J567" s="2"/>
      <c r="K567" s="2"/>
    </row>
    <row r="568" spans="5:11" x14ac:dyDescent="0.25">
      <c r="E568" s="3">
        <f t="shared" ca="1" si="16"/>
        <v>9.455369193908969E-2</v>
      </c>
      <c r="F568" s="3">
        <f t="shared" ca="1" si="16"/>
        <v>0.96766048585305264</v>
      </c>
      <c r="G568" s="3">
        <f t="shared" ca="1" si="17"/>
        <v>16.292491107634856</v>
      </c>
      <c r="H568" s="2"/>
      <c r="I568" s="2"/>
      <c r="J568" s="2"/>
      <c r="K568" s="2"/>
    </row>
    <row r="569" spans="5:11" x14ac:dyDescent="0.25">
      <c r="E569" s="3">
        <f t="shared" ca="1" si="16"/>
        <v>6.9567332078473654E-2</v>
      </c>
      <c r="F569" s="3">
        <f t="shared" ca="1" si="16"/>
        <v>0.6730245111289771</v>
      </c>
      <c r="G569" s="3">
        <f t="shared" ca="1" si="17"/>
        <v>11.742445899760286</v>
      </c>
      <c r="H569" s="2"/>
      <c r="I569" s="2"/>
      <c r="J569" s="2"/>
      <c r="K569" s="2"/>
    </row>
    <row r="570" spans="5:11" x14ac:dyDescent="0.25">
      <c r="E570" s="3">
        <f t="shared" ca="1" si="16"/>
        <v>0.61805970651195019</v>
      </c>
      <c r="F570" s="3">
        <f t="shared" ca="1" si="16"/>
        <v>0.60074413696401585</v>
      </c>
      <c r="G570" s="3">
        <f t="shared" ca="1" si="17"/>
        <v>5.7936023401604047</v>
      </c>
      <c r="H570" s="2"/>
      <c r="I570" s="2"/>
      <c r="J570" s="2"/>
      <c r="K570" s="2"/>
    </row>
    <row r="571" spans="5:11" x14ac:dyDescent="0.25">
      <c r="E571" s="3">
        <f t="shared" ca="1" si="16"/>
        <v>8.2577327330042971E-2</v>
      </c>
      <c r="F571" s="3">
        <f t="shared" ca="1" si="16"/>
        <v>0.54858472010570569</v>
      </c>
      <c r="G571" s="3">
        <f t="shared" ca="1" si="17"/>
        <v>10.492114720422251</v>
      </c>
      <c r="H571" s="2"/>
      <c r="I571" s="2"/>
      <c r="J571" s="2"/>
      <c r="K571" s="2"/>
    </row>
    <row r="572" spans="5:11" x14ac:dyDescent="0.25">
      <c r="E572" s="3">
        <f t="shared" ca="1" si="16"/>
        <v>0.39348701780680906</v>
      </c>
      <c r="F572" s="3">
        <f t="shared" ca="1" si="16"/>
        <v>0.91542776171941842</v>
      </c>
      <c r="G572" s="3">
        <f t="shared" ca="1" si="17"/>
        <v>11.899719035849953</v>
      </c>
      <c r="H572" s="2"/>
      <c r="I572" s="2"/>
      <c r="J572" s="2"/>
      <c r="K572" s="2"/>
    </row>
    <row r="573" spans="5:11" x14ac:dyDescent="0.25">
      <c r="E573" s="3">
        <f t="shared" ca="1" si="16"/>
        <v>0.98403850736857423</v>
      </c>
      <c r="F573" s="3">
        <f t="shared" ca="1" si="16"/>
        <v>0.75348339520603502</v>
      </c>
      <c r="G573" s="3">
        <f t="shared" ca="1" si="17"/>
        <v>11.592684424005723</v>
      </c>
      <c r="H573" s="2"/>
      <c r="I573" s="2"/>
      <c r="J573" s="2"/>
      <c r="K573" s="2"/>
    </row>
    <row r="574" spans="5:11" x14ac:dyDescent="0.25">
      <c r="E574" s="3">
        <f t="shared" ca="1" si="16"/>
        <v>0.3960031366194513</v>
      </c>
      <c r="F574" s="3">
        <f t="shared" ca="1" si="16"/>
        <v>0.45739296326575163</v>
      </c>
      <c r="G574" s="3">
        <f t="shared" ca="1" si="17"/>
        <v>5.3056297449145866</v>
      </c>
      <c r="H574" s="2"/>
      <c r="I574" s="2"/>
      <c r="J574" s="2"/>
      <c r="K574" s="2"/>
    </row>
    <row r="575" spans="5:11" x14ac:dyDescent="0.25">
      <c r="E575" s="3">
        <f t="shared" ca="1" si="16"/>
        <v>0.64722031681112913</v>
      </c>
      <c r="F575" s="3">
        <f t="shared" ca="1" si="16"/>
        <v>6.1359689297418751E-2</v>
      </c>
      <c r="G575" s="3">
        <f t="shared" ca="1" si="17"/>
        <v>3.2662529479032925</v>
      </c>
      <c r="H575" s="2"/>
      <c r="I575" s="2"/>
      <c r="J575" s="2"/>
      <c r="K575" s="2"/>
    </row>
    <row r="576" spans="5:11" x14ac:dyDescent="0.25">
      <c r="E576" s="3">
        <f t="shared" ca="1" si="16"/>
        <v>0.44542235654126516</v>
      </c>
      <c r="F576" s="3">
        <f t="shared" ca="1" si="16"/>
        <v>8.9478743472278022E-2</v>
      </c>
      <c r="G576" s="3">
        <f t="shared" ca="1" si="17"/>
        <v>3.6914236643139517</v>
      </c>
      <c r="H576" s="2"/>
      <c r="I576" s="2"/>
      <c r="J576" s="2"/>
      <c r="K576" s="2"/>
    </row>
    <row r="577" spans="5:11" x14ac:dyDescent="0.25">
      <c r="E577" s="3">
        <f t="shared" ca="1" si="16"/>
        <v>0.49739950389170795</v>
      </c>
      <c r="F577" s="3">
        <f t="shared" ca="1" si="16"/>
        <v>0.93233235454988261</v>
      </c>
      <c r="G577" s="3">
        <f t="shared" ca="1" si="17"/>
        <v>12.151405413429284</v>
      </c>
      <c r="H577" s="2"/>
      <c r="I577" s="2"/>
      <c r="J577" s="2"/>
      <c r="K577" s="2"/>
    </row>
    <row r="578" spans="5:11" x14ac:dyDescent="0.25">
      <c r="E578" s="3">
        <f t="shared" ca="1" si="16"/>
        <v>0.48975831212116083</v>
      </c>
      <c r="F578" s="3">
        <f t="shared" ca="1" si="16"/>
        <v>0.59440190723799446</v>
      </c>
      <c r="G578" s="3">
        <f t="shared" ca="1" si="17"/>
        <v>6.1397360902507314</v>
      </c>
      <c r="H578" s="2"/>
      <c r="I578" s="2"/>
      <c r="J578" s="2"/>
      <c r="K578" s="2"/>
    </row>
    <row r="579" spans="5:11" x14ac:dyDescent="0.25">
      <c r="E579" s="3">
        <f t="shared" ca="1" si="16"/>
        <v>2.5384691778700064E-2</v>
      </c>
      <c r="F579" s="3">
        <f t="shared" ca="1" si="16"/>
        <v>0.42022454238265039</v>
      </c>
      <c r="G579" s="3">
        <f t="shared" ca="1" si="17"/>
        <v>12.496992313893211</v>
      </c>
      <c r="H579" s="2"/>
      <c r="I579" s="2"/>
      <c r="J579" s="2"/>
      <c r="K579" s="2"/>
    </row>
    <row r="580" spans="5:11" x14ac:dyDescent="0.25">
      <c r="E580" s="3">
        <f t="shared" ref="E580:F643" ca="1" si="18">RAND()</f>
        <v>0.12773554189733849</v>
      </c>
      <c r="F580" s="3">
        <f t="shared" ca="1" si="18"/>
        <v>0.45962796587057775</v>
      </c>
      <c r="G580" s="3">
        <f t="shared" ref="G580:G643" ca="1" si="19">SQRT(_xlfn.NORM.INV(E580,$C$3*COS($C$6),$C$4)^2+_xlfn.NORM.INV(F580,$C$3*SIN($C$6),$C$4)^2)</f>
        <v>8.8617484854824102</v>
      </c>
      <c r="H580" s="2"/>
      <c r="I580" s="2"/>
      <c r="J580" s="2"/>
      <c r="K580" s="2"/>
    </row>
    <row r="581" spans="5:11" x14ac:dyDescent="0.25">
      <c r="E581" s="3">
        <f t="shared" ca="1" si="18"/>
        <v>0.38839575868240783</v>
      </c>
      <c r="F581" s="3">
        <f t="shared" ca="1" si="18"/>
        <v>0.34159576712300688</v>
      </c>
      <c r="G581" s="3">
        <f t="shared" ca="1" si="19"/>
        <v>4.3911499455030345</v>
      </c>
      <c r="H581" s="2"/>
      <c r="I581" s="2"/>
      <c r="J581" s="2"/>
      <c r="K581" s="2"/>
    </row>
    <row r="582" spans="5:11" x14ac:dyDescent="0.25">
      <c r="E582" s="3">
        <f t="shared" ca="1" si="18"/>
        <v>0.32992865765120916</v>
      </c>
      <c r="F582" s="3">
        <f t="shared" ca="1" si="18"/>
        <v>0.72187081674668085</v>
      </c>
      <c r="G582" s="3">
        <f t="shared" ca="1" si="19"/>
        <v>8.6405938476033608</v>
      </c>
      <c r="H582" s="2"/>
      <c r="I582" s="2"/>
      <c r="J582" s="2"/>
      <c r="K582" s="2"/>
    </row>
    <row r="583" spans="5:11" x14ac:dyDescent="0.25">
      <c r="E583" s="3">
        <f t="shared" ca="1" si="18"/>
        <v>0.22466181772351856</v>
      </c>
      <c r="F583" s="3">
        <f t="shared" ca="1" si="18"/>
        <v>0.56113002738081641</v>
      </c>
      <c r="G583" s="3">
        <f t="shared" ca="1" si="19"/>
        <v>7.9828759902957804</v>
      </c>
      <c r="H583" s="2"/>
      <c r="I583" s="2"/>
      <c r="J583" s="2"/>
      <c r="K583" s="2"/>
    </row>
    <row r="584" spans="5:11" x14ac:dyDescent="0.25">
      <c r="E584" s="3">
        <f t="shared" ca="1" si="18"/>
        <v>0.7095081958119851</v>
      </c>
      <c r="F584" s="3">
        <f t="shared" ca="1" si="18"/>
        <v>0.39275191234270346</v>
      </c>
      <c r="G584" s="3">
        <f t="shared" ca="1" si="19"/>
        <v>3.1522953786410559</v>
      </c>
      <c r="H584" s="2"/>
      <c r="I584" s="2"/>
      <c r="J584" s="2"/>
      <c r="K584" s="2"/>
    </row>
    <row r="585" spans="5:11" x14ac:dyDescent="0.25">
      <c r="E585" s="3">
        <f t="shared" ca="1" si="18"/>
        <v>0.81992188239095309</v>
      </c>
      <c r="F585" s="3">
        <f t="shared" ca="1" si="18"/>
        <v>0.26362754076039385</v>
      </c>
      <c r="G585" s="3">
        <f t="shared" ca="1" si="19"/>
        <v>2.6768442968179995</v>
      </c>
      <c r="H585" s="2"/>
      <c r="I585" s="2"/>
      <c r="J585" s="2"/>
      <c r="K585" s="2"/>
    </row>
    <row r="586" spans="5:11" x14ac:dyDescent="0.25">
      <c r="E586" s="3">
        <f t="shared" ca="1" si="18"/>
        <v>0.50648768028017899</v>
      </c>
      <c r="F586" s="3">
        <f t="shared" ca="1" si="18"/>
        <v>0.34471203299811159</v>
      </c>
      <c r="G586" s="3">
        <f t="shared" ca="1" si="19"/>
        <v>3.2819665482518294</v>
      </c>
      <c r="H586" s="2"/>
      <c r="I586" s="2"/>
      <c r="J586" s="2"/>
      <c r="K586" s="2"/>
    </row>
    <row r="587" spans="5:11" x14ac:dyDescent="0.25">
      <c r="E587" s="3">
        <f t="shared" ca="1" si="18"/>
        <v>0.29912697106664032</v>
      </c>
      <c r="F587" s="3">
        <f t="shared" ca="1" si="18"/>
        <v>2.9099389786194529E-2</v>
      </c>
      <c r="G587" s="3">
        <f t="shared" ca="1" si="19"/>
        <v>6.9839120465515006</v>
      </c>
      <c r="H587" s="2"/>
      <c r="I587" s="2"/>
      <c r="J587" s="2"/>
      <c r="K587" s="2"/>
    </row>
    <row r="588" spans="5:11" x14ac:dyDescent="0.25">
      <c r="E588" s="3">
        <f t="shared" ca="1" si="18"/>
        <v>0.34892764665688547</v>
      </c>
      <c r="F588" s="3">
        <f t="shared" ca="1" si="18"/>
        <v>0.13624700097572573</v>
      </c>
      <c r="G588" s="3">
        <f t="shared" ca="1" si="19"/>
        <v>4.3032828830002181</v>
      </c>
      <c r="H588" s="2"/>
      <c r="I588" s="2"/>
      <c r="J588" s="2"/>
      <c r="K588" s="2"/>
    </row>
    <row r="589" spans="5:11" x14ac:dyDescent="0.25">
      <c r="E589" s="3">
        <f t="shared" ca="1" si="18"/>
        <v>0.4191893056631959</v>
      </c>
      <c r="F589" s="3">
        <f t="shared" ca="1" si="18"/>
        <v>0.66330390762210956</v>
      </c>
      <c r="G589" s="3">
        <f t="shared" ca="1" si="19"/>
        <v>7.3411200294671968</v>
      </c>
      <c r="H589" s="2"/>
      <c r="I589" s="2"/>
      <c r="J589" s="2"/>
      <c r="K589" s="2"/>
    </row>
    <row r="590" spans="5:11" x14ac:dyDescent="0.25">
      <c r="E590" s="3">
        <f t="shared" ca="1" si="18"/>
        <v>0.26759309295372469</v>
      </c>
      <c r="F590" s="3">
        <f t="shared" ca="1" si="18"/>
        <v>0.1060939886965212</v>
      </c>
      <c r="G590" s="3">
        <f t="shared" ca="1" si="19"/>
        <v>5.6258973406644115</v>
      </c>
      <c r="H590" s="2"/>
      <c r="I590" s="2"/>
      <c r="J590" s="2"/>
      <c r="K590" s="2"/>
    </row>
    <row r="591" spans="5:11" x14ac:dyDescent="0.25">
      <c r="E591" s="3">
        <f t="shared" ca="1" si="18"/>
        <v>0.24838381456061165</v>
      </c>
      <c r="F591" s="3">
        <f t="shared" ca="1" si="18"/>
        <v>0.37294022581705077</v>
      </c>
      <c r="G591" s="3">
        <f t="shared" ca="1" si="19"/>
        <v>6.317480058141542</v>
      </c>
      <c r="H591" s="2"/>
      <c r="I591" s="2"/>
      <c r="J591" s="2"/>
      <c r="K591" s="2"/>
    </row>
    <row r="592" spans="5:11" x14ac:dyDescent="0.25">
      <c r="E592" s="3">
        <f t="shared" ca="1" si="18"/>
        <v>0.38467728560991155</v>
      </c>
      <c r="F592" s="3">
        <f t="shared" ca="1" si="18"/>
        <v>0.83621859172469004</v>
      </c>
      <c r="G592" s="3">
        <f t="shared" ca="1" si="19"/>
        <v>10.071943379594124</v>
      </c>
      <c r="H592" s="2"/>
      <c r="I592" s="2"/>
      <c r="J592" s="2"/>
      <c r="K592" s="2"/>
    </row>
    <row r="593" spans="5:11" x14ac:dyDescent="0.25">
      <c r="E593" s="3">
        <f t="shared" ca="1" si="18"/>
        <v>0.58217012309431848</v>
      </c>
      <c r="F593" s="3">
        <f t="shared" ca="1" si="18"/>
        <v>0.62204141451540296</v>
      </c>
      <c r="G593" s="3">
        <f t="shared" ca="1" si="19"/>
        <v>6.1431833151473896</v>
      </c>
      <c r="H593" s="2"/>
      <c r="I593" s="2"/>
      <c r="J593" s="2"/>
      <c r="K593" s="2"/>
    </row>
    <row r="594" spans="5:11" x14ac:dyDescent="0.25">
      <c r="E594" s="3">
        <f t="shared" ca="1" si="18"/>
        <v>2.6656494208041615E-2</v>
      </c>
      <c r="F594" s="3">
        <f t="shared" ca="1" si="18"/>
        <v>0.47789982522157159</v>
      </c>
      <c r="G594" s="3">
        <f t="shared" ca="1" si="19"/>
        <v>12.619179033292527</v>
      </c>
      <c r="H594" s="2"/>
      <c r="I594" s="2"/>
      <c r="J594" s="2"/>
      <c r="K594" s="2"/>
    </row>
    <row r="595" spans="5:11" x14ac:dyDescent="0.25">
      <c r="E595" s="3">
        <f t="shared" ca="1" si="18"/>
        <v>0.72596746784515997</v>
      </c>
      <c r="F595" s="3">
        <f t="shared" ca="1" si="18"/>
        <v>5.4150465376630041E-2</v>
      </c>
      <c r="G595" s="3">
        <f t="shared" ca="1" si="19"/>
        <v>3.6402503581415511</v>
      </c>
      <c r="H595" s="2"/>
      <c r="I595" s="2"/>
      <c r="J595" s="2"/>
      <c r="K595" s="2"/>
    </row>
    <row r="596" spans="5:11" x14ac:dyDescent="0.25">
      <c r="E596" s="3">
        <f t="shared" ca="1" si="18"/>
        <v>8.0626786941618067E-2</v>
      </c>
      <c r="F596" s="3">
        <f t="shared" ca="1" si="18"/>
        <v>0.68907369623672354</v>
      </c>
      <c r="G596" s="3">
        <f t="shared" ca="1" si="19"/>
        <v>11.557435592799841</v>
      </c>
      <c r="H596" s="2"/>
      <c r="I596" s="2"/>
      <c r="J596" s="2"/>
      <c r="K596" s="2"/>
    </row>
    <row r="597" spans="5:11" x14ac:dyDescent="0.25">
      <c r="E597" s="3">
        <f t="shared" ca="1" si="18"/>
        <v>0.97327920043391669</v>
      </c>
      <c r="F597" s="3">
        <f t="shared" ca="1" si="18"/>
        <v>0.15168483894320284</v>
      </c>
      <c r="G597" s="3">
        <f t="shared" ca="1" si="19"/>
        <v>7.4470706090447178</v>
      </c>
      <c r="H597" s="2"/>
      <c r="I597" s="2"/>
      <c r="J597" s="2"/>
      <c r="K597" s="2"/>
    </row>
    <row r="598" spans="5:11" x14ac:dyDescent="0.25">
      <c r="E598" s="3">
        <f t="shared" ca="1" si="18"/>
        <v>0.80830217534629523</v>
      </c>
      <c r="F598" s="3">
        <f t="shared" ca="1" si="18"/>
        <v>0.52228820226575656</v>
      </c>
      <c r="G598" s="3">
        <f t="shared" ca="1" si="19"/>
        <v>5.2002915659518569</v>
      </c>
      <c r="H598" s="2"/>
      <c r="I598" s="2"/>
      <c r="J598" s="2"/>
      <c r="K598" s="2"/>
    </row>
    <row r="599" spans="5:11" x14ac:dyDescent="0.25">
      <c r="E599" s="3">
        <f t="shared" ca="1" si="18"/>
        <v>0.33715786156362648</v>
      </c>
      <c r="F599" s="3">
        <f t="shared" ca="1" si="18"/>
        <v>0.76346851292569773</v>
      </c>
      <c r="G599" s="3">
        <f t="shared" ca="1" si="19"/>
        <v>9.1527190792801036</v>
      </c>
      <c r="H599" s="2"/>
      <c r="I599" s="2"/>
      <c r="J599" s="2"/>
      <c r="K599" s="2"/>
    </row>
    <row r="600" spans="5:11" x14ac:dyDescent="0.25">
      <c r="E600" s="3">
        <f t="shared" ca="1" si="18"/>
        <v>0.30207179365518555</v>
      </c>
      <c r="F600" s="3">
        <f t="shared" ca="1" si="18"/>
        <v>0.80718388730982515</v>
      </c>
      <c r="G600" s="3">
        <f t="shared" ca="1" si="19"/>
        <v>10.046481135069246</v>
      </c>
      <c r="H600" s="2"/>
      <c r="I600" s="2"/>
      <c r="J600" s="2"/>
      <c r="K600" s="2"/>
    </row>
    <row r="601" spans="5:11" x14ac:dyDescent="0.25">
      <c r="E601" s="3">
        <f t="shared" ca="1" si="18"/>
        <v>0.6122703484850206</v>
      </c>
      <c r="F601" s="3">
        <f t="shared" ca="1" si="18"/>
        <v>0.74226942766153114</v>
      </c>
      <c r="G601" s="3">
        <f t="shared" ca="1" si="19"/>
        <v>7.7645750189037033</v>
      </c>
      <c r="H601" s="2"/>
      <c r="I601" s="2"/>
      <c r="J601" s="2"/>
      <c r="K601" s="2"/>
    </row>
    <row r="602" spans="5:11" x14ac:dyDescent="0.25">
      <c r="E602" s="3">
        <f t="shared" ca="1" si="18"/>
        <v>0.49107359633993097</v>
      </c>
      <c r="F602" s="3">
        <f t="shared" ca="1" si="18"/>
        <v>0.9448382732221039</v>
      </c>
      <c r="G602" s="3">
        <f t="shared" ca="1" si="19"/>
        <v>12.673888417576283</v>
      </c>
      <c r="H602" s="2"/>
      <c r="I602" s="2"/>
      <c r="J602" s="2"/>
      <c r="K602" s="2"/>
    </row>
    <row r="603" spans="5:11" x14ac:dyDescent="0.25">
      <c r="E603" s="3">
        <f t="shared" ca="1" si="18"/>
        <v>0.36003559466920598</v>
      </c>
      <c r="F603" s="3">
        <f t="shared" ca="1" si="18"/>
        <v>0.9851213013114819</v>
      </c>
      <c r="G603" s="3">
        <f t="shared" ca="1" si="19"/>
        <v>15.857709704751072</v>
      </c>
      <c r="H603" s="2"/>
      <c r="I603" s="2"/>
      <c r="J603" s="2"/>
      <c r="K603" s="2"/>
    </row>
    <row r="604" spans="5:11" x14ac:dyDescent="0.25">
      <c r="E604" s="3">
        <f t="shared" ca="1" si="18"/>
        <v>0.82051530325715372</v>
      </c>
      <c r="F604" s="3">
        <f t="shared" ca="1" si="18"/>
        <v>0.82214358075649852</v>
      </c>
      <c r="G604" s="3">
        <f t="shared" ca="1" si="19"/>
        <v>9.3858039264779745</v>
      </c>
      <c r="H604" s="2"/>
      <c r="I604" s="2"/>
      <c r="J604" s="2"/>
      <c r="K604" s="2"/>
    </row>
    <row r="605" spans="5:11" x14ac:dyDescent="0.25">
      <c r="E605" s="3">
        <f t="shared" ca="1" si="18"/>
        <v>0.27008299717053241</v>
      </c>
      <c r="F605" s="3">
        <f t="shared" ca="1" si="18"/>
        <v>0.571115676096834</v>
      </c>
      <c r="G605" s="3">
        <f t="shared" ca="1" si="19"/>
        <v>7.5444214910850294</v>
      </c>
      <c r="H605" s="2"/>
      <c r="I605" s="2"/>
      <c r="J605" s="2"/>
      <c r="K605" s="2"/>
    </row>
    <row r="606" spans="5:11" x14ac:dyDescent="0.25">
      <c r="E606" s="3">
        <f t="shared" ca="1" si="18"/>
        <v>0.64657774101821597</v>
      </c>
      <c r="F606" s="3">
        <f t="shared" ca="1" si="18"/>
        <v>0.78098181375840803</v>
      </c>
      <c r="G606" s="3">
        <f t="shared" ca="1" si="19"/>
        <v>8.3553041682194031</v>
      </c>
      <c r="H606" s="2"/>
      <c r="I606" s="2"/>
      <c r="J606" s="2"/>
      <c r="K606" s="2"/>
    </row>
    <row r="607" spans="5:11" x14ac:dyDescent="0.25">
      <c r="E607" s="3">
        <f t="shared" ca="1" si="18"/>
        <v>0.84974838454442181</v>
      </c>
      <c r="F607" s="3">
        <f t="shared" ca="1" si="18"/>
        <v>0.23416121512577659</v>
      </c>
      <c r="G607" s="3">
        <f t="shared" ca="1" si="19"/>
        <v>3.0552730525539467</v>
      </c>
      <c r="H607" s="2"/>
      <c r="I607" s="2"/>
      <c r="J607" s="2"/>
      <c r="K607" s="2"/>
    </row>
    <row r="608" spans="5:11" x14ac:dyDescent="0.25">
      <c r="E608" s="3">
        <f t="shared" ca="1" si="18"/>
        <v>0.40725988078060016</v>
      </c>
      <c r="F608" s="3">
        <f t="shared" ca="1" si="18"/>
        <v>0.83757856428254396</v>
      </c>
      <c r="G608" s="3">
        <f t="shared" ca="1" si="19"/>
        <v>9.9937447427541048</v>
      </c>
      <c r="H608" s="2"/>
      <c r="I608" s="2"/>
      <c r="J608" s="2"/>
      <c r="K608" s="2"/>
    </row>
    <row r="609" spans="5:11" x14ac:dyDescent="0.25">
      <c r="E609" s="3">
        <f t="shared" ca="1" si="18"/>
        <v>0.48272449965872266</v>
      </c>
      <c r="F609" s="3">
        <f t="shared" ca="1" si="18"/>
        <v>0.23759689549890883</v>
      </c>
      <c r="G609" s="3">
        <f t="shared" ca="1" si="19"/>
        <v>2.6165048467716034</v>
      </c>
      <c r="H609" s="2"/>
      <c r="I609" s="2"/>
      <c r="J609" s="2"/>
      <c r="K609" s="2"/>
    </row>
    <row r="610" spans="5:11" x14ac:dyDescent="0.25">
      <c r="E610" s="3">
        <f t="shared" ca="1" si="18"/>
        <v>0.26958016268555274</v>
      </c>
      <c r="F610" s="3">
        <f t="shared" ca="1" si="18"/>
        <v>1.78926426667253E-2</v>
      </c>
      <c r="G610" s="3">
        <f t="shared" ca="1" si="19"/>
        <v>8.0328622130079399</v>
      </c>
      <c r="H610" s="2"/>
      <c r="I610" s="2"/>
      <c r="J610" s="2"/>
      <c r="K610" s="2"/>
    </row>
    <row r="611" spans="5:11" x14ac:dyDescent="0.25">
      <c r="E611" s="3">
        <f t="shared" ca="1" si="18"/>
        <v>0.77261690508663217</v>
      </c>
      <c r="F611" s="3">
        <f t="shared" ca="1" si="18"/>
        <v>0.33348970311823556</v>
      </c>
      <c r="G611" s="3">
        <f t="shared" ca="1" si="19"/>
        <v>2.7598411405105092</v>
      </c>
      <c r="H611" s="2"/>
      <c r="I611" s="2"/>
      <c r="J611" s="2"/>
      <c r="K611" s="2"/>
    </row>
    <row r="612" spans="5:11" x14ac:dyDescent="0.25">
      <c r="E612" s="3">
        <f t="shared" ca="1" si="18"/>
        <v>0.68378225509789237</v>
      </c>
      <c r="F612" s="3">
        <f t="shared" ca="1" si="18"/>
        <v>0.69100147797992229</v>
      </c>
      <c r="G612" s="3">
        <f t="shared" ca="1" si="19"/>
        <v>6.9650786618656753</v>
      </c>
      <c r="H612" s="2"/>
      <c r="I612" s="2"/>
      <c r="J612" s="2"/>
      <c r="K612" s="2"/>
    </row>
    <row r="613" spans="5:11" x14ac:dyDescent="0.25">
      <c r="E613" s="3">
        <f t="shared" ca="1" si="18"/>
        <v>0.30894444984024361</v>
      </c>
      <c r="F613" s="3">
        <f t="shared" ca="1" si="18"/>
        <v>0.23643996471189799</v>
      </c>
      <c r="G613" s="3">
        <f t="shared" ca="1" si="19"/>
        <v>4.815856330618395</v>
      </c>
      <c r="H613" s="2"/>
      <c r="I613" s="2"/>
      <c r="J613" s="2"/>
      <c r="K613" s="2"/>
    </row>
    <row r="614" spans="5:11" x14ac:dyDescent="0.25">
      <c r="E614" s="3">
        <f t="shared" ca="1" si="18"/>
        <v>0.70975368880824319</v>
      </c>
      <c r="F614" s="3">
        <f t="shared" ca="1" si="18"/>
        <v>0.26950654152230624</v>
      </c>
      <c r="G614" s="3">
        <f t="shared" ca="1" si="19"/>
        <v>1.4930358297580615</v>
      </c>
      <c r="H614" s="2"/>
      <c r="I614" s="2"/>
      <c r="J614" s="2"/>
      <c r="K614" s="2"/>
    </row>
    <row r="615" spans="5:11" x14ac:dyDescent="0.25">
      <c r="E615" s="3">
        <f t="shared" ca="1" si="18"/>
        <v>0.80241304843558103</v>
      </c>
      <c r="F615" s="3">
        <f t="shared" ca="1" si="18"/>
        <v>0.541796996198874</v>
      </c>
      <c r="G615" s="3">
        <f t="shared" ca="1" si="19"/>
        <v>5.3844261590583473</v>
      </c>
      <c r="H615" s="2"/>
      <c r="I615" s="2"/>
      <c r="J615" s="2"/>
      <c r="K615" s="2"/>
    </row>
    <row r="616" spans="5:11" x14ac:dyDescent="0.25">
      <c r="E616" s="3">
        <f t="shared" ca="1" si="18"/>
        <v>0.87039774026007355</v>
      </c>
      <c r="F616" s="3">
        <f t="shared" ca="1" si="18"/>
        <v>0.34168162306925498</v>
      </c>
      <c r="G616" s="3">
        <f t="shared" ca="1" si="19"/>
        <v>4.1802600242994297</v>
      </c>
      <c r="H616" s="2"/>
      <c r="I616" s="2"/>
      <c r="J616" s="2"/>
      <c r="K616" s="2"/>
    </row>
    <row r="617" spans="5:11" x14ac:dyDescent="0.25">
      <c r="E617" s="3">
        <f t="shared" ca="1" si="18"/>
        <v>0.50046814750322155</v>
      </c>
      <c r="F617" s="3">
        <f t="shared" ca="1" si="18"/>
        <v>0.59775322982682411</v>
      </c>
      <c r="G617" s="3">
        <f t="shared" ca="1" si="19"/>
        <v>6.1294703027220132</v>
      </c>
      <c r="H617" s="2"/>
      <c r="I617" s="2"/>
      <c r="J617" s="2"/>
      <c r="K617" s="2"/>
    </row>
    <row r="618" spans="5:11" x14ac:dyDescent="0.25">
      <c r="E618" s="3">
        <f t="shared" ca="1" si="18"/>
        <v>0.41646449831056698</v>
      </c>
      <c r="F618" s="3">
        <f t="shared" ca="1" si="18"/>
        <v>0.59540927114331654</v>
      </c>
      <c r="G618" s="3">
        <f t="shared" ca="1" si="19"/>
        <v>6.5643348150965473</v>
      </c>
      <c r="H618" s="2"/>
      <c r="I618" s="2"/>
      <c r="J618" s="2"/>
      <c r="K618" s="2"/>
    </row>
    <row r="619" spans="5:11" x14ac:dyDescent="0.25">
      <c r="E619" s="3">
        <f t="shared" ca="1" si="18"/>
        <v>0.1438439226647068</v>
      </c>
      <c r="F619" s="3">
        <f t="shared" ca="1" si="18"/>
        <v>0.44892100052511519</v>
      </c>
      <c r="G619" s="3">
        <f t="shared" ca="1" si="19"/>
        <v>8.4707253106396649</v>
      </c>
      <c r="H619" s="2"/>
      <c r="I619" s="2"/>
      <c r="J619" s="2"/>
      <c r="K619" s="2"/>
    </row>
    <row r="620" spans="5:11" x14ac:dyDescent="0.25">
      <c r="E620" s="3">
        <f t="shared" ca="1" si="18"/>
        <v>0.35626245124788247</v>
      </c>
      <c r="F620" s="3">
        <f t="shared" ca="1" si="18"/>
        <v>0.97263450677020402</v>
      </c>
      <c r="G620" s="3">
        <f t="shared" ca="1" si="19"/>
        <v>14.655184500835649</v>
      </c>
      <c r="H620" s="2"/>
      <c r="I620" s="2"/>
      <c r="J620" s="2"/>
      <c r="K620" s="2"/>
    </row>
    <row r="621" spans="5:11" x14ac:dyDescent="0.25">
      <c r="E621" s="3">
        <f t="shared" ca="1" si="18"/>
        <v>0.17779001656771376</v>
      </c>
      <c r="F621" s="3">
        <f t="shared" ca="1" si="18"/>
        <v>0.42646745837697175</v>
      </c>
      <c r="G621" s="3">
        <f t="shared" ca="1" si="19"/>
        <v>7.7204870252419102</v>
      </c>
      <c r="H621" s="2"/>
      <c r="I621" s="2"/>
      <c r="J621" s="2"/>
      <c r="K621" s="2"/>
    </row>
    <row r="622" spans="5:11" x14ac:dyDescent="0.25">
      <c r="E622" s="3">
        <f t="shared" ca="1" si="18"/>
        <v>0.56842914151049551</v>
      </c>
      <c r="F622" s="3">
        <f t="shared" ca="1" si="18"/>
        <v>0.22961879731926749</v>
      </c>
      <c r="G622" s="3">
        <f t="shared" ca="1" si="19"/>
        <v>1.5787045977894749</v>
      </c>
      <c r="H622" s="2"/>
      <c r="I622" s="2"/>
      <c r="J622" s="2"/>
      <c r="K622" s="2"/>
    </row>
    <row r="623" spans="5:11" x14ac:dyDescent="0.25">
      <c r="E623" s="3">
        <f t="shared" ca="1" si="18"/>
        <v>0.78756927203514793</v>
      </c>
      <c r="F623" s="3">
        <f t="shared" ca="1" si="18"/>
        <v>0.67551957556087638</v>
      </c>
      <c r="G623" s="3">
        <f t="shared" ca="1" si="19"/>
        <v>6.9692322575607655</v>
      </c>
      <c r="H623" s="2"/>
      <c r="I623" s="2"/>
      <c r="J623" s="2"/>
      <c r="K623" s="2"/>
    </row>
    <row r="624" spans="5:11" x14ac:dyDescent="0.25">
      <c r="E624" s="3">
        <f t="shared" ca="1" si="18"/>
        <v>0.63599943245963209</v>
      </c>
      <c r="F624" s="3">
        <f t="shared" ca="1" si="18"/>
        <v>0.32276449249031536</v>
      </c>
      <c r="G624" s="3">
        <f t="shared" ca="1" si="19"/>
        <v>2.2272528345063591</v>
      </c>
      <c r="H624" s="2"/>
      <c r="I624" s="2"/>
      <c r="J624" s="2"/>
      <c r="K624" s="2"/>
    </row>
    <row r="625" spans="5:11" x14ac:dyDescent="0.25">
      <c r="E625" s="3">
        <f t="shared" ca="1" si="18"/>
        <v>0.1510040096669556</v>
      </c>
      <c r="F625" s="3">
        <f t="shared" ca="1" si="18"/>
        <v>0.57532078735884762</v>
      </c>
      <c r="G625" s="3">
        <f t="shared" ca="1" si="19"/>
        <v>9.173242848885053</v>
      </c>
      <c r="H625" s="2"/>
      <c r="I625" s="2"/>
      <c r="J625" s="2"/>
      <c r="K625" s="2"/>
    </row>
    <row r="626" spans="5:11" x14ac:dyDescent="0.25">
      <c r="E626" s="3">
        <f t="shared" ca="1" si="18"/>
        <v>0.11089132239390531</v>
      </c>
      <c r="F626" s="3">
        <f t="shared" ca="1" si="18"/>
        <v>0.83159153581154932</v>
      </c>
      <c r="G626" s="3">
        <f t="shared" ca="1" si="19"/>
        <v>12.47752302779463</v>
      </c>
      <c r="H626" s="2"/>
      <c r="I626" s="2"/>
      <c r="J626" s="2"/>
      <c r="K626" s="2"/>
    </row>
    <row r="627" spans="5:11" x14ac:dyDescent="0.25">
      <c r="E627" s="3">
        <f t="shared" ca="1" si="18"/>
        <v>0.19104811072641725</v>
      </c>
      <c r="F627" s="3">
        <f t="shared" ca="1" si="18"/>
        <v>0.23342275548070346</v>
      </c>
      <c r="G627" s="3">
        <f t="shared" ca="1" si="19"/>
        <v>6.6627067045143713</v>
      </c>
      <c r="H627" s="2"/>
      <c r="I627" s="2"/>
      <c r="J627" s="2"/>
      <c r="K627" s="2"/>
    </row>
    <row r="628" spans="5:11" x14ac:dyDescent="0.25">
      <c r="E628" s="3">
        <f t="shared" ca="1" si="18"/>
        <v>0.57025694746452482</v>
      </c>
      <c r="F628" s="3">
        <f t="shared" ca="1" si="18"/>
        <v>0.80264306808225405</v>
      </c>
      <c r="G628" s="3">
        <f t="shared" ca="1" si="19"/>
        <v>8.8301012501823806</v>
      </c>
      <c r="H628" s="2"/>
      <c r="I628" s="2"/>
      <c r="J628" s="2"/>
      <c r="K628" s="2"/>
    </row>
    <row r="629" spans="5:11" x14ac:dyDescent="0.25">
      <c r="E629" s="3">
        <f t="shared" ca="1" si="18"/>
        <v>0.94140466082448848</v>
      </c>
      <c r="F629" s="3">
        <f t="shared" ca="1" si="18"/>
        <v>0.56245082254885059</v>
      </c>
      <c r="G629" s="3">
        <f t="shared" ca="1" si="19"/>
        <v>7.6750468864450259</v>
      </c>
      <c r="H629" s="2"/>
      <c r="I629" s="2"/>
      <c r="J629" s="2"/>
      <c r="K629" s="2"/>
    </row>
    <row r="630" spans="5:11" x14ac:dyDescent="0.25">
      <c r="E630" s="3">
        <f t="shared" ca="1" si="18"/>
        <v>0.26404632667850569</v>
      </c>
      <c r="F630" s="3">
        <f t="shared" ca="1" si="18"/>
        <v>0.40807559242176694</v>
      </c>
      <c r="G630" s="3">
        <f t="shared" ca="1" si="19"/>
        <v>6.3281280944739962</v>
      </c>
      <c r="H630" s="2"/>
      <c r="I630" s="2"/>
      <c r="J630" s="2"/>
      <c r="K630" s="2"/>
    </row>
    <row r="631" spans="5:11" x14ac:dyDescent="0.25">
      <c r="E631" s="3">
        <f t="shared" ca="1" si="18"/>
        <v>6.4027395919527885E-2</v>
      </c>
      <c r="F631" s="3">
        <f t="shared" ca="1" si="18"/>
        <v>0.58942045356350792</v>
      </c>
      <c r="G631" s="3">
        <f t="shared" ca="1" si="19"/>
        <v>11.330253542178069</v>
      </c>
      <c r="H631" s="2"/>
      <c r="I631" s="2"/>
      <c r="J631" s="2"/>
      <c r="K631" s="2"/>
    </row>
    <row r="632" spans="5:11" x14ac:dyDescent="0.25">
      <c r="E632" s="3">
        <f t="shared" ca="1" si="18"/>
        <v>0.71900986326209104</v>
      </c>
      <c r="F632" s="3">
        <f t="shared" ca="1" si="18"/>
        <v>0.75487861458997774</v>
      </c>
      <c r="G632" s="3">
        <f t="shared" ca="1" si="19"/>
        <v>7.9469799114493771</v>
      </c>
      <c r="H632" s="2"/>
      <c r="I632" s="2"/>
      <c r="J632" s="2"/>
      <c r="K632" s="2"/>
    </row>
    <row r="633" spans="5:11" x14ac:dyDescent="0.25">
      <c r="E633" s="3">
        <f t="shared" ca="1" si="18"/>
        <v>0.5732534653118101</v>
      </c>
      <c r="F633" s="3">
        <f t="shared" ca="1" si="18"/>
        <v>0.64681233617962974</v>
      </c>
      <c r="G633" s="3">
        <f t="shared" ca="1" si="19"/>
        <v>6.4886970470160721</v>
      </c>
      <c r="H633" s="2"/>
      <c r="I633" s="2"/>
      <c r="J633" s="2"/>
      <c r="K633" s="2"/>
    </row>
    <row r="634" spans="5:11" x14ac:dyDescent="0.25">
      <c r="E634" s="3">
        <f t="shared" ca="1" si="18"/>
        <v>0.51685959135621884</v>
      </c>
      <c r="F634" s="3">
        <f t="shared" ca="1" si="18"/>
        <v>0.80444227064729545</v>
      </c>
      <c r="G634" s="3">
        <f t="shared" ca="1" si="19"/>
        <v>8.9899270592356029</v>
      </c>
      <c r="H634" s="2"/>
      <c r="I634" s="2"/>
      <c r="J634" s="2"/>
      <c r="K634" s="2"/>
    </row>
    <row r="635" spans="5:11" x14ac:dyDescent="0.25">
      <c r="E635" s="3">
        <f t="shared" ca="1" si="18"/>
        <v>0.40584601227126071</v>
      </c>
      <c r="F635" s="3">
        <f t="shared" ca="1" si="18"/>
        <v>0.43163252094713556</v>
      </c>
      <c r="G635" s="3">
        <f t="shared" ca="1" si="19"/>
        <v>4.9799447155283536</v>
      </c>
      <c r="H635" s="2"/>
      <c r="I635" s="2"/>
      <c r="J635" s="2"/>
      <c r="K635" s="2"/>
    </row>
    <row r="636" spans="5:11" x14ac:dyDescent="0.25">
      <c r="E636" s="3">
        <f t="shared" ca="1" si="18"/>
        <v>0.25545897574674958</v>
      </c>
      <c r="F636" s="3">
        <f t="shared" ca="1" si="18"/>
        <v>0.53309533001965159</v>
      </c>
      <c r="G636" s="3">
        <f t="shared" ca="1" si="19"/>
        <v>7.376852396221695</v>
      </c>
      <c r="H636" s="2"/>
      <c r="I636" s="2"/>
      <c r="J636" s="2"/>
      <c r="K636" s="2"/>
    </row>
    <row r="637" spans="5:11" x14ac:dyDescent="0.25">
      <c r="E637" s="3">
        <f t="shared" ca="1" si="18"/>
        <v>0.88524477603247631</v>
      </c>
      <c r="F637" s="3">
        <f t="shared" ca="1" si="18"/>
        <v>7.8561628247470816E-2</v>
      </c>
      <c r="G637" s="3">
        <f t="shared" ca="1" si="19"/>
        <v>4.5800747853332533</v>
      </c>
      <c r="H637" s="2"/>
      <c r="I637" s="2"/>
      <c r="J637" s="2"/>
      <c r="K637" s="2"/>
    </row>
    <row r="638" spans="5:11" x14ac:dyDescent="0.25">
      <c r="E638" s="3">
        <f t="shared" ca="1" si="18"/>
        <v>0.64203562939254211</v>
      </c>
      <c r="F638" s="3">
        <f t="shared" ca="1" si="18"/>
        <v>0.19292010645063484</v>
      </c>
      <c r="G638" s="3">
        <f t="shared" ca="1" si="19"/>
        <v>0.44167665933824224</v>
      </c>
      <c r="H638" s="2"/>
      <c r="I638" s="2"/>
      <c r="J638" s="2"/>
      <c r="K638" s="2"/>
    </row>
    <row r="639" spans="5:11" x14ac:dyDescent="0.25">
      <c r="E639" s="3">
        <f t="shared" ca="1" si="18"/>
        <v>0.95646641440254643</v>
      </c>
      <c r="F639" s="3">
        <f t="shared" ca="1" si="18"/>
        <v>0.4577389128645476</v>
      </c>
      <c r="G639" s="3">
        <f t="shared" ca="1" si="19"/>
        <v>7.4429580146997809</v>
      </c>
      <c r="H639" s="2"/>
      <c r="I639" s="2"/>
      <c r="J639" s="2"/>
      <c r="K639" s="2"/>
    </row>
    <row r="640" spans="5:11" x14ac:dyDescent="0.25">
      <c r="E640" s="3">
        <f t="shared" ca="1" si="18"/>
        <v>0.9725827053345335</v>
      </c>
      <c r="F640" s="3">
        <f t="shared" ca="1" si="18"/>
        <v>0.15823558752356937</v>
      </c>
      <c r="G640" s="3">
        <f t="shared" ca="1" si="19"/>
        <v>7.3802412089083136</v>
      </c>
      <c r="H640" s="2"/>
      <c r="I640" s="2"/>
      <c r="J640" s="2"/>
      <c r="K640" s="2"/>
    </row>
    <row r="641" spans="5:11" x14ac:dyDescent="0.25">
      <c r="E641" s="3">
        <f t="shared" ca="1" si="18"/>
        <v>0.45157981077399678</v>
      </c>
      <c r="F641" s="3">
        <f t="shared" ca="1" si="18"/>
        <v>0.12308995343566809</v>
      </c>
      <c r="G641" s="3">
        <f t="shared" ca="1" si="19"/>
        <v>3.1432287261391254</v>
      </c>
      <c r="H641" s="2"/>
      <c r="I641" s="2"/>
      <c r="J641" s="2"/>
      <c r="K641" s="2"/>
    </row>
    <row r="642" spans="5:11" x14ac:dyDescent="0.25">
      <c r="E642" s="3">
        <f t="shared" ca="1" si="18"/>
        <v>8.6295388824366048E-2</v>
      </c>
      <c r="F642" s="3">
        <f t="shared" ca="1" si="18"/>
        <v>0.90976759210832137</v>
      </c>
      <c r="G642" s="3">
        <f t="shared" ca="1" si="19"/>
        <v>14.37973421275111</v>
      </c>
      <c r="H642" s="2"/>
      <c r="I642" s="2"/>
      <c r="J642" s="2"/>
      <c r="K642" s="2"/>
    </row>
    <row r="643" spans="5:11" x14ac:dyDescent="0.25">
      <c r="E643" s="3">
        <f t="shared" ca="1" si="18"/>
        <v>0.68897784601184764</v>
      </c>
      <c r="F643" s="3">
        <f t="shared" ca="1" si="18"/>
        <v>0.73087483716392943</v>
      </c>
      <c r="G643" s="3">
        <f t="shared" ca="1" si="19"/>
        <v>7.5506237306407886</v>
      </c>
      <c r="H643" s="2"/>
      <c r="I643" s="2"/>
      <c r="J643" s="2"/>
      <c r="K643" s="2"/>
    </row>
    <row r="644" spans="5:11" x14ac:dyDescent="0.25">
      <c r="E644" s="3">
        <f t="shared" ref="E644:F707" ca="1" si="20">RAND()</f>
        <v>5.2577290785330577E-3</v>
      </c>
      <c r="F644" s="3">
        <f t="shared" ca="1" si="20"/>
        <v>0.25423421110047439</v>
      </c>
      <c r="G644" s="3">
        <f t="shared" ref="G644:G707" ca="1" si="21">SQRT(_xlfn.NORM.INV(E644,$C$3*COS($C$6),$C$4)^2+_xlfn.NORM.INV(F644,$C$3*SIN($C$6),$C$4)^2)</f>
        <v>15.077363852792393</v>
      </c>
      <c r="H644" s="2"/>
      <c r="I644" s="2"/>
      <c r="J644" s="2"/>
      <c r="K644" s="2"/>
    </row>
    <row r="645" spans="5:11" x14ac:dyDescent="0.25">
      <c r="E645" s="3">
        <f t="shared" ca="1" si="20"/>
        <v>0.440186831494492</v>
      </c>
      <c r="F645" s="3">
        <f t="shared" ca="1" si="20"/>
        <v>0.47233347444451013</v>
      </c>
      <c r="G645" s="3">
        <f t="shared" ca="1" si="21"/>
        <v>5.0946929098206306</v>
      </c>
      <c r="H645" s="2"/>
      <c r="I645" s="2"/>
      <c r="J645" s="2"/>
      <c r="K645" s="2"/>
    </row>
    <row r="646" spans="5:11" x14ac:dyDescent="0.25">
      <c r="E646" s="3">
        <f t="shared" ca="1" si="20"/>
        <v>0.24253429786545766</v>
      </c>
      <c r="F646" s="3">
        <f t="shared" ca="1" si="20"/>
        <v>0.50059530134814423</v>
      </c>
      <c r="G646" s="3">
        <f t="shared" ca="1" si="21"/>
        <v>7.2728658839849389</v>
      </c>
      <c r="H646" s="2"/>
      <c r="I646" s="2"/>
      <c r="J646" s="2"/>
      <c r="K646" s="2"/>
    </row>
    <row r="647" spans="5:11" x14ac:dyDescent="0.25">
      <c r="E647" s="3">
        <f t="shared" ca="1" si="20"/>
        <v>0.74316729528003322</v>
      </c>
      <c r="F647" s="3">
        <f t="shared" ca="1" si="20"/>
        <v>0.11472700333125063</v>
      </c>
      <c r="G647" s="3">
        <f t="shared" ca="1" si="21"/>
        <v>1.8491544633688715</v>
      </c>
      <c r="H647" s="2"/>
      <c r="I647" s="2"/>
      <c r="J647" s="2"/>
      <c r="K647" s="2"/>
    </row>
    <row r="648" spans="5:11" x14ac:dyDescent="0.25">
      <c r="E648" s="3">
        <f t="shared" ca="1" si="20"/>
        <v>0.31853487248421941</v>
      </c>
      <c r="F648" s="3">
        <f t="shared" ca="1" si="20"/>
        <v>0.29214797208694809</v>
      </c>
      <c r="G648" s="3">
        <f t="shared" ca="1" si="21"/>
        <v>4.9155112584135559</v>
      </c>
      <c r="H648" s="2"/>
      <c r="I648" s="2"/>
      <c r="J648" s="2"/>
      <c r="K648" s="2"/>
    </row>
    <row r="649" spans="5:11" x14ac:dyDescent="0.25">
      <c r="E649" s="3">
        <f t="shared" ca="1" si="20"/>
        <v>0.41016368355648203</v>
      </c>
      <c r="F649" s="3">
        <f t="shared" ca="1" si="20"/>
        <v>0.56816408579819921</v>
      </c>
      <c r="G649" s="3">
        <f t="shared" ca="1" si="21"/>
        <v>6.3079421050382267</v>
      </c>
      <c r="H649" s="2"/>
      <c r="I649" s="2"/>
      <c r="J649" s="2"/>
      <c r="K649" s="2"/>
    </row>
    <row r="650" spans="5:11" x14ac:dyDescent="0.25">
      <c r="E650" s="3">
        <f t="shared" ca="1" si="20"/>
        <v>0.80902907738010033</v>
      </c>
      <c r="F650" s="3">
        <f t="shared" ca="1" si="20"/>
        <v>0.40909757145067338</v>
      </c>
      <c r="G650" s="3">
        <f t="shared" ca="1" si="21"/>
        <v>3.945749674401271</v>
      </c>
      <c r="H650" s="2"/>
      <c r="I650" s="2"/>
      <c r="J650" s="2"/>
      <c r="K650" s="2"/>
    </row>
    <row r="651" spans="5:11" x14ac:dyDescent="0.25">
      <c r="E651" s="3">
        <f t="shared" ca="1" si="20"/>
        <v>0.79836304073295739</v>
      </c>
      <c r="F651" s="3">
        <f t="shared" ca="1" si="20"/>
        <v>6.2825122642932496E-2</v>
      </c>
      <c r="G651" s="3">
        <f t="shared" ca="1" si="21"/>
        <v>3.7306524190744934</v>
      </c>
      <c r="H651" s="2"/>
      <c r="I651" s="2"/>
      <c r="J651" s="2"/>
      <c r="K651" s="2"/>
    </row>
    <row r="652" spans="5:11" x14ac:dyDescent="0.25">
      <c r="E652" s="3">
        <f t="shared" ca="1" si="20"/>
        <v>0.92743616078070734</v>
      </c>
      <c r="F652" s="3">
        <f t="shared" ca="1" si="20"/>
        <v>0.58973998713780174</v>
      </c>
      <c r="G652" s="3">
        <f t="shared" ca="1" si="21"/>
        <v>7.5402350598391568</v>
      </c>
      <c r="H652" s="2"/>
      <c r="I652" s="2"/>
      <c r="J652" s="2"/>
      <c r="K652" s="2"/>
    </row>
    <row r="653" spans="5:11" x14ac:dyDescent="0.25">
      <c r="E653" s="3">
        <f t="shared" ca="1" si="20"/>
        <v>0.85059546959531895</v>
      </c>
      <c r="F653" s="3">
        <f t="shared" ca="1" si="20"/>
        <v>0.92057558574716825</v>
      </c>
      <c r="G653" s="3">
        <f t="shared" ca="1" si="21"/>
        <v>11.887770876936116</v>
      </c>
      <c r="H653" s="2"/>
      <c r="I653" s="2"/>
      <c r="J653" s="2"/>
      <c r="K653" s="2"/>
    </row>
    <row r="654" spans="5:11" x14ac:dyDescent="0.25">
      <c r="E654" s="3">
        <f t="shared" ca="1" si="20"/>
        <v>9.6333769849556994E-2</v>
      </c>
      <c r="F654" s="3">
        <f t="shared" ca="1" si="20"/>
        <v>0.39907361213655934</v>
      </c>
      <c r="G654" s="3">
        <f t="shared" ca="1" si="21"/>
        <v>9.3175528499300828</v>
      </c>
      <c r="H654" s="2"/>
      <c r="I654" s="2"/>
      <c r="J654" s="2"/>
      <c r="K654" s="2"/>
    </row>
    <row r="655" spans="5:11" x14ac:dyDescent="0.25">
      <c r="E655" s="3">
        <f t="shared" ca="1" si="20"/>
        <v>0.23945409974969745</v>
      </c>
      <c r="F655" s="3">
        <f t="shared" ca="1" si="20"/>
        <v>0.64795894282245947</v>
      </c>
      <c r="G655" s="3">
        <f t="shared" ca="1" si="21"/>
        <v>8.6012244972215584</v>
      </c>
      <c r="H655" s="2"/>
      <c r="I655" s="2"/>
      <c r="J655" s="2"/>
      <c r="K655" s="2"/>
    </row>
    <row r="656" spans="5:11" x14ac:dyDescent="0.25">
      <c r="E656" s="3">
        <f t="shared" ca="1" si="20"/>
        <v>0.71866172489341129</v>
      </c>
      <c r="F656" s="3">
        <f t="shared" ca="1" si="20"/>
        <v>0.6922258901486803</v>
      </c>
      <c r="G656" s="3">
        <f t="shared" ca="1" si="21"/>
        <v>7.0113980139037659</v>
      </c>
      <c r="H656" s="2"/>
      <c r="I656" s="2"/>
      <c r="J656" s="2"/>
      <c r="K656" s="2"/>
    </row>
    <row r="657" spans="5:11" x14ac:dyDescent="0.25">
      <c r="E657" s="3">
        <f t="shared" ca="1" si="20"/>
        <v>0.78773338223645584</v>
      </c>
      <c r="F657" s="3">
        <f t="shared" ca="1" si="20"/>
        <v>0.24453930065830309</v>
      </c>
      <c r="G657" s="3">
        <f t="shared" ca="1" si="21"/>
        <v>2.0232968892601733</v>
      </c>
      <c r="H657" s="2"/>
      <c r="I657" s="2"/>
      <c r="J657" s="2"/>
      <c r="K657" s="2"/>
    </row>
    <row r="658" spans="5:11" x14ac:dyDescent="0.25">
      <c r="E658" s="3">
        <f t="shared" ca="1" si="20"/>
        <v>0.67332965960212354</v>
      </c>
      <c r="F658" s="3">
        <f t="shared" ca="1" si="20"/>
        <v>0.28134824308947992</v>
      </c>
      <c r="G658" s="3">
        <f t="shared" ca="1" si="21"/>
        <v>1.5757872734977247</v>
      </c>
      <c r="H658" s="2"/>
      <c r="I658" s="2"/>
      <c r="J658" s="2"/>
      <c r="K658" s="2"/>
    </row>
    <row r="659" spans="5:11" x14ac:dyDescent="0.25">
      <c r="E659" s="3">
        <f t="shared" ca="1" si="20"/>
        <v>0.38822792602560929</v>
      </c>
      <c r="F659" s="3">
        <f t="shared" ca="1" si="20"/>
        <v>0.11892849400985783</v>
      </c>
      <c r="G659" s="3">
        <f t="shared" ca="1" si="21"/>
        <v>3.9301685011443044</v>
      </c>
      <c r="H659" s="2"/>
      <c r="I659" s="2"/>
      <c r="J659" s="2"/>
      <c r="K659" s="2"/>
    </row>
    <row r="660" spans="5:11" x14ac:dyDescent="0.25">
      <c r="E660" s="3">
        <f t="shared" ca="1" si="20"/>
        <v>0.40713846088562233</v>
      </c>
      <c r="F660" s="3">
        <f t="shared" ca="1" si="20"/>
        <v>0.49970444767596989</v>
      </c>
      <c r="G660" s="3">
        <f t="shared" ca="1" si="21"/>
        <v>5.6222226890697229</v>
      </c>
      <c r="H660" s="2"/>
      <c r="I660" s="2"/>
      <c r="J660" s="2"/>
      <c r="K660" s="2"/>
    </row>
    <row r="661" spans="5:11" x14ac:dyDescent="0.25">
      <c r="E661" s="3">
        <f t="shared" ca="1" si="20"/>
        <v>3.1801090071847282E-2</v>
      </c>
      <c r="F661" s="3">
        <f t="shared" ca="1" si="20"/>
        <v>0.19997024780683648</v>
      </c>
      <c r="G661" s="3">
        <f t="shared" ca="1" si="21"/>
        <v>11.518124975675068</v>
      </c>
      <c r="H661" s="2"/>
      <c r="I661" s="2"/>
      <c r="J661" s="2"/>
      <c r="K661" s="2"/>
    </row>
    <row r="662" spans="5:11" x14ac:dyDescent="0.25">
      <c r="E662" s="3">
        <f t="shared" ca="1" si="20"/>
        <v>0.34684227163696912</v>
      </c>
      <c r="F662" s="3">
        <f t="shared" ca="1" si="20"/>
        <v>0.88923987377520297</v>
      </c>
      <c r="G662" s="3">
        <f t="shared" ca="1" si="21"/>
        <v>11.389020543916546</v>
      </c>
      <c r="H662" s="2"/>
      <c r="I662" s="2"/>
      <c r="J662" s="2"/>
      <c r="K662" s="2"/>
    </row>
    <row r="663" spans="5:11" x14ac:dyDescent="0.25">
      <c r="E663" s="3">
        <f t="shared" ca="1" si="20"/>
        <v>0.12735457091902813</v>
      </c>
      <c r="F663" s="3">
        <f t="shared" ca="1" si="20"/>
        <v>0.34664289186773334</v>
      </c>
      <c r="G663" s="3">
        <f t="shared" ca="1" si="21"/>
        <v>8.3191856223087317</v>
      </c>
      <c r="H663" s="2"/>
      <c r="I663" s="2"/>
      <c r="J663" s="2"/>
      <c r="K663" s="2"/>
    </row>
    <row r="664" spans="5:11" x14ac:dyDescent="0.25">
      <c r="E664" s="3">
        <f t="shared" ca="1" si="20"/>
        <v>0.14997506091425561</v>
      </c>
      <c r="F664" s="3">
        <f t="shared" ca="1" si="20"/>
        <v>0.45482810199053658</v>
      </c>
      <c r="G664" s="3">
        <f t="shared" ca="1" si="21"/>
        <v>8.3864430664969909</v>
      </c>
      <c r="H664" s="2"/>
      <c r="I664" s="2"/>
      <c r="J664" s="2"/>
      <c r="K664" s="2"/>
    </row>
    <row r="665" spans="5:11" x14ac:dyDescent="0.25">
      <c r="E665" s="3">
        <f t="shared" ca="1" si="20"/>
        <v>0.27253364894017262</v>
      </c>
      <c r="F665" s="3">
        <f t="shared" ca="1" si="20"/>
        <v>0.99190121133930653</v>
      </c>
      <c r="G665" s="3">
        <f t="shared" ca="1" si="21"/>
        <v>17.312535962113266</v>
      </c>
      <c r="H665" s="2"/>
      <c r="I665" s="2"/>
      <c r="J665" s="2"/>
      <c r="K665" s="2"/>
    </row>
    <row r="666" spans="5:11" x14ac:dyDescent="0.25">
      <c r="E666" s="3">
        <f t="shared" ca="1" si="20"/>
        <v>0.57260387836097704</v>
      </c>
      <c r="F666" s="3">
        <f t="shared" ca="1" si="20"/>
        <v>0.86661797177696753</v>
      </c>
      <c r="G666" s="3">
        <f t="shared" ca="1" si="21"/>
        <v>10.109956955060929</v>
      </c>
      <c r="H666" s="2"/>
      <c r="I666" s="2"/>
      <c r="J666" s="2"/>
      <c r="K666" s="2"/>
    </row>
    <row r="667" spans="5:11" x14ac:dyDescent="0.25">
      <c r="E667" s="3">
        <f t="shared" ca="1" si="20"/>
        <v>0.44350542260642845</v>
      </c>
      <c r="F667" s="3">
        <f t="shared" ca="1" si="20"/>
        <v>0.22791254477052059</v>
      </c>
      <c r="G667" s="3">
        <f t="shared" ca="1" si="21"/>
        <v>3.042492992192996</v>
      </c>
      <c r="H667" s="2"/>
      <c r="I667" s="2"/>
      <c r="J667" s="2"/>
      <c r="K667" s="2"/>
    </row>
    <row r="668" spans="5:11" x14ac:dyDescent="0.25">
      <c r="E668" s="3">
        <f t="shared" ca="1" si="20"/>
        <v>0.64282400764685521</v>
      </c>
      <c r="F668" s="3">
        <f t="shared" ca="1" si="20"/>
        <v>0.95420749600484978</v>
      </c>
      <c r="G668" s="3">
        <f t="shared" ca="1" si="21"/>
        <v>12.911980365630562</v>
      </c>
      <c r="H668" s="2"/>
      <c r="I668" s="2"/>
      <c r="J668" s="2"/>
      <c r="K668" s="2"/>
    </row>
    <row r="669" spans="5:11" x14ac:dyDescent="0.25">
      <c r="E669" s="3">
        <f t="shared" ca="1" si="20"/>
        <v>0.40520107099482439</v>
      </c>
      <c r="F669" s="3">
        <f t="shared" ca="1" si="20"/>
        <v>0.80451166289294662</v>
      </c>
      <c r="G669" s="3">
        <f t="shared" ca="1" si="21"/>
        <v>9.4104671724446298</v>
      </c>
      <c r="H669" s="2"/>
      <c r="I669" s="2"/>
      <c r="J669" s="2"/>
      <c r="K669" s="2"/>
    </row>
    <row r="670" spans="5:11" x14ac:dyDescent="0.25">
      <c r="E670" s="3">
        <f t="shared" ca="1" si="20"/>
        <v>0.48724274430647085</v>
      </c>
      <c r="F670" s="3">
        <f t="shared" ca="1" si="20"/>
        <v>0.54031825533260414</v>
      </c>
      <c r="G670" s="3">
        <f t="shared" ca="1" si="21"/>
        <v>5.5248113680598543</v>
      </c>
      <c r="H670" s="2"/>
      <c r="I670" s="2"/>
      <c r="J670" s="2"/>
      <c r="K670" s="2"/>
    </row>
    <row r="671" spans="5:11" x14ac:dyDescent="0.25">
      <c r="E671" s="3">
        <f t="shared" ca="1" si="20"/>
        <v>0.74007181164012292</v>
      </c>
      <c r="F671" s="3">
        <f t="shared" ca="1" si="20"/>
        <v>0.4582344801242294</v>
      </c>
      <c r="G671" s="3">
        <f t="shared" ca="1" si="21"/>
        <v>4.0648449655373291</v>
      </c>
      <c r="H671" s="2"/>
      <c r="I671" s="2"/>
      <c r="J671" s="2"/>
      <c r="K671" s="2"/>
    </row>
    <row r="672" spans="5:11" x14ac:dyDescent="0.25">
      <c r="E672" s="3">
        <f t="shared" ca="1" si="20"/>
        <v>0.89452592499411143</v>
      </c>
      <c r="F672" s="3">
        <f t="shared" ca="1" si="20"/>
        <v>0.71790872541293682</v>
      </c>
      <c r="G672" s="3">
        <f t="shared" ca="1" si="21"/>
        <v>8.3776538063269932</v>
      </c>
      <c r="H672" s="2"/>
      <c r="I672" s="2"/>
      <c r="J672" s="2"/>
      <c r="K672" s="2"/>
    </row>
    <row r="673" spans="5:11" x14ac:dyDescent="0.25">
      <c r="E673" s="3">
        <f t="shared" ca="1" si="20"/>
        <v>0.6643304563959963</v>
      </c>
      <c r="F673" s="3">
        <f t="shared" ca="1" si="20"/>
        <v>0.35544764757872982</v>
      </c>
      <c r="G673" s="3">
        <f t="shared" ca="1" si="21"/>
        <v>2.6194095934884221</v>
      </c>
      <c r="H673" s="2"/>
      <c r="I673" s="2"/>
      <c r="J673" s="2"/>
      <c r="K673" s="2"/>
    </row>
    <row r="674" spans="5:11" x14ac:dyDescent="0.25">
      <c r="E674" s="3">
        <f t="shared" ca="1" si="20"/>
        <v>8.4969861317286566E-2</v>
      </c>
      <c r="F674" s="3">
        <f t="shared" ca="1" si="20"/>
        <v>0.10140858743445613</v>
      </c>
      <c r="G674" s="3">
        <f t="shared" ca="1" si="21"/>
        <v>9.2981022635015265</v>
      </c>
      <c r="H674" s="2"/>
      <c r="I674" s="2"/>
      <c r="J674" s="2"/>
      <c r="K674" s="2"/>
    </row>
    <row r="675" spans="5:11" x14ac:dyDescent="0.25">
      <c r="E675" s="3">
        <f t="shared" ca="1" si="20"/>
        <v>0.76194729518752091</v>
      </c>
      <c r="F675" s="3">
        <f t="shared" ca="1" si="20"/>
        <v>0.29857759616356827</v>
      </c>
      <c r="G675" s="3">
        <f t="shared" ca="1" si="21"/>
        <v>2.2558517039465329</v>
      </c>
      <c r="H675" s="2"/>
      <c r="I675" s="2"/>
      <c r="J675" s="2"/>
      <c r="K675" s="2"/>
    </row>
    <row r="676" spans="5:11" x14ac:dyDescent="0.25">
      <c r="E676" s="3">
        <f t="shared" ca="1" si="20"/>
        <v>0.15161932760029362</v>
      </c>
      <c r="F676" s="3">
        <f t="shared" ca="1" si="20"/>
        <v>0.48137484463067737</v>
      </c>
      <c r="G676" s="3">
        <f t="shared" ca="1" si="21"/>
        <v>8.5164082041021754</v>
      </c>
      <c r="H676" s="2"/>
      <c r="I676" s="2"/>
      <c r="J676" s="2"/>
      <c r="K676" s="2"/>
    </row>
    <row r="677" spans="5:11" x14ac:dyDescent="0.25">
      <c r="E677" s="3">
        <f t="shared" ca="1" si="20"/>
        <v>0.65412279617132674</v>
      </c>
      <c r="F677" s="3">
        <f t="shared" ca="1" si="20"/>
        <v>0.95244838146936239</v>
      </c>
      <c r="G677" s="3">
        <f t="shared" ca="1" si="21"/>
        <v>12.817936761072511</v>
      </c>
      <c r="H677" s="2"/>
      <c r="I677" s="2"/>
      <c r="J677" s="2"/>
      <c r="K677" s="2"/>
    </row>
    <row r="678" spans="5:11" x14ac:dyDescent="0.25">
      <c r="E678" s="3">
        <f t="shared" ca="1" si="20"/>
        <v>0.37166476325991893</v>
      </c>
      <c r="F678" s="3">
        <f t="shared" ca="1" si="20"/>
        <v>0.21383969635292366</v>
      </c>
      <c r="G678" s="3">
        <f t="shared" ca="1" si="21"/>
        <v>3.9102399583410081</v>
      </c>
      <c r="H678" s="2"/>
      <c r="I678" s="2"/>
      <c r="J678" s="2"/>
      <c r="K678" s="2"/>
    </row>
    <row r="679" spans="5:11" x14ac:dyDescent="0.25">
      <c r="E679" s="3">
        <f t="shared" ca="1" si="20"/>
        <v>0.53008408785930239</v>
      </c>
      <c r="F679" s="3">
        <f t="shared" ca="1" si="20"/>
        <v>0.78283800799437531</v>
      </c>
      <c r="G679" s="3">
        <f t="shared" ca="1" si="21"/>
        <v>8.5836558878521547</v>
      </c>
      <c r="H679" s="2"/>
      <c r="I679" s="2"/>
      <c r="J679" s="2"/>
      <c r="K679" s="2"/>
    </row>
    <row r="680" spans="5:11" x14ac:dyDescent="0.25">
      <c r="E680" s="3">
        <f t="shared" ca="1" si="20"/>
        <v>0.8310946297202374</v>
      </c>
      <c r="F680" s="3">
        <f t="shared" ca="1" si="20"/>
        <v>0.6826758098601543</v>
      </c>
      <c r="G680" s="3">
        <f t="shared" ca="1" si="21"/>
        <v>7.3061948173251725</v>
      </c>
      <c r="H680" s="2"/>
      <c r="I680" s="2"/>
      <c r="J680" s="2"/>
      <c r="K680" s="2"/>
    </row>
    <row r="681" spans="5:11" x14ac:dyDescent="0.25">
      <c r="E681" s="3">
        <f t="shared" ca="1" si="20"/>
        <v>0.48466987787866767</v>
      </c>
      <c r="F681" s="3">
        <f t="shared" ca="1" si="20"/>
        <v>0.48329870558918808</v>
      </c>
      <c r="G681" s="3">
        <f t="shared" ca="1" si="21"/>
        <v>4.9061219585599654</v>
      </c>
      <c r="H681" s="2"/>
      <c r="I681" s="2"/>
      <c r="J681" s="2"/>
      <c r="K681" s="2"/>
    </row>
    <row r="682" spans="5:11" x14ac:dyDescent="0.25">
      <c r="E682" s="3">
        <f t="shared" ca="1" si="20"/>
        <v>0.10046985462319291</v>
      </c>
      <c r="F682" s="3">
        <f t="shared" ca="1" si="20"/>
        <v>0.79108057301291423</v>
      </c>
      <c r="G682" s="3">
        <f t="shared" ca="1" si="21"/>
        <v>12.131127778668251</v>
      </c>
      <c r="H682" s="2"/>
      <c r="I682" s="2"/>
      <c r="J682" s="2"/>
      <c r="K682" s="2"/>
    </row>
    <row r="683" spans="5:11" x14ac:dyDescent="0.25">
      <c r="E683" s="3">
        <f t="shared" ca="1" si="20"/>
        <v>0.57369215734715862</v>
      </c>
      <c r="F683" s="3">
        <f t="shared" ca="1" si="20"/>
        <v>0.72187226971670648</v>
      </c>
      <c r="G683" s="3">
        <f t="shared" ca="1" si="21"/>
        <v>7.5271736858246765</v>
      </c>
      <c r="H683" s="2"/>
      <c r="I683" s="2"/>
      <c r="J683" s="2"/>
      <c r="K683" s="2"/>
    </row>
    <row r="684" spans="5:11" x14ac:dyDescent="0.25">
      <c r="E684" s="3">
        <f t="shared" ca="1" si="20"/>
        <v>0.2836213369671583</v>
      </c>
      <c r="F684" s="3">
        <f t="shared" ca="1" si="20"/>
        <v>0.8053275573390456</v>
      </c>
      <c r="G684" s="3">
        <f t="shared" ca="1" si="21"/>
        <v>10.149041200076583</v>
      </c>
      <c r="H684" s="2"/>
      <c r="I684" s="2"/>
      <c r="J684" s="2"/>
      <c r="K684" s="2"/>
    </row>
    <row r="685" spans="5:11" x14ac:dyDescent="0.25">
      <c r="E685" s="3">
        <f t="shared" ca="1" si="20"/>
        <v>0.86238569746667204</v>
      </c>
      <c r="F685" s="3">
        <f t="shared" ca="1" si="20"/>
        <v>0.59738013464798212</v>
      </c>
      <c r="G685" s="3">
        <f t="shared" ca="1" si="21"/>
        <v>6.5467164842155494</v>
      </c>
      <c r="H685" s="2"/>
      <c r="I685" s="2"/>
      <c r="J685" s="2"/>
      <c r="K685" s="2"/>
    </row>
    <row r="686" spans="5:11" x14ac:dyDescent="0.25">
      <c r="E686" s="3">
        <f t="shared" ca="1" si="20"/>
        <v>0.95186730422626453</v>
      </c>
      <c r="F686" s="3">
        <f t="shared" ca="1" si="20"/>
        <v>0.69113299011377305</v>
      </c>
      <c r="G686" s="3">
        <f t="shared" ca="1" si="21"/>
        <v>9.2428843636014193</v>
      </c>
      <c r="H686" s="2"/>
      <c r="I686" s="2"/>
      <c r="J686" s="2"/>
      <c r="K686" s="2"/>
    </row>
    <row r="687" spans="5:11" x14ac:dyDescent="0.25">
      <c r="E687" s="3">
        <f t="shared" ca="1" si="20"/>
        <v>0.95986304109735621</v>
      </c>
      <c r="F687" s="3">
        <f t="shared" ca="1" si="20"/>
        <v>0.76068841038686197</v>
      </c>
      <c r="G687" s="3">
        <f t="shared" ca="1" si="21"/>
        <v>10.320758837932049</v>
      </c>
      <c r="H687" s="2"/>
      <c r="I687" s="2"/>
      <c r="J687" s="2"/>
      <c r="K687" s="2"/>
    </row>
    <row r="688" spans="5:11" x14ac:dyDescent="0.25">
      <c r="E688" s="3">
        <f t="shared" ca="1" si="20"/>
        <v>0.67976134766505947</v>
      </c>
      <c r="F688" s="3">
        <f t="shared" ca="1" si="20"/>
        <v>0.48606892918335209</v>
      </c>
      <c r="G688" s="3">
        <f t="shared" ca="1" si="21"/>
        <v>4.2963935193889222</v>
      </c>
      <c r="H688" s="2"/>
      <c r="I688" s="2"/>
      <c r="J688" s="2"/>
      <c r="K688" s="2"/>
    </row>
    <row r="689" spans="5:11" x14ac:dyDescent="0.25">
      <c r="E689" s="3">
        <f t="shared" ca="1" si="20"/>
        <v>0.67425085258124939</v>
      </c>
      <c r="F689" s="3">
        <f t="shared" ca="1" si="20"/>
        <v>0.61733263696220642</v>
      </c>
      <c r="G689" s="3">
        <f t="shared" ca="1" si="21"/>
        <v>5.9624244513736429</v>
      </c>
      <c r="H689" s="2"/>
      <c r="I689" s="2"/>
      <c r="J689" s="2"/>
      <c r="K689" s="2"/>
    </row>
    <row r="690" spans="5:11" x14ac:dyDescent="0.25">
      <c r="E690" s="3">
        <f t="shared" ca="1" si="20"/>
        <v>0.2323569380861048</v>
      </c>
      <c r="F690" s="3">
        <f t="shared" ca="1" si="20"/>
        <v>4.4653783688613835E-2</v>
      </c>
      <c r="G690" s="3">
        <f t="shared" ca="1" si="21"/>
        <v>7.1389709818351168</v>
      </c>
      <c r="H690" s="2"/>
      <c r="I690" s="2"/>
      <c r="J690" s="2"/>
      <c r="K690" s="2"/>
    </row>
    <row r="691" spans="5:11" x14ac:dyDescent="0.25">
      <c r="E691" s="3">
        <f t="shared" ca="1" si="20"/>
        <v>0.56826447062561469</v>
      </c>
      <c r="F691" s="3">
        <f t="shared" ca="1" si="20"/>
        <v>0.2047867014742456</v>
      </c>
      <c r="G691" s="3">
        <f t="shared" ca="1" si="21"/>
        <v>1.4234632356389567</v>
      </c>
      <c r="H691" s="2"/>
      <c r="I691" s="2"/>
      <c r="J691" s="2"/>
      <c r="K691" s="2"/>
    </row>
    <row r="692" spans="5:11" x14ac:dyDescent="0.25">
      <c r="E692" s="3">
        <f t="shared" ca="1" si="20"/>
        <v>0.51291609686448492</v>
      </c>
      <c r="F692" s="3">
        <f t="shared" ca="1" si="20"/>
        <v>0.60845341460204738</v>
      </c>
      <c r="G692" s="3">
        <f t="shared" ca="1" si="21"/>
        <v>6.2049014234923492</v>
      </c>
      <c r="H692" s="2"/>
      <c r="I692" s="2"/>
      <c r="J692" s="2"/>
      <c r="K692" s="2"/>
    </row>
    <row r="693" spans="5:11" x14ac:dyDescent="0.25">
      <c r="E693" s="3">
        <f t="shared" ca="1" si="20"/>
        <v>0.36172892301863013</v>
      </c>
      <c r="F693" s="3">
        <f t="shared" ca="1" si="20"/>
        <v>0.26364352944872016</v>
      </c>
      <c r="G693" s="3">
        <f t="shared" ca="1" si="21"/>
        <v>4.2179073740028183</v>
      </c>
      <c r="H693" s="2"/>
      <c r="I693" s="2"/>
      <c r="J693" s="2"/>
      <c r="K693" s="2"/>
    </row>
    <row r="694" spans="5:11" x14ac:dyDescent="0.25">
      <c r="E694" s="3">
        <f t="shared" ca="1" si="20"/>
        <v>0.17545331679638343</v>
      </c>
      <c r="F694" s="3">
        <f t="shared" ca="1" si="20"/>
        <v>0.53535281910246479</v>
      </c>
      <c r="G694" s="3">
        <f t="shared" ca="1" si="21"/>
        <v>8.4744582738368202</v>
      </c>
      <c r="H694" s="2"/>
      <c r="I694" s="2"/>
      <c r="J694" s="2"/>
      <c r="K694" s="2"/>
    </row>
    <row r="695" spans="5:11" x14ac:dyDescent="0.25">
      <c r="E695" s="3">
        <f t="shared" ca="1" si="20"/>
        <v>0.14786652963345992</v>
      </c>
      <c r="F695" s="3">
        <f t="shared" ca="1" si="20"/>
        <v>9.5176485466547445E-2</v>
      </c>
      <c r="G695" s="3">
        <f t="shared" ca="1" si="21"/>
        <v>7.752121637416213</v>
      </c>
      <c r="H695" s="2"/>
      <c r="I695" s="2"/>
      <c r="J695" s="2"/>
      <c r="K695" s="2"/>
    </row>
    <row r="696" spans="5:11" x14ac:dyDescent="0.25">
      <c r="E696" s="3">
        <f t="shared" ca="1" si="20"/>
        <v>2.1608898921154807E-2</v>
      </c>
      <c r="F696" s="3">
        <f t="shared" ca="1" si="20"/>
        <v>0.66561578567075996</v>
      </c>
      <c r="G696" s="3">
        <f t="shared" ca="1" si="21"/>
        <v>14.005830856672208</v>
      </c>
      <c r="H696" s="2"/>
      <c r="I696" s="2"/>
      <c r="J696" s="2"/>
      <c r="K696" s="2"/>
    </row>
    <row r="697" spans="5:11" x14ac:dyDescent="0.25">
      <c r="E697" s="3">
        <f t="shared" ca="1" si="20"/>
        <v>0.7502492997426693</v>
      </c>
      <c r="F697" s="3">
        <f t="shared" ca="1" si="20"/>
        <v>0.70035830252511178</v>
      </c>
      <c r="G697" s="3">
        <f t="shared" ca="1" si="21"/>
        <v>7.1874821581710737</v>
      </c>
      <c r="H697" s="2"/>
      <c r="I697" s="2"/>
      <c r="J697" s="2"/>
      <c r="K697" s="2"/>
    </row>
    <row r="698" spans="5:11" x14ac:dyDescent="0.25">
      <c r="E698" s="3">
        <f t="shared" ca="1" si="20"/>
        <v>0.44026036380824762</v>
      </c>
      <c r="F698" s="3">
        <f t="shared" ca="1" si="20"/>
        <v>0.3239353453740077</v>
      </c>
      <c r="G698" s="3">
        <f t="shared" ca="1" si="21"/>
        <v>3.7056403660554036</v>
      </c>
      <c r="H698" s="2"/>
      <c r="I698" s="2"/>
      <c r="J698" s="2"/>
      <c r="K698" s="2"/>
    </row>
    <row r="699" spans="5:11" x14ac:dyDescent="0.25">
      <c r="E699" s="3">
        <f t="shared" ca="1" si="20"/>
        <v>0.73453463597614344</v>
      </c>
      <c r="F699" s="3">
        <f t="shared" ca="1" si="20"/>
        <v>9.7415901530597315E-2</v>
      </c>
      <c r="G699" s="3">
        <f t="shared" ca="1" si="21"/>
        <v>2.2011865195500468</v>
      </c>
      <c r="H699" s="2"/>
      <c r="I699" s="2"/>
      <c r="J699" s="2"/>
      <c r="K699" s="2"/>
    </row>
    <row r="700" spans="5:11" x14ac:dyDescent="0.25">
      <c r="E700" s="3">
        <f t="shared" ca="1" si="20"/>
        <v>0.7625087887359695</v>
      </c>
      <c r="F700" s="3">
        <f t="shared" ca="1" si="20"/>
        <v>0.42879695127306017</v>
      </c>
      <c r="G700" s="3">
        <f t="shared" ca="1" si="21"/>
        <v>3.8128789089880257</v>
      </c>
      <c r="H700" s="2"/>
      <c r="I700" s="2"/>
      <c r="J700" s="2"/>
      <c r="K700" s="2"/>
    </row>
    <row r="701" spans="5:11" x14ac:dyDescent="0.25">
      <c r="E701" s="3">
        <f t="shared" ca="1" si="20"/>
        <v>0.65375597116688355</v>
      </c>
      <c r="F701" s="3">
        <f t="shared" ca="1" si="20"/>
        <v>0.61836082186204</v>
      </c>
      <c r="G701" s="3">
        <f t="shared" ca="1" si="21"/>
        <v>5.981658961709921</v>
      </c>
      <c r="H701" s="2"/>
      <c r="I701" s="2"/>
      <c r="J701" s="2"/>
      <c r="K701" s="2"/>
    </row>
    <row r="702" spans="5:11" x14ac:dyDescent="0.25">
      <c r="E702" s="3">
        <f t="shared" ca="1" si="20"/>
        <v>0.8626130446426572</v>
      </c>
      <c r="F702" s="3">
        <f t="shared" ca="1" si="20"/>
        <v>0.73474969866556528</v>
      </c>
      <c r="G702" s="3">
        <f t="shared" ca="1" si="21"/>
        <v>8.2598150401671511</v>
      </c>
      <c r="H702" s="2"/>
      <c r="I702" s="2"/>
      <c r="J702" s="2"/>
      <c r="K702" s="2"/>
    </row>
    <row r="703" spans="5:11" x14ac:dyDescent="0.25">
      <c r="E703" s="3">
        <f t="shared" ca="1" si="20"/>
        <v>0.32571026422217098</v>
      </c>
      <c r="F703" s="3">
        <f t="shared" ca="1" si="20"/>
        <v>0.95942835364173118</v>
      </c>
      <c r="G703" s="3">
        <f t="shared" ca="1" si="21"/>
        <v>13.936694648604645</v>
      </c>
      <c r="H703" s="2"/>
      <c r="I703" s="2"/>
      <c r="J703" s="2"/>
      <c r="K703" s="2"/>
    </row>
    <row r="704" spans="5:11" x14ac:dyDescent="0.25">
      <c r="E704" s="3">
        <f t="shared" ca="1" si="20"/>
        <v>0.69358408138030858</v>
      </c>
      <c r="F704" s="3">
        <f t="shared" ca="1" si="20"/>
        <v>0.57186252640395452</v>
      </c>
      <c r="G704" s="3">
        <f t="shared" ca="1" si="21"/>
        <v>5.3833798093272582</v>
      </c>
      <c r="H704" s="2"/>
      <c r="I704" s="2"/>
      <c r="J704" s="2"/>
      <c r="K704" s="2"/>
    </row>
    <row r="705" spans="5:11" x14ac:dyDescent="0.25">
      <c r="E705" s="3">
        <f t="shared" ca="1" si="20"/>
        <v>0.99713038493785822</v>
      </c>
      <c r="F705" s="3">
        <f t="shared" ca="1" si="20"/>
        <v>0.51088915372396304</v>
      </c>
      <c r="G705" s="3">
        <f t="shared" ca="1" si="21"/>
        <v>12.454435243184768</v>
      </c>
      <c r="H705" s="2"/>
      <c r="I705" s="2"/>
      <c r="J705" s="2"/>
      <c r="K705" s="2"/>
    </row>
    <row r="706" spans="5:11" x14ac:dyDescent="0.25">
      <c r="E706" s="3">
        <f t="shared" ca="1" si="20"/>
        <v>0.45291470977250137</v>
      </c>
      <c r="F706" s="3">
        <f t="shared" ca="1" si="20"/>
        <v>0.14327064965863912</v>
      </c>
      <c r="G706" s="3">
        <f t="shared" ca="1" si="21"/>
        <v>2.9592040012750593</v>
      </c>
      <c r="H706" s="2"/>
      <c r="I706" s="2"/>
      <c r="J706" s="2"/>
      <c r="K706" s="2"/>
    </row>
    <row r="707" spans="5:11" x14ac:dyDescent="0.25">
      <c r="E707" s="3">
        <f t="shared" ca="1" si="20"/>
        <v>0.42225975871694321</v>
      </c>
      <c r="F707" s="3">
        <f t="shared" ca="1" si="20"/>
        <v>0.39321811758423042</v>
      </c>
      <c r="G707" s="3">
        <f t="shared" ca="1" si="21"/>
        <v>4.4810102097460494</v>
      </c>
      <c r="H707" s="2"/>
      <c r="I707" s="2"/>
      <c r="J707" s="2"/>
      <c r="K707" s="2"/>
    </row>
    <row r="708" spans="5:11" x14ac:dyDescent="0.25">
      <c r="E708" s="3">
        <f t="shared" ref="E708:F771" ca="1" si="22">RAND()</f>
        <v>0.5366919596904709</v>
      </c>
      <c r="F708" s="3">
        <f t="shared" ca="1" si="22"/>
        <v>0.62647162493407793</v>
      </c>
      <c r="G708" s="3">
        <f t="shared" ref="G708:G771" ca="1" si="23">SQRT(_xlfn.NORM.INV(E708,$C$3*COS($C$6),$C$4)^2+_xlfn.NORM.INV(F708,$C$3*SIN($C$6),$C$4)^2)</f>
        <v>6.3376539613178124</v>
      </c>
      <c r="H708" s="2"/>
      <c r="I708" s="2"/>
      <c r="J708" s="2"/>
      <c r="K708" s="2"/>
    </row>
    <row r="709" spans="5:11" x14ac:dyDescent="0.25">
      <c r="E709" s="3">
        <f t="shared" ca="1" si="22"/>
        <v>0.65252553654864498</v>
      </c>
      <c r="F709" s="3">
        <f t="shared" ca="1" si="22"/>
        <v>0.76807382052758277</v>
      </c>
      <c r="G709" s="3">
        <f t="shared" ca="1" si="23"/>
        <v>8.137380069002198</v>
      </c>
      <c r="H709" s="2"/>
      <c r="I709" s="2"/>
      <c r="J709" s="2"/>
      <c r="K709" s="2"/>
    </row>
    <row r="710" spans="5:11" x14ac:dyDescent="0.25">
      <c r="E710" s="3">
        <f t="shared" ca="1" si="22"/>
        <v>0.34009953252287228</v>
      </c>
      <c r="F710" s="3">
        <f t="shared" ca="1" si="22"/>
        <v>0.79276127289854825</v>
      </c>
      <c r="G710" s="3">
        <f t="shared" ca="1" si="23"/>
        <v>9.5711549648070058</v>
      </c>
      <c r="H710" s="2"/>
      <c r="I710" s="2"/>
      <c r="J710" s="2"/>
      <c r="K710" s="2"/>
    </row>
    <row r="711" spans="5:11" x14ac:dyDescent="0.25">
      <c r="E711" s="3">
        <f t="shared" ca="1" si="22"/>
        <v>0.52312989240107666</v>
      </c>
      <c r="F711" s="3">
        <f t="shared" ca="1" si="22"/>
        <v>0.35118726836558922</v>
      </c>
      <c r="G711" s="3">
        <f t="shared" ca="1" si="23"/>
        <v>3.217801704938962</v>
      </c>
      <c r="H711" s="2"/>
      <c r="I711" s="2"/>
      <c r="J711" s="2"/>
      <c r="K711" s="2"/>
    </row>
    <row r="712" spans="5:11" x14ac:dyDescent="0.25">
      <c r="E712" s="3">
        <f t="shared" ca="1" si="22"/>
        <v>0.92776187808869637</v>
      </c>
      <c r="F712" s="3">
        <f t="shared" ca="1" si="22"/>
        <v>0.32139192842491915</v>
      </c>
      <c r="G712" s="3">
        <f t="shared" ca="1" si="23"/>
        <v>5.4947377991479041</v>
      </c>
      <c r="H712" s="2"/>
      <c r="I712" s="2"/>
      <c r="J712" s="2"/>
      <c r="K712" s="2"/>
    </row>
    <row r="713" spans="5:11" x14ac:dyDescent="0.25">
      <c r="E713" s="3">
        <f t="shared" ca="1" si="22"/>
        <v>0.31230907305013489</v>
      </c>
      <c r="F713" s="3">
        <f t="shared" ca="1" si="22"/>
        <v>0.56520863129294097</v>
      </c>
      <c r="G713" s="3">
        <f t="shared" ca="1" si="23"/>
        <v>7.0683356911638073</v>
      </c>
      <c r="H713" s="2"/>
      <c r="I713" s="2"/>
      <c r="J713" s="2"/>
      <c r="K713" s="2"/>
    </row>
    <row r="714" spans="5:11" x14ac:dyDescent="0.25">
      <c r="E714" s="3">
        <f t="shared" ca="1" si="22"/>
        <v>0.80513613858113708</v>
      </c>
      <c r="F714" s="3">
        <f t="shared" ca="1" si="22"/>
        <v>0.72362382416191862</v>
      </c>
      <c r="G714" s="3">
        <f t="shared" ca="1" si="23"/>
        <v>7.7182258075028551</v>
      </c>
      <c r="H714" s="2"/>
      <c r="I714" s="2"/>
      <c r="J714" s="2"/>
      <c r="K714" s="2"/>
    </row>
    <row r="715" spans="5:11" x14ac:dyDescent="0.25">
      <c r="E715" s="3">
        <f t="shared" ca="1" si="22"/>
        <v>0.52452837098888916</v>
      </c>
      <c r="F715" s="3">
        <f t="shared" ca="1" si="22"/>
        <v>6.094459513028716E-2</v>
      </c>
      <c r="G715" s="3">
        <f t="shared" ca="1" si="23"/>
        <v>3.7937276706877561</v>
      </c>
      <c r="H715" s="2"/>
      <c r="I715" s="2"/>
      <c r="J715" s="2"/>
      <c r="K715" s="2"/>
    </row>
    <row r="716" spans="5:11" x14ac:dyDescent="0.25">
      <c r="E716" s="3">
        <f t="shared" ca="1" si="22"/>
        <v>0.53978397529890265</v>
      </c>
      <c r="F716" s="3">
        <f t="shared" ca="1" si="22"/>
        <v>0.21846371394865249</v>
      </c>
      <c r="G716" s="3">
        <f t="shared" ca="1" si="23"/>
        <v>1.8359519526911228</v>
      </c>
      <c r="H716" s="2"/>
      <c r="I716" s="2"/>
      <c r="J716" s="2"/>
      <c r="K716" s="2"/>
    </row>
    <row r="717" spans="5:11" x14ac:dyDescent="0.25">
      <c r="E717" s="3">
        <f t="shared" ca="1" si="22"/>
        <v>0.1860637128680056</v>
      </c>
      <c r="F717" s="3">
        <f t="shared" ca="1" si="22"/>
        <v>5.7996385300273956E-2</v>
      </c>
      <c r="G717" s="3">
        <f t="shared" ca="1" si="23"/>
        <v>7.5109373265668591</v>
      </c>
      <c r="H717" s="2"/>
      <c r="I717" s="2"/>
      <c r="J717" s="2"/>
      <c r="K717" s="2"/>
    </row>
    <row r="718" spans="5:11" x14ac:dyDescent="0.25">
      <c r="E718" s="3">
        <f t="shared" ca="1" si="22"/>
        <v>0.11771524947044054</v>
      </c>
      <c r="F718" s="3">
        <f t="shared" ca="1" si="22"/>
        <v>0.95293263771748393</v>
      </c>
      <c r="G718" s="3">
        <f t="shared" ca="1" si="23"/>
        <v>15.220285481132132</v>
      </c>
      <c r="H718" s="2"/>
      <c r="I718" s="2"/>
      <c r="J718" s="2"/>
      <c r="K718" s="2"/>
    </row>
    <row r="719" spans="5:11" x14ac:dyDescent="0.25">
      <c r="E719" s="3">
        <f t="shared" ca="1" si="22"/>
        <v>0.82329908190522572</v>
      </c>
      <c r="F719" s="3">
        <f t="shared" ca="1" si="22"/>
        <v>0.53306918742045029</v>
      </c>
      <c r="G719" s="3">
        <f t="shared" ca="1" si="23"/>
        <v>5.4425123789107026</v>
      </c>
      <c r="H719" s="2"/>
      <c r="I719" s="2"/>
      <c r="J719" s="2"/>
      <c r="K719" s="2"/>
    </row>
    <row r="720" spans="5:11" x14ac:dyDescent="0.25">
      <c r="E720" s="3">
        <f t="shared" ca="1" si="22"/>
        <v>0.19414507745679521</v>
      </c>
      <c r="F720" s="3">
        <f t="shared" ca="1" si="22"/>
        <v>0.79416588762881068</v>
      </c>
      <c r="G720" s="3">
        <f t="shared" ca="1" si="23"/>
        <v>10.792668046576493</v>
      </c>
      <c r="H720" s="2"/>
      <c r="I720" s="2"/>
      <c r="J720" s="2"/>
      <c r="K720" s="2"/>
    </row>
    <row r="721" spans="5:11" x14ac:dyDescent="0.25">
      <c r="E721" s="3">
        <f t="shared" ca="1" si="22"/>
        <v>2.6736761932132036E-2</v>
      </c>
      <c r="F721" s="3">
        <f t="shared" ca="1" si="22"/>
        <v>0.67655814982625428</v>
      </c>
      <c r="G721" s="3">
        <f t="shared" ca="1" si="23"/>
        <v>13.682572525549157</v>
      </c>
      <c r="H721" s="2"/>
      <c r="I721" s="2"/>
      <c r="J721" s="2"/>
      <c r="K721" s="2"/>
    </row>
    <row r="722" spans="5:11" x14ac:dyDescent="0.25">
      <c r="E722" s="3">
        <f t="shared" ca="1" si="22"/>
        <v>0.31262408626878146</v>
      </c>
      <c r="F722" s="3">
        <f t="shared" ca="1" si="22"/>
        <v>0.74649717497807</v>
      </c>
      <c r="G722" s="3">
        <f t="shared" ca="1" si="23"/>
        <v>9.0868727902912436</v>
      </c>
      <c r="H722" s="2"/>
      <c r="I722" s="2"/>
      <c r="J722" s="2"/>
      <c r="K722" s="2"/>
    </row>
    <row r="723" spans="5:11" x14ac:dyDescent="0.25">
      <c r="E723" s="3">
        <f t="shared" ca="1" si="22"/>
        <v>0.33094674732410423</v>
      </c>
      <c r="F723" s="3">
        <f t="shared" ca="1" si="22"/>
        <v>0.42991196376190899</v>
      </c>
      <c r="G723" s="3">
        <f t="shared" ca="1" si="23"/>
        <v>5.6976916004106881</v>
      </c>
      <c r="H723" s="2"/>
      <c r="I723" s="2"/>
      <c r="J723" s="2"/>
      <c r="K723" s="2"/>
    </row>
    <row r="724" spans="5:11" x14ac:dyDescent="0.25">
      <c r="E724" s="3">
        <f t="shared" ca="1" si="22"/>
        <v>0.88216208648677907</v>
      </c>
      <c r="F724" s="3">
        <f t="shared" ca="1" si="22"/>
        <v>0.28081554166918588</v>
      </c>
      <c r="G724" s="3">
        <f t="shared" ca="1" si="23"/>
        <v>4.0083205693338053</v>
      </c>
      <c r="H724" s="2"/>
      <c r="I724" s="2"/>
      <c r="J724" s="2"/>
      <c r="K724" s="2"/>
    </row>
    <row r="725" spans="5:11" x14ac:dyDescent="0.25">
      <c r="E725" s="3">
        <f t="shared" ca="1" si="22"/>
        <v>7.5218214212842138E-3</v>
      </c>
      <c r="F725" s="3">
        <f t="shared" ca="1" si="22"/>
        <v>0.81558068026557495</v>
      </c>
      <c r="G725" s="3">
        <f t="shared" ca="1" si="23"/>
        <v>16.959165282938407</v>
      </c>
      <c r="H725" s="2"/>
      <c r="I725" s="2"/>
      <c r="J725" s="2"/>
      <c r="K725" s="2"/>
    </row>
    <row r="726" spans="5:11" x14ac:dyDescent="0.25">
      <c r="E726" s="3">
        <f t="shared" ca="1" si="22"/>
        <v>0.79267680418012931</v>
      </c>
      <c r="F726" s="3">
        <f t="shared" ca="1" si="22"/>
        <v>0.56069742589383009</v>
      </c>
      <c r="G726" s="3">
        <f t="shared" ca="1" si="23"/>
        <v>5.5471490772250567</v>
      </c>
      <c r="H726" s="2"/>
      <c r="I726" s="2"/>
      <c r="J726" s="2"/>
      <c r="K726" s="2"/>
    </row>
    <row r="727" spans="5:11" x14ac:dyDescent="0.25">
      <c r="E727" s="3">
        <f t="shared" ca="1" si="22"/>
        <v>0.54256310688067644</v>
      </c>
      <c r="F727" s="3">
        <f t="shared" ca="1" si="22"/>
        <v>0.85440334231937409</v>
      </c>
      <c r="G727" s="3">
        <f t="shared" ca="1" si="23"/>
        <v>9.8956686687935758</v>
      </c>
      <c r="H727" s="2"/>
      <c r="I727" s="2"/>
      <c r="J727" s="2"/>
      <c r="K727" s="2"/>
    </row>
    <row r="728" spans="5:11" x14ac:dyDescent="0.25">
      <c r="E728" s="3">
        <f t="shared" ca="1" si="22"/>
        <v>0.53472989639957491</v>
      </c>
      <c r="F728" s="3">
        <f t="shared" ca="1" si="22"/>
        <v>0.7600397053135457</v>
      </c>
      <c r="G728" s="3">
        <f t="shared" ca="1" si="23"/>
        <v>8.203080711531074</v>
      </c>
      <c r="H728" s="2"/>
      <c r="I728" s="2"/>
      <c r="J728" s="2"/>
      <c r="K728" s="2"/>
    </row>
    <row r="729" spans="5:11" x14ac:dyDescent="0.25">
      <c r="E729" s="3">
        <f t="shared" ca="1" si="22"/>
        <v>0.41611415409418617</v>
      </c>
      <c r="F729" s="3">
        <f t="shared" ca="1" si="22"/>
        <v>0.36648328341342362</v>
      </c>
      <c r="G729" s="3">
        <f t="shared" ca="1" si="23"/>
        <v>4.3043467400603479</v>
      </c>
      <c r="H729" s="2"/>
      <c r="I729" s="2"/>
      <c r="J729" s="2"/>
      <c r="K729" s="2"/>
    </row>
    <row r="730" spans="5:11" x14ac:dyDescent="0.25">
      <c r="E730" s="3">
        <f t="shared" ca="1" si="22"/>
        <v>0.52452175491149</v>
      </c>
      <c r="F730" s="3">
        <f t="shared" ca="1" si="22"/>
        <v>0.4589828022588649</v>
      </c>
      <c r="G730" s="3">
        <f t="shared" ca="1" si="23"/>
        <v>4.4020328818719863</v>
      </c>
      <c r="H730" s="2"/>
      <c r="I730" s="2"/>
      <c r="J730" s="2"/>
      <c r="K730" s="2"/>
    </row>
    <row r="731" spans="5:11" x14ac:dyDescent="0.25">
      <c r="E731" s="3">
        <f t="shared" ca="1" si="22"/>
        <v>0.85807966262831781</v>
      </c>
      <c r="F731" s="3">
        <f t="shared" ca="1" si="22"/>
        <v>0.68346403575412928</v>
      </c>
      <c r="G731" s="3">
        <f t="shared" ca="1" si="23"/>
        <v>7.5327595202965068</v>
      </c>
      <c r="H731" s="2"/>
      <c r="I731" s="2"/>
      <c r="J731" s="2"/>
      <c r="K731" s="2"/>
    </row>
    <row r="732" spans="5:11" x14ac:dyDescent="0.25">
      <c r="E732" s="3">
        <f t="shared" ca="1" si="22"/>
        <v>0.2534180748617515</v>
      </c>
      <c r="F732" s="3">
        <f t="shared" ca="1" si="22"/>
        <v>0.73600473212000539</v>
      </c>
      <c r="G732" s="3">
        <f t="shared" ca="1" si="23"/>
        <v>9.4366957062614016</v>
      </c>
      <c r="H732" s="2"/>
      <c r="I732" s="2"/>
      <c r="J732" s="2"/>
      <c r="K732" s="2"/>
    </row>
    <row r="733" spans="5:11" x14ac:dyDescent="0.25">
      <c r="E733" s="3">
        <f t="shared" ca="1" si="22"/>
        <v>0.29039870511595489</v>
      </c>
      <c r="F733" s="3">
        <f t="shared" ca="1" si="22"/>
        <v>0.73595127910410174</v>
      </c>
      <c r="G733" s="3">
        <f t="shared" ca="1" si="23"/>
        <v>9.1185762453693258</v>
      </c>
      <c r="H733" s="2"/>
      <c r="I733" s="2"/>
      <c r="J733" s="2"/>
      <c r="K733" s="2"/>
    </row>
    <row r="734" spans="5:11" x14ac:dyDescent="0.25">
      <c r="E734" s="3">
        <f t="shared" ca="1" si="22"/>
        <v>0.90964081860688706</v>
      </c>
      <c r="F734" s="3">
        <f t="shared" ca="1" si="22"/>
        <v>0.76642127360564916</v>
      </c>
      <c r="G734" s="3">
        <f t="shared" ca="1" si="23"/>
        <v>9.2478844174885886</v>
      </c>
      <c r="H734" s="2"/>
      <c r="I734" s="2"/>
      <c r="J734" s="2"/>
      <c r="K734" s="2"/>
    </row>
    <row r="735" spans="5:11" x14ac:dyDescent="0.25">
      <c r="E735" s="3">
        <f t="shared" ca="1" si="22"/>
        <v>0.55101273670522044</v>
      </c>
      <c r="F735" s="3">
        <f t="shared" ca="1" si="22"/>
        <v>0.51102566150093032</v>
      </c>
      <c r="G735" s="3">
        <f t="shared" ca="1" si="23"/>
        <v>4.877810947127057</v>
      </c>
      <c r="H735" s="2"/>
      <c r="I735" s="2"/>
      <c r="J735" s="2"/>
      <c r="K735" s="2"/>
    </row>
    <row r="736" spans="5:11" x14ac:dyDescent="0.25">
      <c r="E736" s="3">
        <f t="shared" ca="1" si="22"/>
        <v>0.88849426886368432</v>
      </c>
      <c r="F736" s="3">
        <f t="shared" ca="1" si="22"/>
        <v>0.25168789856612928</v>
      </c>
      <c r="G736" s="3">
        <f t="shared" ca="1" si="23"/>
        <v>4.0130644874042476</v>
      </c>
      <c r="H736" s="2"/>
      <c r="I736" s="2"/>
      <c r="J736" s="2"/>
      <c r="K736" s="2"/>
    </row>
    <row r="737" spans="5:11" x14ac:dyDescent="0.25">
      <c r="E737" s="3">
        <f t="shared" ca="1" si="22"/>
        <v>0.90294916245370482</v>
      </c>
      <c r="F737" s="3">
        <f t="shared" ca="1" si="22"/>
        <v>0.32508796312997779</v>
      </c>
      <c r="G737" s="3">
        <f t="shared" ca="1" si="23"/>
        <v>4.7888294896690518</v>
      </c>
      <c r="H737" s="2"/>
      <c r="I737" s="2"/>
      <c r="J737" s="2"/>
      <c r="K737" s="2"/>
    </row>
    <row r="738" spans="5:11" x14ac:dyDescent="0.25">
      <c r="E738" s="3">
        <f t="shared" ca="1" si="22"/>
        <v>0.13217299851217212</v>
      </c>
      <c r="F738" s="3">
        <f t="shared" ca="1" si="22"/>
        <v>0.86052128477573231</v>
      </c>
      <c r="G738" s="3">
        <f t="shared" ca="1" si="23"/>
        <v>12.603641893738489</v>
      </c>
      <c r="H738" s="2"/>
      <c r="I738" s="2"/>
      <c r="J738" s="2"/>
      <c r="K738" s="2"/>
    </row>
    <row r="739" spans="5:11" x14ac:dyDescent="0.25">
      <c r="E739" s="3">
        <f t="shared" ca="1" si="22"/>
        <v>0.58267623464998441</v>
      </c>
      <c r="F739" s="3">
        <f t="shared" ca="1" si="22"/>
        <v>0.46645439496536656</v>
      </c>
      <c r="G739" s="3">
        <f t="shared" ca="1" si="23"/>
        <v>4.222179899099773</v>
      </c>
      <c r="H739" s="2"/>
      <c r="I739" s="2"/>
      <c r="J739" s="2"/>
      <c r="K739" s="2"/>
    </row>
    <row r="740" spans="5:11" x14ac:dyDescent="0.25">
      <c r="E740" s="3">
        <f t="shared" ca="1" si="22"/>
        <v>0.36072943633280852</v>
      </c>
      <c r="F740" s="3">
        <f t="shared" ca="1" si="22"/>
        <v>0.52182177799555551</v>
      </c>
      <c r="G740" s="3">
        <f t="shared" ca="1" si="23"/>
        <v>6.2197865357902868</v>
      </c>
      <c r="H740" s="2"/>
      <c r="I740" s="2"/>
      <c r="J740" s="2"/>
      <c r="K740" s="2"/>
    </row>
    <row r="741" spans="5:11" x14ac:dyDescent="0.25">
      <c r="E741" s="3">
        <f t="shared" ca="1" si="22"/>
        <v>0.64117885783670581</v>
      </c>
      <c r="F741" s="3">
        <f t="shared" ca="1" si="22"/>
        <v>0.99224797739958648</v>
      </c>
      <c r="G741" s="3">
        <f t="shared" ca="1" si="23"/>
        <v>16.577550537603813</v>
      </c>
      <c r="H741" s="2"/>
      <c r="I741" s="2"/>
      <c r="J741" s="2"/>
      <c r="K741" s="2"/>
    </row>
    <row r="742" spans="5:11" x14ac:dyDescent="0.25">
      <c r="E742" s="3">
        <f t="shared" ca="1" si="22"/>
        <v>0.75577595166480394</v>
      </c>
      <c r="F742" s="3">
        <f t="shared" ca="1" si="22"/>
        <v>0.73021431854586571</v>
      </c>
      <c r="G742" s="3">
        <f t="shared" ca="1" si="23"/>
        <v>7.6359517496344802</v>
      </c>
      <c r="H742" s="2"/>
      <c r="I742" s="2"/>
      <c r="J742" s="2"/>
      <c r="K742" s="2"/>
    </row>
    <row r="743" spans="5:11" x14ac:dyDescent="0.25">
      <c r="E743" s="3">
        <f t="shared" ca="1" si="22"/>
        <v>0.87248377271817301</v>
      </c>
      <c r="F743" s="3">
        <f t="shared" ca="1" si="22"/>
        <v>0.44585900182816585</v>
      </c>
      <c r="G743" s="3">
        <f t="shared" ca="1" si="23"/>
        <v>5.1250616811098872</v>
      </c>
      <c r="H743" s="2"/>
      <c r="I743" s="2"/>
      <c r="J743" s="2"/>
      <c r="K743" s="2"/>
    </row>
    <row r="744" spans="5:11" x14ac:dyDescent="0.25">
      <c r="E744" s="3">
        <f t="shared" ca="1" si="22"/>
        <v>0.84237818109710438</v>
      </c>
      <c r="F744" s="3">
        <f t="shared" ca="1" si="22"/>
        <v>0.60787173428296448</v>
      </c>
      <c r="G744" s="3">
        <f t="shared" ca="1" si="23"/>
        <v>6.4673397391158769</v>
      </c>
      <c r="H744" s="2"/>
      <c r="I744" s="2"/>
      <c r="J744" s="2"/>
      <c r="K744" s="2"/>
    </row>
    <row r="745" spans="5:11" x14ac:dyDescent="0.25">
      <c r="E745" s="3">
        <f t="shared" ca="1" si="22"/>
        <v>8.4307086224187699E-2</v>
      </c>
      <c r="F745" s="3">
        <f t="shared" ca="1" si="22"/>
        <v>1.5491339066181276E-2</v>
      </c>
      <c r="G745" s="3">
        <f t="shared" ca="1" si="23"/>
        <v>11.096861829777074</v>
      </c>
      <c r="H745" s="2"/>
      <c r="I745" s="2"/>
      <c r="J745" s="2"/>
      <c r="K745" s="2"/>
    </row>
    <row r="746" spans="5:11" x14ac:dyDescent="0.25">
      <c r="E746" s="3">
        <f t="shared" ca="1" si="22"/>
        <v>0.79702634016169083</v>
      </c>
      <c r="F746" s="3">
        <f t="shared" ca="1" si="22"/>
        <v>0.57737673392229227</v>
      </c>
      <c r="G746" s="3">
        <f t="shared" ca="1" si="23"/>
        <v>5.7727580169406973</v>
      </c>
      <c r="H746" s="2"/>
      <c r="I746" s="2"/>
      <c r="J746" s="2"/>
      <c r="K746" s="2"/>
    </row>
    <row r="747" spans="5:11" x14ac:dyDescent="0.25">
      <c r="E747" s="3">
        <f t="shared" ca="1" si="22"/>
        <v>0.84869590106530912</v>
      </c>
      <c r="F747" s="3">
        <f t="shared" ca="1" si="22"/>
        <v>0.56462403794721339</v>
      </c>
      <c r="G747" s="3">
        <f t="shared" ca="1" si="23"/>
        <v>6.033760931327862</v>
      </c>
      <c r="H747" s="2"/>
      <c r="I747" s="2"/>
      <c r="J747" s="2"/>
      <c r="K747" s="2"/>
    </row>
    <row r="748" spans="5:11" x14ac:dyDescent="0.25">
      <c r="E748" s="3">
        <f t="shared" ca="1" si="22"/>
        <v>0.41604194566663144</v>
      </c>
      <c r="F748" s="3">
        <f t="shared" ca="1" si="22"/>
        <v>0.63762094213787079</v>
      </c>
      <c r="G748" s="3">
        <f t="shared" ca="1" si="23"/>
        <v>7.0507275512244565</v>
      </c>
      <c r="H748" s="2"/>
      <c r="I748" s="2"/>
      <c r="J748" s="2"/>
      <c r="K748" s="2"/>
    </row>
    <row r="749" spans="5:11" x14ac:dyDescent="0.25">
      <c r="E749" s="3">
        <f t="shared" ca="1" si="22"/>
        <v>0.83103226877541747</v>
      </c>
      <c r="F749" s="3">
        <f t="shared" ca="1" si="22"/>
        <v>0.87936670290591057</v>
      </c>
      <c r="G749" s="3">
        <f t="shared" ca="1" si="23"/>
        <v>10.639442085439883</v>
      </c>
      <c r="H749" s="2"/>
      <c r="I749" s="2"/>
      <c r="J749" s="2"/>
      <c r="K749" s="2"/>
    </row>
    <row r="750" spans="5:11" x14ac:dyDescent="0.25">
      <c r="E750" s="3">
        <f t="shared" ca="1" si="22"/>
        <v>0.75563570501499788</v>
      </c>
      <c r="F750" s="3">
        <f t="shared" ca="1" si="22"/>
        <v>0.54414652834405641</v>
      </c>
      <c r="G750" s="3">
        <f t="shared" ca="1" si="23"/>
        <v>5.1707132934709517</v>
      </c>
      <c r="H750" s="2"/>
      <c r="I750" s="2"/>
      <c r="J750" s="2"/>
      <c r="K750" s="2"/>
    </row>
    <row r="751" spans="5:11" x14ac:dyDescent="0.25">
      <c r="E751" s="3">
        <f t="shared" ca="1" si="22"/>
        <v>0.8315118405043842</v>
      </c>
      <c r="F751" s="3">
        <f t="shared" ca="1" si="22"/>
        <v>0.21310881088705413</v>
      </c>
      <c r="G751" s="3">
        <f t="shared" ca="1" si="23"/>
        <v>2.6071784516955359</v>
      </c>
      <c r="H751" s="2"/>
      <c r="I751" s="2"/>
      <c r="J751" s="2"/>
      <c r="K751" s="2"/>
    </row>
    <row r="752" spans="5:11" x14ac:dyDescent="0.25">
      <c r="E752" s="3">
        <f t="shared" ca="1" si="22"/>
        <v>0.94624317724781826</v>
      </c>
      <c r="F752" s="3">
        <f t="shared" ca="1" si="22"/>
        <v>4.3263225275858908E-2</v>
      </c>
      <c r="G752" s="3">
        <f t="shared" ca="1" si="23"/>
        <v>7.1085634451889064</v>
      </c>
      <c r="H752" s="2"/>
      <c r="I752" s="2"/>
      <c r="J752" s="2"/>
      <c r="K752" s="2"/>
    </row>
    <row r="753" spans="5:11" x14ac:dyDescent="0.25">
      <c r="E753" s="3">
        <f t="shared" ca="1" si="22"/>
        <v>0.36611915519373572</v>
      </c>
      <c r="F753" s="3">
        <f t="shared" ca="1" si="22"/>
        <v>0.72062686181078639</v>
      </c>
      <c r="G753" s="3">
        <f t="shared" ca="1" si="23"/>
        <v>8.3830342532116955</v>
      </c>
      <c r="H753" s="2"/>
      <c r="I753" s="2"/>
      <c r="J753" s="2"/>
      <c r="K753" s="2"/>
    </row>
    <row r="754" spans="5:11" x14ac:dyDescent="0.25">
      <c r="E754" s="3">
        <f t="shared" ca="1" si="22"/>
        <v>0.72176400130595286</v>
      </c>
      <c r="F754" s="3">
        <f t="shared" ca="1" si="22"/>
        <v>0.52197538382205677</v>
      </c>
      <c r="G754" s="3">
        <f t="shared" ca="1" si="23"/>
        <v>4.7969047441380637</v>
      </c>
      <c r="H754" s="2"/>
      <c r="I754" s="2"/>
      <c r="J754" s="2"/>
      <c r="K754" s="2"/>
    </row>
    <row r="755" spans="5:11" x14ac:dyDescent="0.25">
      <c r="E755" s="3">
        <f t="shared" ca="1" si="22"/>
        <v>0.51359251471934253</v>
      </c>
      <c r="F755" s="3">
        <f t="shared" ca="1" si="22"/>
        <v>0.88419827700497466</v>
      </c>
      <c r="G755" s="3">
        <f t="shared" ca="1" si="23"/>
        <v>10.654196373638142</v>
      </c>
      <c r="H755" s="2"/>
      <c r="I755" s="2"/>
      <c r="J755" s="2"/>
      <c r="K755" s="2"/>
    </row>
    <row r="756" spans="5:11" x14ac:dyDescent="0.25">
      <c r="E756" s="3">
        <f t="shared" ca="1" si="22"/>
        <v>0.52279704609830768</v>
      </c>
      <c r="F756" s="3">
        <f t="shared" ca="1" si="22"/>
        <v>0.40237584994333042</v>
      </c>
      <c r="G756" s="3">
        <f t="shared" ca="1" si="23"/>
        <v>3.7787062849560757</v>
      </c>
      <c r="H756" s="2"/>
      <c r="I756" s="2"/>
      <c r="J756" s="2"/>
      <c r="K756" s="2"/>
    </row>
    <row r="757" spans="5:11" x14ac:dyDescent="0.25">
      <c r="E757" s="3">
        <f t="shared" ca="1" si="22"/>
        <v>1.4290005715003384E-2</v>
      </c>
      <c r="F757" s="3">
        <f t="shared" ca="1" si="22"/>
        <v>0.85751711830291799</v>
      </c>
      <c r="G757" s="3">
        <f t="shared" ca="1" si="23"/>
        <v>16.439008597190778</v>
      </c>
      <c r="H757" s="2"/>
      <c r="I757" s="2"/>
      <c r="J757" s="2"/>
      <c r="K757" s="2"/>
    </row>
    <row r="758" spans="5:11" x14ac:dyDescent="0.25">
      <c r="E758" s="3">
        <f t="shared" ca="1" si="22"/>
        <v>4.3941317466059004E-2</v>
      </c>
      <c r="F758" s="3">
        <f t="shared" ca="1" si="22"/>
        <v>0.73960928681010663</v>
      </c>
      <c r="G758" s="3">
        <f t="shared" ca="1" si="23"/>
        <v>13.231267743292582</v>
      </c>
      <c r="H758" s="2"/>
      <c r="I758" s="2"/>
      <c r="J758" s="2"/>
      <c r="K758" s="2"/>
    </row>
    <row r="759" spans="5:11" x14ac:dyDescent="0.25">
      <c r="E759" s="3">
        <f t="shared" ca="1" si="22"/>
        <v>0.24080965099057738</v>
      </c>
      <c r="F759" s="3">
        <f t="shared" ca="1" si="22"/>
        <v>0.50905907677745288</v>
      </c>
      <c r="G759" s="3">
        <f t="shared" ca="1" si="23"/>
        <v>7.3602550544327361</v>
      </c>
      <c r="H759" s="2"/>
      <c r="I759" s="2"/>
      <c r="J759" s="2"/>
      <c r="K759" s="2"/>
    </row>
    <row r="760" spans="5:11" x14ac:dyDescent="0.25">
      <c r="E760" s="3">
        <f t="shared" ca="1" si="22"/>
        <v>0.98838620432008839</v>
      </c>
      <c r="F760" s="3">
        <f t="shared" ca="1" si="22"/>
        <v>0.9227462019835353</v>
      </c>
      <c r="G760" s="3">
        <f t="shared" ca="1" si="23"/>
        <v>14.739695129428501</v>
      </c>
      <c r="H760" s="2"/>
      <c r="I760" s="2"/>
      <c r="J760" s="2"/>
      <c r="K760" s="2"/>
    </row>
    <row r="761" spans="5:11" x14ac:dyDescent="0.25">
      <c r="E761" s="3">
        <f t="shared" ca="1" si="22"/>
        <v>0.45748435025618872</v>
      </c>
      <c r="F761" s="3">
        <f t="shared" ca="1" si="22"/>
        <v>0.1894615100285485</v>
      </c>
      <c r="G761" s="3">
        <f t="shared" ca="1" si="23"/>
        <v>2.7751328514071374</v>
      </c>
      <c r="H761" s="2"/>
      <c r="I761" s="2"/>
      <c r="J761" s="2"/>
      <c r="K761" s="2"/>
    </row>
    <row r="762" spans="5:11" x14ac:dyDescent="0.25">
      <c r="E762" s="3">
        <f t="shared" ca="1" si="22"/>
        <v>0.58383331235567026</v>
      </c>
      <c r="F762" s="3">
        <f t="shared" ca="1" si="22"/>
        <v>0.70720102237833737</v>
      </c>
      <c r="G762" s="3">
        <f t="shared" ca="1" si="23"/>
        <v>7.2925137288635131</v>
      </c>
      <c r="H762" s="2"/>
      <c r="I762" s="2"/>
      <c r="J762" s="2"/>
      <c r="K762" s="2"/>
    </row>
    <row r="763" spans="5:11" x14ac:dyDescent="0.25">
      <c r="E763" s="3">
        <f t="shared" ca="1" si="22"/>
        <v>0.50114130775954746</v>
      </c>
      <c r="F763" s="3">
        <f t="shared" ca="1" si="22"/>
        <v>0.39870446313101726</v>
      </c>
      <c r="G763" s="3">
        <f t="shared" ca="1" si="23"/>
        <v>3.8870267201949034</v>
      </c>
      <c r="H763" s="2"/>
      <c r="I763" s="2"/>
      <c r="J763" s="2"/>
      <c r="K763" s="2"/>
    </row>
    <row r="764" spans="5:11" x14ac:dyDescent="0.25">
      <c r="E764" s="3">
        <f t="shared" ca="1" si="22"/>
        <v>0.22951697981684149</v>
      </c>
      <c r="F764" s="3">
        <f t="shared" ca="1" si="22"/>
        <v>0.48529596584510815</v>
      </c>
      <c r="G764" s="3">
        <f t="shared" ca="1" si="23"/>
        <v>7.3267220212410171</v>
      </c>
      <c r="H764" s="2"/>
      <c r="I764" s="2"/>
      <c r="J764" s="2"/>
      <c r="K764" s="2"/>
    </row>
    <row r="765" spans="5:11" x14ac:dyDescent="0.25">
      <c r="E765" s="3">
        <f t="shared" ca="1" si="22"/>
        <v>0.64535751287757914</v>
      </c>
      <c r="F765" s="3">
        <f t="shared" ca="1" si="22"/>
        <v>0.93924974712628262</v>
      </c>
      <c r="G765" s="3">
        <f t="shared" ca="1" si="23"/>
        <v>12.218309150650869</v>
      </c>
      <c r="H765" s="2"/>
      <c r="I765" s="2"/>
      <c r="J765" s="2"/>
      <c r="K765" s="2"/>
    </row>
    <row r="766" spans="5:11" x14ac:dyDescent="0.25">
      <c r="E766" s="3">
        <f t="shared" ca="1" si="22"/>
        <v>0.82337001030709001</v>
      </c>
      <c r="F766" s="3">
        <f t="shared" ca="1" si="22"/>
        <v>0.54133561824032039</v>
      </c>
      <c r="G766" s="3">
        <f t="shared" ca="1" si="23"/>
        <v>5.5366934688183091</v>
      </c>
      <c r="H766" s="2"/>
      <c r="I766" s="2"/>
      <c r="J766" s="2"/>
      <c r="K766" s="2"/>
    </row>
    <row r="767" spans="5:11" x14ac:dyDescent="0.25">
      <c r="E767" s="3">
        <f t="shared" ca="1" si="22"/>
        <v>0.42750400304018221</v>
      </c>
      <c r="F767" s="3">
        <f t="shared" ca="1" si="22"/>
        <v>0.97990064477745653</v>
      </c>
      <c r="G767" s="3">
        <f t="shared" ca="1" si="23"/>
        <v>15.062413558668316</v>
      </c>
      <c r="H767" s="2"/>
      <c r="I767" s="2"/>
      <c r="J767" s="2"/>
      <c r="K767" s="2"/>
    </row>
    <row r="768" spans="5:11" x14ac:dyDescent="0.25">
      <c r="E768" s="3">
        <f t="shared" ca="1" si="22"/>
        <v>0.23459821241824186</v>
      </c>
      <c r="F768" s="3">
        <f t="shared" ca="1" si="22"/>
        <v>0.40459842317925454</v>
      </c>
      <c r="G768" s="3">
        <f t="shared" ca="1" si="23"/>
        <v>6.7064497948664084</v>
      </c>
      <c r="H768" s="2"/>
      <c r="I768" s="2"/>
      <c r="J768" s="2"/>
      <c r="K768" s="2"/>
    </row>
    <row r="769" spans="5:11" x14ac:dyDescent="0.25">
      <c r="E769" s="3">
        <f t="shared" ca="1" si="22"/>
        <v>0.81893492256338152</v>
      </c>
      <c r="F769" s="3">
        <f t="shared" ca="1" si="22"/>
        <v>0.37127356141551759</v>
      </c>
      <c r="G769" s="3">
        <f t="shared" ca="1" si="23"/>
        <v>3.6551263248462504</v>
      </c>
      <c r="H769" s="2"/>
      <c r="I769" s="2"/>
      <c r="J769" s="2"/>
      <c r="K769" s="2"/>
    </row>
    <row r="770" spans="5:11" x14ac:dyDescent="0.25">
      <c r="E770" s="3">
        <f t="shared" ca="1" si="22"/>
        <v>0.99244108723015723</v>
      </c>
      <c r="F770" s="3">
        <f t="shared" ca="1" si="22"/>
        <v>0.66425673889220593</v>
      </c>
      <c r="G770" s="3">
        <f t="shared" ca="1" si="23"/>
        <v>11.89918810679462</v>
      </c>
      <c r="H770" s="2"/>
      <c r="I770" s="2"/>
      <c r="J770" s="2"/>
      <c r="K770" s="2"/>
    </row>
    <row r="771" spans="5:11" x14ac:dyDescent="0.25">
      <c r="E771" s="3">
        <f t="shared" ca="1" si="22"/>
        <v>0.36999477313978857</v>
      </c>
      <c r="F771" s="3">
        <f t="shared" ca="1" si="22"/>
        <v>0.3422139846628941</v>
      </c>
      <c r="G771" s="3">
        <f t="shared" ca="1" si="23"/>
        <v>4.5989961488144635</v>
      </c>
      <c r="H771" s="2"/>
      <c r="I771" s="2"/>
      <c r="J771" s="2"/>
      <c r="K771" s="2"/>
    </row>
    <row r="772" spans="5:11" x14ac:dyDescent="0.25">
      <c r="E772" s="3">
        <f t="shared" ref="E772:F835" ca="1" si="24">RAND()</f>
        <v>0.66492466840700781</v>
      </c>
      <c r="F772" s="3">
        <f t="shared" ca="1" si="24"/>
        <v>0.53520047514450808</v>
      </c>
      <c r="G772" s="3">
        <f t="shared" ref="G772:G835" ca="1" si="25">SQRT(_xlfn.NORM.INV(E772,$C$3*COS($C$6),$C$4)^2+_xlfn.NORM.INV(F772,$C$3*SIN($C$6),$C$4)^2)</f>
        <v>4.91297631470818</v>
      </c>
      <c r="H772" s="2"/>
      <c r="I772" s="2"/>
      <c r="J772" s="2"/>
      <c r="K772" s="2"/>
    </row>
    <row r="773" spans="5:11" x14ac:dyDescent="0.25">
      <c r="E773" s="3">
        <f t="shared" ca="1" si="24"/>
        <v>0.10175222101321568</v>
      </c>
      <c r="F773" s="3">
        <f t="shared" ca="1" si="24"/>
        <v>0.78153229951689918</v>
      </c>
      <c r="G773" s="3">
        <f t="shared" ca="1" si="25"/>
        <v>11.990493773421985</v>
      </c>
      <c r="H773" s="2"/>
      <c r="I773" s="2"/>
      <c r="J773" s="2"/>
      <c r="K773" s="2"/>
    </row>
    <row r="774" spans="5:11" x14ac:dyDescent="0.25">
      <c r="E774" s="3">
        <f t="shared" ca="1" si="24"/>
        <v>0.22900762129835317</v>
      </c>
      <c r="F774" s="3">
        <f t="shared" ca="1" si="24"/>
        <v>0.87617873283242731</v>
      </c>
      <c r="G774" s="3">
        <f t="shared" ca="1" si="25"/>
        <v>11.852670521166427</v>
      </c>
      <c r="H774" s="2"/>
      <c r="I774" s="2"/>
      <c r="J774" s="2"/>
      <c r="K774" s="2"/>
    </row>
    <row r="775" spans="5:11" x14ac:dyDescent="0.25">
      <c r="E775" s="3">
        <f t="shared" ca="1" si="24"/>
        <v>0.3041077288302646</v>
      </c>
      <c r="F775" s="3">
        <f t="shared" ca="1" si="24"/>
        <v>0.81310977090461456</v>
      </c>
      <c r="G775" s="3">
        <f t="shared" ca="1" si="25"/>
        <v>10.128538385651577</v>
      </c>
      <c r="H775" s="2"/>
      <c r="I775" s="2"/>
      <c r="J775" s="2"/>
      <c r="K775" s="2"/>
    </row>
    <row r="776" spans="5:11" x14ac:dyDescent="0.25">
      <c r="E776" s="3">
        <f t="shared" ca="1" si="24"/>
        <v>0.83427751566208841</v>
      </c>
      <c r="F776" s="3">
        <f t="shared" ca="1" si="24"/>
        <v>0.33173474912316359</v>
      </c>
      <c r="G776" s="3">
        <f t="shared" ca="1" si="25"/>
        <v>3.4793299075143342</v>
      </c>
      <c r="H776" s="2"/>
      <c r="I776" s="2"/>
      <c r="J776" s="2"/>
      <c r="K776" s="2"/>
    </row>
    <row r="777" spans="5:11" x14ac:dyDescent="0.25">
      <c r="E777" s="3">
        <f t="shared" ca="1" si="24"/>
        <v>0.92375555742712034</v>
      </c>
      <c r="F777" s="3">
        <f t="shared" ca="1" si="24"/>
        <v>0.6304808712821045</v>
      </c>
      <c r="G777" s="3">
        <f t="shared" ca="1" si="25"/>
        <v>7.8606217254580146</v>
      </c>
      <c r="H777" s="2"/>
      <c r="I777" s="2"/>
      <c r="J777" s="2"/>
      <c r="K777" s="2"/>
    </row>
    <row r="778" spans="5:11" x14ac:dyDescent="0.25">
      <c r="E778" s="3">
        <f t="shared" ca="1" si="24"/>
        <v>0.81736830090556711</v>
      </c>
      <c r="F778" s="3">
        <f t="shared" ca="1" si="24"/>
        <v>0.94210600808604805</v>
      </c>
      <c r="G778" s="3">
        <f t="shared" ca="1" si="25"/>
        <v>12.543653289607104</v>
      </c>
      <c r="H778" s="2"/>
      <c r="I778" s="2"/>
      <c r="J778" s="2"/>
      <c r="K778" s="2"/>
    </row>
    <row r="779" spans="5:11" x14ac:dyDescent="0.25">
      <c r="E779" s="3">
        <f t="shared" ca="1" si="24"/>
        <v>0.83964944316872281</v>
      </c>
      <c r="F779" s="3">
        <f t="shared" ca="1" si="24"/>
        <v>0.13904633499242758</v>
      </c>
      <c r="G779" s="3">
        <f t="shared" ca="1" si="25"/>
        <v>2.8866047919473785</v>
      </c>
      <c r="H779" s="2"/>
      <c r="I779" s="2"/>
      <c r="J779" s="2"/>
      <c r="K779" s="2"/>
    </row>
    <row r="780" spans="5:11" x14ac:dyDescent="0.25">
      <c r="E780" s="3">
        <f t="shared" ca="1" si="24"/>
        <v>0.57593016212091352</v>
      </c>
      <c r="F780" s="3">
        <f t="shared" ca="1" si="24"/>
        <v>0.94115969407683542</v>
      </c>
      <c r="G780" s="3">
        <f t="shared" ca="1" si="25"/>
        <v>12.359662205952015</v>
      </c>
      <c r="H780" s="2"/>
      <c r="I780" s="2"/>
      <c r="J780" s="2"/>
      <c r="K780" s="2"/>
    </row>
    <row r="781" spans="5:11" x14ac:dyDescent="0.25">
      <c r="E781" s="3">
        <f t="shared" ca="1" si="24"/>
        <v>0.75638370116898157</v>
      </c>
      <c r="F781" s="3">
        <f t="shared" ca="1" si="24"/>
        <v>0.64341130128262614</v>
      </c>
      <c r="G781" s="3">
        <f t="shared" ca="1" si="25"/>
        <v>6.4273619314371206</v>
      </c>
      <c r="H781" s="2"/>
      <c r="I781" s="2"/>
      <c r="J781" s="2"/>
      <c r="K781" s="2"/>
    </row>
    <row r="782" spans="5:11" x14ac:dyDescent="0.25">
      <c r="E782" s="3">
        <f t="shared" ca="1" si="24"/>
        <v>0.6852699790179313</v>
      </c>
      <c r="F782" s="3">
        <f t="shared" ca="1" si="24"/>
        <v>9.9485015862884274E-2</v>
      </c>
      <c r="G782" s="3">
        <f t="shared" ca="1" si="25"/>
        <v>1.9600414938664112</v>
      </c>
      <c r="H782" s="2"/>
      <c r="I782" s="2"/>
      <c r="J782" s="2"/>
      <c r="K782" s="2"/>
    </row>
    <row r="783" spans="5:11" x14ac:dyDescent="0.25">
      <c r="E783" s="3">
        <f t="shared" ca="1" si="24"/>
        <v>0.25798137225287454</v>
      </c>
      <c r="F783" s="3">
        <f t="shared" ca="1" si="24"/>
        <v>0.70732046359628953</v>
      </c>
      <c r="G783" s="3">
        <f t="shared" ca="1" si="25"/>
        <v>9.0515313232911474</v>
      </c>
      <c r="H783" s="2"/>
      <c r="I783" s="2"/>
      <c r="J783" s="2"/>
      <c r="K783" s="2"/>
    </row>
    <row r="784" spans="5:11" x14ac:dyDescent="0.25">
      <c r="E784" s="3">
        <f t="shared" ca="1" si="24"/>
        <v>0.9068850826482644</v>
      </c>
      <c r="F784" s="3">
        <f t="shared" ca="1" si="24"/>
        <v>0.45388475415770446</v>
      </c>
      <c r="G784" s="3">
        <f t="shared" ca="1" si="25"/>
        <v>5.8500685801954502</v>
      </c>
      <c r="H784" s="2"/>
      <c r="I784" s="2"/>
      <c r="J784" s="2"/>
      <c r="K784" s="2"/>
    </row>
    <row r="785" spans="5:11" x14ac:dyDescent="0.25">
      <c r="E785" s="3">
        <f t="shared" ca="1" si="24"/>
        <v>5.27602605396994E-2</v>
      </c>
      <c r="F785" s="3">
        <f t="shared" ca="1" si="24"/>
        <v>0.53155129818442204</v>
      </c>
      <c r="G785" s="3">
        <f t="shared" ca="1" si="25"/>
        <v>11.42195211173034</v>
      </c>
      <c r="H785" s="2"/>
      <c r="I785" s="2"/>
      <c r="J785" s="2"/>
      <c r="K785" s="2"/>
    </row>
    <row r="786" spans="5:11" x14ac:dyDescent="0.25">
      <c r="E786" s="3">
        <f t="shared" ca="1" si="24"/>
        <v>2.6735276442297784E-2</v>
      </c>
      <c r="F786" s="3">
        <f t="shared" ca="1" si="24"/>
        <v>0.12122192837118217</v>
      </c>
      <c r="G786" s="3">
        <f t="shared" ca="1" si="25"/>
        <v>11.97502003491339</v>
      </c>
      <c r="H786" s="2"/>
      <c r="I786" s="2"/>
      <c r="J786" s="2"/>
      <c r="K786" s="2"/>
    </row>
    <row r="787" spans="5:11" x14ac:dyDescent="0.25">
      <c r="E787" s="3">
        <f t="shared" ca="1" si="24"/>
        <v>0.3461635046858268</v>
      </c>
      <c r="F787" s="3">
        <f t="shared" ca="1" si="24"/>
        <v>0.50850695116076838</v>
      </c>
      <c r="G787" s="3">
        <f t="shared" ca="1" si="25"/>
        <v>6.2244816335105595</v>
      </c>
      <c r="H787" s="2"/>
      <c r="I787" s="2"/>
      <c r="J787" s="2"/>
      <c r="K787" s="2"/>
    </row>
    <row r="788" spans="5:11" x14ac:dyDescent="0.25">
      <c r="E788" s="3">
        <f t="shared" ca="1" si="24"/>
        <v>0.7036773295907065</v>
      </c>
      <c r="F788" s="3">
        <f t="shared" ca="1" si="24"/>
        <v>0.35640978704248227</v>
      </c>
      <c r="G788" s="3">
        <f t="shared" ca="1" si="25"/>
        <v>2.6653054228326654</v>
      </c>
      <c r="H788" s="2"/>
      <c r="I788" s="2"/>
      <c r="J788" s="2"/>
      <c r="K788" s="2"/>
    </row>
    <row r="789" spans="5:11" x14ac:dyDescent="0.25">
      <c r="E789" s="3">
        <f t="shared" ca="1" si="24"/>
        <v>0.66328431011527345</v>
      </c>
      <c r="F789" s="3">
        <f t="shared" ca="1" si="24"/>
        <v>0.2787105731633337</v>
      </c>
      <c r="G789" s="3">
        <f t="shared" ca="1" si="25"/>
        <v>1.5423601603215376</v>
      </c>
      <c r="H789" s="2"/>
      <c r="I789" s="2"/>
      <c r="J789" s="2"/>
      <c r="K789" s="2"/>
    </row>
    <row r="790" spans="5:11" x14ac:dyDescent="0.25">
      <c r="E790" s="3">
        <f t="shared" ca="1" si="24"/>
        <v>0.79850262787283599</v>
      </c>
      <c r="F790" s="3">
        <f t="shared" ca="1" si="24"/>
        <v>0.9281244092996096</v>
      </c>
      <c r="G790" s="3">
        <f t="shared" ca="1" si="25"/>
        <v>11.938652236023023</v>
      </c>
      <c r="H790" s="2"/>
      <c r="I790" s="2"/>
      <c r="J790" s="2"/>
      <c r="K790" s="2"/>
    </row>
    <row r="791" spans="5:11" x14ac:dyDescent="0.25">
      <c r="E791" s="3">
        <f t="shared" ca="1" si="24"/>
        <v>0.38134394835045848</v>
      </c>
      <c r="F791" s="3">
        <f t="shared" ca="1" si="24"/>
        <v>0.89881322516150619</v>
      </c>
      <c r="G791" s="3">
        <f t="shared" ca="1" si="25"/>
        <v>11.474208482192793</v>
      </c>
      <c r="H791" s="2"/>
      <c r="I791" s="2"/>
      <c r="J791" s="2"/>
      <c r="K791" s="2"/>
    </row>
    <row r="792" spans="5:11" x14ac:dyDescent="0.25">
      <c r="E792" s="3">
        <f t="shared" ca="1" si="24"/>
        <v>0.97480789165563064</v>
      </c>
      <c r="F792" s="3">
        <f t="shared" ca="1" si="24"/>
        <v>0.36152155801334263</v>
      </c>
      <c r="G792" s="3">
        <f t="shared" ca="1" si="25"/>
        <v>8.0110645983237916</v>
      </c>
      <c r="H792" s="2"/>
      <c r="I792" s="2"/>
      <c r="J792" s="2"/>
      <c r="K792" s="2"/>
    </row>
    <row r="793" spans="5:11" x14ac:dyDescent="0.25">
      <c r="E793" s="3">
        <f t="shared" ca="1" si="24"/>
        <v>0.63169276754037063</v>
      </c>
      <c r="F793" s="3">
        <f t="shared" ca="1" si="24"/>
        <v>0.49895001065864264</v>
      </c>
      <c r="G793" s="3">
        <f t="shared" ca="1" si="25"/>
        <v>4.4917019917223326</v>
      </c>
      <c r="H793" s="2"/>
      <c r="I793" s="2"/>
      <c r="J793" s="2"/>
      <c r="K793" s="2"/>
    </row>
    <row r="794" spans="5:11" x14ac:dyDescent="0.25">
      <c r="E794" s="3">
        <f t="shared" ca="1" si="24"/>
        <v>0.1995148421036389</v>
      </c>
      <c r="F794" s="3">
        <f t="shared" ca="1" si="24"/>
        <v>0.81542657447585765</v>
      </c>
      <c r="G794" s="3">
        <f t="shared" ca="1" si="25"/>
        <v>11.044570182721612</v>
      </c>
      <c r="H794" s="2"/>
      <c r="I794" s="2"/>
      <c r="J794" s="2"/>
      <c r="K794" s="2"/>
    </row>
    <row r="795" spans="5:11" x14ac:dyDescent="0.25">
      <c r="E795" s="3">
        <f t="shared" ca="1" si="24"/>
        <v>0.52596436641432798</v>
      </c>
      <c r="F795" s="3">
        <f t="shared" ca="1" si="24"/>
        <v>0.26404143333514951</v>
      </c>
      <c r="G795" s="3">
        <f t="shared" ca="1" si="25"/>
        <v>2.3229715190631968</v>
      </c>
      <c r="H795" s="2"/>
      <c r="I795" s="2"/>
      <c r="J795" s="2"/>
      <c r="K795" s="2"/>
    </row>
    <row r="796" spans="5:11" x14ac:dyDescent="0.25">
      <c r="E796" s="3">
        <f t="shared" ca="1" si="24"/>
        <v>0.95974208082899948</v>
      </c>
      <c r="F796" s="3">
        <f t="shared" ca="1" si="24"/>
        <v>0.93403566422737805</v>
      </c>
      <c r="G796" s="3">
        <f t="shared" ca="1" si="25"/>
        <v>13.648815018569108</v>
      </c>
      <c r="H796" s="2"/>
      <c r="I796" s="2"/>
      <c r="J796" s="2"/>
      <c r="K796" s="2"/>
    </row>
    <row r="797" spans="5:11" x14ac:dyDescent="0.25">
      <c r="E797" s="3">
        <f t="shared" ca="1" si="24"/>
        <v>0.8917168061488856</v>
      </c>
      <c r="F797" s="3">
        <f t="shared" ca="1" si="24"/>
        <v>0.76569870598101941</v>
      </c>
      <c r="G797" s="3">
        <f t="shared" ca="1" si="25"/>
        <v>9.0010092670674844</v>
      </c>
      <c r="H797" s="2"/>
      <c r="I797" s="2"/>
      <c r="J797" s="2"/>
      <c r="K797" s="2"/>
    </row>
    <row r="798" spans="5:11" x14ac:dyDescent="0.25">
      <c r="E798" s="3">
        <f t="shared" ca="1" si="24"/>
        <v>0.92567139938827625</v>
      </c>
      <c r="F798" s="3">
        <f t="shared" ca="1" si="24"/>
        <v>0.25612656280250834</v>
      </c>
      <c r="G798" s="3">
        <f t="shared" ca="1" si="25"/>
        <v>5.122032733761972</v>
      </c>
      <c r="H798" s="2"/>
      <c r="I798" s="2"/>
      <c r="J798" s="2"/>
      <c r="K798" s="2"/>
    </row>
    <row r="799" spans="5:11" x14ac:dyDescent="0.25">
      <c r="E799" s="3">
        <f t="shared" ca="1" si="24"/>
        <v>0.44253411696782663</v>
      </c>
      <c r="F799" s="3">
        <f t="shared" ca="1" si="24"/>
        <v>0.5925936139186665</v>
      </c>
      <c r="G799" s="3">
        <f t="shared" ca="1" si="25"/>
        <v>6.3719632389998422</v>
      </c>
      <c r="H799" s="2"/>
      <c r="I799" s="2"/>
      <c r="J799" s="2"/>
      <c r="K799" s="2"/>
    </row>
    <row r="800" spans="5:11" x14ac:dyDescent="0.25">
      <c r="E800" s="3">
        <f t="shared" ca="1" si="24"/>
        <v>0.81611708664388793</v>
      </c>
      <c r="F800" s="3">
        <f t="shared" ca="1" si="24"/>
        <v>8.8733099736591048E-2</v>
      </c>
      <c r="G800" s="3">
        <f t="shared" ca="1" si="25"/>
        <v>3.2074218774056709</v>
      </c>
      <c r="H800" s="2"/>
      <c r="I800" s="2"/>
      <c r="J800" s="2"/>
      <c r="K800" s="2"/>
    </row>
    <row r="801" spans="5:11" x14ac:dyDescent="0.25">
      <c r="E801" s="3">
        <f t="shared" ca="1" si="24"/>
        <v>0.87820116625991151</v>
      </c>
      <c r="F801" s="3">
        <f t="shared" ca="1" si="24"/>
        <v>0.31017994412941463</v>
      </c>
      <c r="G801" s="3">
        <f t="shared" ca="1" si="25"/>
        <v>4.1061074370861812</v>
      </c>
      <c r="H801" s="2"/>
      <c r="I801" s="2"/>
      <c r="J801" s="2"/>
      <c r="K801" s="2"/>
    </row>
    <row r="802" spans="5:11" x14ac:dyDescent="0.25">
      <c r="E802" s="3">
        <f t="shared" ca="1" si="24"/>
        <v>0.37288070769487658</v>
      </c>
      <c r="F802" s="3">
        <f t="shared" ca="1" si="24"/>
        <v>0.48353035536307443</v>
      </c>
      <c r="G802" s="3">
        <f t="shared" ca="1" si="25"/>
        <v>5.7522997071674942</v>
      </c>
      <c r="H802" s="2"/>
      <c r="I802" s="2"/>
      <c r="J802" s="2"/>
      <c r="K802" s="2"/>
    </row>
    <row r="803" spans="5:11" x14ac:dyDescent="0.25">
      <c r="E803" s="3">
        <f t="shared" ca="1" si="24"/>
        <v>0.5236544939615696</v>
      </c>
      <c r="F803" s="3">
        <f t="shared" ca="1" si="24"/>
        <v>0.28938864867298442</v>
      </c>
      <c r="G803" s="3">
        <f t="shared" ca="1" si="25"/>
        <v>2.578399365479322</v>
      </c>
      <c r="H803" s="2"/>
      <c r="I803" s="2"/>
      <c r="J803" s="2"/>
      <c r="K803" s="2"/>
    </row>
    <row r="804" spans="5:11" x14ac:dyDescent="0.25">
      <c r="E804" s="3">
        <f t="shared" ca="1" si="24"/>
        <v>0.14769487198642939</v>
      </c>
      <c r="F804" s="3">
        <f t="shared" ca="1" si="24"/>
        <v>2.1648912116134844E-2</v>
      </c>
      <c r="G804" s="3">
        <f t="shared" ca="1" si="25"/>
        <v>9.3582962124900586</v>
      </c>
      <c r="H804" s="2"/>
      <c r="I804" s="2"/>
      <c r="J804" s="2"/>
      <c r="K804" s="2"/>
    </row>
    <row r="805" spans="5:11" x14ac:dyDescent="0.25">
      <c r="E805" s="3">
        <f t="shared" ca="1" si="24"/>
        <v>0.46987359410813723</v>
      </c>
      <c r="F805" s="3">
        <f t="shared" ca="1" si="24"/>
        <v>0.790416930249626</v>
      </c>
      <c r="G805" s="3">
        <f t="shared" ca="1" si="25"/>
        <v>8.9030430078331122</v>
      </c>
      <c r="H805" s="2"/>
      <c r="I805" s="2"/>
      <c r="J805" s="2"/>
      <c r="K805" s="2"/>
    </row>
    <row r="806" spans="5:11" x14ac:dyDescent="0.25">
      <c r="E806" s="3">
        <f t="shared" ca="1" si="24"/>
        <v>0.60907351931460718</v>
      </c>
      <c r="F806" s="3">
        <f t="shared" ca="1" si="24"/>
        <v>0.59111086502056676</v>
      </c>
      <c r="G806" s="3">
        <f t="shared" ca="1" si="25"/>
        <v>5.6867703934848608</v>
      </c>
      <c r="H806" s="2"/>
      <c r="I806" s="2"/>
      <c r="J806" s="2"/>
      <c r="K806" s="2"/>
    </row>
    <row r="807" spans="5:11" x14ac:dyDescent="0.25">
      <c r="E807" s="3">
        <f t="shared" ca="1" si="24"/>
        <v>0.68258054647586186</v>
      </c>
      <c r="F807" s="3">
        <f t="shared" ca="1" si="24"/>
        <v>0.62428074108502329</v>
      </c>
      <c r="G807" s="3">
        <f t="shared" ca="1" si="25"/>
        <v>6.0551877855791369</v>
      </c>
      <c r="H807" s="2"/>
      <c r="I807" s="2"/>
      <c r="J807" s="2"/>
      <c r="K807" s="2"/>
    </row>
    <row r="808" spans="5:11" x14ac:dyDescent="0.25">
      <c r="E808" s="3">
        <f t="shared" ca="1" si="24"/>
        <v>0.21642645903630464</v>
      </c>
      <c r="F808" s="3">
        <f t="shared" ca="1" si="24"/>
        <v>0.39086047263598844</v>
      </c>
      <c r="G808" s="3">
        <f t="shared" ca="1" si="25"/>
        <v>6.8909025561012882</v>
      </c>
      <c r="H808" s="2"/>
      <c r="I808" s="2"/>
      <c r="J808" s="2"/>
      <c r="K808" s="2"/>
    </row>
    <row r="809" spans="5:11" x14ac:dyDescent="0.25">
      <c r="E809" s="3">
        <f t="shared" ca="1" si="24"/>
        <v>0.12025727584984147</v>
      </c>
      <c r="F809" s="3">
        <f t="shared" ca="1" si="24"/>
        <v>0.25315342967454713</v>
      </c>
      <c r="G809" s="3">
        <f t="shared" ca="1" si="25"/>
        <v>8.1895942722665147</v>
      </c>
      <c r="H809" s="2"/>
      <c r="I809" s="2"/>
      <c r="J809" s="2"/>
      <c r="K809" s="2"/>
    </row>
    <row r="810" spans="5:11" x14ac:dyDescent="0.25">
      <c r="E810" s="3">
        <f t="shared" ca="1" si="24"/>
        <v>0.2275994237428054</v>
      </c>
      <c r="F810" s="3">
        <f t="shared" ca="1" si="24"/>
        <v>0.38350715706260496</v>
      </c>
      <c r="G810" s="3">
        <f t="shared" ca="1" si="25"/>
        <v>6.6800589895066649</v>
      </c>
      <c r="H810" s="2"/>
      <c r="I810" s="2"/>
      <c r="J810" s="2"/>
      <c r="K810" s="2"/>
    </row>
    <row r="811" spans="5:11" x14ac:dyDescent="0.25">
      <c r="E811" s="3">
        <f t="shared" ca="1" si="24"/>
        <v>0.31170102929420496</v>
      </c>
      <c r="F811" s="3">
        <f t="shared" ca="1" si="24"/>
        <v>0.85197425779805169</v>
      </c>
      <c r="G811" s="3">
        <f t="shared" ca="1" si="25"/>
        <v>10.771946012496853</v>
      </c>
      <c r="H811" s="2"/>
      <c r="I811" s="2"/>
      <c r="J811" s="2"/>
      <c r="K811" s="2"/>
    </row>
    <row r="812" spans="5:11" x14ac:dyDescent="0.25">
      <c r="E812" s="3">
        <f t="shared" ca="1" si="24"/>
        <v>0.15202699426173405</v>
      </c>
      <c r="F812" s="3">
        <f t="shared" ca="1" si="24"/>
        <v>0.57934731509020598</v>
      </c>
      <c r="G812" s="3">
        <f t="shared" ca="1" si="25"/>
        <v>9.1862106992705286</v>
      </c>
      <c r="H812" s="2"/>
      <c r="I812" s="2"/>
      <c r="J812" s="2"/>
      <c r="K812" s="2"/>
    </row>
    <row r="813" spans="5:11" x14ac:dyDescent="0.25">
      <c r="E813" s="3">
        <f t="shared" ca="1" si="24"/>
        <v>0.49313044358618363</v>
      </c>
      <c r="F813" s="3">
        <f t="shared" ca="1" si="24"/>
        <v>0.51559304404496442</v>
      </c>
      <c r="G813" s="3">
        <f t="shared" ca="1" si="25"/>
        <v>5.2133486829315983</v>
      </c>
      <c r="H813" s="2"/>
      <c r="I813" s="2"/>
      <c r="J813" s="2"/>
      <c r="K813" s="2"/>
    </row>
    <row r="814" spans="5:11" x14ac:dyDescent="0.25">
      <c r="E814" s="3">
        <f t="shared" ca="1" si="24"/>
        <v>1.2903412694665217E-2</v>
      </c>
      <c r="F814" s="3">
        <f t="shared" ca="1" si="24"/>
        <v>3.8546012523008044E-2</v>
      </c>
      <c r="G814" s="3">
        <f t="shared" ca="1" si="25"/>
        <v>14.08088191240307</v>
      </c>
      <c r="H814" s="2"/>
      <c r="I814" s="2"/>
      <c r="J814" s="2"/>
      <c r="K814" s="2"/>
    </row>
    <row r="815" spans="5:11" x14ac:dyDescent="0.25">
      <c r="E815" s="3">
        <f t="shared" ca="1" si="24"/>
        <v>0.32557387886967104</v>
      </c>
      <c r="F815" s="3">
        <f t="shared" ca="1" si="24"/>
        <v>0.53954706245733164</v>
      </c>
      <c r="G815" s="3">
        <f t="shared" ca="1" si="25"/>
        <v>6.7027218890783304</v>
      </c>
      <c r="H815" s="2"/>
      <c r="I815" s="2"/>
      <c r="J815" s="2"/>
      <c r="K815" s="2"/>
    </row>
    <row r="816" spans="5:11" x14ac:dyDescent="0.25">
      <c r="E816" s="3">
        <f t="shared" ca="1" si="24"/>
        <v>0.61775157259661551</v>
      </c>
      <c r="F816" s="3">
        <f t="shared" ca="1" si="24"/>
        <v>0.68227393782737356</v>
      </c>
      <c r="G816" s="3">
        <f t="shared" ca="1" si="25"/>
        <v>6.8804947066806443</v>
      </c>
      <c r="H816" s="2"/>
      <c r="I816" s="2"/>
      <c r="J816" s="2"/>
      <c r="K816" s="2"/>
    </row>
    <row r="817" spans="5:11" x14ac:dyDescent="0.25">
      <c r="E817" s="3">
        <f t="shared" ca="1" si="24"/>
        <v>0.56476990654485337</v>
      </c>
      <c r="F817" s="3">
        <f t="shared" ca="1" si="24"/>
        <v>0.69645088638745878</v>
      </c>
      <c r="G817" s="3">
        <f t="shared" ca="1" si="25"/>
        <v>7.1838339338061648</v>
      </c>
      <c r="H817" s="2"/>
      <c r="I817" s="2"/>
      <c r="J817" s="2"/>
      <c r="K817" s="2"/>
    </row>
    <row r="818" spans="5:11" x14ac:dyDescent="0.25">
      <c r="E818" s="3">
        <f t="shared" ca="1" si="24"/>
        <v>0.92171196626737284</v>
      </c>
      <c r="F818" s="3">
        <f t="shared" ca="1" si="24"/>
        <v>0.88215068253987583</v>
      </c>
      <c r="G818" s="3">
        <f t="shared" ca="1" si="25"/>
        <v>11.471468274926075</v>
      </c>
      <c r="H818" s="2"/>
      <c r="I818" s="2"/>
      <c r="J818" s="2"/>
      <c r="K818" s="2"/>
    </row>
    <row r="819" spans="5:11" x14ac:dyDescent="0.25">
      <c r="E819" s="3">
        <f t="shared" ca="1" si="24"/>
        <v>0.54076870419835454</v>
      </c>
      <c r="F819" s="3">
        <f t="shared" ca="1" si="24"/>
        <v>3.5628462970843655E-2</v>
      </c>
      <c r="G819" s="3">
        <f t="shared" ca="1" si="25"/>
        <v>4.8665166011436005</v>
      </c>
      <c r="H819" s="2"/>
      <c r="I819" s="2"/>
      <c r="J819" s="2"/>
      <c r="K819" s="2"/>
    </row>
    <row r="820" spans="5:11" x14ac:dyDescent="0.25">
      <c r="E820" s="3">
        <f t="shared" ca="1" si="24"/>
        <v>0.70838613909736081</v>
      </c>
      <c r="F820" s="3">
        <f t="shared" ca="1" si="24"/>
        <v>0.32084005087641776</v>
      </c>
      <c r="G820" s="3">
        <f t="shared" ca="1" si="25"/>
        <v>2.2014651577337636</v>
      </c>
      <c r="H820" s="2"/>
      <c r="I820" s="2"/>
      <c r="J820" s="2"/>
      <c r="K820" s="2"/>
    </row>
    <row r="821" spans="5:11" x14ac:dyDescent="0.25">
      <c r="E821" s="3">
        <f t="shared" ca="1" si="24"/>
        <v>0.19912439941649029</v>
      </c>
      <c r="F821" s="3">
        <f t="shared" ca="1" si="24"/>
        <v>0.18190856692612678</v>
      </c>
      <c r="G821" s="3">
        <f t="shared" ca="1" si="25"/>
        <v>6.4645182146976712</v>
      </c>
      <c r="H821" s="2"/>
      <c r="I821" s="2"/>
      <c r="J821" s="2"/>
      <c r="K821" s="2"/>
    </row>
    <row r="822" spans="5:11" x14ac:dyDescent="0.25">
      <c r="E822" s="3">
        <f t="shared" ca="1" si="24"/>
        <v>0.21666439067378207</v>
      </c>
      <c r="F822" s="3">
        <f t="shared" ca="1" si="24"/>
        <v>2.9649900320435907E-2</v>
      </c>
      <c r="G822" s="3">
        <f t="shared" ca="1" si="25"/>
        <v>7.9069476941141001</v>
      </c>
      <c r="H822" s="2"/>
      <c r="I822" s="2"/>
      <c r="J822" s="2"/>
      <c r="K822" s="2"/>
    </row>
    <row r="823" spans="5:11" x14ac:dyDescent="0.25">
      <c r="E823" s="3">
        <f t="shared" ca="1" si="24"/>
        <v>0.22528746847493841</v>
      </c>
      <c r="F823" s="3">
        <f t="shared" ca="1" si="24"/>
        <v>0.55266744754653097</v>
      </c>
      <c r="G823" s="3">
        <f t="shared" ca="1" si="25"/>
        <v>7.9050252409708666</v>
      </c>
      <c r="H823" s="2"/>
      <c r="I823" s="2"/>
      <c r="J823" s="2"/>
      <c r="K823" s="2"/>
    </row>
    <row r="824" spans="5:11" x14ac:dyDescent="0.25">
      <c r="E824" s="3">
        <f t="shared" ca="1" si="24"/>
        <v>0.64255700139707317</v>
      </c>
      <c r="F824" s="3">
        <f t="shared" ca="1" si="24"/>
        <v>0.19872327871734952</v>
      </c>
      <c r="G824" s="3">
        <f t="shared" ca="1" si="25"/>
        <v>0.47792743773787677</v>
      </c>
      <c r="H824" s="2"/>
      <c r="I824" s="2"/>
      <c r="J824" s="2"/>
      <c r="K824" s="2"/>
    </row>
    <row r="825" spans="5:11" x14ac:dyDescent="0.25">
      <c r="E825" s="3">
        <f t="shared" ca="1" si="24"/>
        <v>5.21998526886992E-2</v>
      </c>
      <c r="F825" s="3">
        <f t="shared" ca="1" si="24"/>
        <v>0.39166279453036579</v>
      </c>
      <c r="G825" s="3">
        <f t="shared" ca="1" si="25"/>
        <v>10.812258142161342</v>
      </c>
      <c r="H825" s="2"/>
      <c r="I825" s="2"/>
      <c r="J825" s="2"/>
      <c r="K825" s="2"/>
    </row>
    <row r="826" spans="5:11" x14ac:dyDescent="0.25">
      <c r="E826" s="3">
        <f t="shared" ca="1" si="24"/>
        <v>0.39980201026611739</v>
      </c>
      <c r="F826" s="3">
        <f t="shared" ca="1" si="24"/>
        <v>0.73369427720530622</v>
      </c>
      <c r="G826" s="3">
        <f t="shared" ca="1" si="25"/>
        <v>8.3622645475262161</v>
      </c>
      <c r="H826" s="2"/>
      <c r="I826" s="2"/>
      <c r="J826" s="2"/>
      <c r="K826" s="2"/>
    </row>
    <row r="827" spans="5:11" x14ac:dyDescent="0.25">
      <c r="E827" s="3">
        <f t="shared" ca="1" si="24"/>
        <v>0.50109489204306912</v>
      </c>
      <c r="F827" s="3">
        <f t="shared" ca="1" si="24"/>
        <v>0.25463299603876799</v>
      </c>
      <c r="G827" s="3">
        <f t="shared" ca="1" si="25"/>
        <v>2.5153595104760167</v>
      </c>
      <c r="H827" s="2"/>
      <c r="I827" s="2"/>
      <c r="J827" s="2"/>
      <c r="K827" s="2"/>
    </row>
    <row r="828" spans="5:11" x14ac:dyDescent="0.25">
      <c r="E828" s="3">
        <f t="shared" ca="1" si="24"/>
        <v>0.46090885516476243</v>
      </c>
      <c r="F828" s="3">
        <f t="shared" ca="1" si="24"/>
        <v>0.63967652071814618</v>
      </c>
      <c r="G828" s="3">
        <f t="shared" ca="1" si="25"/>
        <v>6.8279460787362547</v>
      </c>
      <c r="H828" s="2"/>
      <c r="I828" s="2"/>
      <c r="J828" s="2"/>
      <c r="K828" s="2"/>
    </row>
    <row r="829" spans="5:11" x14ac:dyDescent="0.25">
      <c r="E829" s="3">
        <f t="shared" ca="1" si="24"/>
        <v>0.96849943081980194</v>
      </c>
      <c r="F829" s="3">
        <f t="shared" ca="1" si="24"/>
        <v>0.40127932476269212</v>
      </c>
      <c r="G829" s="3">
        <f t="shared" ca="1" si="25"/>
        <v>7.7555059450527999</v>
      </c>
      <c r="H829" s="2"/>
      <c r="I829" s="2"/>
      <c r="J829" s="2"/>
      <c r="K829" s="2"/>
    </row>
    <row r="830" spans="5:11" x14ac:dyDescent="0.25">
      <c r="E830" s="3">
        <f t="shared" ca="1" si="24"/>
        <v>0.95132882374058636</v>
      </c>
      <c r="F830" s="3">
        <f t="shared" ca="1" si="24"/>
        <v>0.7631048931352592</v>
      </c>
      <c r="G830" s="3">
        <f t="shared" ca="1" si="25"/>
        <v>10.070702440424485</v>
      </c>
      <c r="H830" s="2"/>
      <c r="I830" s="2"/>
      <c r="J830" s="2"/>
      <c r="K830" s="2"/>
    </row>
    <row r="831" spans="5:11" x14ac:dyDescent="0.25">
      <c r="E831" s="3">
        <f t="shared" ca="1" si="24"/>
        <v>0.98460582372669669</v>
      </c>
      <c r="F831" s="3">
        <f t="shared" ca="1" si="24"/>
        <v>0.75647617156894964</v>
      </c>
      <c r="G831" s="3">
        <f t="shared" ca="1" si="25"/>
        <v>11.677914704739074</v>
      </c>
      <c r="H831" s="2"/>
      <c r="I831" s="2"/>
      <c r="J831" s="2"/>
      <c r="K831" s="2"/>
    </row>
    <row r="832" spans="5:11" x14ac:dyDescent="0.25">
      <c r="E832" s="3">
        <f t="shared" ca="1" si="24"/>
        <v>0.44236050410596572</v>
      </c>
      <c r="F832" s="3">
        <f t="shared" ca="1" si="24"/>
        <v>0.35193904355198136</v>
      </c>
      <c r="G832" s="3">
        <f t="shared" ca="1" si="25"/>
        <v>3.9237113264201611</v>
      </c>
      <c r="H832" s="2"/>
      <c r="I832" s="2"/>
      <c r="J832" s="2"/>
      <c r="K832" s="2"/>
    </row>
    <row r="833" spans="5:11" x14ac:dyDescent="0.25">
      <c r="E833" s="3">
        <f t="shared" ca="1" si="24"/>
        <v>5.5843348789884284E-2</v>
      </c>
      <c r="F833" s="3">
        <f t="shared" ca="1" si="24"/>
        <v>0.38480319415661046</v>
      </c>
      <c r="G833" s="3">
        <f t="shared" ca="1" si="25"/>
        <v>10.627503995786402</v>
      </c>
      <c r="H833" s="2"/>
      <c r="I833" s="2"/>
      <c r="J833" s="2"/>
      <c r="K833" s="2"/>
    </row>
    <row r="834" spans="5:11" x14ac:dyDescent="0.25">
      <c r="E834" s="3">
        <f t="shared" ca="1" si="24"/>
        <v>0.54233627838573706</v>
      </c>
      <c r="F834" s="3">
        <f t="shared" ca="1" si="24"/>
        <v>0.77185850598871519</v>
      </c>
      <c r="G834" s="3">
        <f t="shared" ca="1" si="25"/>
        <v>8.371146305616092</v>
      </c>
      <c r="H834" s="2"/>
      <c r="I834" s="2"/>
      <c r="J834" s="2"/>
      <c r="K834" s="2"/>
    </row>
    <row r="835" spans="5:11" x14ac:dyDescent="0.25">
      <c r="E835" s="3">
        <f t="shared" ca="1" si="24"/>
        <v>0.62094888290629335</v>
      </c>
      <c r="F835" s="3">
        <f t="shared" ca="1" si="24"/>
        <v>0.72921112495329554</v>
      </c>
      <c r="G835" s="3">
        <f t="shared" ca="1" si="25"/>
        <v>7.5546742573946792</v>
      </c>
      <c r="H835" s="2"/>
      <c r="I835" s="2"/>
      <c r="J835" s="2"/>
      <c r="K835" s="2"/>
    </row>
    <row r="836" spans="5:11" x14ac:dyDescent="0.25">
      <c r="E836" s="3">
        <f t="shared" ref="E836:F899" ca="1" si="26">RAND()</f>
        <v>8.1567528069143802E-2</v>
      </c>
      <c r="F836" s="3">
        <f t="shared" ca="1" si="26"/>
        <v>0.93239551261747999</v>
      </c>
      <c r="G836" s="3">
        <f t="shared" ref="G836:G899" ca="1" si="27">SQRT(_xlfn.NORM.INV(E836,$C$3*COS($C$6),$C$4)^2+_xlfn.NORM.INV(F836,$C$3*SIN($C$6),$C$4)^2)</f>
        <v>15.080933554151418</v>
      </c>
      <c r="H836" s="2"/>
      <c r="I836" s="2"/>
      <c r="J836" s="2"/>
      <c r="K836" s="2"/>
    </row>
    <row r="837" spans="5:11" x14ac:dyDescent="0.25">
      <c r="E837" s="3">
        <f t="shared" ca="1" si="26"/>
        <v>0.84915856816829727</v>
      </c>
      <c r="F837" s="3">
        <f t="shared" ca="1" si="26"/>
        <v>0.57039858221435147</v>
      </c>
      <c r="G837" s="3">
        <f t="shared" ca="1" si="27"/>
        <v>6.1028861908350329</v>
      </c>
      <c r="H837" s="2"/>
      <c r="I837" s="2"/>
      <c r="J837" s="2"/>
      <c r="K837" s="2"/>
    </row>
    <row r="838" spans="5:11" x14ac:dyDescent="0.25">
      <c r="E838" s="3">
        <f t="shared" ca="1" si="26"/>
        <v>0.70775929268577609</v>
      </c>
      <c r="F838" s="3">
        <f t="shared" ca="1" si="26"/>
        <v>0.17021806019104024</v>
      </c>
      <c r="G838" s="3">
        <f t="shared" ca="1" si="27"/>
        <v>0.57606919969060932</v>
      </c>
      <c r="H838" s="2"/>
      <c r="I838" s="2"/>
      <c r="J838" s="2"/>
      <c r="K838" s="2"/>
    </row>
    <row r="839" spans="5:11" x14ac:dyDescent="0.25">
      <c r="E839" s="3">
        <f t="shared" ca="1" si="26"/>
        <v>0.80243926924884579</v>
      </c>
      <c r="F839" s="3">
        <f t="shared" ca="1" si="26"/>
        <v>4.9484104287876529E-2</v>
      </c>
      <c r="G839" s="3">
        <f t="shared" ca="1" si="27"/>
        <v>4.2813364146709194</v>
      </c>
      <c r="H839" s="2"/>
      <c r="I839" s="2"/>
      <c r="J839" s="2"/>
      <c r="K839" s="2"/>
    </row>
    <row r="840" spans="5:11" x14ac:dyDescent="0.25">
      <c r="E840" s="3">
        <f t="shared" ca="1" si="26"/>
        <v>0.76949111855395702</v>
      </c>
      <c r="F840" s="3">
        <f t="shared" ca="1" si="26"/>
        <v>0.72697885318270261</v>
      </c>
      <c r="G840" s="3">
        <f t="shared" ca="1" si="27"/>
        <v>7.6267241717235645</v>
      </c>
      <c r="H840" s="2"/>
      <c r="I840" s="2"/>
      <c r="J840" s="2"/>
      <c r="K840" s="2"/>
    </row>
    <row r="841" spans="5:11" x14ac:dyDescent="0.25">
      <c r="E841" s="3">
        <f t="shared" ca="1" si="26"/>
        <v>8.5981282549434601E-2</v>
      </c>
      <c r="F841" s="3">
        <f t="shared" ca="1" si="26"/>
        <v>0.74356802376833275</v>
      </c>
      <c r="G841" s="3">
        <f t="shared" ca="1" si="27"/>
        <v>11.924843089228855</v>
      </c>
      <c r="H841" s="2"/>
      <c r="I841" s="2"/>
      <c r="J841" s="2"/>
      <c r="K841" s="2"/>
    </row>
    <row r="842" spans="5:11" x14ac:dyDescent="0.25">
      <c r="E842" s="3">
        <f t="shared" ca="1" si="26"/>
        <v>0.94836855079971749</v>
      </c>
      <c r="F842" s="3">
        <f t="shared" ca="1" si="26"/>
        <v>0.45707539267709008</v>
      </c>
      <c r="G842" s="3">
        <f t="shared" ca="1" si="27"/>
        <v>7.0944425789692565</v>
      </c>
      <c r="H842" s="2"/>
      <c r="I842" s="2"/>
      <c r="J842" s="2"/>
      <c r="K842" s="2"/>
    </row>
    <row r="843" spans="5:11" x14ac:dyDescent="0.25">
      <c r="E843" s="3">
        <f t="shared" ca="1" si="26"/>
        <v>0.5120858562756796</v>
      </c>
      <c r="F843" s="3">
        <f t="shared" ca="1" si="26"/>
        <v>0.69074274467323316</v>
      </c>
      <c r="G843" s="3">
        <f t="shared" ca="1" si="27"/>
        <v>7.2664807113238687</v>
      </c>
      <c r="H843" s="2"/>
      <c r="I843" s="2"/>
      <c r="J843" s="2"/>
      <c r="K843" s="2"/>
    </row>
    <row r="844" spans="5:11" x14ac:dyDescent="0.25">
      <c r="E844" s="3">
        <f t="shared" ca="1" si="26"/>
        <v>0.12486218661482351</v>
      </c>
      <c r="F844" s="3">
        <f t="shared" ca="1" si="26"/>
        <v>0.81491660492116247</v>
      </c>
      <c r="G844" s="3">
        <f t="shared" ca="1" si="27"/>
        <v>12.00183522922223</v>
      </c>
      <c r="H844" s="2"/>
      <c r="I844" s="2"/>
      <c r="J844" s="2"/>
      <c r="K844" s="2"/>
    </row>
    <row r="845" spans="5:11" x14ac:dyDescent="0.25">
      <c r="E845" s="3">
        <f t="shared" ca="1" si="26"/>
        <v>0.40559637802711002</v>
      </c>
      <c r="F845" s="3">
        <f t="shared" ca="1" si="26"/>
        <v>0.18534904670360686</v>
      </c>
      <c r="G845" s="3">
        <f t="shared" ca="1" si="27"/>
        <v>3.434810963831223</v>
      </c>
      <c r="H845" s="2"/>
      <c r="I845" s="2"/>
      <c r="J845" s="2"/>
      <c r="K845" s="2"/>
    </row>
    <row r="846" spans="5:11" x14ac:dyDescent="0.25">
      <c r="E846" s="3">
        <f t="shared" ca="1" si="26"/>
        <v>0.86051763974650664</v>
      </c>
      <c r="F846" s="3">
        <f t="shared" ca="1" si="26"/>
        <v>2.0528391498219056E-3</v>
      </c>
      <c r="G846" s="3">
        <f t="shared" ca="1" si="27"/>
        <v>10.376634134430512</v>
      </c>
      <c r="H846" s="2"/>
      <c r="I846" s="2"/>
      <c r="J846" s="2"/>
      <c r="K846" s="2"/>
    </row>
    <row r="847" spans="5:11" x14ac:dyDescent="0.25">
      <c r="E847" s="3">
        <f t="shared" ca="1" si="26"/>
        <v>0.54352714369213073</v>
      </c>
      <c r="F847" s="3">
        <f t="shared" ca="1" si="26"/>
        <v>6.8388231932909993E-2</v>
      </c>
      <c r="G847" s="3">
        <f t="shared" ca="1" si="27"/>
        <v>3.418611806105186</v>
      </c>
      <c r="H847" s="2"/>
      <c r="I847" s="2"/>
      <c r="J847" s="2"/>
      <c r="K847" s="2"/>
    </row>
    <row r="848" spans="5:11" x14ac:dyDescent="0.25">
      <c r="E848" s="3">
        <f t="shared" ca="1" si="26"/>
        <v>0.93618856391453076</v>
      </c>
      <c r="F848" s="3">
        <f t="shared" ca="1" si="26"/>
        <v>0.49966282218485336</v>
      </c>
      <c r="G848" s="3">
        <f t="shared" ca="1" si="27"/>
        <v>6.9899111328614953</v>
      </c>
      <c r="H848" s="2"/>
      <c r="I848" s="2"/>
      <c r="J848" s="2"/>
      <c r="K848" s="2"/>
    </row>
    <row r="849" spans="5:11" x14ac:dyDescent="0.25">
      <c r="E849" s="3">
        <f t="shared" ca="1" si="26"/>
        <v>0.22146914976958698</v>
      </c>
      <c r="F849" s="3">
        <f t="shared" ca="1" si="26"/>
        <v>0.82074279754939605</v>
      </c>
      <c r="G849" s="3">
        <f t="shared" ca="1" si="27"/>
        <v>10.909908896442882</v>
      </c>
      <c r="H849" s="2"/>
      <c r="I849" s="2"/>
      <c r="J849" s="2"/>
      <c r="K849" s="2"/>
    </row>
    <row r="850" spans="5:11" x14ac:dyDescent="0.25">
      <c r="E850" s="3">
        <f t="shared" ca="1" si="26"/>
        <v>0.53848603531490091</v>
      </c>
      <c r="F850" s="3">
        <f t="shared" ca="1" si="26"/>
        <v>0.24085204827697293</v>
      </c>
      <c r="G850" s="3">
        <f t="shared" ca="1" si="27"/>
        <v>1.9986487985881327</v>
      </c>
      <c r="H850" s="2"/>
      <c r="I850" s="2"/>
      <c r="J850" s="2"/>
      <c r="K850" s="2"/>
    </row>
    <row r="851" spans="5:11" x14ac:dyDescent="0.25">
      <c r="E851" s="3">
        <f t="shared" ca="1" si="26"/>
        <v>0.55414064982063238</v>
      </c>
      <c r="F851" s="3">
        <f t="shared" ca="1" si="26"/>
        <v>1.1190360608395178E-3</v>
      </c>
      <c r="G851" s="3">
        <f t="shared" ca="1" si="27"/>
        <v>10.925296486807378</v>
      </c>
      <c r="H851" s="2"/>
      <c r="I851" s="2"/>
      <c r="J851" s="2"/>
      <c r="K851" s="2"/>
    </row>
    <row r="852" spans="5:11" x14ac:dyDescent="0.25">
      <c r="E852" s="3">
        <f t="shared" ca="1" si="26"/>
        <v>0.46599116911708094</v>
      </c>
      <c r="F852" s="3">
        <f t="shared" ca="1" si="26"/>
        <v>0.5385650225957026</v>
      </c>
      <c r="G852" s="3">
        <f t="shared" ca="1" si="27"/>
        <v>5.6264064066285036</v>
      </c>
      <c r="H852" s="2"/>
      <c r="I852" s="2"/>
      <c r="J852" s="2"/>
      <c r="K852" s="2"/>
    </row>
    <row r="853" spans="5:11" x14ac:dyDescent="0.25">
      <c r="E853" s="3">
        <f t="shared" ca="1" si="26"/>
        <v>0.61084432717837855</v>
      </c>
      <c r="F853" s="3">
        <f t="shared" ca="1" si="26"/>
        <v>0.82107204237736653</v>
      </c>
      <c r="G853" s="3">
        <f t="shared" ca="1" si="27"/>
        <v>9.1054363582312394</v>
      </c>
      <c r="H853" s="2"/>
      <c r="I853" s="2"/>
      <c r="J853" s="2"/>
      <c r="K853" s="2"/>
    </row>
    <row r="854" spans="5:11" x14ac:dyDescent="0.25">
      <c r="E854" s="3">
        <f t="shared" ca="1" si="26"/>
        <v>0.78190375909502963</v>
      </c>
      <c r="F854" s="3">
        <f t="shared" ca="1" si="26"/>
        <v>0.64966984762216917</v>
      </c>
      <c r="G854" s="3">
        <f t="shared" ca="1" si="27"/>
        <v>6.6023599279925458</v>
      </c>
      <c r="H854" s="2"/>
      <c r="I854" s="2"/>
      <c r="J854" s="2"/>
      <c r="K854" s="2"/>
    </row>
    <row r="855" spans="5:11" x14ac:dyDescent="0.25">
      <c r="E855" s="3">
        <f t="shared" ca="1" si="26"/>
        <v>0.37221394746248371</v>
      </c>
      <c r="F855" s="3">
        <f t="shared" ca="1" si="26"/>
        <v>0.20287370125125526</v>
      </c>
      <c r="G855" s="3">
        <f t="shared" ca="1" si="27"/>
        <v>3.8829788713191435</v>
      </c>
      <c r="H855" s="2"/>
      <c r="I855" s="2"/>
      <c r="J855" s="2"/>
      <c r="K855" s="2"/>
    </row>
    <row r="856" spans="5:11" x14ac:dyDescent="0.25">
      <c r="E856" s="3">
        <f t="shared" ca="1" si="26"/>
        <v>0.85923355585879102</v>
      </c>
      <c r="F856" s="3">
        <f t="shared" ca="1" si="26"/>
        <v>0.35229418910346677</v>
      </c>
      <c r="G856" s="3">
        <f t="shared" ca="1" si="27"/>
        <v>4.0635078623869125</v>
      </c>
      <c r="H856" s="2"/>
      <c r="I856" s="2"/>
      <c r="J856" s="2"/>
      <c r="K856" s="2"/>
    </row>
    <row r="857" spans="5:11" x14ac:dyDescent="0.25">
      <c r="E857" s="3">
        <f t="shared" ca="1" si="26"/>
        <v>0.39407826246165145</v>
      </c>
      <c r="F857" s="3">
        <f t="shared" ca="1" si="26"/>
        <v>0.57527676622601387</v>
      </c>
      <c r="G857" s="3">
        <f t="shared" ca="1" si="27"/>
        <v>6.4970007613191081</v>
      </c>
      <c r="H857" s="2"/>
      <c r="I857" s="2"/>
      <c r="J857" s="2"/>
      <c r="K857" s="2"/>
    </row>
    <row r="858" spans="5:11" x14ac:dyDescent="0.25">
      <c r="E858" s="3">
        <f t="shared" ca="1" si="26"/>
        <v>0.98121737060895919</v>
      </c>
      <c r="F858" s="3">
        <f t="shared" ca="1" si="26"/>
        <v>0.36418213800997568</v>
      </c>
      <c r="G858" s="3">
        <f t="shared" ca="1" si="27"/>
        <v>8.6032635355241212</v>
      </c>
      <c r="H858" s="2"/>
      <c r="I858" s="2"/>
      <c r="J858" s="2"/>
      <c r="K858" s="2"/>
    </row>
    <row r="859" spans="5:11" x14ac:dyDescent="0.25">
      <c r="E859" s="3">
        <f t="shared" ca="1" si="26"/>
        <v>0.62803305679785004</v>
      </c>
      <c r="F859" s="3">
        <f t="shared" ca="1" si="26"/>
        <v>0.64979297162311456</v>
      </c>
      <c r="G859" s="3">
        <f t="shared" ca="1" si="27"/>
        <v>6.422551634343308</v>
      </c>
      <c r="H859" s="2"/>
      <c r="I859" s="2"/>
      <c r="J859" s="2"/>
      <c r="K859" s="2"/>
    </row>
    <row r="860" spans="5:11" x14ac:dyDescent="0.25">
      <c r="E860" s="3">
        <f t="shared" ca="1" si="26"/>
        <v>0.53227893323576914</v>
      </c>
      <c r="F860" s="3">
        <f t="shared" ca="1" si="26"/>
        <v>0.25447515796764197</v>
      </c>
      <c r="G860" s="3">
        <f t="shared" ca="1" si="27"/>
        <v>2.1752959052860961</v>
      </c>
      <c r="H860" s="2"/>
      <c r="I860" s="2"/>
      <c r="J860" s="2"/>
      <c r="K860" s="2"/>
    </row>
    <row r="861" spans="5:11" x14ac:dyDescent="0.25">
      <c r="E861" s="3">
        <f t="shared" ca="1" si="26"/>
        <v>0.45527117966481578</v>
      </c>
      <c r="F861" s="3">
        <f t="shared" ca="1" si="26"/>
        <v>0.19717762784795112</v>
      </c>
      <c r="G861" s="3">
        <f t="shared" ca="1" si="27"/>
        <v>2.8100924249534605</v>
      </c>
      <c r="H861" s="2"/>
      <c r="I861" s="2"/>
      <c r="J861" s="2"/>
      <c r="K861" s="2"/>
    </row>
    <row r="862" spans="5:11" x14ac:dyDescent="0.25">
      <c r="E862" s="3">
        <f t="shared" ca="1" si="26"/>
        <v>0.4918496022599671</v>
      </c>
      <c r="F862" s="3">
        <f t="shared" ca="1" si="26"/>
        <v>0.46246735962855035</v>
      </c>
      <c r="G862" s="3">
        <f t="shared" ca="1" si="27"/>
        <v>4.6344911953278736</v>
      </c>
      <c r="H862" s="2"/>
      <c r="I862" s="2"/>
      <c r="J862" s="2"/>
      <c r="K862" s="2"/>
    </row>
    <row r="863" spans="5:11" x14ac:dyDescent="0.25">
      <c r="E863" s="3">
        <f t="shared" ca="1" si="26"/>
        <v>0.71921665471773544</v>
      </c>
      <c r="F863" s="3">
        <f t="shared" ca="1" si="26"/>
        <v>0.43493681835686215</v>
      </c>
      <c r="G863" s="3">
        <f t="shared" ca="1" si="27"/>
        <v>3.7104595889328533</v>
      </c>
      <c r="H863" s="2"/>
      <c r="I863" s="2"/>
      <c r="J863" s="2"/>
      <c r="K863" s="2"/>
    </row>
    <row r="864" spans="5:11" x14ac:dyDescent="0.25">
      <c r="E864" s="3">
        <f t="shared" ca="1" si="26"/>
        <v>0.24324506589968664</v>
      </c>
      <c r="F864" s="3">
        <f t="shared" ca="1" si="26"/>
        <v>0.67317497437347273</v>
      </c>
      <c r="G864" s="3">
        <f t="shared" ca="1" si="27"/>
        <v>8.8197328294188786</v>
      </c>
      <c r="H864" s="2"/>
      <c r="I864" s="2"/>
      <c r="J864" s="2"/>
      <c r="K864" s="2"/>
    </row>
    <row r="865" spans="5:11" x14ac:dyDescent="0.25">
      <c r="E865" s="3">
        <f t="shared" ca="1" si="26"/>
        <v>0.30337611838828016</v>
      </c>
      <c r="F865" s="3">
        <f t="shared" ca="1" si="26"/>
        <v>0.29296774401571812</v>
      </c>
      <c r="G865" s="3">
        <f t="shared" ca="1" si="27"/>
        <v>5.1209012737678776</v>
      </c>
      <c r="H865" s="2"/>
      <c r="I865" s="2"/>
      <c r="J865" s="2"/>
      <c r="K865" s="2"/>
    </row>
    <row r="866" spans="5:11" x14ac:dyDescent="0.25">
      <c r="E866" s="3">
        <f t="shared" ca="1" si="26"/>
        <v>0.15078843270551234</v>
      </c>
      <c r="F866" s="3">
        <f t="shared" ca="1" si="26"/>
        <v>0.43251404774239854</v>
      </c>
      <c r="G866" s="3">
        <f t="shared" ca="1" si="27"/>
        <v>8.2431098682368571</v>
      </c>
      <c r="H866" s="2"/>
      <c r="I866" s="2"/>
      <c r="J866" s="2"/>
      <c r="K866" s="2"/>
    </row>
    <row r="867" spans="5:11" x14ac:dyDescent="0.25">
      <c r="E867" s="3">
        <f t="shared" ca="1" si="26"/>
        <v>0.47808077537910609</v>
      </c>
      <c r="F867" s="3">
        <f t="shared" ca="1" si="26"/>
        <v>0.8719450055400062</v>
      </c>
      <c r="G867" s="3">
        <f t="shared" ca="1" si="27"/>
        <v>10.455204978186259</v>
      </c>
      <c r="H867" s="2"/>
      <c r="I867" s="2"/>
      <c r="J867" s="2"/>
      <c r="K867" s="2"/>
    </row>
    <row r="868" spans="5:11" x14ac:dyDescent="0.25">
      <c r="E868" s="3">
        <f t="shared" ca="1" si="26"/>
        <v>0.72279344134991885</v>
      </c>
      <c r="F868" s="3">
        <f t="shared" ca="1" si="26"/>
        <v>0.3095830367775293</v>
      </c>
      <c r="G868" s="3">
        <f t="shared" ca="1" si="27"/>
        <v>2.1098236764883245</v>
      </c>
      <c r="H868" s="2"/>
      <c r="I868" s="2"/>
      <c r="J868" s="2"/>
      <c r="K868" s="2"/>
    </row>
    <row r="869" spans="5:11" x14ac:dyDescent="0.25">
      <c r="E869" s="3">
        <f t="shared" ca="1" si="26"/>
        <v>0.32453780612366223</v>
      </c>
      <c r="F869" s="3">
        <f t="shared" ca="1" si="26"/>
        <v>0.80351503647595002</v>
      </c>
      <c r="G869" s="3">
        <f t="shared" ca="1" si="27"/>
        <v>9.8386623190581481</v>
      </c>
      <c r="H869" s="2"/>
      <c r="I869" s="2"/>
      <c r="J869" s="2"/>
      <c r="K869" s="2"/>
    </row>
    <row r="870" spans="5:11" x14ac:dyDescent="0.25">
      <c r="E870" s="3">
        <f t="shared" ca="1" si="26"/>
        <v>0.33111927566057775</v>
      </c>
      <c r="F870" s="3">
        <f t="shared" ca="1" si="26"/>
        <v>0.25313995250828036</v>
      </c>
      <c r="G870" s="3">
        <f t="shared" ca="1" si="27"/>
        <v>4.5706911941502621</v>
      </c>
      <c r="H870" s="2"/>
      <c r="I870" s="2"/>
      <c r="J870" s="2"/>
      <c r="K870" s="2"/>
    </row>
    <row r="871" spans="5:11" x14ac:dyDescent="0.25">
      <c r="E871" s="3">
        <f t="shared" ca="1" si="26"/>
        <v>0.53553226234623641</v>
      </c>
      <c r="F871" s="3">
        <f t="shared" ca="1" si="26"/>
        <v>0.43619229331237341</v>
      </c>
      <c r="G871" s="3">
        <f t="shared" ca="1" si="27"/>
        <v>4.0823638681374623</v>
      </c>
      <c r="H871" s="2"/>
      <c r="I871" s="2"/>
      <c r="J871" s="2"/>
      <c r="K871" s="2"/>
    </row>
    <row r="872" spans="5:11" x14ac:dyDescent="0.25">
      <c r="E872" s="3">
        <f t="shared" ca="1" si="26"/>
        <v>2.4559400552601418E-2</v>
      </c>
      <c r="F872" s="3">
        <f t="shared" ca="1" si="26"/>
        <v>0.56300735479615915</v>
      </c>
      <c r="G872" s="3">
        <f t="shared" ca="1" si="27"/>
        <v>13.175011671115595</v>
      </c>
      <c r="H872" s="2"/>
      <c r="I872" s="2"/>
      <c r="J872" s="2"/>
      <c r="K872" s="2"/>
    </row>
    <row r="873" spans="5:11" x14ac:dyDescent="0.25">
      <c r="E873" s="3">
        <f t="shared" ca="1" si="26"/>
        <v>0.66993849538840922</v>
      </c>
      <c r="F873" s="3">
        <f t="shared" ca="1" si="26"/>
        <v>0.18305869129977448</v>
      </c>
      <c r="G873" s="3">
        <f t="shared" ca="1" si="27"/>
        <v>6.4208885430188212E-2</v>
      </c>
      <c r="H873" s="2"/>
      <c r="I873" s="2"/>
      <c r="J873" s="2"/>
      <c r="K873" s="2"/>
    </row>
    <row r="874" spans="5:11" x14ac:dyDescent="0.25">
      <c r="E874" s="3">
        <f t="shared" ca="1" si="26"/>
        <v>0.49737139283427034</v>
      </c>
      <c r="F874" s="3">
        <f t="shared" ca="1" si="26"/>
        <v>0.2110029859312349</v>
      </c>
      <c r="G874" s="3">
        <f t="shared" ca="1" si="27"/>
        <v>2.3184494575574077</v>
      </c>
      <c r="H874" s="2"/>
      <c r="I874" s="2"/>
      <c r="J874" s="2"/>
      <c r="K874" s="2"/>
    </row>
    <row r="875" spans="5:11" x14ac:dyDescent="0.25">
      <c r="E875" s="3">
        <f t="shared" ca="1" si="26"/>
        <v>0.78883541707000493</v>
      </c>
      <c r="F875" s="3">
        <f t="shared" ca="1" si="26"/>
        <v>0.11905203646172691</v>
      </c>
      <c r="G875" s="3">
        <f t="shared" ca="1" si="27"/>
        <v>2.2758875339115447</v>
      </c>
      <c r="H875" s="2"/>
      <c r="I875" s="2"/>
      <c r="J875" s="2"/>
      <c r="K875" s="2"/>
    </row>
    <row r="876" spans="5:11" x14ac:dyDescent="0.25">
      <c r="E876" s="3">
        <f t="shared" ca="1" si="26"/>
        <v>0.48683503065878742</v>
      </c>
      <c r="F876" s="3">
        <f t="shared" ca="1" si="26"/>
        <v>0.46067365425532447</v>
      </c>
      <c r="G876" s="3">
        <f t="shared" ca="1" si="27"/>
        <v>4.6472455667253803</v>
      </c>
      <c r="H876" s="2"/>
      <c r="I876" s="2"/>
      <c r="J876" s="2"/>
      <c r="K876" s="2"/>
    </row>
    <row r="877" spans="5:11" x14ac:dyDescent="0.25">
      <c r="E877" s="3">
        <f t="shared" ca="1" si="26"/>
        <v>0.78275117796219129</v>
      </c>
      <c r="F877" s="3">
        <f t="shared" ca="1" si="26"/>
        <v>4.5743319343205857E-2</v>
      </c>
      <c r="G877" s="3">
        <f t="shared" ca="1" si="27"/>
        <v>4.3040773374633146</v>
      </c>
      <c r="H877" s="2"/>
      <c r="I877" s="2"/>
      <c r="J877" s="2"/>
      <c r="K877" s="2"/>
    </row>
    <row r="878" spans="5:11" x14ac:dyDescent="0.25">
      <c r="E878" s="3">
        <f t="shared" ca="1" si="26"/>
        <v>0.29338243913099427</v>
      </c>
      <c r="F878" s="3">
        <f t="shared" ca="1" si="26"/>
        <v>0.84166734044082414</v>
      </c>
      <c r="G878" s="3">
        <f t="shared" ca="1" si="27"/>
        <v>10.695275314645849</v>
      </c>
      <c r="H878" s="2"/>
      <c r="I878" s="2"/>
      <c r="J878" s="2"/>
      <c r="K878" s="2"/>
    </row>
    <row r="879" spans="5:11" x14ac:dyDescent="0.25">
      <c r="E879" s="3">
        <f t="shared" ca="1" si="26"/>
        <v>0.9148655915077577</v>
      </c>
      <c r="F879" s="3">
        <f t="shared" ca="1" si="26"/>
        <v>0.63762532855355214</v>
      </c>
      <c r="G879" s="3">
        <f t="shared" ca="1" si="27"/>
        <v>7.7543939569142788</v>
      </c>
      <c r="H879" s="2"/>
      <c r="I879" s="2"/>
      <c r="J879" s="2"/>
      <c r="K879" s="2"/>
    </row>
    <row r="880" spans="5:11" x14ac:dyDescent="0.25">
      <c r="E880" s="3">
        <f t="shared" ca="1" si="26"/>
        <v>0.69506691870133674</v>
      </c>
      <c r="F880" s="3">
        <f t="shared" ca="1" si="26"/>
        <v>0.37552683225617123</v>
      </c>
      <c r="G880" s="3">
        <f t="shared" ca="1" si="27"/>
        <v>2.900448426585188</v>
      </c>
      <c r="H880" s="2"/>
      <c r="I880" s="2"/>
      <c r="J880" s="2"/>
      <c r="K880" s="2"/>
    </row>
    <row r="881" spans="5:11" x14ac:dyDescent="0.25">
      <c r="E881" s="3">
        <f t="shared" ca="1" si="26"/>
        <v>0.19517399721239592</v>
      </c>
      <c r="F881" s="3">
        <f t="shared" ca="1" si="26"/>
        <v>0.2093812199103795</v>
      </c>
      <c r="G881" s="3">
        <f t="shared" ca="1" si="27"/>
        <v>6.5492436447770839</v>
      </c>
      <c r="H881" s="2"/>
      <c r="I881" s="2"/>
      <c r="J881" s="2"/>
      <c r="K881" s="2"/>
    </row>
    <row r="882" spans="5:11" x14ac:dyDescent="0.25">
      <c r="E882" s="3">
        <f t="shared" ca="1" si="26"/>
        <v>0.88065817474570396</v>
      </c>
      <c r="F882" s="3">
        <f t="shared" ca="1" si="26"/>
        <v>0.47030574069633113</v>
      </c>
      <c r="G882" s="3">
        <f t="shared" ca="1" si="27"/>
        <v>5.4881210376606155</v>
      </c>
      <c r="H882" s="2"/>
      <c r="I882" s="2"/>
      <c r="J882" s="2"/>
      <c r="K882" s="2"/>
    </row>
    <row r="883" spans="5:11" x14ac:dyDescent="0.25">
      <c r="E883" s="3">
        <f t="shared" ca="1" si="26"/>
        <v>0.86327318388989471</v>
      </c>
      <c r="F883" s="3">
        <f t="shared" ca="1" si="26"/>
        <v>0.37414846366869392</v>
      </c>
      <c r="G883" s="3">
        <f t="shared" ca="1" si="27"/>
        <v>4.3219090192230647</v>
      </c>
      <c r="H883" s="2"/>
      <c r="I883" s="2"/>
      <c r="J883" s="2"/>
      <c r="K883" s="2"/>
    </row>
    <row r="884" spans="5:11" x14ac:dyDescent="0.25">
      <c r="E884" s="3">
        <f t="shared" ca="1" si="26"/>
        <v>0.60297060059032503</v>
      </c>
      <c r="F884" s="3">
        <f t="shared" ca="1" si="26"/>
        <v>0.64595870285892143</v>
      </c>
      <c r="G884" s="3">
        <f t="shared" ca="1" si="27"/>
        <v>6.4107188278802179</v>
      </c>
      <c r="H884" s="2"/>
      <c r="I884" s="2"/>
      <c r="J884" s="2"/>
      <c r="K884" s="2"/>
    </row>
    <row r="885" spans="5:11" x14ac:dyDescent="0.25">
      <c r="E885" s="3">
        <f t="shared" ca="1" si="26"/>
        <v>0.81556734827306465</v>
      </c>
      <c r="F885" s="3">
        <f t="shared" ca="1" si="26"/>
        <v>0.5927503616771822</v>
      </c>
      <c r="G885" s="3">
        <f t="shared" ca="1" si="27"/>
        <v>6.0761072762732224</v>
      </c>
      <c r="H885" s="2"/>
      <c r="I885" s="2"/>
      <c r="J885" s="2"/>
      <c r="K885" s="2"/>
    </row>
    <row r="886" spans="5:11" x14ac:dyDescent="0.25">
      <c r="E886" s="3">
        <f t="shared" ca="1" si="26"/>
        <v>0.67893109134949292</v>
      </c>
      <c r="F886" s="3">
        <f t="shared" ca="1" si="26"/>
        <v>0.66216814452643369</v>
      </c>
      <c r="G886" s="3">
        <f t="shared" ca="1" si="27"/>
        <v>6.5624489156568515</v>
      </c>
      <c r="H886" s="2"/>
      <c r="I886" s="2"/>
      <c r="J886" s="2"/>
      <c r="K886" s="2"/>
    </row>
    <row r="887" spans="5:11" x14ac:dyDescent="0.25">
      <c r="E887" s="3">
        <f t="shared" ca="1" si="26"/>
        <v>5.2862688617099751E-2</v>
      </c>
      <c r="F887" s="3">
        <f t="shared" ca="1" si="26"/>
        <v>0.46983231169233042</v>
      </c>
      <c r="G887" s="3">
        <f t="shared" ca="1" si="27"/>
        <v>11.109770858323612</v>
      </c>
      <c r="H887" s="2"/>
      <c r="I887" s="2"/>
      <c r="J887" s="2"/>
      <c r="K887" s="2"/>
    </row>
    <row r="888" spans="5:11" x14ac:dyDescent="0.25">
      <c r="E888" s="3">
        <f t="shared" ca="1" si="26"/>
        <v>0.24869809439516521</v>
      </c>
      <c r="F888" s="3">
        <f t="shared" ca="1" si="26"/>
        <v>0.29001791950680089</v>
      </c>
      <c r="G888" s="3">
        <f t="shared" ca="1" si="27"/>
        <v>5.8852110599387171</v>
      </c>
      <c r="H888" s="2"/>
      <c r="I888" s="2"/>
      <c r="J888" s="2"/>
      <c r="K888" s="2"/>
    </row>
    <row r="889" spans="5:11" x14ac:dyDescent="0.25">
      <c r="E889" s="3">
        <f t="shared" ca="1" si="26"/>
        <v>1.7035269226997607E-2</v>
      </c>
      <c r="F889" s="3">
        <f t="shared" ca="1" si="26"/>
        <v>0.40864252527314426</v>
      </c>
      <c r="G889" s="3">
        <f t="shared" ca="1" si="27"/>
        <v>13.257631560836607</v>
      </c>
      <c r="H889" s="2"/>
      <c r="I889" s="2"/>
      <c r="J889" s="2"/>
      <c r="K889" s="2"/>
    </row>
    <row r="890" spans="5:11" x14ac:dyDescent="0.25">
      <c r="E890" s="3">
        <f t="shared" ca="1" si="26"/>
        <v>0.6769737586769915</v>
      </c>
      <c r="F890" s="3">
        <f t="shared" ca="1" si="26"/>
        <v>0.80245787350526376</v>
      </c>
      <c r="G890" s="3">
        <f t="shared" ca="1" si="27"/>
        <v>8.7223287110312544</v>
      </c>
      <c r="H890" s="2"/>
      <c r="I890" s="2"/>
      <c r="J890" s="2"/>
      <c r="K890" s="2"/>
    </row>
    <row r="891" spans="5:11" x14ac:dyDescent="0.25">
      <c r="E891" s="3">
        <f t="shared" ca="1" si="26"/>
        <v>0.14209586502097349</v>
      </c>
      <c r="F891" s="3">
        <f t="shared" ca="1" si="26"/>
        <v>0.96686709068367238</v>
      </c>
      <c r="G891" s="3">
        <f t="shared" ca="1" si="27"/>
        <v>15.623466736559408</v>
      </c>
      <c r="H891" s="2"/>
      <c r="I891" s="2"/>
      <c r="J891" s="2"/>
      <c r="K891" s="2"/>
    </row>
    <row r="892" spans="5:11" x14ac:dyDescent="0.25">
      <c r="E892" s="3">
        <f t="shared" ca="1" si="26"/>
        <v>8.0012629017109704E-2</v>
      </c>
      <c r="F892" s="3">
        <f t="shared" ca="1" si="26"/>
        <v>0.55781989571425672</v>
      </c>
      <c r="G892" s="3">
        <f t="shared" ca="1" si="27"/>
        <v>10.623405093291003</v>
      </c>
      <c r="H892" s="2"/>
      <c r="I892" s="2"/>
      <c r="J892" s="2"/>
      <c r="K892" s="2"/>
    </row>
    <row r="893" spans="5:11" x14ac:dyDescent="0.25">
      <c r="E893" s="3">
        <f t="shared" ca="1" si="26"/>
        <v>0.31744525978771421</v>
      </c>
      <c r="F893" s="3">
        <f t="shared" ca="1" si="26"/>
        <v>0.97943360375735156</v>
      </c>
      <c r="G893" s="3">
        <f t="shared" ca="1" si="27"/>
        <v>15.389105457880131</v>
      </c>
      <c r="H893" s="2"/>
      <c r="I893" s="2"/>
      <c r="J893" s="2"/>
      <c r="K893" s="2"/>
    </row>
    <row r="894" spans="5:11" x14ac:dyDescent="0.25">
      <c r="E894" s="3">
        <f t="shared" ca="1" si="26"/>
        <v>0.75462447800370425</v>
      </c>
      <c r="F894" s="3">
        <f t="shared" ca="1" si="26"/>
        <v>0.39968121467481577</v>
      </c>
      <c r="G894" s="3">
        <f t="shared" ca="1" si="27"/>
        <v>3.4186109108811413</v>
      </c>
      <c r="H894" s="2"/>
      <c r="I894" s="2"/>
      <c r="J894" s="2"/>
      <c r="K894" s="2"/>
    </row>
    <row r="895" spans="5:11" x14ac:dyDescent="0.25">
      <c r="E895" s="3">
        <f t="shared" ca="1" si="26"/>
        <v>0.92695367035070697</v>
      </c>
      <c r="F895" s="3">
        <f t="shared" ca="1" si="26"/>
        <v>2.0489208145032189E-2</v>
      </c>
      <c r="G895" s="3">
        <f t="shared" ca="1" si="27"/>
        <v>7.636680306021228</v>
      </c>
      <c r="H895" s="2"/>
      <c r="I895" s="2"/>
      <c r="J895" s="2"/>
      <c r="K895" s="2"/>
    </row>
    <row r="896" spans="5:11" x14ac:dyDescent="0.25">
      <c r="E896" s="3">
        <f t="shared" ca="1" si="26"/>
        <v>0.26198956331651668</v>
      </c>
      <c r="F896" s="3">
        <f t="shared" ca="1" si="26"/>
        <v>0.45396193400434115</v>
      </c>
      <c r="G896" s="3">
        <f t="shared" ca="1" si="27"/>
        <v>6.6777277761719516</v>
      </c>
      <c r="H896" s="2"/>
      <c r="I896" s="2"/>
      <c r="J896" s="2"/>
      <c r="K896" s="2"/>
    </row>
    <row r="897" spans="5:11" x14ac:dyDescent="0.25">
      <c r="E897" s="3">
        <f t="shared" ca="1" si="26"/>
        <v>0.83968713804087558</v>
      </c>
      <c r="F897" s="3">
        <f t="shared" ca="1" si="26"/>
        <v>0.39872496395823864</v>
      </c>
      <c r="G897" s="3">
        <f t="shared" ca="1" si="27"/>
        <v>4.1932848925992001</v>
      </c>
      <c r="H897" s="2"/>
      <c r="I897" s="2"/>
      <c r="J897" s="2"/>
      <c r="K897" s="2"/>
    </row>
    <row r="898" spans="5:11" x14ac:dyDescent="0.25">
      <c r="E898" s="3">
        <f t="shared" ca="1" si="26"/>
        <v>0.65399926255412655</v>
      </c>
      <c r="F898" s="3">
        <f t="shared" ca="1" si="26"/>
        <v>0.99885002045346982</v>
      </c>
      <c r="G898" s="3">
        <f t="shared" ca="1" si="27"/>
        <v>19.714134733547525</v>
      </c>
      <c r="H898" s="2"/>
      <c r="I898" s="2"/>
      <c r="J898" s="2"/>
      <c r="K898" s="2"/>
    </row>
    <row r="899" spans="5:11" x14ac:dyDescent="0.25">
      <c r="E899" s="3">
        <f t="shared" ca="1" si="26"/>
        <v>0.21202324297556741</v>
      </c>
      <c r="F899" s="3">
        <f t="shared" ca="1" si="26"/>
        <v>0.81700490311845497</v>
      </c>
      <c r="G899" s="3">
        <f t="shared" ca="1" si="27"/>
        <v>10.941971369310973</v>
      </c>
      <c r="H899" s="2"/>
      <c r="I899" s="2"/>
      <c r="J899" s="2"/>
      <c r="K899" s="2"/>
    </row>
    <row r="900" spans="5:11" x14ac:dyDescent="0.25">
      <c r="E900" s="3">
        <f t="shared" ref="E900:F963" ca="1" si="28">RAND()</f>
        <v>0.96541822327199234</v>
      </c>
      <c r="F900" s="3">
        <f t="shared" ca="1" si="28"/>
        <v>5.7893965625963606E-3</v>
      </c>
      <c r="G900" s="3">
        <f t="shared" ref="G900:G963" ca="1" si="29">SQRT(_xlfn.NORM.INV(E900,$C$3*COS($C$6),$C$4)^2+_xlfn.NORM.INV(F900,$C$3*SIN($C$6),$C$4)^2)</f>
        <v>10.646832418030957</v>
      </c>
      <c r="H900" s="2"/>
      <c r="I900" s="2"/>
      <c r="J900" s="2"/>
      <c r="K900" s="2"/>
    </row>
    <row r="901" spans="5:11" x14ac:dyDescent="0.25">
      <c r="E901" s="3">
        <f t="shared" ca="1" si="28"/>
        <v>0.49768946476952169</v>
      </c>
      <c r="F901" s="3">
        <f t="shared" ca="1" si="28"/>
        <v>0.19764723816246932</v>
      </c>
      <c r="G901" s="3">
        <f t="shared" ca="1" si="29"/>
        <v>2.2799373705832839</v>
      </c>
      <c r="H901" s="2"/>
      <c r="I901" s="2"/>
      <c r="J901" s="2"/>
      <c r="K901" s="2"/>
    </row>
    <row r="902" spans="5:11" x14ac:dyDescent="0.25">
      <c r="E902" s="3">
        <f t="shared" ca="1" si="28"/>
        <v>0.78225471454830442</v>
      </c>
      <c r="F902" s="3">
        <f t="shared" ca="1" si="28"/>
        <v>0.78127437946753087</v>
      </c>
      <c r="G902" s="3">
        <f t="shared" ca="1" si="29"/>
        <v>8.5156274381326256</v>
      </c>
      <c r="H902" s="2"/>
      <c r="I902" s="2"/>
      <c r="J902" s="2"/>
      <c r="K902" s="2"/>
    </row>
    <row r="903" spans="5:11" x14ac:dyDescent="0.25">
      <c r="E903" s="3">
        <f t="shared" ca="1" si="28"/>
        <v>1.6412811028483354E-3</v>
      </c>
      <c r="F903" s="3">
        <f t="shared" ca="1" si="28"/>
        <v>0.32048641161395941</v>
      </c>
      <c r="G903" s="3">
        <f t="shared" ca="1" si="29"/>
        <v>17.074580940506706</v>
      </c>
      <c r="H903" s="2"/>
      <c r="I903" s="2"/>
      <c r="J903" s="2"/>
      <c r="K903" s="2"/>
    </row>
    <row r="904" spans="5:11" x14ac:dyDescent="0.25">
      <c r="E904" s="3">
        <f t="shared" ca="1" si="28"/>
        <v>0.90961158530220998</v>
      </c>
      <c r="F904" s="3">
        <f t="shared" ca="1" si="28"/>
        <v>0.60996690935835129</v>
      </c>
      <c r="G904" s="3">
        <f t="shared" ca="1" si="29"/>
        <v>7.363914834564496</v>
      </c>
      <c r="H904" s="2"/>
      <c r="I904" s="2"/>
      <c r="J904" s="2"/>
      <c r="K904" s="2"/>
    </row>
    <row r="905" spans="5:11" x14ac:dyDescent="0.25">
      <c r="E905" s="3">
        <f t="shared" ca="1" si="28"/>
        <v>0.57974616346189767</v>
      </c>
      <c r="F905" s="3">
        <f t="shared" ca="1" si="28"/>
        <v>0.58589169448833966</v>
      </c>
      <c r="G905" s="3">
        <f t="shared" ca="1" si="29"/>
        <v>5.6903752185829113</v>
      </c>
      <c r="H905" s="2"/>
      <c r="I905" s="2"/>
      <c r="J905" s="2"/>
      <c r="K905" s="2"/>
    </row>
    <row r="906" spans="5:11" x14ac:dyDescent="0.25">
      <c r="E906" s="3">
        <f t="shared" ca="1" si="28"/>
        <v>0.39737560374227066</v>
      </c>
      <c r="F906" s="3">
        <f t="shared" ca="1" si="28"/>
        <v>0.9216973072887833</v>
      </c>
      <c r="G906" s="3">
        <f t="shared" ca="1" si="29"/>
        <v>12.083403240904209</v>
      </c>
      <c r="H906" s="2"/>
      <c r="I906" s="2"/>
      <c r="J906" s="2"/>
      <c r="K906" s="2"/>
    </row>
    <row r="907" spans="5:11" x14ac:dyDescent="0.25">
      <c r="E907" s="3">
        <f t="shared" ca="1" si="28"/>
        <v>0.48275284509186145</v>
      </c>
      <c r="F907" s="3">
        <f t="shared" ca="1" si="28"/>
        <v>0.7224848746749335</v>
      </c>
      <c r="G907" s="3">
        <f t="shared" ca="1" si="29"/>
        <v>7.8172100955573418</v>
      </c>
      <c r="H907" s="2"/>
      <c r="I907" s="2"/>
      <c r="J907" s="2"/>
      <c r="K907" s="2"/>
    </row>
    <row r="908" spans="5:11" x14ac:dyDescent="0.25">
      <c r="E908" s="3">
        <f t="shared" ca="1" si="28"/>
        <v>0.79937425450416855</v>
      </c>
      <c r="F908" s="3">
        <f t="shared" ca="1" si="28"/>
        <v>0.69348081820097218</v>
      </c>
      <c r="G908" s="3">
        <f t="shared" ca="1" si="29"/>
        <v>7.2670370840035377</v>
      </c>
      <c r="H908" s="2"/>
      <c r="I908" s="2"/>
      <c r="J908" s="2"/>
      <c r="K908" s="2"/>
    </row>
    <row r="909" spans="5:11" x14ac:dyDescent="0.25">
      <c r="E909" s="3">
        <f t="shared" ca="1" si="28"/>
        <v>0.14398828695408317</v>
      </c>
      <c r="F909" s="3">
        <f t="shared" ca="1" si="28"/>
        <v>0.20367946435864193</v>
      </c>
      <c r="G909" s="3">
        <f t="shared" ca="1" si="29"/>
        <v>7.5603078411545823</v>
      </c>
      <c r="H909" s="2"/>
      <c r="I909" s="2"/>
      <c r="J909" s="2"/>
      <c r="K909" s="2"/>
    </row>
    <row r="910" spans="5:11" x14ac:dyDescent="0.25">
      <c r="E910" s="3">
        <f t="shared" ca="1" si="28"/>
        <v>0.48849222543823057</v>
      </c>
      <c r="F910" s="3">
        <f t="shared" ca="1" si="28"/>
        <v>0.77249111257732483</v>
      </c>
      <c r="G910" s="3">
        <f t="shared" ca="1" si="29"/>
        <v>8.5448447460428927</v>
      </c>
      <c r="H910" s="2"/>
      <c r="I910" s="2"/>
      <c r="J910" s="2"/>
      <c r="K910" s="2"/>
    </row>
    <row r="911" spans="5:11" x14ac:dyDescent="0.25">
      <c r="E911" s="3">
        <f t="shared" ca="1" si="28"/>
        <v>0.16584968578357573</v>
      </c>
      <c r="F911" s="3">
        <f t="shared" ca="1" si="28"/>
        <v>0.60836917895680331</v>
      </c>
      <c r="G911" s="3">
        <f t="shared" ca="1" si="29"/>
        <v>9.191882773238305</v>
      </c>
      <c r="H911" s="2"/>
      <c r="I911" s="2"/>
      <c r="J911" s="2"/>
      <c r="K911" s="2"/>
    </row>
    <row r="912" spans="5:11" x14ac:dyDescent="0.25">
      <c r="E912" s="3">
        <f t="shared" ca="1" si="28"/>
        <v>0.12457266874345641</v>
      </c>
      <c r="F912" s="3">
        <f t="shared" ca="1" si="28"/>
        <v>0.94593183485857213</v>
      </c>
      <c r="G912" s="3">
        <f t="shared" ca="1" si="29"/>
        <v>14.844797717050682</v>
      </c>
      <c r="H912" s="2"/>
      <c r="I912" s="2"/>
      <c r="J912" s="2"/>
      <c r="K912" s="2"/>
    </row>
    <row r="913" spans="5:11" x14ac:dyDescent="0.25">
      <c r="E913" s="3">
        <f t="shared" ca="1" si="28"/>
        <v>0.11733965572586424</v>
      </c>
      <c r="F913" s="3">
        <f t="shared" ca="1" si="28"/>
        <v>0.85558522342823684</v>
      </c>
      <c r="G913" s="3">
        <f t="shared" ca="1" si="29"/>
        <v>12.746399400867967</v>
      </c>
      <c r="H913" s="2"/>
      <c r="I913" s="2"/>
      <c r="J913" s="2"/>
      <c r="K913" s="2"/>
    </row>
    <row r="914" spans="5:11" x14ac:dyDescent="0.25">
      <c r="E914" s="3">
        <f t="shared" ca="1" si="28"/>
        <v>0.56688227405635072</v>
      </c>
      <c r="F914" s="3">
        <f t="shared" ca="1" si="28"/>
        <v>0.50546707041386019</v>
      </c>
      <c r="G914" s="3">
        <f t="shared" ca="1" si="29"/>
        <v>4.7489864012084659</v>
      </c>
      <c r="H914" s="2"/>
      <c r="I914" s="2"/>
      <c r="J914" s="2"/>
      <c r="K914" s="2"/>
    </row>
    <row r="915" spans="5:11" x14ac:dyDescent="0.25">
      <c r="E915" s="3">
        <f t="shared" ca="1" si="28"/>
        <v>0.97790659217085951</v>
      </c>
      <c r="F915" s="3">
        <f t="shared" ca="1" si="28"/>
        <v>0.28325347636525822</v>
      </c>
      <c r="G915" s="3">
        <f t="shared" ca="1" si="29"/>
        <v>7.9839796088115147</v>
      </c>
      <c r="H915" s="2"/>
      <c r="I915" s="2"/>
      <c r="J915" s="2"/>
      <c r="K915" s="2"/>
    </row>
    <row r="916" spans="5:11" x14ac:dyDescent="0.25">
      <c r="E916" s="3">
        <f t="shared" ca="1" si="28"/>
        <v>0.53561669850851057</v>
      </c>
      <c r="F916" s="3">
        <f t="shared" ca="1" si="28"/>
        <v>0.59360452313025136</v>
      </c>
      <c r="G916" s="3">
        <f t="shared" ca="1" si="29"/>
        <v>5.9317185474409193</v>
      </c>
      <c r="H916" s="2"/>
      <c r="I916" s="2"/>
      <c r="J916" s="2"/>
      <c r="K916" s="2"/>
    </row>
    <row r="917" spans="5:11" x14ac:dyDescent="0.25">
      <c r="E917" s="3">
        <f t="shared" ca="1" si="28"/>
        <v>0.49425216773824943</v>
      </c>
      <c r="F917" s="3">
        <f t="shared" ca="1" si="28"/>
        <v>0.66730567545729513</v>
      </c>
      <c r="G917" s="3">
        <f t="shared" ca="1" si="29"/>
        <v>7.0239663273959367</v>
      </c>
      <c r="H917" s="2"/>
      <c r="I917" s="2"/>
      <c r="J917" s="2"/>
      <c r="K917" s="2"/>
    </row>
    <row r="918" spans="5:11" x14ac:dyDescent="0.25">
      <c r="E918" s="3">
        <f t="shared" ca="1" si="28"/>
        <v>0.24310925539049388</v>
      </c>
      <c r="F918" s="3">
        <f t="shared" ca="1" si="28"/>
        <v>0.30531953573446502</v>
      </c>
      <c r="G918" s="3">
        <f t="shared" ca="1" si="29"/>
        <v>6.0369098830426138</v>
      </c>
      <c r="H918" s="2"/>
      <c r="I918" s="2"/>
      <c r="J918" s="2"/>
      <c r="K918" s="2"/>
    </row>
    <row r="919" spans="5:11" x14ac:dyDescent="0.25">
      <c r="E919" s="3">
        <f t="shared" ca="1" si="28"/>
        <v>0.92854946446135089</v>
      </c>
      <c r="F919" s="3">
        <f t="shared" ca="1" si="28"/>
        <v>9.2631381525933199E-2</v>
      </c>
      <c r="G919" s="3">
        <f t="shared" ca="1" si="29"/>
        <v>5.5222575401752998</v>
      </c>
      <c r="H919" s="2"/>
      <c r="I919" s="2"/>
      <c r="J919" s="2"/>
      <c r="K919" s="2"/>
    </row>
    <row r="920" spans="5:11" x14ac:dyDescent="0.25">
      <c r="E920" s="3">
        <f t="shared" ca="1" si="28"/>
        <v>0.48396965970400929</v>
      </c>
      <c r="F920" s="3">
        <f t="shared" ca="1" si="28"/>
        <v>6.7640467156430684E-2</v>
      </c>
      <c r="G920" s="3">
        <f t="shared" ca="1" si="29"/>
        <v>3.8662805285042365</v>
      </c>
      <c r="H920" s="2"/>
      <c r="I920" s="2"/>
      <c r="J920" s="2"/>
      <c r="K920" s="2"/>
    </row>
    <row r="921" spans="5:11" x14ac:dyDescent="0.25">
      <c r="E921" s="3">
        <f t="shared" ca="1" si="28"/>
        <v>0.84705321691335278</v>
      </c>
      <c r="F921" s="3">
        <f t="shared" ca="1" si="28"/>
        <v>0.96494087213294222</v>
      </c>
      <c r="G921" s="3">
        <f t="shared" ca="1" si="29"/>
        <v>13.828725411120596</v>
      </c>
      <c r="H921" s="2"/>
      <c r="I921" s="2"/>
      <c r="J921" s="2"/>
      <c r="K921" s="2"/>
    </row>
    <row r="922" spans="5:11" x14ac:dyDescent="0.25">
      <c r="E922" s="3">
        <f t="shared" ca="1" si="28"/>
        <v>0.14026372790352648</v>
      </c>
      <c r="F922" s="3">
        <f t="shared" ca="1" si="28"/>
        <v>0.82862353231094488</v>
      </c>
      <c r="G922" s="3">
        <f t="shared" ca="1" si="29"/>
        <v>11.966666939679065</v>
      </c>
      <c r="H922" s="2"/>
      <c r="I922" s="2"/>
      <c r="J922" s="2"/>
      <c r="K922" s="2"/>
    </row>
    <row r="923" spans="5:11" x14ac:dyDescent="0.25">
      <c r="E923" s="3">
        <f t="shared" ca="1" si="28"/>
        <v>0.72175893979673211</v>
      </c>
      <c r="F923" s="3">
        <f t="shared" ca="1" si="28"/>
        <v>0.20981344183864625</v>
      </c>
      <c r="G923" s="3">
        <f t="shared" ca="1" si="29"/>
        <v>0.82396574986048821</v>
      </c>
      <c r="H923" s="2"/>
      <c r="I923" s="2"/>
      <c r="J923" s="2"/>
      <c r="K923" s="2"/>
    </row>
    <row r="924" spans="5:11" x14ac:dyDescent="0.25">
      <c r="E924" s="3">
        <f t="shared" ca="1" si="28"/>
        <v>0.92422463906844921</v>
      </c>
      <c r="F924" s="3">
        <f t="shared" ca="1" si="28"/>
        <v>0.40215472838542876</v>
      </c>
      <c r="G924" s="3">
        <f t="shared" ca="1" si="29"/>
        <v>5.8944968630578503</v>
      </c>
      <c r="H924" s="2"/>
      <c r="I924" s="2"/>
      <c r="J924" s="2"/>
      <c r="K924" s="2"/>
    </row>
    <row r="925" spans="5:11" x14ac:dyDescent="0.25">
      <c r="E925" s="3">
        <f t="shared" ca="1" si="28"/>
        <v>0.42800028591756933</v>
      </c>
      <c r="F925" s="3">
        <f t="shared" ca="1" si="28"/>
        <v>0.155002931223718</v>
      </c>
      <c r="G925" s="3">
        <f t="shared" ca="1" si="29"/>
        <v>3.2055215472570855</v>
      </c>
      <c r="H925" s="2"/>
      <c r="I925" s="2"/>
      <c r="J925" s="2"/>
      <c r="K925" s="2"/>
    </row>
    <row r="926" spans="5:11" x14ac:dyDescent="0.25">
      <c r="E926" s="3">
        <f t="shared" ca="1" si="28"/>
        <v>0.87226010440946711</v>
      </c>
      <c r="F926" s="3">
        <f t="shared" ca="1" si="28"/>
        <v>0.20831459846434353</v>
      </c>
      <c r="G926" s="3">
        <f t="shared" ca="1" si="29"/>
        <v>3.469472213822959</v>
      </c>
      <c r="H926" s="2"/>
      <c r="I926" s="2"/>
      <c r="J926" s="2"/>
      <c r="K926" s="2"/>
    </row>
    <row r="927" spans="5:11" x14ac:dyDescent="0.25">
      <c r="E927" s="3">
        <f t="shared" ca="1" si="28"/>
        <v>8.3398933831265398E-2</v>
      </c>
      <c r="F927" s="3">
        <f t="shared" ca="1" si="28"/>
        <v>0.25748602348937599</v>
      </c>
      <c r="G927" s="3">
        <f t="shared" ca="1" si="29"/>
        <v>9.2334095740260036</v>
      </c>
      <c r="H927" s="2"/>
      <c r="I927" s="2"/>
      <c r="J927" s="2"/>
      <c r="K927" s="2"/>
    </row>
    <row r="928" spans="5:11" x14ac:dyDescent="0.25">
      <c r="E928" s="3">
        <f t="shared" ca="1" si="28"/>
        <v>0.61428590267350736</v>
      </c>
      <c r="F928" s="3">
        <f t="shared" ca="1" si="28"/>
        <v>0.75159275359191124</v>
      </c>
      <c r="G928" s="3">
        <f t="shared" ca="1" si="29"/>
        <v>7.9068827155175088</v>
      </c>
      <c r="H928" s="2"/>
      <c r="I928" s="2"/>
      <c r="J928" s="2"/>
      <c r="K928" s="2"/>
    </row>
    <row r="929" spans="5:11" x14ac:dyDescent="0.25">
      <c r="E929" s="3">
        <f t="shared" ca="1" si="28"/>
        <v>0.6503244907704363</v>
      </c>
      <c r="F929" s="3">
        <f t="shared" ca="1" si="28"/>
        <v>0.76354027076689468</v>
      </c>
      <c r="G929" s="3">
        <f t="shared" ca="1" si="29"/>
        <v>8.0646050621151701</v>
      </c>
      <c r="H929" s="2"/>
      <c r="I929" s="2"/>
      <c r="J929" s="2"/>
      <c r="K929" s="2"/>
    </row>
    <row r="930" spans="5:11" x14ac:dyDescent="0.25">
      <c r="E930" s="3">
        <f t="shared" ca="1" si="28"/>
        <v>0.29958807773125073</v>
      </c>
      <c r="F930" s="3">
        <f t="shared" ca="1" si="28"/>
        <v>0.44348608654574539</v>
      </c>
      <c r="G930" s="3">
        <f t="shared" ca="1" si="29"/>
        <v>6.1508250875587178</v>
      </c>
      <c r="H930" s="2"/>
      <c r="I930" s="2"/>
      <c r="J930" s="2"/>
      <c r="K930" s="2"/>
    </row>
    <row r="931" spans="5:11" x14ac:dyDescent="0.25">
      <c r="E931" s="3">
        <f t="shared" ca="1" si="28"/>
        <v>0.35202984105058233</v>
      </c>
      <c r="F931" s="3">
        <f t="shared" ca="1" si="28"/>
        <v>0.92738460124907407</v>
      </c>
      <c r="G931" s="3">
        <f t="shared" ca="1" si="29"/>
        <v>12.460626099791316</v>
      </c>
      <c r="H931" s="2"/>
      <c r="I931" s="2"/>
      <c r="J931" s="2"/>
      <c r="K931" s="2"/>
    </row>
    <row r="932" spans="5:11" x14ac:dyDescent="0.25">
      <c r="E932" s="3">
        <f t="shared" ca="1" si="28"/>
        <v>0.677380572028499</v>
      </c>
      <c r="F932" s="3">
        <f t="shared" ca="1" si="28"/>
        <v>6.443768541472461E-2</v>
      </c>
      <c r="G932" s="3">
        <f t="shared" ca="1" si="29"/>
        <v>3.1233820945071513</v>
      </c>
      <c r="H932" s="2"/>
      <c r="I932" s="2"/>
      <c r="J932" s="2"/>
      <c r="K932" s="2"/>
    </row>
    <row r="933" spans="5:11" x14ac:dyDescent="0.25">
      <c r="E933" s="3">
        <f t="shared" ca="1" si="28"/>
        <v>0.82227905991931205</v>
      </c>
      <c r="F933" s="3">
        <f t="shared" ca="1" si="28"/>
        <v>0.86608419100918455</v>
      </c>
      <c r="G933" s="3">
        <f t="shared" ca="1" si="29"/>
        <v>10.28938506337494</v>
      </c>
      <c r="H933" s="2"/>
      <c r="I933" s="2"/>
      <c r="J933" s="2"/>
      <c r="K933" s="2"/>
    </row>
    <row r="934" spans="5:11" x14ac:dyDescent="0.25">
      <c r="E934" s="3">
        <f t="shared" ca="1" si="28"/>
        <v>0.23822776094445308</v>
      </c>
      <c r="F934" s="3">
        <f t="shared" ca="1" si="28"/>
        <v>0.24920867668073388</v>
      </c>
      <c r="G934" s="3">
        <f t="shared" ca="1" si="29"/>
        <v>5.9010609591835816</v>
      </c>
      <c r="H934" s="2"/>
      <c r="I934" s="2"/>
      <c r="J934" s="2"/>
      <c r="K934" s="2"/>
    </row>
    <row r="935" spans="5:11" x14ac:dyDescent="0.25">
      <c r="E935" s="3">
        <f t="shared" ca="1" si="28"/>
        <v>0.99911877137414151</v>
      </c>
      <c r="F935" s="3">
        <f t="shared" ca="1" si="28"/>
        <v>0.47989478989387946</v>
      </c>
      <c r="G935" s="3">
        <f t="shared" ca="1" si="29"/>
        <v>14.045848799318849</v>
      </c>
      <c r="H935" s="2"/>
      <c r="I935" s="2"/>
      <c r="J935" s="2"/>
      <c r="K935" s="2"/>
    </row>
    <row r="936" spans="5:11" x14ac:dyDescent="0.25">
      <c r="E936" s="3">
        <f t="shared" ca="1" si="28"/>
        <v>8.1872104721226302E-2</v>
      </c>
      <c r="F936" s="3">
        <f t="shared" ca="1" si="28"/>
        <v>0.90295202826450227</v>
      </c>
      <c r="G936" s="3">
        <f t="shared" ca="1" si="29"/>
        <v>14.313743394895697</v>
      </c>
      <c r="H936" s="2"/>
      <c r="I936" s="2"/>
      <c r="J936" s="2"/>
      <c r="K936" s="2"/>
    </row>
    <row r="937" spans="5:11" x14ac:dyDescent="0.25">
      <c r="E937" s="3">
        <f t="shared" ca="1" si="28"/>
        <v>0.10684088250859769</v>
      </c>
      <c r="F937" s="3">
        <f t="shared" ca="1" si="28"/>
        <v>0.70195435543446039</v>
      </c>
      <c r="G937" s="3">
        <f t="shared" ca="1" si="29"/>
        <v>11.055869279418715</v>
      </c>
      <c r="H937" s="2"/>
      <c r="I937" s="2"/>
      <c r="J937" s="2"/>
      <c r="K937" s="2"/>
    </row>
    <row r="938" spans="5:11" x14ac:dyDescent="0.25">
      <c r="E938" s="3">
        <f t="shared" ca="1" si="28"/>
        <v>0.19760469539053427</v>
      </c>
      <c r="F938" s="3">
        <f t="shared" ca="1" si="28"/>
        <v>0.93773005061833548</v>
      </c>
      <c r="G938" s="3">
        <f t="shared" ca="1" si="29"/>
        <v>13.77533044099988</v>
      </c>
      <c r="H938" s="2"/>
      <c r="I938" s="2"/>
      <c r="J938" s="2"/>
      <c r="K938" s="2"/>
    </row>
    <row r="939" spans="5:11" x14ac:dyDescent="0.25">
      <c r="E939" s="3">
        <f t="shared" ca="1" si="28"/>
        <v>0.84375676725471893</v>
      </c>
      <c r="F939" s="3">
        <f t="shared" ca="1" si="28"/>
        <v>0.78290707868151954</v>
      </c>
      <c r="G939" s="3">
        <f t="shared" ca="1" si="29"/>
        <v>8.8387084112775209</v>
      </c>
      <c r="H939" s="2"/>
      <c r="I939" s="2"/>
      <c r="J939" s="2"/>
      <c r="K939" s="2"/>
    </row>
    <row r="940" spans="5:11" x14ac:dyDescent="0.25">
      <c r="E940" s="3">
        <f t="shared" ca="1" si="28"/>
        <v>0.93116441473163092</v>
      </c>
      <c r="F940" s="3">
        <f t="shared" ca="1" si="28"/>
        <v>2.776165792882912E-2</v>
      </c>
      <c r="G940" s="3">
        <f t="shared" ca="1" si="29"/>
        <v>7.2735386164240641</v>
      </c>
      <c r="H940" s="2"/>
      <c r="I940" s="2"/>
      <c r="J940" s="2"/>
      <c r="K940" s="2"/>
    </row>
    <row r="941" spans="5:11" x14ac:dyDescent="0.25">
      <c r="E941" s="3">
        <f t="shared" ca="1" si="28"/>
        <v>0.78438863345947496</v>
      </c>
      <c r="F941" s="3">
        <f t="shared" ca="1" si="28"/>
        <v>0.91948055182543265</v>
      </c>
      <c r="G941" s="3">
        <f t="shared" ca="1" si="29"/>
        <v>11.602413062963437</v>
      </c>
      <c r="H941" s="2"/>
      <c r="I941" s="2"/>
      <c r="J941" s="2"/>
      <c r="K941" s="2"/>
    </row>
    <row r="942" spans="5:11" x14ac:dyDescent="0.25">
      <c r="E942" s="3">
        <f t="shared" ca="1" si="28"/>
        <v>0.35357006312712835</v>
      </c>
      <c r="F942" s="3">
        <f t="shared" ca="1" si="28"/>
        <v>5.1014726366898522E-2</v>
      </c>
      <c r="G942" s="3">
        <f t="shared" ca="1" si="29"/>
        <v>5.5403678684698008</v>
      </c>
      <c r="H942" s="2"/>
      <c r="I942" s="2"/>
      <c r="J942" s="2"/>
      <c r="K942" s="2"/>
    </row>
    <row r="943" spans="5:11" x14ac:dyDescent="0.25">
      <c r="E943" s="3">
        <f t="shared" ca="1" si="28"/>
        <v>0.69087521799603535</v>
      </c>
      <c r="F943" s="3">
        <f t="shared" ca="1" si="28"/>
        <v>0.80457206681391524</v>
      </c>
      <c r="G943" s="3">
        <f t="shared" ca="1" si="29"/>
        <v>8.7639182581745327</v>
      </c>
      <c r="H943" s="2"/>
      <c r="I943" s="2"/>
      <c r="J943" s="2"/>
      <c r="K943" s="2"/>
    </row>
    <row r="944" spans="5:11" x14ac:dyDescent="0.25">
      <c r="E944" s="3">
        <f t="shared" ca="1" si="28"/>
        <v>0.37600352500796375</v>
      </c>
      <c r="F944" s="3">
        <f t="shared" ca="1" si="28"/>
        <v>0.71861770389980972</v>
      </c>
      <c r="G944" s="3">
        <f t="shared" ca="1" si="29"/>
        <v>8.2957108726402762</v>
      </c>
      <c r="H944" s="2"/>
      <c r="I944" s="2"/>
      <c r="J944" s="2"/>
      <c r="K944" s="2"/>
    </row>
    <row r="945" spans="5:11" x14ac:dyDescent="0.25">
      <c r="E945" s="3">
        <f t="shared" ca="1" si="28"/>
        <v>0.54766500076103819</v>
      </c>
      <c r="F945" s="3">
        <f t="shared" ca="1" si="28"/>
        <v>0.54342082275918202</v>
      </c>
      <c r="G945" s="3">
        <f t="shared" ca="1" si="29"/>
        <v>5.2770755513522367</v>
      </c>
      <c r="H945" s="2"/>
      <c r="I945" s="2"/>
      <c r="J945" s="2"/>
      <c r="K945" s="2"/>
    </row>
    <row r="946" spans="5:11" x14ac:dyDescent="0.25">
      <c r="E946" s="3">
        <f t="shared" ca="1" si="28"/>
        <v>0.13984597937310861</v>
      </c>
      <c r="F946" s="3">
        <f t="shared" ca="1" si="28"/>
        <v>0.95614716083088735</v>
      </c>
      <c r="G946" s="3">
        <f t="shared" ca="1" si="29"/>
        <v>15.088525739741813</v>
      </c>
      <c r="H946" s="2"/>
      <c r="I946" s="2"/>
      <c r="J946" s="2"/>
      <c r="K946" s="2"/>
    </row>
    <row r="947" spans="5:11" x14ac:dyDescent="0.25">
      <c r="E947" s="3">
        <f t="shared" ca="1" si="28"/>
        <v>0.95490676521852247</v>
      </c>
      <c r="F947" s="3">
        <f t="shared" ca="1" si="28"/>
        <v>0.7243884904139235</v>
      </c>
      <c r="G947" s="3">
        <f t="shared" ca="1" si="29"/>
        <v>9.7124192142544761</v>
      </c>
      <c r="H947" s="2"/>
      <c r="I947" s="2"/>
      <c r="J947" s="2"/>
      <c r="K947" s="2"/>
    </row>
    <row r="948" spans="5:11" x14ac:dyDescent="0.25">
      <c r="E948" s="3">
        <f t="shared" ca="1" si="28"/>
        <v>0.49249981845745072</v>
      </c>
      <c r="F948" s="3">
        <f t="shared" ca="1" si="28"/>
        <v>0.4306770769678262</v>
      </c>
      <c r="G948" s="3">
        <f t="shared" ca="1" si="29"/>
        <v>4.2878632886048234</v>
      </c>
      <c r="H948" s="2"/>
      <c r="I948" s="2"/>
      <c r="J948" s="2"/>
      <c r="K948" s="2"/>
    </row>
    <row r="949" spans="5:11" x14ac:dyDescent="0.25">
      <c r="E949" s="3">
        <f t="shared" ca="1" si="28"/>
        <v>0.5439199375485626</v>
      </c>
      <c r="F949" s="3">
        <f t="shared" ca="1" si="28"/>
        <v>0.82858927542137473</v>
      </c>
      <c r="G949" s="3">
        <f t="shared" ca="1" si="29"/>
        <v>9.3665134419458873</v>
      </c>
      <c r="H949" s="2"/>
      <c r="I949" s="2"/>
      <c r="J949" s="2"/>
      <c r="K949" s="2"/>
    </row>
    <row r="950" spans="5:11" x14ac:dyDescent="0.25">
      <c r="E950" s="3">
        <f t="shared" ca="1" si="28"/>
        <v>3.9481677114995506E-2</v>
      </c>
      <c r="F950" s="3">
        <f t="shared" ca="1" si="28"/>
        <v>0.4305713884752761</v>
      </c>
      <c r="G950" s="3">
        <f t="shared" ca="1" si="29"/>
        <v>11.595519986333606</v>
      </c>
      <c r="H950" s="2"/>
      <c r="I950" s="2"/>
      <c r="J950" s="2"/>
      <c r="K950" s="2"/>
    </row>
    <row r="951" spans="5:11" x14ac:dyDescent="0.25">
      <c r="E951" s="3">
        <f t="shared" ca="1" si="28"/>
        <v>0.63632202215304012</v>
      </c>
      <c r="F951" s="3">
        <f t="shared" ca="1" si="28"/>
        <v>0.30486816323035593</v>
      </c>
      <c r="G951" s="3">
        <f t="shared" ca="1" si="29"/>
        <v>1.9811248281996792</v>
      </c>
      <c r="H951" s="2"/>
      <c r="I951" s="2"/>
      <c r="J951" s="2"/>
      <c r="K951" s="2"/>
    </row>
    <row r="952" spans="5:11" x14ac:dyDescent="0.25">
      <c r="E952" s="3">
        <f t="shared" ca="1" si="28"/>
        <v>0.12772453165998188</v>
      </c>
      <c r="F952" s="3">
        <f t="shared" ca="1" si="28"/>
        <v>1.7845143717457601E-3</v>
      </c>
      <c r="G952" s="3">
        <f t="shared" ca="1" si="29"/>
        <v>12.8387019436058</v>
      </c>
      <c r="H952" s="2"/>
      <c r="I952" s="2"/>
      <c r="J952" s="2"/>
      <c r="K952" s="2"/>
    </row>
    <row r="953" spans="5:11" x14ac:dyDescent="0.25">
      <c r="E953" s="3">
        <f t="shared" ca="1" si="28"/>
        <v>0.98786035613232537</v>
      </c>
      <c r="F953" s="3">
        <f t="shared" ca="1" si="28"/>
        <v>0.3807431075800124</v>
      </c>
      <c r="G953" s="3">
        <f t="shared" ca="1" si="29"/>
        <v>9.4937584955892103</v>
      </c>
      <c r="H953" s="2"/>
      <c r="I953" s="2"/>
      <c r="J953" s="2"/>
      <c r="K953" s="2"/>
    </row>
    <row r="954" spans="5:11" x14ac:dyDescent="0.25">
      <c r="E954" s="3">
        <f t="shared" ca="1" si="28"/>
        <v>0.50181455405260389</v>
      </c>
      <c r="F954" s="3">
        <f t="shared" ca="1" si="28"/>
        <v>0.65028842488621197</v>
      </c>
      <c r="G954" s="3">
        <f t="shared" ca="1" si="29"/>
        <v>6.773773306640213</v>
      </c>
      <c r="H954" s="2"/>
      <c r="I954" s="2"/>
      <c r="J954" s="2"/>
      <c r="K954" s="2"/>
    </row>
    <row r="955" spans="5:11" x14ac:dyDescent="0.25">
      <c r="E955" s="3">
        <f t="shared" ca="1" si="28"/>
        <v>0.66780863613461416</v>
      </c>
      <c r="F955" s="3">
        <f t="shared" ca="1" si="28"/>
        <v>0.62949235396412595</v>
      </c>
      <c r="G955" s="3">
        <f t="shared" ca="1" si="29"/>
        <v>6.1229408509578978</v>
      </c>
      <c r="H955" s="2"/>
      <c r="I955" s="2"/>
      <c r="J955" s="2"/>
      <c r="K955" s="2"/>
    </row>
    <row r="956" spans="5:11" x14ac:dyDescent="0.25">
      <c r="E956" s="3">
        <f t="shared" ca="1" si="28"/>
        <v>0.93279103747864656</v>
      </c>
      <c r="F956" s="3">
        <f t="shared" ca="1" si="28"/>
        <v>5.4723895692668445E-2</v>
      </c>
      <c r="G956" s="3">
        <f t="shared" ca="1" si="29"/>
        <v>6.3234665798836778</v>
      </c>
      <c r="H956" s="2"/>
      <c r="I956" s="2"/>
      <c r="J956" s="2"/>
      <c r="K956" s="2"/>
    </row>
    <row r="957" spans="5:11" x14ac:dyDescent="0.25">
      <c r="E957" s="3">
        <f t="shared" ca="1" si="28"/>
        <v>0.43557441014221299</v>
      </c>
      <c r="F957" s="3">
        <f t="shared" ca="1" si="28"/>
        <v>0.92766785226436654</v>
      </c>
      <c r="G957" s="3">
        <f t="shared" ca="1" si="29"/>
        <v>12.152500897178419</v>
      </c>
      <c r="H957" s="2"/>
      <c r="I957" s="2"/>
      <c r="J957" s="2"/>
      <c r="K957" s="2"/>
    </row>
    <row r="958" spans="5:11" x14ac:dyDescent="0.25">
      <c r="E958" s="3">
        <f t="shared" ca="1" si="28"/>
        <v>0.14202801221325689</v>
      </c>
      <c r="F958" s="3">
        <f t="shared" ca="1" si="28"/>
        <v>0.83406318188900164</v>
      </c>
      <c r="G958" s="3">
        <f t="shared" ca="1" si="29"/>
        <v>12.025106847419197</v>
      </c>
      <c r="H958" s="2"/>
      <c r="I958" s="2"/>
      <c r="J958" s="2"/>
      <c r="K958" s="2"/>
    </row>
    <row r="959" spans="5:11" x14ac:dyDescent="0.25">
      <c r="E959" s="3">
        <f t="shared" ca="1" si="28"/>
        <v>0.47590047169005056</v>
      </c>
      <c r="F959" s="3">
        <f t="shared" ca="1" si="28"/>
        <v>0.66650294768814733</v>
      </c>
      <c r="G959" s="3">
        <f t="shared" ca="1" si="29"/>
        <v>7.0927647254413992</v>
      </c>
      <c r="H959" s="2"/>
      <c r="I959" s="2"/>
      <c r="J959" s="2"/>
      <c r="K959" s="2"/>
    </row>
    <row r="960" spans="5:11" x14ac:dyDescent="0.25">
      <c r="E960" s="3">
        <f t="shared" ca="1" si="28"/>
        <v>1.0382388667583786E-2</v>
      </c>
      <c r="F960" s="3">
        <f t="shared" ca="1" si="28"/>
        <v>0.73215488663300476</v>
      </c>
      <c r="G960" s="3">
        <f t="shared" ca="1" si="29"/>
        <v>15.739677093506995</v>
      </c>
      <c r="H960" s="2"/>
      <c r="I960" s="2"/>
      <c r="J960" s="2"/>
      <c r="K960" s="2"/>
    </row>
    <row r="961" spans="5:11" x14ac:dyDescent="0.25">
      <c r="E961" s="3">
        <f t="shared" ca="1" si="28"/>
        <v>0.23194978741165739</v>
      </c>
      <c r="F961" s="3">
        <f t="shared" ca="1" si="28"/>
        <v>0.51196120290976666</v>
      </c>
      <c r="G961" s="3">
        <f t="shared" ca="1" si="29"/>
        <v>7.4955981298363579</v>
      </c>
      <c r="H961" s="2"/>
      <c r="I961" s="2"/>
      <c r="J961" s="2"/>
      <c r="K961" s="2"/>
    </row>
    <row r="962" spans="5:11" x14ac:dyDescent="0.25">
      <c r="E962" s="3">
        <f t="shared" ca="1" si="28"/>
        <v>0.87967849803671083</v>
      </c>
      <c r="F962" s="3">
        <f t="shared" ca="1" si="28"/>
        <v>0.26596099231951587</v>
      </c>
      <c r="G962" s="3">
        <f t="shared" ca="1" si="29"/>
        <v>3.8677834818295236</v>
      </c>
      <c r="H962" s="2"/>
      <c r="I962" s="2"/>
      <c r="J962" s="2"/>
      <c r="K962" s="2"/>
    </row>
    <row r="963" spans="5:11" x14ac:dyDescent="0.25">
      <c r="E963" s="3">
        <f t="shared" ca="1" si="28"/>
        <v>0.83614619556157921</v>
      </c>
      <c r="F963" s="3">
        <f t="shared" ca="1" si="28"/>
        <v>0.15811996802416972</v>
      </c>
      <c r="G963" s="3">
        <f t="shared" ca="1" si="29"/>
        <v>2.7079502200148218</v>
      </c>
      <c r="H963" s="2"/>
      <c r="I963" s="2"/>
      <c r="J963" s="2"/>
      <c r="K963" s="2"/>
    </row>
    <row r="964" spans="5:11" x14ac:dyDescent="0.25">
      <c r="E964" s="3">
        <f t="shared" ref="E964:F1027" ca="1" si="30">RAND()</f>
        <v>0.93118939533867184</v>
      </c>
      <c r="F964" s="3">
        <f t="shared" ca="1" si="30"/>
        <v>0.58806438560378393</v>
      </c>
      <c r="G964" s="3">
        <f t="shared" ref="G964:G1027" ca="1" si="31">SQRT(_xlfn.NORM.INV(E964,$C$3*COS($C$6),$C$4)^2+_xlfn.NORM.INV(F964,$C$3*SIN($C$6),$C$4)^2)</f>
        <v>7.6179538484046443</v>
      </c>
      <c r="H964" s="2"/>
      <c r="I964" s="2"/>
      <c r="J964" s="2"/>
      <c r="K964" s="2"/>
    </row>
    <row r="965" spans="5:11" x14ac:dyDescent="0.25">
      <c r="E965" s="3">
        <f t="shared" ca="1" si="30"/>
        <v>0.55110140442401634</v>
      </c>
      <c r="F965" s="3">
        <f t="shared" ca="1" si="30"/>
        <v>0.56226628349631258</v>
      </c>
      <c r="G965" s="3">
        <f t="shared" ca="1" si="31"/>
        <v>5.4912730050686696</v>
      </c>
      <c r="H965" s="2"/>
      <c r="I965" s="2"/>
      <c r="J965" s="2"/>
      <c r="K965" s="2"/>
    </row>
    <row r="966" spans="5:11" x14ac:dyDescent="0.25">
      <c r="E966" s="3">
        <f t="shared" ca="1" si="30"/>
        <v>0.14249819106147354</v>
      </c>
      <c r="F966" s="3">
        <f t="shared" ca="1" si="30"/>
        <v>0.3873834127380964</v>
      </c>
      <c r="G966" s="3">
        <f t="shared" ca="1" si="31"/>
        <v>8.1723453970254543</v>
      </c>
      <c r="H966" s="2"/>
      <c r="I966" s="2"/>
      <c r="J966" s="2"/>
      <c r="K966" s="2"/>
    </row>
    <row r="967" spans="5:11" x14ac:dyDescent="0.25">
      <c r="E967" s="3">
        <f t="shared" ca="1" si="30"/>
        <v>0.4386787815821841</v>
      </c>
      <c r="F967" s="3">
        <f t="shared" ca="1" si="30"/>
        <v>8.4987155662536784E-2</v>
      </c>
      <c r="G967" s="3">
        <f t="shared" ca="1" si="31"/>
        <v>3.8459033170823549</v>
      </c>
      <c r="H967" s="2"/>
      <c r="I967" s="2"/>
      <c r="J967" s="2"/>
      <c r="K967" s="2"/>
    </row>
    <row r="968" spans="5:11" x14ac:dyDescent="0.25">
      <c r="E968" s="3">
        <f t="shared" ca="1" si="30"/>
        <v>0.83452133270496043</v>
      </c>
      <c r="F968" s="3">
        <f t="shared" ca="1" si="30"/>
        <v>0.49735634361840531</v>
      </c>
      <c r="G968" s="3">
        <f t="shared" ca="1" si="31"/>
        <v>5.1529619502893853</v>
      </c>
      <c r="H968" s="2"/>
      <c r="I968" s="2"/>
      <c r="J968" s="2"/>
      <c r="K968" s="2"/>
    </row>
    <row r="969" spans="5:11" x14ac:dyDescent="0.25">
      <c r="E969" s="3">
        <f t="shared" ca="1" si="30"/>
        <v>0.54033443865318076</v>
      </c>
      <c r="F969" s="3">
        <f t="shared" ca="1" si="30"/>
        <v>0.29348997566957069</v>
      </c>
      <c r="G969" s="3">
        <f t="shared" ca="1" si="31"/>
        <v>2.4663448901355398</v>
      </c>
      <c r="H969" s="2"/>
      <c r="I969" s="2"/>
      <c r="J969" s="2"/>
      <c r="K969" s="2"/>
    </row>
    <row r="970" spans="5:11" x14ac:dyDescent="0.25">
      <c r="E970" s="3">
        <f t="shared" ca="1" si="30"/>
        <v>0.74867047872028014</v>
      </c>
      <c r="F970" s="3">
        <f t="shared" ca="1" si="30"/>
        <v>0.72667720728105167</v>
      </c>
      <c r="G970" s="3">
        <f t="shared" ca="1" si="31"/>
        <v>7.5659976102472992</v>
      </c>
      <c r="H970" s="2"/>
      <c r="I970" s="2"/>
      <c r="J970" s="2"/>
      <c r="K970" s="2"/>
    </row>
    <row r="971" spans="5:11" x14ac:dyDescent="0.25">
      <c r="E971" s="3">
        <f t="shared" ca="1" si="30"/>
        <v>0.30024011874904022</v>
      </c>
      <c r="F971" s="3">
        <f t="shared" ca="1" si="30"/>
        <v>5.4628934602950596E-2</v>
      </c>
      <c r="G971" s="3">
        <f t="shared" ca="1" si="31"/>
        <v>6.0103615213425527</v>
      </c>
      <c r="H971" s="2"/>
      <c r="I971" s="2"/>
      <c r="J971" s="2"/>
      <c r="K971" s="2"/>
    </row>
    <row r="972" spans="5:11" x14ac:dyDescent="0.25">
      <c r="E972" s="3">
        <f t="shared" ca="1" si="30"/>
        <v>0.97754103520900371</v>
      </c>
      <c r="F972" s="3">
        <f t="shared" ca="1" si="30"/>
        <v>9.8678477067271064E-4</v>
      </c>
      <c r="G972" s="3">
        <f t="shared" ca="1" si="31"/>
        <v>13.477895178965536</v>
      </c>
      <c r="H972" s="2"/>
      <c r="I972" s="2"/>
      <c r="J972" s="2"/>
      <c r="K972" s="2"/>
    </row>
    <row r="973" spans="5:11" x14ac:dyDescent="0.25">
      <c r="E973" s="3">
        <f t="shared" ca="1" si="30"/>
        <v>0.65695574922915412</v>
      </c>
      <c r="F973" s="3">
        <f t="shared" ca="1" si="30"/>
        <v>0.97138482483011424</v>
      </c>
      <c r="G973" s="3">
        <f t="shared" ca="1" si="31"/>
        <v>13.979444037166132</v>
      </c>
      <c r="H973" s="2"/>
      <c r="I973" s="2"/>
      <c r="J973" s="2"/>
      <c r="K973" s="2"/>
    </row>
    <row r="974" spans="5:11" x14ac:dyDescent="0.25">
      <c r="E974" s="3">
        <f t="shared" ca="1" si="30"/>
        <v>0.19511212305350933</v>
      </c>
      <c r="F974" s="3">
        <f t="shared" ca="1" si="30"/>
        <v>0.86928105274118606</v>
      </c>
      <c r="G974" s="3">
        <f t="shared" ca="1" si="31"/>
        <v>12.017970076319306</v>
      </c>
      <c r="H974" s="2"/>
      <c r="I974" s="2"/>
      <c r="J974" s="2"/>
      <c r="K974" s="2"/>
    </row>
    <row r="975" spans="5:11" x14ac:dyDescent="0.25">
      <c r="E975" s="3">
        <f t="shared" ca="1" si="30"/>
        <v>0.45110743625793293</v>
      </c>
      <c r="F975" s="3">
        <f t="shared" ca="1" si="30"/>
        <v>0.97151230635431352</v>
      </c>
      <c r="G975" s="3">
        <f t="shared" ca="1" si="31"/>
        <v>14.275814276069953</v>
      </c>
      <c r="H975" s="2"/>
      <c r="I975" s="2"/>
      <c r="J975" s="2"/>
      <c r="K975" s="2"/>
    </row>
    <row r="976" spans="5:11" x14ac:dyDescent="0.25">
      <c r="E976" s="3">
        <f t="shared" ca="1" si="30"/>
        <v>0.51050157553813258</v>
      </c>
      <c r="F976" s="3">
        <f t="shared" ca="1" si="30"/>
        <v>0.31957605850820625</v>
      </c>
      <c r="G976" s="3">
        <f t="shared" ca="1" si="31"/>
        <v>2.9941226354136856</v>
      </c>
      <c r="H976" s="2"/>
      <c r="I976" s="2"/>
      <c r="J976" s="2"/>
      <c r="K976" s="2"/>
    </row>
    <row r="977" spans="5:11" x14ac:dyDescent="0.25">
      <c r="E977" s="3">
        <f t="shared" ca="1" si="30"/>
        <v>2.0090735623821576E-2</v>
      </c>
      <c r="F977" s="3">
        <f t="shared" ca="1" si="30"/>
        <v>0.70996528810565063</v>
      </c>
      <c r="G977" s="3">
        <f t="shared" ca="1" si="31"/>
        <v>14.443320212751228</v>
      </c>
      <c r="H977" s="2"/>
      <c r="I977" s="2"/>
      <c r="J977" s="2"/>
      <c r="K977" s="2"/>
    </row>
    <row r="978" spans="5:11" x14ac:dyDescent="0.25">
      <c r="E978" s="3">
        <f t="shared" ca="1" si="30"/>
        <v>0.14206552086068436</v>
      </c>
      <c r="F978" s="3">
        <f t="shared" ca="1" si="30"/>
        <v>0.26262326782166612</v>
      </c>
      <c r="G978" s="3">
        <f t="shared" ca="1" si="31"/>
        <v>7.7051588826290978</v>
      </c>
      <c r="H978" s="2"/>
      <c r="I978" s="2"/>
      <c r="J978" s="2"/>
      <c r="K978" s="2"/>
    </row>
    <row r="979" spans="5:11" x14ac:dyDescent="0.25">
      <c r="E979" s="3">
        <f t="shared" ca="1" si="30"/>
        <v>0.26690250950222849</v>
      </c>
      <c r="F979" s="3">
        <f t="shared" ca="1" si="30"/>
        <v>0.54608104699868731</v>
      </c>
      <c r="G979" s="3">
        <f t="shared" ca="1" si="31"/>
        <v>7.3571799822659489</v>
      </c>
      <c r="H979" s="2"/>
      <c r="I979" s="2"/>
      <c r="J979" s="2"/>
      <c r="K979" s="2"/>
    </row>
    <row r="980" spans="5:11" x14ac:dyDescent="0.25">
      <c r="E980" s="3">
        <f t="shared" ca="1" si="30"/>
        <v>0.4070268723929209</v>
      </c>
      <c r="F980" s="3">
        <f t="shared" ca="1" si="30"/>
        <v>0.41997038777543871</v>
      </c>
      <c r="G980" s="3">
        <f t="shared" ca="1" si="31"/>
        <v>4.8625208898747196</v>
      </c>
      <c r="H980" s="2"/>
      <c r="I980" s="2"/>
      <c r="J980" s="2"/>
      <c r="K980" s="2"/>
    </row>
    <row r="981" spans="5:11" x14ac:dyDescent="0.25">
      <c r="E981" s="3">
        <f t="shared" ca="1" si="30"/>
        <v>0.51077845294961377</v>
      </c>
      <c r="F981" s="3">
        <f t="shared" ca="1" si="30"/>
        <v>0.38900172682627154</v>
      </c>
      <c r="G981" s="3">
        <f t="shared" ca="1" si="31"/>
        <v>3.7145693845845718</v>
      </c>
      <c r="H981" s="2"/>
      <c r="I981" s="2"/>
      <c r="J981" s="2"/>
      <c r="K981" s="2"/>
    </row>
    <row r="982" spans="5:11" x14ac:dyDescent="0.25">
      <c r="E982" s="3">
        <f t="shared" ca="1" si="30"/>
        <v>0.60512654980220448</v>
      </c>
      <c r="F982" s="3">
        <f t="shared" ca="1" si="30"/>
        <v>0.88418566360934081</v>
      </c>
      <c r="G982" s="3">
        <f t="shared" ca="1" si="31"/>
        <v>10.490152205166627</v>
      </c>
      <c r="H982" s="2"/>
      <c r="I982" s="2"/>
      <c r="J982" s="2"/>
      <c r="K982" s="2"/>
    </row>
    <row r="983" spans="5:11" x14ac:dyDescent="0.25">
      <c r="E983" s="3">
        <f t="shared" ca="1" si="30"/>
        <v>0.78787585590503717</v>
      </c>
      <c r="F983" s="3">
        <f t="shared" ca="1" si="30"/>
        <v>0.3640328022210495</v>
      </c>
      <c r="G983" s="3">
        <f t="shared" ca="1" si="31"/>
        <v>3.2466926333630108</v>
      </c>
      <c r="H983" s="2"/>
      <c r="I983" s="2"/>
      <c r="J983" s="2"/>
      <c r="K983" s="2"/>
    </row>
    <row r="984" spans="5:11" x14ac:dyDescent="0.25">
      <c r="E984" s="3">
        <f t="shared" ca="1" si="30"/>
        <v>0.52925504772584142</v>
      </c>
      <c r="F984" s="3">
        <f t="shared" ca="1" si="30"/>
        <v>0.56578783411626243</v>
      </c>
      <c r="G984" s="3">
        <f t="shared" ca="1" si="31"/>
        <v>5.6197309827266615</v>
      </c>
      <c r="H984" s="2"/>
      <c r="I984" s="2"/>
      <c r="J984" s="2"/>
      <c r="K984" s="2"/>
    </row>
    <row r="985" spans="5:11" x14ac:dyDescent="0.25">
      <c r="E985" s="3">
        <f t="shared" ca="1" si="30"/>
        <v>0.99347420785091423</v>
      </c>
      <c r="F985" s="3">
        <f t="shared" ca="1" si="30"/>
        <v>0.40761153048304222</v>
      </c>
      <c r="G985" s="3">
        <f t="shared" ca="1" si="31"/>
        <v>10.693825347057809</v>
      </c>
      <c r="H985" s="2"/>
      <c r="I985" s="2"/>
      <c r="J985" s="2"/>
      <c r="K985" s="2"/>
    </row>
    <row r="986" spans="5:11" x14ac:dyDescent="0.25">
      <c r="E986" s="3">
        <f t="shared" ca="1" si="30"/>
        <v>0.66646947922059874</v>
      </c>
      <c r="F986" s="3">
        <f t="shared" ca="1" si="30"/>
        <v>0.43193444348209109</v>
      </c>
      <c r="G986" s="3">
        <f t="shared" ca="1" si="31"/>
        <v>3.6138336369017323</v>
      </c>
      <c r="H986" s="2"/>
      <c r="I986" s="2"/>
      <c r="J986" s="2"/>
      <c r="K986" s="2"/>
    </row>
    <row r="987" spans="5:11" x14ac:dyDescent="0.25">
      <c r="E987" s="3">
        <f t="shared" ca="1" si="30"/>
        <v>0.50433076884648798</v>
      </c>
      <c r="F987" s="3">
        <f t="shared" ca="1" si="30"/>
        <v>0.26990846459604712</v>
      </c>
      <c r="G987" s="3">
        <f t="shared" ca="1" si="31"/>
        <v>2.598403448547653</v>
      </c>
      <c r="H987" s="2"/>
      <c r="I987" s="2"/>
      <c r="J987" s="2"/>
      <c r="K987" s="2"/>
    </row>
    <row r="988" spans="5:11" x14ac:dyDescent="0.25">
      <c r="E988" s="3">
        <f t="shared" ca="1" si="30"/>
        <v>0.73685467808888649</v>
      </c>
      <c r="F988" s="3">
        <f t="shared" ca="1" si="30"/>
        <v>1.9534820789882223E-2</v>
      </c>
      <c r="G988" s="3">
        <f t="shared" ca="1" si="31"/>
        <v>5.9204655609065169</v>
      </c>
      <c r="H988" s="2"/>
      <c r="I988" s="2"/>
      <c r="J988" s="2"/>
      <c r="K988" s="2"/>
    </row>
    <row r="989" spans="5:11" x14ac:dyDescent="0.25">
      <c r="E989" s="3">
        <f t="shared" ca="1" si="30"/>
        <v>0.66615452099042483</v>
      </c>
      <c r="F989" s="3">
        <f t="shared" ca="1" si="30"/>
        <v>0.63567605419376472</v>
      </c>
      <c r="G989" s="3">
        <f t="shared" ca="1" si="31"/>
        <v>6.2053153696211663</v>
      </c>
      <c r="H989" s="2"/>
      <c r="I989" s="2"/>
      <c r="J989" s="2"/>
      <c r="K989" s="2"/>
    </row>
    <row r="990" spans="5:11" x14ac:dyDescent="0.25">
      <c r="E990" s="3">
        <f t="shared" ca="1" si="30"/>
        <v>0.76694438121905772</v>
      </c>
      <c r="F990" s="3">
        <f t="shared" ca="1" si="30"/>
        <v>0.44777618142508546</v>
      </c>
      <c r="G990" s="3">
        <f t="shared" ca="1" si="31"/>
        <v>4.0637203996927118</v>
      </c>
      <c r="H990" s="2"/>
      <c r="I990" s="2"/>
      <c r="J990" s="2"/>
      <c r="K990" s="2"/>
    </row>
    <row r="991" spans="5:11" x14ac:dyDescent="0.25">
      <c r="E991" s="3">
        <f t="shared" ca="1" si="30"/>
        <v>0.13262391029439935</v>
      </c>
      <c r="F991" s="3">
        <f t="shared" ca="1" si="30"/>
        <v>0.91299871405896171</v>
      </c>
      <c r="G991" s="3">
        <f t="shared" ca="1" si="31"/>
        <v>13.709800436966511</v>
      </c>
      <c r="H991" s="2"/>
      <c r="I991" s="2"/>
      <c r="J991" s="2"/>
      <c r="K991" s="2"/>
    </row>
    <row r="992" spans="5:11" x14ac:dyDescent="0.25">
      <c r="E992" s="3">
        <f t="shared" ca="1" si="30"/>
        <v>0.63365831328438094</v>
      </c>
      <c r="F992" s="3">
        <f t="shared" ca="1" si="30"/>
        <v>0.43668973949729306</v>
      </c>
      <c r="G992" s="3">
        <f t="shared" ca="1" si="31"/>
        <v>3.7115555653116759</v>
      </c>
      <c r="H992" s="2"/>
      <c r="I992" s="2"/>
      <c r="J992" s="2"/>
      <c r="K992" s="2"/>
    </row>
    <row r="993" spans="5:11" x14ac:dyDescent="0.25">
      <c r="E993" s="3">
        <f t="shared" ca="1" si="30"/>
        <v>0.35704923728986981</v>
      </c>
      <c r="F993" s="3">
        <f t="shared" ca="1" si="30"/>
        <v>9.5761041082127574E-2</v>
      </c>
      <c r="G993" s="3">
        <f t="shared" ca="1" si="31"/>
        <v>4.5637657959518929</v>
      </c>
      <c r="H993" s="2"/>
      <c r="I993" s="2"/>
      <c r="J993" s="2"/>
      <c r="K993" s="2"/>
    </row>
    <row r="994" spans="5:11" x14ac:dyDescent="0.25">
      <c r="E994" s="3">
        <f t="shared" ca="1" si="30"/>
        <v>0.47910500072616546</v>
      </c>
      <c r="F994" s="3">
        <f t="shared" ca="1" si="30"/>
        <v>0.54890651558737025</v>
      </c>
      <c r="G994" s="3">
        <f t="shared" ca="1" si="31"/>
        <v>5.6669014370428146</v>
      </c>
      <c r="H994" s="2"/>
      <c r="I994" s="2"/>
      <c r="J994" s="2"/>
      <c r="K994" s="2"/>
    </row>
    <row r="995" spans="5:11" x14ac:dyDescent="0.25">
      <c r="E995" s="3">
        <f t="shared" ca="1" si="30"/>
        <v>0.17805617331885126</v>
      </c>
      <c r="F995" s="3">
        <f t="shared" ca="1" si="30"/>
        <v>0.49942424817724085</v>
      </c>
      <c r="G995" s="3">
        <f t="shared" ca="1" si="31"/>
        <v>8.1791524602563577</v>
      </c>
      <c r="H995" s="2"/>
      <c r="I995" s="2"/>
      <c r="J995" s="2"/>
      <c r="K995" s="2"/>
    </row>
    <row r="996" spans="5:11" x14ac:dyDescent="0.25">
      <c r="E996" s="3">
        <f t="shared" ca="1" si="30"/>
        <v>0.24066990185739734</v>
      </c>
      <c r="F996" s="3">
        <f t="shared" ca="1" si="30"/>
        <v>0.97678171083369603</v>
      </c>
      <c r="G996" s="3">
        <f t="shared" ca="1" si="31"/>
        <v>15.534759395788237</v>
      </c>
      <c r="H996" s="2"/>
      <c r="I996" s="2"/>
      <c r="J996" s="2"/>
      <c r="K996" s="2"/>
    </row>
    <row r="997" spans="5:11" x14ac:dyDescent="0.25">
      <c r="E997" s="3">
        <f t="shared" ca="1" si="30"/>
        <v>0.53663848500379685</v>
      </c>
      <c r="F997" s="3">
        <f t="shared" ca="1" si="30"/>
        <v>0.31491596492211049</v>
      </c>
      <c r="G997" s="3">
        <f t="shared" ca="1" si="31"/>
        <v>2.7229681036243201</v>
      </c>
      <c r="H997" s="2"/>
      <c r="I997" s="2"/>
      <c r="J997" s="2"/>
      <c r="K997" s="2"/>
    </row>
    <row r="998" spans="5:11" x14ac:dyDescent="0.25">
      <c r="E998" s="3">
        <f t="shared" ca="1" si="30"/>
        <v>0.46467054598525814</v>
      </c>
      <c r="F998" s="3">
        <f t="shared" ca="1" si="30"/>
        <v>8.4884247572002414E-2</v>
      </c>
      <c r="G998" s="3">
        <f t="shared" ca="1" si="31"/>
        <v>3.5968469224213084</v>
      </c>
      <c r="H998" s="2"/>
      <c r="I998" s="2"/>
      <c r="J998" s="2"/>
      <c r="K998" s="2"/>
    </row>
    <row r="999" spans="5:11" x14ac:dyDescent="0.25">
      <c r="E999" s="3">
        <f t="shared" ca="1" si="30"/>
        <v>0.7710367569088078</v>
      </c>
      <c r="F999" s="3">
        <f t="shared" ca="1" si="30"/>
        <v>0.94559907989287229</v>
      </c>
      <c r="G999" s="3">
        <f t="shared" ca="1" si="31"/>
        <v>12.574326284223476</v>
      </c>
      <c r="H999" s="2"/>
      <c r="I999" s="2"/>
      <c r="J999" s="2"/>
      <c r="K999" s="2"/>
    </row>
    <row r="1000" spans="5:11" x14ac:dyDescent="0.25">
      <c r="E1000" s="3">
        <f t="shared" ca="1" si="30"/>
        <v>0.58158974796809437</v>
      </c>
      <c r="F1000" s="3">
        <f t="shared" ca="1" si="30"/>
        <v>0.48888339088226107</v>
      </c>
      <c r="G1000" s="3">
        <f t="shared" ca="1" si="31"/>
        <v>4.4966527295856453</v>
      </c>
      <c r="H1000" s="2"/>
      <c r="I1000" s="2"/>
      <c r="J1000" s="2"/>
      <c r="K1000" s="2"/>
    </row>
    <row r="1001" spans="5:11" x14ac:dyDescent="0.25">
      <c r="E1001" s="3">
        <f t="shared" ca="1" si="30"/>
        <v>0.66296026781390627</v>
      </c>
      <c r="F1001" s="3">
        <f t="shared" ca="1" si="30"/>
        <v>0.90756268339877588</v>
      </c>
      <c r="G1001" s="3">
        <f t="shared" ca="1" si="31"/>
        <v>11.100308741542886</v>
      </c>
      <c r="H1001" s="2"/>
      <c r="I1001" s="2"/>
      <c r="J1001" s="2"/>
      <c r="K1001" s="2"/>
    </row>
    <row r="1002" spans="5:11" x14ac:dyDescent="0.25">
      <c r="E1002" s="3">
        <f t="shared" ca="1" si="30"/>
        <v>0.87603192772541227</v>
      </c>
      <c r="F1002" s="3">
        <f t="shared" ca="1" si="30"/>
        <v>0.49435457680100037</v>
      </c>
      <c r="G1002" s="3">
        <f t="shared" ca="1" si="31"/>
        <v>5.6444783670764673</v>
      </c>
      <c r="H1002" s="2"/>
      <c r="I1002" s="2"/>
      <c r="J1002" s="2"/>
      <c r="K1002" s="2"/>
    </row>
    <row r="1003" spans="5:11" x14ac:dyDescent="0.25">
      <c r="E1003" s="3">
        <f t="shared" ca="1" si="30"/>
        <v>0.11576066610425229</v>
      </c>
      <c r="F1003" s="3">
        <f t="shared" ca="1" si="30"/>
        <v>0.63137592989279501</v>
      </c>
      <c r="G1003" s="3">
        <f t="shared" ca="1" si="31"/>
        <v>10.266592090026627</v>
      </c>
      <c r="H1003" s="2"/>
      <c r="I1003" s="2"/>
      <c r="J1003" s="2"/>
      <c r="K1003" s="2"/>
    </row>
    <row r="1004" spans="5:11" x14ac:dyDescent="0.25">
      <c r="E1004" s="3">
        <f t="shared" ca="1" si="30"/>
        <v>0.79101737070194877</v>
      </c>
      <c r="F1004" s="3">
        <f t="shared" ca="1" si="30"/>
        <v>0.35806869438676991</v>
      </c>
      <c r="G1004" s="3">
        <f t="shared" ca="1" si="31"/>
        <v>3.2103437261246026</v>
      </c>
      <c r="H1004" s="2"/>
      <c r="I1004" s="2"/>
      <c r="J1004" s="2"/>
      <c r="K1004" s="2"/>
    </row>
    <row r="1005" spans="5:11" x14ac:dyDescent="0.25">
      <c r="E1005" s="3">
        <f t="shared" ca="1" si="30"/>
        <v>0.3495015105158521</v>
      </c>
      <c r="F1005" s="3">
        <f t="shared" ca="1" si="30"/>
        <v>0.32184622548170483</v>
      </c>
      <c r="G1005" s="3">
        <f t="shared" ca="1" si="31"/>
        <v>4.6982553213979532</v>
      </c>
      <c r="H1005" s="2"/>
      <c r="I1005" s="2"/>
      <c r="J1005" s="2"/>
      <c r="K1005" s="2"/>
    </row>
    <row r="1006" spans="5:11" x14ac:dyDescent="0.25">
      <c r="E1006" s="3">
        <f t="shared" ca="1" si="30"/>
        <v>0.56576860083030556</v>
      </c>
      <c r="F1006" s="3">
        <f t="shared" ca="1" si="30"/>
        <v>0.79459179857442575</v>
      </c>
      <c r="G1006" s="3">
        <f t="shared" ca="1" si="31"/>
        <v>8.6977019913827132</v>
      </c>
      <c r="H1006" s="2"/>
      <c r="I1006" s="2"/>
      <c r="J1006" s="2"/>
      <c r="K1006" s="2"/>
    </row>
    <row r="1007" spans="5:11" x14ac:dyDescent="0.25">
      <c r="E1007" s="3">
        <f t="shared" ca="1" si="30"/>
        <v>0.60712729003871235</v>
      </c>
      <c r="F1007" s="3">
        <f t="shared" ca="1" si="30"/>
        <v>0.38378598199442338</v>
      </c>
      <c r="G1007" s="3">
        <f t="shared" ca="1" si="31"/>
        <v>3.1192709433573209</v>
      </c>
      <c r="H1007" s="2"/>
      <c r="I1007" s="2"/>
      <c r="J1007" s="2"/>
      <c r="K1007" s="2"/>
    </row>
    <row r="1008" spans="5:11" x14ac:dyDescent="0.25">
      <c r="E1008" s="3">
        <f t="shared" ca="1" si="30"/>
        <v>0.93871981645929337</v>
      </c>
      <c r="F1008" s="3">
        <f t="shared" ca="1" si="30"/>
        <v>0.72307081225517911</v>
      </c>
      <c r="G1008" s="3">
        <f t="shared" ca="1" si="31"/>
        <v>9.2323605067769616</v>
      </c>
      <c r="H1008" s="2"/>
      <c r="I1008" s="2"/>
      <c r="J1008" s="2"/>
      <c r="K1008" s="2"/>
    </row>
    <row r="1009" spans="5:11" x14ac:dyDescent="0.25">
      <c r="E1009" s="3">
        <f t="shared" ca="1" si="30"/>
        <v>0.81273949171141913</v>
      </c>
      <c r="F1009" s="3">
        <f t="shared" ca="1" si="30"/>
        <v>0.18947515029534268</v>
      </c>
      <c r="G1009" s="3">
        <f t="shared" ca="1" si="31"/>
        <v>2.2009551408108385</v>
      </c>
      <c r="H1009" s="2"/>
      <c r="I1009" s="2"/>
      <c r="J1009" s="2"/>
      <c r="K1009" s="2"/>
    </row>
    <row r="1010" spans="5:11" x14ac:dyDescent="0.25">
      <c r="E1010" s="3">
        <f t="shared" ca="1" si="30"/>
        <v>0.50432179761856255</v>
      </c>
      <c r="F1010" s="3">
        <f t="shared" ca="1" si="30"/>
        <v>0.24943894553573465</v>
      </c>
      <c r="G1010" s="3">
        <f t="shared" ca="1" si="31"/>
        <v>2.4422831828284073</v>
      </c>
      <c r="H1010" s="2"/>
      <c r="I1010" s="2"/>
      <c r="J1010" s="2"/>
      <c r="K1010" s="2"/>
    </row>
    <row r="1011" spans="5:11" x14ac:dyDescent="0.25">
      <c r="E1011" s="3">
        <f t="shared" ca="1" si="30"/>
        <v>0.43914484996236769</v>
      </c>
      <c r="F1011" s="3">
        <f t="shared" ca="1" si="30"/>
        <v>7.4646127261220552E-2</v>
      </c>
      <c r="G1011" s="3">
        <f t="shared" ca="1" si="31"/>
        <v>4.0675606888632814</v>
      </c>
      <c r="H1011" s="2"/>
      <c r="I1011" s="2"/>
      <c r="J1011" s="2"/>
      <c r="K1011" s="2"/>
    </row>
    <row r="1012" spans="5:11" x14ac:dyDescent="0.25">
      <c r="E1012" s="3">
        <f t="shared" ca="1" si="30"/>
        <v>0.4719918917724738</v>
      </c>
      <c r="F1012" s="3">
        <f t="shared" ca="1" si="30"/>
        <v>0.40208190302226954</v>
      </c>
      <c r="G1012" s="3">
        <f t="shared" ca="1" si="31"/>
        <v>4.1413595108679635</v>
      </c>
      <c r="H1012" s="2"/>
      <c r="I1012" s="2"/>
      <c r="J1012" s="2"/>
      <c r="K1012" s="2"/>
    </row>
    <row r="1013" spans="5:11" x14ac:dyDescent="0.25">
      <c r="E1013" s="3">
        <f t="shared" ca="1" si="30"/>
        <v>0.49118525707698435</v>
      </c>
      <c r="F1013" s="3">
        <f t="shared" ca="1" si="30"/>
        <v>0.2127867963750748</v>
      </c>
      <c r="G1013" s="3">
        <f t="shared" ca="1" si="31"/>
        <v>2.4005719002368981</v>
      </c>
      <c r="H1013" s="2"/>
      <c r="I1013" s="2"/>
      <c r="J1013" s="2"/>
      <c r="K1013" s="2"/>
    </row>
    <row r="1014" spans="5:11" x14ac:dyDescent="0.25">
      <c r="E1014" s="3">
        <f t="shared" ca="1" si="30"/>
        <v>0.79358361314095305</v>
      </c>
      <c r="F1014" s="3">
        <f t="shared" ca="1" si="30"/>
        <v>0.88338992897680835</v>
      </c>
      <c r="G1014" s="3">
        <f t="shared" ca="1" si="31"/>
        <v>10.594037906078015</v>
      </c>
      <c r="H1014" s="2"/>
      <c r="I1014" s="2"/>
      <c r="J1014" s="2"/>
      <c r="K1014" s="2"/>
    </row>
    <row r="1015" spans="5:11" x14ac:dyDescent="0.25">
      <c r="E1015" s="3">
        <f t="shared" ca="1" si="30"/>
        <v>0.83710868800727434</v>
      </c>
      <c r="F1015" s="3">
        <f t="shared" ca="1" si="30"/>
        <v>0.93185074833352877</v>
      </c>
      <c r="G1015" s="3">
        <f t="shared" ca="1" si="31"/>
        <v>12.214601240404956</v>
      </c>
      <c r="H1015" s="2"/>
      <c r="I1015" s="2"/>
      <c r="J1015" s="2"/>
      <c r="K1015" s="2"/>
    </row>
    <row r="1016" spans="5:11" x14ac:dyDescent="0.25">
      <c r="E1016" s="3">
        <f t="shared" ca="1" si="30"/>
        <v>0.78000587066312443</v>
      </c>
      <c r="F1016" s="3">
        <f t="shared" ca="1" si="30"/>
        <v>0.8746998308117504</v>
      </c>
      <c r="G1016" s="3">
        <f t="shared" ca="1" si="31"/>
        <v>10.342221988988747</v>
      </c>
      <c r="H1016" s="2"/>
      <c r="I1016" s="2"/>
      <c r="J1016" s="2"/>
      <c r="K1016" s="2"/>
    </row>
    <row r="1017" spans="5:11" x14ac:dyDescent="0.25">
      <c r="E1017" s="3">
        <f t="shared" ca="1" si="30"/>
        <v>0.75752415848693644</v>
      </c>
      <c r="F1017" s="3">
        <f t="shared" ca="1" si="30"/>
        <v>0.56333319126822912</v>
      </c>
      <c r="G1017" s="3">
        <f t="shared" ca="1" si="31"/>
        <v>5.4137370107551677</v>
      </c>
      <c r="H1017" s="2"/>
      <c r="I1017" s="2"/>
      <c r="J1017" s="2"/>
      <c r="K1017" s="2"/>
    </row>
    <row r="1018" spans="5:11" x14ac:dyDescent="0.25">
      <c r="E1018" s="3">
        <f t="shared" ca="1" si="30"/>
        <v>0.19157159718230465</v>
      </c>
      <c r="F1018" s="3">
        <f t="shared" ca="1" si="30"/>
        <v>0.34301172594461937</v>
      </c>
      <c r="G1018" s="3">
        <f t="shared" ca="1" si="31"/>
        <v>7.0405155885686961</v>
      </c>
      <c r="H1018" s="2"/>
      <c r="I1018" s="2"/>
      <c r="J1018" s="2"/>
      <c r="K1018" s="2"/>
    </row>
    <row r="1019" spans="5:11" x14ac:dyDescent="0.25">
      <c r="E1019" s="3">
        <f t="shared" ca="1" si="30"/>
        <v>0.65019605973978578</v>
      </c>
      <c r="F1019" s="3">
        <f t="shared" ca="1" si="30"/>
        <v>0.11516373387984524</v>
      </c>
      <c r="G1019" s="3">
        <f t="shared" ca="1" si="31"/>
        <v>1.5589556192105603</v>
      </c>
      <c r="H1019" s="2"/>
      <c r="I1019" s="2"/>
      <c r="J1019" s="2"/>
      <c r="K1019" s="2"/>
    </row>
    <row r="1020" spans="5:11" x14ac:dyDescent="0.25">
      <c r="E1020" s="3">
        <f t="shared" ca="1" si="30"/>
        <v>0.27893662571527345</v>
      </c>
      <c r="F1020" s="3">
        <f t="shared" ca="1" si="30"/>
        <v>0.73783508165347178</v>
      </c>
      <c r="G1020" s="3">
        <f t="shared" ca="1" si="31"/>
        <v>9.2362093800549747</v>
      </c>
      <c r="H1020" s="2"/>
      <c r="I1020" s="2"/>
      <c r="J1020" s="2"/>
      <c r="K1020" s="2"/>
    </row>
    <row r="1021" spans="5:11" x14ac:dyDescent="0.25">
      <c r="E1021" s="3">
        <f t="shared" ca="1" si="30"/>
        <v>0.67459244013255903</v>
      </c>
      <c r="F1021" s="3">
        <f t="shared" ca="1" si="30"/>
        <v>0.33388848840173269</v>
      </c>
      <c r="G1021" s="3">
        <f t="shared" ca="1" si="31"/>
        <v>2.3240901332900172</v>
      </c>
      <c r="H1021" s="2"/>
      <c r="I1021" s="2"/>
      <c r="J1021" s="2"/>
      <c r="K1021" s="2"/>
    </row>
    <row r="1022" spans="5:11" x14ac:dyDescent="0.25">
      <c r="E1022" s="3">
        <f t="shared" ca="1" si="30"/>
        <v>0.50584081599715136</v>
      </c>
      <c r="F1022" s="3">
        <f t="shared" ca="1" si="30"/>
        <v>0.51951757233115592</v>
      </c>
      <c r="G1022" s="3">
        <f t="shared" ca="1" si="31"/>
        <v>5.1889268713086212</v>
      </c>
      <c r="H1022" s="2"/>
      <c r="I1022" s="2"/>
      <c r="J1022" s="2"/>
      <c r="K1022" s="2"/>
    </row>
    <row r="1023" spans="5:11" x14ac:dyDescent="0.25">
      <c r="E1023" s="3">
        <f t="shared" ca="1" si="30"/>
        <v>0.99853954927400812</v>
      </c>
      <c r="F1023" s="3">
        <f t="shared" ca="1" si="30"/>
        <v>0.66843768437197859</v>
      </c>
      <c r="G1023" s="3">
        <f t="shared" ca="1" si="31"/>
        <v>14.281066292677677</v>
      </c>
      <c r="H1023" s="2"/>
      <c r="I1023" s="2"/>
      <c r="J1023" s="2"/>
      <c r="K1023" s="2"/>
    </row>
    <row r="1024" spans="5:11" x14ac:dyDescent="0.25">
      <c r="E1024" s="3">
        <f t="shared" ca="1" si="30"/>
        <v>0.41272096903846367</v>
      </c>
      <c r="F1024" s="3">
        <f t="shared" ca="1" si="30"/>
        <v>0.62744700046073187</v>
      </c>
      <c r="G1024" s="3">
        <f t="shared" ca="1" si="31"/>
        <v>6.952074856614181</v>
      </c>
      <c r="H1024" s="2"/>
      <c r="I1024" s="2"/>
      <c r="J1024" s="2"/>
      <c r="K1024" s="2"/>
    </row>
    <row r="1025" spans="5:11" x14ac:dyDescent="0.25">
      <c r="E1025" s="3">
        <f t="shared" ca="1" si="30"/>
        <v>0.51849202575838493</v>
      </c>
      <c r="F1025" s="3">
        <f t="shared" ca="1" si="30"/>
        <v>0.40327863526603369</v>
      </c>
      <c r="G1025" s="3">
        <f t="shared" ca="1" si="31"/>
        <v>3.8168446632431086</v>
      </c>
      <c r="H1025" s="2"/>
      <c r="I1025" s="2"/>
      <c r="J1025" s="2"/>
      <c r="K1025" s="2"/>
    </row>
    <row r="1026" spans="5:11" x14ac:dyDescent="0.25">
      <c r="E1026" s="3">
        <f t="shared" ca="1" si="30"/>
        <v>0.3244234661669182</v>
      </c>
      <c r="F1026" s="3">
        <f t="shared" ca="1" si="30"/>
        <v>0.54483238384420163</v>
      </c>
      <c r="G1026" s="3">
        <f t="shared" ca="1" si="31"/>
        <v>6.7628934997737753</v>
      </c>
      <c r="H1026" s="2"/>
      <c r="I1026" s="2"/>
      <c r="J1026" s="2"/>
      <c r="K1026" s="2"/>
    </row>
    <row r="1027" spans="5:11" x14ac:dyDescent="0.25">
      <c r="E1027" s="3">
        <f t="shared" ca="1" si="30"/>
        <v>0.63611224284708012</v>
      </c>
      <c r="F1027" s="3">
        <f t="shared" ca="1" si="30"/>
        <v>0.10419212770965136</v>
      </c>
      <c r="G1027" s="3">
        <f t="shared" ca="1" si="31"/>
        <v>1.8875316541467246</v>
      </c>
      <c r="H1027" s="2"/>
      <c r="I1027" s="2"/>
      <c r="J1027" s="2"/>
      <c r="K1027" s="2"/>
    </row>
    <row r="1028" spans="5:11" x14ac:dyDescent="0.25">
      <c r="E1028" s="3">
        <f t="shared" ref="E1028:F1091" ca="1" si="32">RAND()</f>
        <v>0.69407957073633519</v>
      </c>
      <c r="F1028" s="3">
        <f t="shared" ca="1" si="32"/>
        <v>0.3852577953420695</v>
      </c>
      <c r="G1028" s="3">
        <f t="shared" ref="G1028:G1091" ca="1" si="33">SQRT(_xlfn.NORM.INV(E1028,$C$3*COS($C$6),$C$4)^2+_xlfn.NORM.INV(F1028,$C$3*SIN($C$6),$C$4)^2)</f>
        <v>3.026077786145851</v>
      </c>
      <c r="H1028" s="2"/>
      <c r="I1028" s="2"/>
      <c r="J1028" s="2"/>
      <c r="K1028" s="2"/>
    </row>
    <row r="1029" spans="5:11" x14ac:dyDescent="0.25">
      <c r="E1029" s="3">
        <f t="shared" ca="1" si="32"/>
        <v>0.96801174549856217</v>
      </c>
      <c r="F1029" s="3">
        <f t="shared" ca="1" si="32"/>
        <v>0.65422856623053061</v>
      </c>
      <c r="G1029" s="3">
        <f t="shared" ca="1" si="33"/>
        <v>9.5368132633473124</v>
      </c>
      <c r="H1029" s="2"/>
      <c r="I1029" s="2"/>
      <c r="J1029" s="2"/>
      <c r="K1029" s="2"/>
    </row>
    <row r="1030" spans="5:11" x14ac:dyDescent="0.25">
      <c r="E1030" s="3">
        <f t="shared" ca="1" si="32"/>
        <v>0.40297520060449654</v>
      </c>
      <c r="F1030" s="3">
        <f t="shared" ca="1" si="32"/>
        <v>0.38963085374439721</v>
      </c>
      <c r="G1030" s="3">
        <f t="shared" ca="1" si="33"/>
        <v>4.6311553678245199</v>
      </c>
      <c r="H1030" s="2"/>
      <c r="I1030" s="2"/>
      <c r="J1030" s="2"/>
      <c r="K1030" s="2"/>
    </row>
    <row r="1031" spans="5:11" x14ac:dyDescent="0.25">
      <c r="E1031" s="3">
        <f t="shared" ca="1" si="32"/>
        <v>0.49999375075401731</v>
      </c>
      <c r="F1031" s="3">
        <f t="shared" ca="1" si="32"/>
        <v>8.9016870142777371E-2</v>
      </c>
      <c r="G1031" s="3">
        <f t="shared" ca="1" si="33"/>
        <v>3.1853004112896692</v>
      </c>
      <c r="H1031" s="2"/>
      <c r="I1031" s="2"/>
      <c r="J1031" s="2"/>
      <c r="K1031" s="2"/>
    </row>
    <row r="1032" spans="5:11" x14ac:dyDescent="0.25">
      <c r="E1032" s="3">
        <f t="shared" ca="1" si="32"/>
        <v>0.95394366023884691</v>
      </c>
      <c r="F1032" s="3">
        <f t="shared" ca="1" si="32"/>
        <v>8.7480747038216289E-2</v>
      </c>
      <c r="G1032" s="3">
        <f t="shared" ca="1" si="33"/>
        <v>6.599704574176112</v>
      </c>
      <c r="H1032" s="2"/>
      <c r="I1032" s="2"/>
      <c r="J1032" s="2"/>
      <c r="K1032" s="2"/>
    </row>
    <row r="1033" spans="5:11" x14ac:dyDescent="0.25">
      <c r="E1033" s="3">
        <f t="shared" ca="1" si="32"/>
        <v>0.49221739919619034</v>
      </c>
      <c r="F1033" s="3">
        <f t="shared" ca="1" si="32"/>
        <v>0.64428503515186164</v>
      </c>
      <c r="G1033" s="3">
        <f t="shared" ca="1" si="33"/>
        <v>6.7382498176673522</v>
      </c>
      <c r="H1033" s="2"/>
      <c r="I1033" s="2"/>
      <c r="J1033" s="2"/>
      <c r="K1033" s="2"/>
    </row>
    <row r="1034" spans="5:11" x14ac:dyDescent="0.25">
      <c r="E1034" s="3">
        <f t="shared" ca="1" si="32"/>
        <v>0.724916780158952</v>
      </c>
      <c r="F1034" s="3">
        <f t="shared" ca="1" si="32"/>
        <v>1.6348844809346619E-2</v>
      </c>
      <c r="G1034" s="3">
        <f t="shared" ca="1" si="33"/>
        <v>6.2536928423263651</v>
      </c>
      <c r="H1034" s="2"/>
      <c r="I1034" s="2"/>
      <c r="J1034" s="2"/>
      <c r="K1034" s="2"/>
    </row>
    <row r="1035" spans="5:11" x14ac:dyDescent="0.25">
      <c r="E1035" s="3">
        <f t="shared" ca="1" si="32"/>
        <v>0.99196297094229535</v>
      </c>
      <c r="F1035" s="3">
        <f t="shared" ca="1" si="32"/>
        <v>0.19432633674902178</v>
      </c>
      <c r="G1035" s="3">
        <f t="shared" ca="1" si="33"/>
        <v>9.7970813686614857</v>
      </c>
      <c r="H1035" s="2"/>
      <c r="I1035" s="2"/>
      <c r="J1035" s="2"/>
      <c r="K1035" s="2"/>
    </row>
    <row r="1036" spans="5:11" x14ac:dyDescent="0.25">
      <c r="E1036" s="3">
        <f t="shared" ca="1" si="32"/>
        <v>0.51670691505709565</v>
      </c>
      <c r="F1036" s="3">
        <f t="shared" ca="1" si="32"/>
        <v>2.2923140921371488E-3</v>
      </c>
      <c r="G1036" s="3">
        <f t="shared" ca="1" si="33"/>
        <v>9.9145367987899622</v>
      </c>
      <c r="H1036" s="2"/>
      <c r="I1036" s="2"/>
      <c r="J1036" s="2"/>
      <c r="K1036" s="2"/>
    </row>
    <row r="1037" spans="5:11" x14ac:dyDescent="0.25">
      <c r="E1037" s="3">
        <f t="shared" ca="1" si="32"/>
        <v>0.15970166314187506</v>
      </c>
      <c r="F1037" s="3">
        <f t="shared" ca="1" si="32"/>
        <v>0.45424550905737604</v>
      </c>
      <c r="G1037" s="3">
        <f t="shared" ca="1" si="33"/>
        <v>8.2026890894901214</v>
      </c>
      <c r="H1037" s="2"/>
      <c r="I1037" s="2"/>
      <c r="J1037" s="2"/>
      <c r="K1037" s="2"/>
    </row>
    <row r="1038" spans="5:11" x14ac:dyDescent="0.25">
      <c r="E1038" s="3">
        <f t="shared" ca="1" si="32"/>
        <v>0.41393267812570478</v>
      </c>
      <c r="F1038" s="3">
        <f t="shared" ca="1" si="32"/>
        <v>0.71954602234926168</v>
      </c>
      <c r="G1038" s="3">
        <f t="shared" ca="1" si="33"/>
        <v>8.0931754021673985</v>
      </c>
      <c r="H1038" s="2"/>
      <c r="I1038" s="2"/>
      <c r="J1038" s="2"/>
      <c r="K1038" s="2"/>
    </row>
    <row r="1039" spans="5:11" x14ac:dyDescent="0.25">
      <c r="E1039" s="3">
        <f t="shared" ca="1" si="32"/>
        <v>0.62450289558189798</v>
      </c>
      <c r="F1039" s="3">
        <f t="shared" ca="1" si="32"/>
        <v>0.28088222066534718</v>
      </c>
      <c r="G1039" s="3">
        <f t="shared" ca="1" si="33"/>
        <v>1.6996200293200068</v>
      </c>
      <c r="H1039" s="2"/>
      <c r="I1039" s="2"/>
      <c r="J1039" s="2"/>
      <c r="K1039" s="2"/>
    </row>
    <row r="1040" spans="5:11" x14ac:dyDescent="0.25">
      <c r="E1040" s="3">
        <f t="shared" ca="1" si="32"/>
        <v>0.40293343507459001</v>
      </c>
      <c r="F1040" s="3">
        <f t="shared" ca="1" si="32"/>
        <v>0.16715656222405439</v>
      </c>
      <c r="G1040" s="3">
        <f t="shared" ca="1" si="33"/>
        <v>3.4875297251610986</v>
      </c>
      <c r="H1040" s="2"/>
      <c r="I1040" s="2"/>
      <c r="J1040" s="2"/>
      <c r="K1040" s="2"/>
    </row>
    <row r="1041" spans="5:11" x14ac:dyDescent="0.25">
      <c r="E1041" s="3">
        <f t="shared" ca="1" si="32"/>
        <v>0.94899045451440356</v>
      </c>
      <c r="F1041" s="3">
        <f t="shared" ca="1" si="32"/>
        <v>0.50282188491875524</v>
      </c>
      <c r="G1041" s="3">
        <f t="shared" ca="1" si="33"/>
        <v>7.4516121131453446</v>
      </c>
      <c r="H1041" s="2"/>
      <c r="I1041" s="2"/>
      <c r="J1041" s="2"/>
      <c r="K1041" s="2"/>
    </row>
    <row r="1042" spans="5:11" x14ac:dyDescent="0.25">
      <c r="E1042" s="3">
        <f t="shared" ca="1" si="32"/>
        <v>0.5574779844318607</v>
      </c>
      <c r="F1042" s="3">
        <f t="shared" ca="1" si="32"/>
        <v>0.14977978476932363</v>
      </c>
      <c r="G1042" s="3">
        <f t="shared" ca="1" si="33"/>
        <v>1.6783017100537039</v>
      </c>
      <c r="H1042" s="2"/>
      <c r="I1042" s="2"/>
      <c r="J1042" s="2"/>
      <c r="K1042" s="2"/>
    </row>
    <row r="1043" spans="5:11" x14ac:dyDescent="0.25">
      <c r="E1043" s="3">
        <f t="shared" ca="1" si="32"/>
        <v>0.76562449591323978</v>
      </c>
      <c r="F1043" s="3">
        <f t="shared" ca="1" si="32"/>
        <v>0.298895978133493</v>
      </c>
      <c r="G1043" s="3">
        <f t="shared" ca="1" si="33"/>
        <v>2.2949994544295191</v>
      </c>
      <c r="H1043" s="2"/>
      <c r="I1043" s="2"/>
      <c r="J1043" s="2"/>
      <c r="K1043" s="2"/>
    </row>
    <row r="1044" spans="5:11" x14ac:dyDescent="0.25">
      <c r="E1044" s="3">
        <f t="shared" ca="1" si="32"/>
        <v>0.36838640981520177</v>
      </c>
      <c r="F1044" s="3">
        <f t="shared" ca="1" si="32"/>
        <v>0.419181101329271</v>
      </c>
      <c r="G1044" s="3">
        <f t="shared" ca="1" si="33"/>
        <v>5.2227533752501989</v>
      </c>
      <c r="H1044" s="2"/>
      <c r="I1044" s="2"/>
      <c r="J1044" s="2"/>
      <c r="K1044" s="2"/>
    </row>
    <row r="1045" spans="5:11" x14ac:dyDescent="0.25">
      <c r="E1045" s="3">
        <f t="shared" ca="1" si="32"/>
        <v>0.46732659670703913</v>
      </c>
      <c r="F1045" s="3">
        <f t="shared" ca="1" si="32"/>
        <v>0.11193120496280695</v>
      </c>
      <c r="G1045" s="3">
        <f t="shared" ca="1" si="33"/>
        <v>3.1018656044158983</v>
      </c>
      <c r="H1045" s="2"/>
      <c r="I1045" s="2"/>
      <c r="J1045" s="2"/>
      <c r="K1045" s="2"/>
    </row>
    <row r="1046" spans="5:11" x14ac:dyDescent="0.25">
      <c r="E1046" s="3">
        <f t="shared" ca="1" si="32"/>
        <v>0.94825308878537895</v>
      </c>
      <c r="F1046" s="3">
        <f t="shared" ca="1" si="32"/>
        <v>0.78383315608009985</v>
      </c>
      <c r="G1046" s="3">
        <f t="shared" ca="1" si="33"/>
        <v>10.261930296380347</v>
      </c>
      <c r="H1046" s="2"/>
      <c r="I1046" s="2"/>
      <c r="J1046" s="2"/>
      <c r="K1046" s="2"/>
    </row>
    <row r="1047" spans="5:11" x14ac:dyDescent="0.25">
      <c r="E1047" s="3">
        <f t="shared" ca="1" si="32"/>
        <v>0.66709837494290281</v>
      </c>
      <c r="F1047" s="3">
        <f t="shared" ca="1" si="32"/>
        <v>7.9375137633732273E-2</v>
      </c>
      <c r="G1047" s="3">
        <f t="shared" ca="1" si="33"/>
        <v>2.5777189266304474</v>
      </c>
      <c r="H1047" s="2"/>
      <c r="I1047" s="2"/>
      <c r="J1047" s="2"/>
      <c r="K1047" s="2"/>
    </row>
    <row r="1048" spans="5:11" x14ac:dyDescent="0.25">
      <c r="E1048" s="3">
        <f t="shared" ca="1" si="32"/>
        <v>0.17601494833606468</v>
      </c>
      <c r="F1048" s="3">
        <f t="shared" ca="1" si="32"/>
        <v>0.84182021180367317</v>
      </c>
      <c r="G1048" s="3">
        <f t="shared" ca="1" si="33"/>
        <v>11.721328800472893</v>
      </c>
      <c r="H1048" s="2"/>
      <c r="I1048" s="2"/>
      <c r="J1048" s="2"/>
      <c r="K1048" s="2"/>
    </row>
    <row r="1049" spans="5:11" x14ac:dyDescent="0.25">
      <c r="E1049" s="3">
        <f t="shared" ca="1" si="32"/>
        <v>0.57612848125823446</v>
      </c>
      <c r="F1049" s="3">
        <f t="shared" ca="1" si="32"/>
        <v>0.30601510889099881</v>
      </c>
      <c r="G1049" s="3">
        <f t="shared" ca="1" si="33"/>
        <v>2.3195001446075496</v>
      </c>
      <c r="H1049" s="2"/>
      <c r="I1049" s="2"/>
      <c r="J1049" s="2"/>
      <c r="K1049" s="2"/>
    </row>
    <row r="1050" spans="5:11" x14ac:dyDescent="0.25">
      <c r="E1050" s="3">
        <f t="shared" ca="1" si="32"/>
        <v>0.23323237033201905</v>
      </c>
      <c r="F1050" s="3">
        <f t="shared" ca="1" si="32"/>
        <v>0.97310914133504556</v>
      </c>
      <c r="G1050" s="3">
        <f t="shared" ca="1" si="33"/>
        <v>15.289473160286175</v>
      </c>
      <c r="H1050" s="2"/>
      <c r="I1050" s="2"/>
      <c r="J1050" s="2"/>
      <c r="K1050" s="2"/>
    </row>
    <row r="1051" spans="5:11" x14ac:dyDescent="0.25">
      <c r="E1051" s="3">
        <f t="shared" ca="1" si="32"/>
        <v>0.36450589530268818</v>
      </c>
      <c r="F1051" s="3">
        <f t="shared" ca="1" si="32"/>
        <v>0.56674451272807946</v>
      </c>
      <c r="G1051" s="3">
        <f t="shared" ca="1" si="33"/>
        <v>6.6319013291831626</v>
      </c>
      <c r="H1051" s="2"/>
      <c r="I1051" s="2"/>
      <c r="J1051" s="2"/>
      <c r="K1051" s="2"/>
    </row>
    <row r="1052" spans="5:11" x14ac:dyDescent="0.25">
      <c r="E1052" s="3">
        <f t="shared" ca="1" si="32"/>
        <v>0.12127326883295986</v>
      </c>
      <c r="F1052" s="3">
        <f t="shared" ca="1" si="32"/>
        <v>0.45613152486822028</v>
      </c>
      <c r="G1052" s="3">
        <f t="shared" ca="1" si="33"/>
        <v>8.9835151842721483</v>
      </c>
      <c r="H1052" s="2"/>
      <c r="I1052" s="2"/>
      <c r="J1052" s="2"/>
      <c r="K1052" s="2"/>
    </row>
    <row r="1053" spans="5:11" x14ac:dyDescent="0.25">
      <c r="E1053" s="3">
        <f t="shared" ca="1" si="32"/>
        <v>0.7346868650960211</v>
      </c>
      <c r="F1053" s="3">
        <f t="shared" ca="1" si="32"/>
        <v>0.17359464917391265</v>
      </c>
      <c r="G1053" s="3">
        <f t="shared" ca="1" si="33"/>
        <v>0.92404044477066705</v>
      </c>
      <c r="H1053" s="2"/>
      <c r="I1053" s="2"/>
      <c r="J1053" s="2"/>
      <c r="K1053" s="2"/>
    </row>
    <row r="1054" spans="5:11" x14ac:dyDescent="0.25">
      <c r="E1054" s="3">
        <f t="shared" ca="1" si="32"/>
        <v>0.42727354628221281</v>
      </c>
      <c r="F1054" s="3">
        <f t="shared" ca="1" si="32"/>
        <v>0.53612619895317881</v>
      </c>
      <c r="G1054" s="3">
        <f t="shared" ca="1" si="33"/>
        <v>5.8485980302046858</v>
      </c>
      <c r="H1054" s="2"/>
      <c r="I1054" s="2"/>
      <c r="J1054" s="2"/>
      <c r="K1054" s="2"/>
    </row>
    <row r="1055" spans="5:11" x14ac:dyDescent="0.25">
      <c r="E1055" s="3">
        <f t="shared" ca="1" si="32"/>
        <v>0.26039340278586098</v>
      </c>
      <c r="F1055" s="3">
        <f t="shared" ca="1" si="32"/>
        <v>0.78715270610516752</v>
      </c>
      <c r="G1055" s="3">
        <f t="shared" ca="1" si="33"/>
        <v>10.058084293327177</v>
      </c>
      <c r="H1055" s="2"/>
      <c r="I1055" s="2"/>
      <c r="J1055" s="2"/>
      <c r="K1055" s="2"/>
    </row>
    <row r="1056" spans="5:11" x14ac:dyDescent="0.25">
      <c r="E1056" s="3">
        <f t="shared" ca="1" si="32"/>
        <v>0.81233376653494804</v>
      </c>
      <c r="F1056" s="3">
        <f t="shared" ca="1" si="32"/>
        <v>0.54961166169057418</v>
      </c>
      <c r="G1056" s="3">
        <f t="shared" ca="1" si="33"/>
        <v>5.5451463712162372</v>
      </c>
      <c r="H1056" s="2"/>
      <c r="I1056" s="2"/>
      <c r="J1056" s="2"/>
      <c r="K1056" s="2"/>
    </row>
    <row r="1057" spans="5:11" x14ac:dyDescent="0.25">
      <c r="E1057" s="3">
        <f t="shared" ca="1" si="32"/>
        <v>0.48622141599537982</v>
      </c>
      <c r="F1057" s="3">
        <f t="shared" ca="1" si="32"/>
        <v>0.99353344979218783</v>
      </c>
      <c r="G1057" s="3">
        <f t="shared" ca="1" si="33"/>
        <v>17.069443228693437</v>
      </c>
      <c r="H1057" s="2"/>
      <c r="I1057" s="2"/>
      <c r="J1057" s="2"/>
      <c r="K1057" s="2"/>
    </row>
    <row r="1058" spans="5:11" x14ac:dyDescent="0.25">
      <c r="E1058" s="3">
        <f t="shared" ca="1" si="32"/>
        <v>0.16166382890835163</v>
      </c>
      <c r="F1058" s="3">
        <f t="shared" ca="1" si="32"/>
        <v>0.77879816399921364</v>
      </c>
      <c r="G1058" s="3">
        <f t="shared" ca="1" si="33"/>
        <v>10.981782184124484</v>
      </c>
      <c r="H1058" s="2"/>
      <c r="I1058" s="2"/>
      <c r="J1058" s="2"/>
      <c r="K1058" s="2"/>
    </row>
    <row r="1059" spans="5:11" x14ac:dyDescent="0.25">
      <c r="E1059" s="3">
        <f t="shared" ca="1" si="32"/>
        <v>0.1064431767665508</v>
      </c>
      <c r="F1059" s="3">
        <f t="shared" ca="1" si="32"/>
        <v>0.51577578095911203</v>
      </c>
      <c r="G1059" s="3">
        <f t="shared" ca="1" si="33"/>
        <v>9.6698987649473853</v>
      </c>
      <c r="H1059" s="2"/>
      <c r="I1059" s="2"/>
      <c r="J1059" s="2"/>
      <c r="K1059" s="2"/>
    </row>
    <row r="1060" spans="5:11" x14ac:dyDescent="0.25">
      <c r="E1060" s="3">
        <f t="shared" ca="1" si="32"/>
        <v>0.60328047576072141</v>
      </c>
      <c r="F1060" s="3">
        <f t="shared" ca="1" si="32"/>
        <v>0.85362975745853564</v>
      </c>
      <c r="G1060" s="3">
        <f t="shared" ca="1" si="33"/>
        <v>9.775075820514715</v>
      </c>
      <c r="H1060" s="2"/>
      <c r="I1060" s="2"/>
      <c r="J1060" s="2"/>
      <c r="K1060" s="2"/>
    </row>
    <row r="1061" spans="5:11" x14ac:dyDescent="0.25">
      <c r="E1061" s="3">
        <f t="shared" ca="1" si="32"/>
        <v>0.59166633391091261</v>
      </c>
      <c r="F1061" s="3">
        <f t="shared" ca="1" si="32"/>
        <v>9.7883884225708706E-2</v>
      </c>
      <c r="G1061" s="3">
        <f t="shared" ca="1" si="33"/>
        <v>2.2722540727227867</v>
      </c>
      <c r="H1061" s="2"/>
      <c r="I1061" s="2"/>
      <c r="J1061" s="2"/>
      <c r="K1061" s="2"/>
    </row>
    <row r="1062" spans="5:11" x14ac:dyDescent="0.25">
      <c r="E1062" s="3">
        <f t="shared" ca="1" si="32"/>
        <v>0.34799068576586267</v>
      </c>
      <c r="F1062" s="3">
        <f t="shared" ca="1" si="32"/>
        <v>0.89277035077538991</v>
      </c>
      <c r="G1062" s="3">
        <f t="shared" ca="1" si="33"/>
        <v>11.471192921663699</v>
      </c>
      <c r="H1062" s="2"/>
      <c r="I1062" s="2"/>
      <c r="J1062" s="2"/>
      <c r="K1062" s="2"/>
    </row>
    <row r="1063" spans="5:11" x14ac:dyDescent="0.25">
      <c r="E1063" s="3">
        <f t="shared" ca="1" si="32"/>
        <v>0.1674087583933056</v>
      </c>
      <c r="F1063" s="3">
        <f t="shared" ca="1" si="32"/>
        <v>0.25189762098294877</v>
      </c>
      <c r="G1063" s="3">
        <f t="shared" ca="1" si="33"/>
        <v>7.1520524480913261</v>
      </c>
      <c r="H1063" s="2"/>
      <c r="I1063" s="2"/>
      <c r="J1063" s="2"/>
      <c r="K1063" s="2"/>
    </row>
    <row r="1064" spans="5:11" x14ac:dyDescent="0.25">
      <c r="E1064" s="3">
        <f t="shared" ca="1" si="32"/>
        <v>0.42416733457197831</v>
      </c>
      <c r="F1064" s="3">
        <f t="shared" ca="1" si="32"/>
        <v>4.8322021476717714E-3</v>
      </c>
      <c r="G1064" s="3">
        <f t="shared" ca="1" si="33"/>
        <v>9.0513207065989292</v>
      </c>
      <c r="H1064" s="2"/>
      <c r="I1064" s="2"/>
      <c r="J1064" s="2"/>
      <c r="K1064" s="2"/>
    </row>
    <row r="1065" spans="5:11" x14ac:dyDescent="0.25">
      <c r="E1065" s="3">
        <f t="shared" ca="1" si="32"/>
        <v>0.45106494834733657</v>
      </c>
      <c r="F1065" s="3">
        <f t="shared" ca="1" si="32"/>
        <v>0.34974681417766906</v>
      </c>
      <c r="G1065" s="3">
        <f t="shared" ca="1" si="33"/>
        <v>3.8214808375096379</v>
      </c>
      <c r="H1065" s="2"/>
      <c r="I1065" s="2"/>
      <c r="J1065" s="2"/>
      <c r="K1065" s="2"/>
    </row>
    <row r="1066" spans="5:11" x14ac:dyDescent="0.25">
      <c r="E1066" s="3">
        <f t="shared" ca="1" si="32"/>
        <v>0.86876244266890235</v>
      </c>
      <c r="F1066" s="3">
        <f t="shared" ca="1" si="32"/>
        <v>0.50577176798132828</v>
      </c>
      <c r="G1066" s="3">
        <f t="shared" ca="1" si="33"/>
        <v>5.6514303040239211</v>
      </c>
      <c r="H1066" s="2"/>
      <c r="I1066" s="2"/>
      <c r="J1066" s="2"/>
      <c r="K1066" s="2"/>
    </row>
    <row r="1067" spans="5:11" x14ac:dyDescent="0.25">
      <c r="E1067" s="3">
        <f t="shared" ca="1" si="32"/>
        <v>0.93719964294307723</v>
      </c>
      <c r="F1067" s="3">
        <f t="shared" ca="1" si="32"/>
        <v>0.86446296951011603</v>
      </c>
      <c r="G1067" s="3">
        <f t="shared" ca="1" si="33"/>
        <v>11.349663909670998</v>
      </c>
      <c r="H1067" s="2"/>
      <c r="I1067" s="2"/>
      <c r="J1067" s="2"/>
      <c r="K1067" s="2"/>
    </row>
    <row r="1068" spans="5:11" x14ac:dyDescent="0.25">
      <c r="E1068" s="3">
        <f t="shared" ca="1" si="32"/>
        <v>0.60927966295454616</v>
      </c>
      <c r="F1068" s="3">
        <f t="shared" ca="1" si="32"/>
        <v>0.93406361729393017</v>
      </c>
      <c r="G1068" s="3">
        <f t="shared" ca="1" si="33"/>
        <v>12.034052546382043</v>
      </c>
      <c r="H1068" s="2"/>
      <c r="I1068" s="2"/>
      <c r="J1068" s="2"/>
      <c r="K1068" s="2"/>
    </row>
    <row r="1069" spans="5:11" x14ac:dyDescent="0.25">
      <c r="E1069" s="3">
        <f t="shared" ca="1" si="32"/>
        <v>0.66596029925367384</v>
      </c>
      <c r="F1069" s="3">
        <f t="shared" ca="1" si="32"/>
        <v>6.2480388905439277E-5</v>
      </c>
      <c r="G1069" s="3">
        <f t="shared" ca="1" si="33"/>
        <v>14.71125302565139</v>
      </c>
      <c r="H1069" s="2"/>
      <c r="I1069" s="2"/>
      <c r="J1069" s="2"/>
      <c r="K1069" s="2"/>
    </row>
    <row r="1070" spans="5:11" x14ac:dyDescent="0.25">
      <c r="E1070" s="3">
        <f t="shared" ca="1" si="32"/>
        <v>0.41602690371855744</v>
      </c>
      <c r="F1070" s="3">
        <f t="shared" ca="1" si="32"/>
        <v>0.86401864609502632</v>
      </c>
      <c r="G1070" s="3">
        <f t="shared" ca="1" si="33"/>
        <v>10.495290473903671</v>
      </c>
      <c r="H1070" s="2"/>
      <c r="I1070" s="2"/>
      <c r="J1070" s="2"/>
      <c r="K1070" s="2"/>
    </row>
    <row r="1071" spans="5:11" x14ac:dyDescent="0.25">
      <c r="E1071" s="3">
        <f t="shared" ca="1" si="32"/>
        <v>0.77505927459940216</v>
      </c>
      <c r="F1071" s="3">
        <f t="shared" ca="1" si="32"/>
        <v>0.78056067956740205</v>
      </c>
      <c r="G1071" s="3">
        <f t="shared" ca="1" si="33"/>
        <v>8.4809895583439072</v>
      </c>
      <c r="H1071" s="2"/>
      <c r="I1071" s="2"/>
      <c r="J1071" s="2"/>
      <c r="K1071" s="2"/>
    </row>
    <row r="1072" spans="5:11" x14ac:dyDescent="0.25">
      <c r="E1072" s="3">
        <f t="shared" ca="1" si="32"/>
        <v>0.52749835854439264</v>
      </c>
      <c r="F1072" s="3">
        <f t="shared" ca="1" si="32"/>
        <v>0.17642657760948655</v>
      </c>
      <c r="G1072" s="3">
        <f t="shared" ca="1" si="33"/>
        <v>1.9035487442525592</v>
      </c>
      <c r="H1072" s="2"/>
      <c r="I1072" s="2"/>
      <c r="J1072" s="2"/>
      <c r="K1072" s="2"/>
    </row>
    <row r="1073" spans="5:11" x14ac:dyDescent="0.25">
      <c r="E1073" s="3">
        <f t="shared" ca="1" si="32"/>
        <v>0.36620951324369766</v>
      </c>
      <c r="F1073" s="3">
        <f t="shared" ca="1" si="32"/>
        <v>0.82684534831526113</v>
      </c>
      <c r="G1073" s="3">
        <f t="shared" ca="1" si="33"/>
        <v>9.9926478333007243</v>
      </c>
      <c r="H1073" s="2"/>
      <c r="I1073" s="2"/>
      <c r="J1073" s="2"/>
      <c r="K1073" s="2"/>
    </row>
    <row r="1074" spans="5:11" x14ac:dyDescent="0.25">
      <c r="E1074" s="3">
        <f t="shared" ca="1" si="32"/>
        <v>0.45363415925411543</v>
      </c>
      <c r="F1074" s="3">
        <f t="shared" ca="1" si="32"/>
        <v>0.82845845660143391</v>
      </c>
      <c r="G1074" s="3">
        <f t="shared" ca="1" si="33"/>
        <v>9.6332931733738878</v>
      </c>
      <c r="H1074" s="2"/>
      <c r="I1074" s="2"/>
      <c r="J1074" s="2"/>
      <c r="K1074" s="2"/>
    </row>
    <row r="1075" spans="5:11" x14ac:dyDescent="0.25">
      <c r="E1075" s="3">
        <f t="shared" ca="1" si="32"/>
        <v>0.2457727692783217</v>
      </c>
      <c r="F1075" s="3">
        <f t="shared" ca="1" si="32"/>
        <v>0.81859223096204903</v>
      </c>
      <c r="G1075" s="3">
        <f t="shared" ca="1" si="33"/>
        <v>10.659245141268492</v>
      </c>
      <c r="H1075" s="2"/>
      <c r="I1075" s="2"/>
      <c r="J1075" s="2"/>
      <c r="K1075" s="2"/>
    </row>
    <row r="1076" spans="5:11" x14ac:dyDescent="0.25">
      <c r="E1076" s="3">
        <f t="shared" ca="1" si="32"/>
        <v>0.2507641321358155</v>
      </c>
      <c r="F1076" s="3">
        <f t="shared" ca="1" si="32"/>
        <v>0.29851962381929842</v>
      </c>
      <c r="G1076" s="3">
        <f t="shared" ca="1" si="33"/>
        <v>5.8911557841534377</v>
      </c>
      <c r="H1076" s="2"/>
      <c r="I1076" s="2"/>
      <c r="J1076" s="2"/>
      <c r="K1076" s="2"/>
    </row>
    <row r="1077" spans="5:11" x14ac:dyDescent="0.25">
      <c r="E1077" s="3">
        <f t="shared" ca="1" si="32"/>
        <v>0.11596133577300505</v>
      </c>
      <c r="F1077" s="3">
        <f t="shared" ca="1" si="32"/>
        <v>0.96714284315308352</v>
      </c>
      <c r="G1077" s="3">
        <f t="shared" ca="1" si="33"/>
        <v>15.951348493581234</v>
      </c>
      <c r="H1077" s="2"/>
      <c r="I1077" s="2"/>
      <c r="J1077" s="2"/>
      <c r="K1077" s="2"/>
    </row>
    <row r="1078" spans="5:11" x14ac:dyDescent="0.25">
      <c r="E1078" s="3">
        <f t="shared" ca="1" si="32"/>
        <v>0.52405724877007853</v>
      </c>
      <c r="F1078" s="3">
        <f t="shared" ca="1" si="32"/>
        <v>0.43335418344453769</v>
      </c>
      <c r="G1078" s="3">
        <f t="shared" ca="1" si="33"/>
        <v>4.1159447452313191</v>
      </c>
      <c r="H1078" s="2"/>
      <c r="I1078" s="2"/>
      <c r="J1078" s="2"/>
      <c r="K1078" s="2"/>
    </row>
    <row r="1079" spans="5:11" x14ac:dyDescent="0.25">
      <c r="E1079" s="3">
        <f t="shared" ca="1" si="32"/>
        <v>0.49559772210400266</v>
      </c>
      <c r="F1079" s="3">
        <f t="shared" ca="1" si="32"/>
        <v>8.1387183413805686E-2</v>
      </c>
      <c r="G1079" s="3">
        <f t="shared" ca="1" si="33"/>
        <v>3.4006933533383079</v>
      </c>
      <c r="H1079" s="2"/>
      <c r="I1079" s="2"/>
      <c r="J1079" s="2"/>
      <c r="K1079" s="2"/>
    </row>
    <row r="1080" spans="5:11" x14ac:dyDescent="0.25">
      <c r="E1080" s="3">
        <f t="shared" ca="1" si="32"/>
        <v>0.93769065504623639</v>
      </c>
      <c r="F1080" s="3">
        <f t="shared" ca="1" si="32"/>
        <v>0.71157841917828513</v>
      </c>
      <c r="G1080" s="3">
        <f t="shared" ca="1" si="33"/>
        <v>9.0707925996186454</v>
      </c>
      <c r="H1080" s="2"/>
      <c r="I1080" s="2"/>
      <c r="J1080" s="2"/>
      <c r="K1080" s="2"/>
    </row>
    <row r="1081" spans="5:11" x14ac:dyDescent="0.25">
      <c r="E1081" s="3">
        <f t="shared" ca="1" si="32"/>
        <v>0.4021539692127003</v>
      </c>
      <c r="F1081" s="3">
        <f t="shared" ca="1" si="32"/>
        <v>0.82774278547941238</v>
      </c>
      <c r="G1081" s="3">
        <f t="shared" ca="1" si="33"/>
        <v>9.8325427598663531</v>
      </c>
      <c r="H1081" s="2"/>
      <c r="I1081" s="2"/>
      <c r="J1081" s="2"/>
      <c r="K1081" s="2"/>
    </row>
    <row r="1082" spans="5:11" x14ac:dyDescent="0.25">
      <c r="E1082" s="3">
        <f t="shared" ca="1" si="32"/>
        <v>0.57102124197076731</v>
      </c>
      <c r="F1082" s="3">
        <f t="shared" ca="1" si="32"/>
        <v>0.82710740325922616</v>
      </c>
      <c r="G1082" s="3">
        <f t="shared" ca="1" si="33"/>
        <v>9.2820013259429235</v>
      </c>
      <c r="H1082" s="2"/>
      <c r="I1082" s="2"/>
      <c r="J1082" s="2"/>
      <c r="K1082" s="2"/>
    </row>
    <row r="1083" spans="5:11" x14ac:dyDescent="0.25">
      <c r="E1083" s="3">
        <f t="shared" ca="1" si="32"/>
        <v>0.46645515307066421</v>
      </c>
      <c r="F1083" s="3">
        <f t="shared" ca="1" si="32"/>
        <v>0.87001464605411505</v>
      </c>
      <c r="G1083" s="3">
        <f t="shared" ca="1" si="33"/>
        <v>10.44694279758315</v>
      </c>
      <c r="H1083" s="2"/>
      <c r="I1083" s="2"/>
      <c r="J1083" s="2"/>
      <c r="K1083" s="2"/>
    </row>
    <row r="1084" spans="5:11" x14ac:dyDescent="0.25">
      <c r="E1084" s="3">
        <f t="shared" ca="1" si="32"/>
        <v>0.78759331131812504</v>
      </c>
      <c r="F1084" s="3">
        <f t="shared" ca="1" si="32"/>
        <v>0.21625338370679181</v>
      </c>
      <c r="G1084" s="3">
        <f t="shared" ca="1" si="33"/>
        <v>1.8331490950663671</v>
      </c>
      <c r="H1084" s="2"/>
      <c r="I1084" s="2"/>
      <c r="J1084" s="2"/>
      <c r="K1084" s="2"/>
    </row>
    <row r="1085" spans="5:11" x14ac:dyDescent="0.25">
      <c r="E1085" s="3">
        <f t="shared" ca="1" si="32"/>
        <v>0.93343371371345629</v>
      </c>
      <c r="F1085" s="3">
        <f t="shared" ca="1" si="32"/>
        <v>0.53123232508545137</v>
      </c>
      <c r="G1085" s="3">
        <f t="shared" ca="1" si="33"/>
        <v>7.1693172762004655</v>
      </c>
      <c r="H1085" s="2"/>
      <c r="I1085" s="2"/>
      <c r="J1085" s="2"/>
      <c r="K1085" s="2"/>
    </row>
    <row r="1086" spans="5:11" x14ac:dyDescent="0.25">
      <c r="E1086" s="3">
        <f t="shared" ca="1" si="32"/>
        <v>0.53060553331952087</v>
      </c>
      <c r="F1086" s="3">
        <f t="shared" ca="1" si="32"/>
        <v>0.45758004104693928</v>
      </c>
      <c r="G1086" s="3">
        <f t="shared" ca="1" si="33"/>
        <v>4.3530167428802651</v>
      </c>
      <c r="H1086" s="2"/>
      <c r="I1086" s="2"/>
      <c r="J1086" s="2"/>
      <c r="K1086" s="2"/>
    </row>
    <row r="1087" spans="5:11" x14ac:dyDescent="0.25">
      <c r="E1087" s="3">
        <f t="shared" ca="1" si="32"/>
        <v>0.32010391824531448</v>
      </c>
      <c r="F1087" s="3">
        <f t="shared" ca="1" si="32"/>
        <v>1.4242065744298427E-2</v>
      </c>
      <c r="G1087" s="3">
        <f t="shared" ca="1" si="33"/>
        <v>7.9359407131727613</v>
      </c>
      <c r="H1087" s="2"/>
      <c r="I1087" s="2"/>
      <c r="J1087" s="2"/>
      <c r="K1087" s="2"/>
    </row>
    <row r="1088" spans="5:11" x14ac:dyDescent="0.25">
      <c r="E1088" s="3">
        <f t="shared" ca="1" si="32"/>
        <v>0.43958295710401107</v>
      </c>
      <c r="F1088" s="3">
        <f t="shared" ca="1" si="32"/>
        <v>0.95219973423154236</v>
      </c>
      <c r="G1088" s="3">
        <f t="shared" ca="1" si="33"/>
        <v>13.149721199363846</v>
      </c>
      <c r="H1088" s="2"/>
      <c r="I1088" s="2"/>
      <c r="J1088" s="2"/>
      <c r="K1088" s="2"/>
    </row>
    <row r="1089" spans="5:11" x14ac:dyDescent="0.25">
      <c r="E1089" s="3">
        <f t="shared" ca="1" si="32"/>
        <v>0.48547829019815825</v>
      </c>
      <c r="F1089" s="3">
        <f t="shared" ca="1" si="32"/>
        <v>0.80035615578556318</v>
      </c>
      <c r="G1089" s="3">
        <f t="shared" ca="1" si="33"/>
        <v>9.0159752959454043</v>
      </c>
      <c r="H1089" s="2"/>
      <c r="I1089" s="2"/>
      <c r="J1089" s="2"/>
      <c r="K1089" s="2"/>
    </row>
    <row r="1090" spans="5:11" x14ac:dyDescent="0.25">
      <c r="E1090" s="3">
        <f t="shared" ca="1" si="32"/>
        <v>0.27811442049347501</v>
      </c>
      <c r="F1090" s="3">
        <f t="shared" ca="1" si="32"/>
        <v>0.40148766174641759</v>
      </c>
      <c r="G1090" s="3">
        <f t="shared" ca="1" si="33"/>
        <v>6.1027939415194723</v>
      </c>
      <c r="H1090" s="2"/>
      <c r="I1090" s="2"/>
      <c r="J1090" s="2"/>
      <c r="K1090" s="2"/>
    </row>
    <row r="1091" spans="5:11" x14ac:dyDescent="0.25">
      <c r="E1091" s="3">
        <f t="shared" ca="1" si="32"/>
        <v>0.8020108042481322</v>
      </c>
      <c r="F1091" s="3">
        <f t="shared" ca="1" si="32"/>
        <v>0.72954902264326682</v>
      </c>
      <c r="G1091" s="3">
        <f t="shared" ca="1" si="33"/>
        <v>7.7893687587266092</v>
      </c>
      <c r="H1091" s="2"/>
      <c r="I1091" s="2"/>
      <c r="J1091" s="2"/>
      <c r="K1091" s="2"/>
    </row>
    <row r="1092" spans="5:11" x14ac:dyDescent="0.25">
      <c r="E1092" s="3">
        <f t="shared" ref="E1092:F1155" ca="1" si="34">RAND()</f>
        <v>1.3124058022205509E-2</v>
      </c>
      <c r="F1092" s="3">
        <f t="shared" ca="1" si="34"/>
        <v>0.51574021660263536</v>
      </c>
      <c r="G1092" s="3">
        <f t="shared" ref="G1092:G1155" ca="1" si="35">SQRT(_xlfn.NORM.INV(E1092,$C$3*COS($C$6),$C$4)^2+_xlfn.NORM.INV(F1092,$C$3*SIN($C$6),$C$4)^2)</f>
        <v>14.145163949163951</v>
      </c>
      <c r="H1092" s="2"/>
      <c r="I1092" s="2"/>
      <c r="J1092" s="2"/>
      <c r="K1092" s="2"/>
    </row>
    <row r="1093" spans="5:11" x14ac:dyDescent="0.25">
      <c r="E1093" s="3">
        <f t="shared" ca="1" si="34"/>
        <v>0.62283067381855362</v>
      </c>
      <c r="F1093" s="3">
        <f t="shared" ca="1" si="34"/>
        <v>0.39525498421814642</v>
      </c>
      <c r="G1093" s="3">
        <f t="shared" ca="1" si="35"/>
        <v>3.2135921703079777</v>
      </c>
      <c r="H1093" s="2"/>
      <c r="I1093" s="2"/>
      <c r="J1093" s="2"/>
      <c r="K1093" s="2"/>
    </row>
    <row r="1094" spans="5:11" x14ac:dyDescent="0.25">
      <c r="E1094" s="3">
        <f t="shared" ca="1" si="34"/>
        <v>0.72850075114351021</v>
      </c>
      <c r="F1094" s="3">
        <f t="shared" ca="1" si="34"/>
        <v>0.32110648615451565</v>
      </c>
      <c r="G1094" s="3">
        <f t="shared" ca="1" si="35"/>
        <v>2.2915236241475161</v>
      </c>
      <c r="H1094" s="2"/>
      <c r="I1094" s="2"/>
      <c r="J1094" s="2"/>
      <c r="K1094" s="2"/>
    </row>
    <row r="1095" spans="5:11" x14ac:dyDescent="0.25">
      <c r="E1095" s="3">
        <f t="shared" ca="1" si="34"/>
        <v>0.53187857865030219</v>
      </c>
      <c r="F1095" s="3">
        <f t="shared" ca="1" si="34"/>
        <v>0.2283154803748304</v>
      </c>
      <c r="G1095" s="3">
        <f t="shared" ca="1" si="35"/>
        <v>1.9865847543237614</v>
      </c>
      <c r="H1095" s="2"/>
      <c r="I1095" s="2"/>
      <c r="J1095" s="2"/>
      <c r="K1095" s="2"/>
    </row>
    <row r="1096" spans="5:11" x14ac:dyDescent="0.25">
      <c r="E1096" s="3">
        <f t="shared" ca="1" si="34"/>
        <v>0.20931949292183893</v>
      </c>
      <c r="F1096" s="3">
        <f t="shared" ca="1" si="34"/>
        <v>0.43689830085692871</v>
      </c>
      <c r="G1096" s="3">
        <f t="shared" ca="1" si="35"/>
        <v>7.2803696929840864</v>
      </c>
      <c r="H1096" s="2"/>
      <c r="I1096" s="2"/>
      <c r="J1096" s="2"/>
      <c r="K1096" s="2"/>
    </row>
    <row r="1097" spans="5:11" x14ac:dyDescent="0.25">
      <c r="E1097" s="3">
        <f t="shared" ca="1" si="34"/>
        <v>0.37913679862359961</v>
      </c>
      <c r="F1097" s="3">
        <f t="shared" ca="1" si="34"/>
        <v>0.95693111269131614</v>
      </c>
      <c r="G1097" s="3">
        <f t="shared" ca="1" si="35"/>
        <v>13.586796995438309</v>
      </c>
      <c r="H1097" s="2"/>
      <c r="I1097" s="2"/>
      <c r="J1097" s="2"/>
      <c r="K1097" s="2"/>
    </row>
    <row r="1098" spans="5:11" x14ac:dyDescent="0.25">
      <c r="E1098" s="3">
        <f t="shared" ca="1" si="34"/>
        <v>0.59030436374802842</v>
      </c>
      <c r="F1098" s="3">
        <f t="shared" ca="1" si="34"/>
        <v>0.18634997582693924</v>
      </c>
      <c r="G1098" s="3">
        <f t="shared" ca="1" si="35"/>
        <v>1.0988032703899693</v>
      </c>
      <c r="H1098" s="2"/>
      <c r="I1098" s="2"/>
      <c r="J1098" s="2"/>
      <c r="K1098" s="2"/>
    </row>
    <row r="1099" spans="5:11" x14ac:dyDescent="0.25">
      <c r="E1099" s="3">
        <f t="shared" ca="1" si="34"/>
        <v>0.61671368544207739</v>
      </c>
      <c r="F1099" s="3">
        <f t="shared" ca="1" si="34"/>
        <v>0.37020908426757604</v>
      </c>
      <c r="G1099" s="3">
        <f t="shared" ca="1" si="35"/>
        <v>2.9133022602983423</v>
      </c>
      <c r="H1099" s="2"/>
      <c r="I1099" s="2"/>
      <c r="J1099" s="2"/>
      <c r="K1099" s="2"/>
    </row>
    <row r="1100" spans="5:11" x14ac:dyDescent="0.25">
      <c r="E1100" s="3">
        <f t="shared" ca="1" si="34"/>
        <v>0.64316331232553714</v>
      </c>
      <c r="F1100" s="3">
        <f t="shared" ca="1" si="34"/>
        <v>0.80069257318600229</v>
      </c>
      <c r="G1100" s="3">
        <f t="shared" ca="1" si="35"/>
        <v>8.6999375222784536</v>
      </c>
      <c r="H1100" s="2"/>
      <c r="I1100" s="2"/>
      <c r="J1100" s="2"/>
      <c r="K1100" s="2"/>
    </row>
    <row r="1101" spans="5:11" x14ac:dyDescent="0.25">
      <c r="E1101" s="3">
        <f t="shared" ca="1" si="34"/>
        <v>0.95780916260268478</v>
      </c>
      <c r="F1101" s="3">
        <f t="shared" ca="1" si="34"/>
        <v>0.93021643720756086</v>
      </c>
      <c r="G1101" s="3">
        <f t="shared" ca="1" si="35"/>
        <v>13.468625322213136</v>
      </c>
      <c r="H1101" s="2"/>
      <c r="I1101" s="2"/>
      <c r="J1101" s="2"/>
      <c r="K1101" s="2"/>
    </row>
    <row r="1102" spans="5:11" x14ac:dyDescent="0.25">
      <c r="E1102" s="3">
        <f t="shared" ca="1" si="34"/>
        <v>0.64332796192141495</v>
      </c>
      <c r="F1102" s="3">
        <f t="shared" ca="1" si="34"/>
        <v>0.66543074861746032</v>
      </c>
      <c r="G1102" s="3">
        <f t="shared" ca="1" si="35"/>
        <v>6.6189485531345298</v>
      </c>
      <c r="H1102" s="2"/>
      <c r="I1102" s="2"/>
      <c r="J1102" s="2"/>
      <c r="K1102" s="2"/>
    </row>
    <row r="1103" spans="5:11" x14ac:dyDescent="0.25">
      <c r="E1103" s="3">
        <f t="shared" ca="1" si="34"/>
        <v>0.94874375165037717</v>
      </c>
      <c r="F1103" s="3">
        <f t="shared" ca="1" si="34"/>
        <v>0.3671760016892488</v>
      </c>
      <c r="G1103" s="3">
        <f t="shared" ca="1" si="35"/>
        <v>6.5406462759834536</v>
      </c>
      <c r="H1103" s="2"/>
      <c r="I1103" s="2"/>
      <c r="J1103" s="2"/>
      <c r="K1103" s="2"/>
    </row>
    <row r="1104" spans="5:11" x14ac:dyDescent="0.25">
      <c r="E1104" s="3">
        <f t="shared" ca="1" si="34"/>
        <v>0.24274380193908507</v>
      </c>
      <c r="F1104" s="3">
        <f t="shared" ca="1" si="34"/>
        <v>0.50987936195508332</v>
      </c>
      <c r="G1104" s="3">
        <f t="shared" ca="1" si="35"/>
        <v>7.3424673416214894</v>
      </c>
      <c r="H1104" s="2"/>
      <c r="I1104" s="2"/>
      <c r="J1104" s="2"/>
      <c r="K1104" s="2"/>
    </row>
    <row r="1105" spans="5:11" x14ac:dyDescent="0.25">
      <c r="E1105" s="3">
        <f t="shared" ca="1" si="34"/>
        <v>0.52706589792347158</v>
      </c>
      <c r="F1105" s="3">
        <f t="shared" ca="1" si="34"/>
        <v>0.68942160035795075</v>
      </c>
      <c r="G1105" s="3">
        <f t="shared" ca="1" si="35"/>
        <v>7.1966255867711926</v>
      </c>
      <c r="H1105" s="2"/>
      <c r="I1105" s="2"/>
      <c r="J1105" s="2"/>
      <c r="K1105" s="2"/>
    </row>
    <row r="1106" spans="5:11" x14ac:dyDescent="0.25">
      <c r="E1106" s="3">
        <f t="shared" ca="1" si="34"/>
        <v>0.31447359785122431</v>
      </c>
      <c r="F1106" s="3">
        <f t="shared" ca="1" si="34"/>
        <v>0.48322894926413151</v>
      </c>
      <c r="G1106" s="3">
        <f t="shared" ca="1" si="35"/>
        <v>6.3109009096750386</v>
      </c>
      <c r="H1106" s="2"/>
      <c r="I1106" s="2"/>
      <c r="J1106" s="2"/>
      <c r="K1106" s="2"/>
    </row>
    <row r="1107" spans="5:11" x14ac:dyDescent="0.25">
      <c r="E1107" s="3">
        <f t="shared" ca="1" si="34"/>
        <v>0.35898590987299628</v>
      </c>
      <c r="F1107" s="3">
        <f t="shared" ca="1" si="34"/>
        <v>0.86434803266409221</v>
      </c>
      <c r="G1107" s="3">
        <f t="shared" ca="1" si="35"/>
        <v>10.760061710377958</v>
      </c>
      <c r="H1107" s="2"/>
      <c r="I1107" s="2"/>
      <c r="J1107" s="2"/>
      <c r="K1107" s="2"/>
    </row>
    <row r="1108" spans="5:11" x14ac:dyDescent="0.25">
      <c r="E1108" s="3">
        <f t="shared" ca="1" si="34"/>
        <v>0.48708625902944702</v>
      </c>
      <c r="F1108" s="3">
        <f t="shared" ca="1" si="34"/>
        <v>0.19587926314052473</v>
      </c>
      <c r="G1108" s="3">
        <f t="shared" ca="1" si="35"/>
        <v>2.4095772946772565</v>
      </c>
      <c r="H1108" s="2"/>
      <c r="I1108" s="2"/>
      <c r="J1108" s="2"/>
      <c r="K1108" s="2"/>
    </row>
    <row r="1109" spans="5:11" x14ac:dyDescent="0.25">
      <c r="E1109" s="3">
        <f t="shared" ca="1" si="34"/>
        <v>0.55271109277681985</v>
      </c>
      <c r="F1109" s="3">
        <f t="shared" ca="1" si="34"/>
        <v>0.63035049688638489</v>
      </c>
      <c r="G1109" s="3">
        <f t="shared" ca="1" si="35"/>
        <v>6.333567898162145</v>
      </c>
      <c r="H1109" s="2"/>
      <c r="I1109" s="2"/>
      <c r="J1109" s="2"/>
      <c r="K1109" s="2"/>
    </row>
    <row r="1110" spans="5:11" x14ac:dyDescent="0.25">
      <c r="E1110" s="3">
        <f t="shared" ca="1" si="34"/>
        <v>0.18620728258421948</v>
      </c>
      <c r="F1110" s="3">
        <f t="shared" ca="1" si="34"/>
        <v>0.40121112816157556</v>
      </c>
      <c r="G1110" s="3">
        <f t="shared" ca="1" si="35"/>
        <v>7.4332797429871711</v>
      </c>
      <c r="H1110" s="2"/>
      <c r="I1110" s="2"/>
      <c r="J1110" s="2"/>
      <c r="K1110" s="2"/>
    </row>
    <row r="1111" spans="5:11" x14ac:dyDescent="0.25">
      <c r="E1111" s="3">
        <f t="shared" ca="1" si="34"/>
        <v>0.38008111154790902</v>
      </c>
      <c r="F1111" s="3">
        <f t="shared" ca="1" si="34"/>
        <v>0.26193177539803669</v>
      </c>
      <c r="G1111" s="3">
        <f t="shared" ca="1" si="35"/>
        <v>3.9792099552403837</v>
      </c>
      <c r="H1111" s="2"/>
      <c r="I1111" s="2"/>
      <c r="J1111" s="2"/>
      <c r="K1111" s="2"/>
    </row>
    <row r="1112" spans="5:11" x14ac:dyDescent="0.25">
      <c r="E1112" s="3">
        <f t="shared" ca="1" si="34"/>
        <v>0.49933487847429681</v>
      </c>
      <c r="F1112" s="3">
        <f t="shared" ca="1" si="34"/>
        <v>0.57316666999097576</v>
      </c>
      <c r="G1112" s="3">
        <f t="shared" ca="1" si="35"/>
        <v>5.8422960809041529</v>
      </c>
      <c r="H1112" s="2"/>
      <c r="I1112" s="2"/>
      <c r="J1112" s="2"/>
      <c r="K1112" s="2"/>
    </row>
    <row r="1113" spans="5:11" x14ac:dyDescent="0.25">
      <c r="E1113" s="3">
        <f t="shared" ca="1" si="34"/>
        <v>7.7139522026348994E-2</v>
      </c>
      <c r="F1113" s="3">
        <f t="shared" ca="1" si="34"/>
        <v>0.83565385270868575</v>
      </c>
      <c r="G1113" s="3">
        <f t="shared" ca="1" si="35"/>
        <v>13.234920016161453</v>
      </c>
      <c r="H1113" s="2"/>
      <c r="I1113" s="2"/>
      <c r="J1113" s="2"/>
      <c r="K1113" s="2"/>
    </row>
    <row r="1114" spans="5:11" x14ac:dyDescent="0.25">
      <c r="E1114" s="3">
        <f t="shared" ca="1" si="34"/>
        <v>9.3949344478853836E-2</v>
      </c>
      <c r="F1114" s="3">
        <f t="shared" ca="1" si="34"/>
        <v>0.3635660182458007</v>
      </c>
      <c r="G1114" s="3">
        <f t="shared" ca="1" si="35"/>
        <v>9.2357130295170311</v>
      </c>
      <c r="H1114" s="2"/>
      <c r="I1114" s="2"/>
      <c r="J1114" s="2"/>
      <c r="K1114" s="2"/>
    </row>
    <row r="1115" spans="5:11" x14ac:dyDescent="0.25">
      <c r="E1115" s="3">
        <f t="shared" ca="1" si="34"/>
        <v>4.0485818571135201E-2</v>
      </c>
      <c r="F1115" s="3">
        <f t="shared" ca="1" si="34"/>
        <v>0.26057079626125612</v>
      </c>
      <c r="G1115" s="3">
        <f t="shared" ca="1" si="35"/>
        <v>11.038134050303027</v>
      </c>
      <c r="H1115" s="2"/>
      <c r="I1115" s="2"/>
      <c r="J1115" s="2"/>
      <c r="K1115" s="2"/>
    </row>
    <row r="1116" spans="5:11" x14ac:dyDescent="0.25">
      <c r="E1116" s="3">
        <f t="shared" ca="1" si="34"/>
        <v>0.63213194835728204</v>
      </c>
      <c r="F1116" s="3">
        <f t="shared" ca="1" si="34"/>
        <v>0.35882784201104467</v>
      </c>
      <c r="G1116" s="3">
        <f t="shared" ca="1" si="35"/>
        <v>2.7188154991636027</v>
      </c>
      <c r="H1116" s="2"/>
      <c r="I1116" s="2"/>
      <c r="J1116" s="2"/>
      <c r="K1116" s="2"/>
    </row>
    <row r="1117" spans="5:11" x14ac:dyDescent="0.25">
      <c r="E1117" s="3">
        <f t="shared" ca="1" si="34"/>
        <v>0.33172190171966576</v>
      </c>
      <c r="F1117" s="3">
        <f t="shared" ca="1" si="34"/>
        <v>0.14172910419076368</v>
      </c>
      <c r="G1117" s="3">
        <f t="shared" ca="1" si="35"/>
        <v>4.5055543517030028</v>
      </c>
      <c r="H1117" s="2"/>
      <c r="I1117" s="2"/>
      <c r="J1117" s="2"/>
      <c r="K1117" s="2"/>
    </row>
    <row r="1118" spans="5:11" x14ac:dyDescent="0.25">
      <c r="E1118" s="3">
        <f t="shared" ca="1" si="34"/>
        <v>0.59293126826162523</v>
      </c>
      <c r="F1118" s="3">
        <f t="shared" ca="1" si="34"/>
        <v>0.72431041818237529</v>
      </c>
      <c r="G1118" s="3">
        <f t="shared" ca="1" si="35"/>
        <v>7.5241972361530634</v>
      </c>
      <c r="H1118" s="2"/>
      <c r="I1118" s="2"/>
      <c r="J1118" s="2"/>
      <c r="K1118" s="2"/>
    </row>
    <row r="1119" spans="5:11" x14ac:dyDescent="0.25">
      <c r="E1119" s="3">
        <f t="shared" ca="1" si="34"/>
        <v>0.6612707767410394</v>
      </c>
      <c r="F1119" s="3">
        <f t="shared" ca="1" si="34"/>
        <v>9.4611822340809892E-2</v>
      </c>
      <c r="G1119" s="3">
        <f t="shared" ca="1" si="35"/>
        <v>2.1005688352061829</v>
      </c>
      <c r="H1119" s="2"/>
      <c r="I1119" s="2"/>
      <c r="J1119" s="2"/>
      <c r="K1119" s="2"/>
    </row>
    <row r="1120" spans="5:11" x14ac:dyDescent="0.25">
      <c r="E1120" s="3">
        <f t="shared" ca="1" si="34"/>
        <v>7.6583268121706127E-2</v>
      </c>
      <c r="F1120" s="3">
        <f t="shared" ca="1" si="34"/>
        <v>0.71239889167682269</v>
      </c>
      <c r="G1120" s="3">
        <f t="shared" ca="1" si="35"/>
        <v>11.870736175818342</v>
      </c>
      <c r="H1120" s="2"/>
      <c r="I1120" s="2"/>
      <c r="J1120" s="2"/>
      <c r="K1120" s="2"/>
    </row>
    <row r="1121" spans="5:11" x14ac:dyDescent="0.25">
      <c r="E1121" s="3">
        <f t="shared" ca="1" si="34"/>
        <v>0.17536886615500691</v>
      </c>
      <c r="F1121" s="3">
        <f t="shared" ca="1" si="34"/>
        <v>0.33717188412978272</v>
      </c>
      <c r="G1121" s="3">
        <f t="shared" ca="1" si="35"/>
        <v>7.3011871207591055</v>
      </c>
      <c r="H1121" s="2"/>
      <c r="I1121" s="2"/>
      <c r="J1121" s="2"/>
      <c r="K1121" s="2"/>
    </row>
    <row r="1122" spans="5:11" x14ac:dyDescent="0.25">
      <c r="E1122" s="3">
        <f t="shared" ca="1" si="34"/>
        <v>0.12021128480569265</v>
      </c>
      <c r="F1122" s="3">
        <f t="shared" ca="1" si="34"/>
        <v>0.52085616227664666</v>
      </c>
      <c r="G1122" s="3">
        <f t="shared" ca="1" si="35"/>
        <v>9.3893314664008454</v>
      </c>
      <c r="H1122" s="2"/>
      <c r="I1122" s="2"/>
      <c r="J1122" s="2"/>
      <c r="K1122" s="2"/>
    </row>
    <row r="1123" spans="5:11" x14ac:dyDescent="0.25">
      <c r="E1123" s="3">
        <f t="shared" ca="1" si="34"/>
        <v>0.11062927219333607</v>
      </c>
      <c r="F1123" s="3">
        <f t="shared" ca="1" si="34"/>
        <v>0.32371704886599018</v>
      </c>
      <c r="G1123" s="3">
        <f t="shared" ca="1" si="35"/>
        <v>8.6368321620566224</v>
      </c>
      <c r="H1123" s="2"/>
      <c r="I1123" s="2"/>
      <c r="J1123" s="2"/>
      <c r="K1123" s="2"/>
    </row>
    <row r="1124" spans="5:11" x14ac:dyDescent="0.25">
      <c r="E1124" s="3">
        <f t="shared" ca="1" si="34"/>
        <v>0.26728894164575867</v>
      </c>
      <c r="F1124" s="3">
        <f t="shared" ca="1" si="34"/>
        <v>0.12699839441966643</v>
      </c>
      <c r="G1124" s="3">
        <f t="shared" ca="1" si="35"/>
        <v>5.4860031189408387</v>
      </c>
      <c r="H1124" s="2"/>
      <c r="I1124" s="2"/>
      <c r="J1124" s="2"/>
      <c r="K1124" s="2"/>
    </row>
    <row r="1125" spans="5:11" x14ac:dyDescent="0.25">
      <c r="E1125" s="3">
        <f t="shared" ca="1" si="34"/>
        <v>0.41679086655423736</v>
      </c>
      <c r="F1125" s="3">
        <f t="shared" ca="1" si="34"/>
        <v>0.51847804436563805</v>
      </c>
      <c r="G1125" s="3">
        <f t="shared" ca="1" si="35"/>
        <v>5.7389630637446318</v>
      </c>
      <c r="H1125" s="2"/>
      <c r="I1125" s="2"/>
      <c r="J1125" s="2"/>
      <c r="K1125" s="2"/>
    </row>
    <row r="1126" spans="5:11" x14ac:dyDescent="0.25">
      <c r="E1126" s="3">
        <f t="shared" ca="1" si="34"/>
        <v>0.4209436415322686</v>
      </c>
      <c r="F1126" s="3">
        <f t="shared" ca="1" si="34"/>
        <v>0.13571041331383149</v>
      </c>
      <c r="G1126" s="3">
        <f t="shared" ca="1" si="35"/>
        <v>3.3973491026127505</v>
      </c>
      <c r="H1126" s="2"/>
      <c r="I1126" s="2"/>
      <c r="J1126" s="2"/>
      <c r="K1126" s="2"/>
    </row>
    <row r="1127" spans="5:11" x14ac:dyDescent="0.25">
      <c r="E1127" s="3">
        <f t="shared" ca="1" si="34"/>
        <v>3.3878420959500999E-2</v>
      </c>
      <c r="F1127" s="3">
        <f t="shared" ca="1" si="34"/>
        <v>2.7009235404831466E-2</v>
      </c>
      <c r="G1127" s="3">
        <f t="shared" ca="1" si="35"/>
        <v>12.490682342103092</v>
      </c>
      <c r="H1127" s="2"/>
      <c r="I1127" s="2"/>
      <c r="J1127" s="2"/>
      <c r="K1127" s="2"/>
    </row>
    <row r="1128" spans="5:11" x14ac:dyDescent="0.25">
      <c r="E1128" s="3">
        <f t="shared" ca="1" si="34"/>
        <v>0.9491653792893513</v>
      </c>
      <c r="F1128" s="3">
        <f t="shared" ca="1" si="34"/>
        <v>0.5320940491551025</v>
      </c>
      <c r="G1128" s="3">
        <f t="shared" ca="1" si="35"/>
        <v>7.6857277379879285</v>
      </c>
      <c r="H1128" s="2"/>
      <c r="I1128" s="2"/>
      <c r="J1128" s="2"/>
      <c r="K1128" s="2"/>
    </row>
    <row r="1129" spans="5:11" x14ac:dyDescent="0.25">
      <c r="E1129" s="3">
        <f t="shared" ca="1" si="34"/>
        <v>0.89783108955435209</v>
      </c>
      <c r="F1129" s="3">
        <f t="shared" ca="1" si="34"/>
        <v>0.18640199719584261</v>
      </c>
      <c r="G1129" s="3">
        <f t="shared" ca="1" si="35"/>
        <v>4.1061027913129999</v>
      </c>
      <c r="H1129" s="2"/>
      <c r="I1129" s="2"/>
      <c r="J1129" s="2"/>
      <c r="K1129" s="2"/>
    </row>
    <row r="1130" spans="5:11" x14ac:dyDescent="0.25">
      <c r="E1130" s="3">
        <f t="shared" ca="1" si="34"/>
        <v>0.73270238757015405</v>
      </c>
      <c r="F1130" s="3">
        <f t="shared" ca="1" si="34"/>
        <v>0.72519527381841009</v>
      </c>
      <c r="G1130" s="3">
        <f t="shared" ca="1" si="35"/>
        <v>7.5116423748653007</v>
      </c>
      <c r="H1130" s="2"/>
      <c r="I1130" s="2"/>
      <c r="J1130" s="2"/>
      <c r="K1130" s="2"/>
    </row>
    <row r="1131" spans="5:11" x14ac:dyDescent="0.25">
      <c r="E1131" s="3">
        <f t="shared" ca="1" si="34"/>
        <v>0.50193783618899546</v>
      </c>
      <c r="F1131" s="3">
        <f t="shared" ca="1" si="34"/>
        <v>0.21711239879806743</v>
      </c>
      <c r="G1131" s="3">
        <f t="shared" ca="1" si="35"/>
        <v>2.2857587144087184</v>
      </c>
      <c r="H1131" s="2"/>
      <c r="I1131" s="2"/>
      <c r="J1131" s="2"/>
      <c r="K1131" s="2"/>
    </row>
    <row r="1132" spans="5:11" x14ac:dyDescent="0.25">
      <c r="E1132" s="3">
        <f t="shared" ca="1" si="34"/>
        <v>0.16103958668826357</v>
      </c>
      <c r="F1132" s="3">
        <f t="shared" ca="1" si="34"/>
        <v>0.34626744096068929</v>
      </c>
      <c r="G1132" s="3">
        <f t="shared" ca="1" si="35"/>
        <v>7.6111691067639926</v>
      </c>
      <c r="H1132" s="2"/>
      <c r="I1132" s="2"/>
      <c r="J1132" s="2"/>
      <c r="K1132" s="2"/>
    </row>
    <row r="1133" spans="5:11" x14ac:dyDescent="0.25">
      <c r="E1133" s="3">
        <f t="shared" ca="1" si="34"/>
        <v>0.66043541586338872</v>
      </c>
      <c r="F1133" s="3">
        <f t="shared" ca="1" si="34"/>
        <v>0.35845156793970712</v>
      </c>
      <c r="G1133" s="3">
        <f t="shared" ca="1" si="35"/>
        <v>2.6625479427498502</v>
      </c>
      <c r="H1133" s="2"/>
      <c r="I1133" s="2"/>
      <c r="J1133" s="2"/>
      <c r="K1133" s="2"/>
    </row>
    <row r="1134" spans="5:11" x14ac:dyDescent="0.25">
      <c r="E1134" s="3">
        <f t="shared" ca="1" si="34"/>
        <v>0.73003734394316822</v>
      </c>
      <c r="F1134" s="3">
        <f t="shared" ca="1" si="34"/>
        <v>0.99088259638862197</v>
      </c>
      <c r="G1134" s="3">
        <f t="shared" ca="1" si="35"/>
        <v>16.294920654180991</v>
      </c>
      <c r="H1134" s="2"/>
      <c r="I1134" s="2"/>
      <c r="J1134" s="2"/>
      <c r="K1134" s="2"/>
    </row>
    <row r="1135" spans="5:11" x14ac:dyDescent="0.25">
      <c r="E1135" s="3">
        <f t="shared" ca="1" si="34"/>
        <v>0.92278844338668886</v>
      </c>
      <c r="F1135" s="3">
        <f t="shared" ca="1" si="34"/>
        <v>0.51439316516885414</v>
      </c>
      <c r="G1135" s="3">
        <f t="shared" ca="1" si="35"/>
        <v>6.7410011401719778</v>
      </c>
      <c r="H1135" s="2"/>
      <c r="I1135" s="2"/>
      <c r="J1135" s="2"/>
      <c r="K1135" s="2"/>
    </row>
    <row r="1136" spans="5:11" x14ac:dyDescent="0.25">
      <c r="E1136" s="3">
        <f t="shared" ca="1" si="34"/>
        <v>0.11346060905153221</v>
      </c>
      <c r="F1136" s="3">
        <f t="shared" ca="1" si="34"/>
        <v>0.17323138677008687</v>
      </c>
      <c r="G1136" s="3">
        <f t="shared" ca="1" si="35"/>
        <v>8.2854080234154139</v>
      </c>
      <c r="H1136" s="2"/>
      <c r="I1136" s="2"/>
      <c r="J1136" s="2"/>
      <c r="K1136" s="2"/>
    </row>
    <row r="1137" spans="5:11" x14ac:dyDescent="0.25">
      <c r="E1137" s="3">
        <f t="shared" ca="1" si="34"/>
        <v>0.42313893911284872</v>
      </c>
      <c r="F1137" s="3">
        <f t="shared" ca="1" si="34"/>
        <v>0.80672427295090099</v>
      </c>
      <c r="G1137" s="3">
        <f t="shared" ca="1" si="35"/>
        <v>9.3665443704166833</v>
      </c>
      <c r="H1137" s="2"/>
      <c r="I1137" s="2"/>
      <c r="J1137" s="2"/>
      <c r="K1137" s="2"/>
    </row>
    <row r="1138" spans="5:11" x14ac:dyDescent="0.25">
      <c r="E1138" s="3">
        <f t="shared" ca="1" si="34"/>
        <v>0.18656637475306892</v>
      </c>
      <c r="F1138" s="3">
        <f t="shared" ca="1" si="34"/>
        <v>0.90256050713880087</v>
      </c>
      <c r="G1138" s="3">
        <f t="shared" ca="1" si="35"/>
        <v>12.834927624131339</v>
      </c>
      <c r="H1138" s="2"/>
      <c r="I1138" s="2"/>
      <c r="J1138" s="2"/>
      <c r="K1138" s="2"/>
    </row>
    <row r="1139" spans="5:11" x14ac:dyDescent="0.25">
      <c r="E1139" s="3">
        <f t="shared" ca="1" si="34"/>
        <v>0.48471805752942032</v>
      </c>
      <c r="F1139" s="3">
        <f t="shared" ca="1" si="34"/>
        <v>0.48163430309758837</v>
      </c>
      <c r="G1139" s="3">
        <f t="shared" ca="1" si="35"/>
        <v>4.8876991666554295</v>
      </c>
      <c r="H1139" s="2"/>
      <c r="I1139" s="2"/>
      <c r="J1139" s="2"/>
      <c r="K1139" s="2"/>
    </row>
    <row r="1140" spans="5:11" x14ac:dyDescent="0.25">
      <c r="E1140" s="3">
        <f t="shared" ca="1" si="34"/>
        <v>0.6467173840939513</v>
      </c>
      <c r="F1140" s="3">
        <f t="shared" ca="1" si="34"/>
        <v>0.36485469340031917</v>
      </c>
      <c r="G1140" s="3">
        <f t="shared" ca="1" si="35"/>
        <v>2.7656912023631905</v>
      </c>
      <c r="H1140" s="2"/>
      <c r="I1140" s="2"/>
      <c r="J1140" s="2"/>
      <c r="K1140" s="2"/>
    </row>
    <row r="1141" spans="5:11" x14ac:dyDescent="0.25">
      <c r="E1141" s="3">
        <f t="shared" ca="1" si="34"/>
        <v>0.64589219747104487</v>
      </c>
      <c r="F1141" s="3">
        <f t="shared" ca="1" si="34"/>
        <v>0.29110137270566716</v>
      </c>
      <c r="G1141" s="3">
        <f t="shared" ca="1" si="35"/>
        <v>1.7583097548097633</v>
      </c>
      <c r="H1141" s="2"/>
      <c r="I1141" s="2"/>
      <c r="J1141" s="2"/>
      <c r="K1141" s="2"/>
    </row>
    <row r="1142" spans="5:11" x14ac:dyDescent="0.25">
      <c r="E1142" s="3">
        <f t="shared" ca="1" si="34"/>
        <v>0.68201471021797699</v>
      </c>
      <c r="F1142" s="3">
        <f t="shared" ca="1" si="34"/>
        <v>0.82639774818495548</v>
      </c>
      <c r="G1142" s="3">
        <f t="shared" ca="1" si="35"/>
        <v>9.1709807639992693</v>
      </c>
      <c r="H1142" s="2"/>
      <c r="I1142" s="2"/>
      <c r="J1142" s="2"/>
      <c r="K1142" s="2"/>
    </row>
    <row r="1143" spans="5:11" x14ac:dyDescent="0.25">
      <c r="E1143" s="3">
        <f t="shared" ca="1" si="34"/>
        <v>0.56022320799515479</v>
      </c>
      <c r="F1143" s="3">
        <f t="shared" ca="1" si="34"/>
        <v>0.95707729589338075</v>
      </c>
      <c r="G1143" s="3">
        <f t="shared" ca="1" si="35"/>
        <v>13.142549770541573</v>
      </c>
      <c r="H1143" s="2"/>
      <c r="I1143" s="2"/>
      <c r="J1143" s="2"/>
      <c r="K1143" s="2"/>
    </row>
    <row r="1144" spans="5:11" x14ac:dyDescent="0.25">
      <c r="E1144" s="3">
        <f t="shared" ca="1" si="34"/>
        <v>0.37759158480310673</v>
      </c>
      <c r="F1144" s="3">
        <f t="shared" ca="1" si="34"/>
        <v>0.19705327524891991</v>
      </c>
      <c r="G1144" s="3">
        <f t="shared" ca="1" si="35"/>
        <v>3.8051744348298504</v>
      </c>
      <c r="H1144" s="2"/>
      <c r="I1144" s="2"/>
      <c r="J1144" s="2"/>
      <c r="K1144" s="2"/>
    </row>
    <row r="1145" spans="5:11" x14ac:dyDescent="0.25">
      <c r="E1145" s="3">
        <f t="shared" ca="1" si="34"/>
        <v>0.47592339573084452</v>
      </c>
      <c r="F1145" s="3">
        <f t="shared" ca="1" si="34"/>
        <v>0.83229847071408392</v>
      </c>
      <c r="G1145" s="3">
        <f t="shared" ca="1" si="35"/>
        <v>9.6281345285541686</v>
      </c>
      <c r="H1145" s="2"/>
      <c r="I1145" s="2"/>
      <c r="J1145" s="2"/>
      <c r="K1145" s="2"/>
    </row>
    <row r="1146" spans="5:11" x14ac:dyDescent="0.25">
      <c r="E1146" s="3">
        <f t="shared" ca="1" si="34"/>
        <v>0.75033277390232045</v>
      </c>
      <c r="F1146" s="3">
        <f t="shared" ca="1" si="34"/>
        <v>0.53693363242001846</v>
      </c>
      <c r="G1146" s="3">
        <f t="shared" ca="1" si="35"/>
        <v>5.0629359017432174</v>
      </c>
      <c r="H1146" s="2"/>
      <c r="I1146" s="2"/>
      <c r="J1146" s="2"/>
      <c r="K1146" s="2"/>
    </row>
    <row r="1147" spans="5:11" x14ac:dyDescent="0.25">
      <c r="E1147" s="3">
        <f t="shared" ca="1" si="34"/>
        <v>0.40526695591930872</v>
      </c>
      <c r="F1147" s="3">
        <f t="shared" ca="1" si="34"/>
        <v>2.7304246445507552E-2</v>
      </c>
      <c r="G1147" s="3">
        <f t="shared" ca="1" si="35"/>
        <v>6.1843149070534364</v>
      </c>
      <c r="H1147" s="2"/>
      <c r="I1147" s="2"/>
      <c r="J1147" s="2"/>
      <c r="K1147" s="2"/>
    </row>
    <row r="1148" spans="5:11" x14ac:dyDescent="0.25">
      <c r="E1148" s="3">
        <f t="shared" ca="1" si="34"/>
        <v>0.89563314935134108</v>
      </c>
      <c r="F1148" s="3">
        <f t="shared" ca="1" si="34"/>
        <v>2.6493366813001851E-3</v>
      </c>
      <c r="G1148" s="3">
        <f t="shared" ca="1" si="35"/>
        <v>10.299036869228871</v>
      </c>
      <c r="H1148" s="2"/>
      <c r="I1148" s="2"/>
      <c r="J1148" s="2"/>
      <c r="K1148" s="2"/>
    </row>
    <row r="1149" spans="5:11" x14ac:dyDescent="0.25">
      <c r="E1149" s="3">
        <f t="shared" ca="1" si="34"/>
        <v>0.41581721904062341</v>
      </c>
      <c r="F1149" s="3">
        <f t="shared" ca="1" si="34"/>
        <v>0.12735582243516308</v>
      </c>
      <c r="G1149" s="3">
        <f t="shared" ca="1" si="35"/>
        <v>3.5231873586911524</v>
      </c>
      <c r="H1149" s="2"/>
      <c r="I1149" s="2"/>
      <c r="J1149" s="2"/>
      <c r="K1149" s="2"/>
    </row>
    <row r="1150" spans="5:11" x14ac:dyDescent="0.25">
      <c r="E1150" s="3">
        <f t="shared" ca="1" si="34"/>
        <v>0.3253506422579634</v>
      </c>
      <c r="F1150" s="3">
        <f t="shared" ca="1" si="34"/>
        <v>0.8414361687704135</v>
      </c>
      <c r="G1150" s="3">
        <f t="shared" ca="1" si="35"/>
        <v>10.488335102780464</v>
      </c>
      <c r="H1150" s="2"/>
      <c r="I1150" s="2"/>
      <c r="J1150" s="2"/>
      <c r="K1150" s="2"/>
    </row>
    <row r="1151" spans="5:11" x14ac:dyDescent="0.25">
      <c r="E1151" s="3">
        <f t="shared" ca="1" si="34"/>
        <v>0.15500937041605645</v>
      </c>
      <c r="F1151" s="3">
        <f t="shared" ca="1" si="34"/>
        <v>2.8027475283538106E-2</v>
      </c>
      <c r="G1151" s="3">
        <f t="shared" ca="1" si="35"/>
        <v>8.9087289776726752</v>
      </c>
      <c r="H1151" s="2"/>
      <c r="I1151" s="2"/>
      <c r="J1151" s="2"/>
      <c r="K1151" s="2"/>
    </row>
    <row r="1152" spans="5:11" x14ac:dyDescent="0.25">
      <c r="E1152" s="3">
        <f t="shared" ca="1" si="34"/>
        <v>0.39761799609987269</v>
      </c>
      <c r="F1152" s="3">
        <f t="shared" ca="1" si="34"/>
        <v>0.97315321724982451</v>
      </c>
      <c r="G1152" s="3">
        <f t="shared" ca="1" si="35"/>
        <v>14.553085706127924</v>
      </c>
      <c r="H1152" s="2"/>
      <c r="I1152" s="2"/>
      <c r="J1152" s="2"/>
      <c r="K1152" s="2"/>
    </row>
    <row r="1153" spans="5:11" x14ac:dyDescent="0.25">
      <c r="E1153" s="3">
        <f t="shared" ca="1" si="34"/>
        <v>2.7825883258272399E-2</v>
      </c>
      <c r="F1153" s="3">
        <f t="shared" ca="1" si="34"/>
        <v>0.73189126452897735</v>
      </c>
      <c r="G1153" s="3">
        <f t="shared" ca="1" si="35"/>
        <v>14.023194685553124</v>
      </c>
      <c r="H1153" s="2"/>
      <c r="I1153" s="2"/>
      <c r="J1153" s="2"/>
      <c r="K1153" s="2"/>
    </row>
    <row r="1154" spans="5:11" x14ac:dyDescent="0.25">
      <c r="E1154" s="3">
        <f t="shared" ca="1" si="34"/>
        <v>0.26946892315326099</v>
      </c>
      <c r="F1154" s="3">
        <f t="shared" ca="1" si="34"/>
        <v>0.12181084689218724</v>
      </c>
      <c r="G1154" s="3">
        <f t="shared" ca="1" si="35"/>
        <v>5.4837684848494952</v>
      </c>
      <c r="H1154" s="2"/>
      <c r="I1154" s="2"/>
      <c r="J1154" s="2"/>
      <c r="K1154" s="2"/>
    </row>
    <row r="1155" spans="5:11" x14ac:dyDescent="0.25">
      <c r="E1155" s="3">
        <f t="shared" ca="1" si="34"/>
        <v>0.40296872308434506</v>
      </c>
      <c r="F1155" s="3">
        <f t="shared" ca="1" si="34"/>
        <v>0.447082353248756</v>
      </c>
      <c r="G1155" s="3">
        <f t="shared" ca="1" si="35"/>
        <v>5.1486439847299881</v>
      </c>
      <c r="H1155" s="2"/>
      <c r="I1155" s="2"/>
      <c r="J1155" s="2"/>
      <c r="K1155" s="2"/>
    </row>
    <row r="1156" spans="5:11" x14ac:dyDescent="0.25">
      <c r="E1156" s="3">
        <f t="shared" ref="E1156:F1219" ca="1" si="36">RAND()</f>
        <v>0.76186867902455702</v>
      </c>
      <c r="F1156" s="3">
        <f t="shared" ca="1" si="36"/>
        <v>0.38003147987775998</v>
      </c>
      <c r="G1156" s="3">
        <f t="shared" ref="G1156:G1219" ca="1" si="37">SQRT(_xlfn.NORM.INV(E1156,$C$3*COS($C$6),$C$4)^2+_xlfn.NORM.INV(F1156,$C$3*SIN($C$6),$C$4)^2)</f>
        <v>3.2259797787814781</v>
      </c>
      <c r="H1156" s="2"/>
      <c r="I1156" s="2"/>
      <c r="J1156" s="2"/>
      <c r="K1156" s="2"/>
    </row>
    <row r="1157" spans="5:11" x14ac:dyDescent="0.25">
      <c r="E1157" s="3">
        <f t="shared" ca="1" si="36"/>
        <v>0.35171337483644693</v>
      </c>
      <c r="F1157" s="3">
        <f t="shared" ca="1" si="36"/>
        <v>0.45367641507362377</v>
      </c>
      <c r="G1157" s="3">
        <f t="shared" ca="1" si="37"/>
        <v>5.6823284185962137</v>
      </c>
      <c r="H1157" s="2"/>
      <c r="I1157" s="2"/>
      <c r="J1157" s="2"/>
      <c r="K1157" s="2"/>
    </row>
    <row r="1158" spans="5:11" x14ac:dyDescent="0.25">
      <c r="E1158" s="3">
        <f t="shared" ca="1" si="36"/>
        <v>0.78422703349215961</v>
      </c>
      <c r="F1158" s="3">
        <f t="shared" ca="1" si="36"/>
        <v>0.38379165850222796</v>
      </c>
      <c r="G1158" s="3">
        <f t="shared" ca="1" si="37"/>
        <v>3.4377280167116804</v>
      </c>
      <c r="H1158" s="2"/>
      <c r="I1158" s="2"/>
      <c r="J1158" s="2"/>
      <c r="K1158" s="2"/>
    </row>
    <row r="1159" spans="5:11" x14ac:dyDescent="0.25">
      <c r="E1159" s="3">
        <f t="shared" ca="1" si="36"/>
        <v>0.44316447800821646</v>
      </c>
      <c r="F1159" s="3">
        <f t="shared" ca="1" si="36"/>
        <v>0.93144689995939156</v>
      </c>
      <c r="G1159" s="3">
        <f t="shared" ca="1" si="37"/>
        <v>12.264591191652562</v>
      </c>
      <c r="H1159" s="2"/>
      <c r="I1159" s="2"/>
      <c r="J1159" s="2"/>
      <c r="K1159" s="2"/>
    </row>
    <row r="1160" spans="5:11" x14ac:dyDescent="0.25">
      <c r="E1160" s="3">
        <f t="shared" ca="1" si="36"/>
        <v>0.18435227346278393</v>
      </c>
      <c r="F1160" s="3">
        <f t="shared" ca="1" si="36"/>
        <v>0.42636534500627821</v>
      </c>
      <c r="G1160" s="3">
        <f t="shared" ca="1" si="37"/>
        <v>7.6094030401207986</v>
      </c>
      <c r="H1160" s="2"/>
      <c r="I1160" s="2"/>
      <c r="J1160" s="2"/>
      <c r="K1160" s="2"/>
    </row>
    <row r="1161" spans="5:11" x14ac:dyDescent="0.25">
      <c r="E1161" s="3">
        <f t="shared" ca="1" si="36"/>
        <v>0.35307377325403655</v>
      </c>
      <c r="F1161" s="3">
        <f t="shared" ca="1" si="36"/>
        <v>0.67411768644154813</v>
      </c>
      <c r="G1161" s="3">
        <f t="shared" ca="1" si="37"/>
        <v>7.8909124917081517</v>
      </c>
      <c r="H1161" s="2"/>
      <c r="I1161" s="2"/>
      <c r="J1161" s="2"/>
      <c r="K1161" s="2"/>
    </row>
    <row r="1162" spans="5:11" x14ac:dyDescent="0.25">
      <c r="E1162" s="3">
        <f t="shared" ca="1" si="36"/>
        <v>0.1368540059393335</v>
      </c>
      <c r="F1162" s="3">
        <f t="shared" ca="1" si="36"/>
        <v>0.91355253993951824</v>
      </c>
      <c r="G1162" s="3">
        <f t="shared" ca="1" si="37"/>
        <v>13.66892898742598</v>
      </c>
      <c r="H1162" s="2"/>
      <c r="I1162" s="2"/>
      <c r="J1162" s="2"/>
      <c r="K1162" s="2"/>
    </row>
    <row r="1163" spans="5:11" x14ac:dyDescent="0.25">
      <c r="E1163" s="3">
        <f t="shared" ca="1" si="36"/>
        <v>0.96321469074861643</v>
      </c>
      <c r="F1163" s="3">
        <f t="shared" ca="1" si="36"/>
        <v>0.9457590231012335</v>
      </c>
      <c r="G1163" s="3">
        <f t="shared" ca="1" si="37"/>
        <v>14.181037775849843</v>
      </c>
      <c r="H1163" s="2"/>
      <c r="I1163" s="2"/>
      <c r="J1163" s="2"/>
      <c r="K1163" s="2"/>
    </row>
    <row r="1164" spans="5:11" x14ac:dyDescent="0.25">
      <c r="E1164" s="3">
        <f t="shared" ca="1" si="36"/>
        <v>0.7215770602986441</v>
      </c>
      <c r="F1164" s="3">
        <f t="shared" ca="1" si="36"/>
        <v>0.41878294845962694</v>
      </c>
      <c r="G1164" s="3">
        <f t="shared" ca="1" si="37"/>
        <v>3.5148054785248029</v>
      </c>
      <c r="H1164" s="2"/>
      <c r="I1164" s="2"/>
      <c r="J1164" s="2"/>
      <c r="K1164" s="2"/>
    </row>
    <row r="1165" spans="5:11" x14ac:dyDescent="0.25">
      <c r="E1165" s="3">
        <f t="shared" ca="1" si="36"/>
        <v>0.64561402428097747</v>
      </c>
      <c r="F1165" s="3">
        <f t="shared" ca="1" si="36"/>
        <v>0.3495818948812115</v>
      </c>
      <c r="G1165" s="3">
        <f t="shared" ca="1" si="37"/>
        <v>2.564977865262835</v>
      </c>
      <c r="H1165" s="2"/>
      <c r="I1165" s="2"/>
      <c r="J1165" s="2"/>
      <c r="K1165" s="2"/>
    </row>
    <row r="1166" spans="5:11" x14ac:dyDescent="0.25">
      <c r="E1166" s="3">
        <f t="shared" ca="1" si="36"/>
        <v>0.3288835287900731</v>
      </c>
      <c r="F1166" s="3">
        <f t="shared" ca="1" si="36"/>
        <v>0.60009514497734684</v>
      </c>
      <c r="G1166" s="3">
        <f t="shared" ca="1" si="37"/>
        <v>7.264591940387179</v>
      </c>
      <c r="H1166" s="2"/>
      <c r="I1166" s="2"/>
      <c r="J1166" s="2"/>
      <c r="K1166" s="2"/>
    </row>
    <row r="1167" spans="5:11" x14ac:dyDescent="0.25">
      <c r="E1167" s="3">
        <f t="shared" ca="1" si="36"/>
        <v>0.73899282392373011</v>
      </c>
      <c r="F1167" s="3">
        <f t="shared" ca="1" si="36"/>
        <v>0.51203335099780989</v>
      </c>
      <c r="G1167" s="3">
        <f t="shared" ca="1" si="37"/>
        <v>4.7196637391109508</v>
      </c>
      <c r="H1167" s="2"/>
      <c r="I1167" s="2"/>
      <c r="J1167" s="2"/>
      <c r="K1167" s="2"/>
    </row>
    <row r="1168" spans="5:11" x14ac:dyDescent="0.25">
      <c r="E1168" s="3">
        <f t="shared" ca="1" si="36"/>
        <v>0.92131632479973247</v>
      </c>
      <c r="F1168" s="3">
        <f t="shared" ca="1" si="36"/>
        <v>0.95538486387504873</v>
      </c>
      <c r="G1168" s="3">
        <f t="shared" ca="1" si="37"/>
        <v>13.837501599599454</v>
      </c>
      <c r="H1168" s="2"/>
      <c r="I1168" s="2"/>
      <c r="J1168" s="2"/>
      <c r="K1168" s="2"/>
    </row>
    <row r="1169" spans="5:11" x14ac:dyDescent="0.25">
      <c r="E1169" s="3">
        <f t="shared" ca="1" si="36"/>
        <v>0.19708644123754371</v>
      </c>
      <c r="F1169" s="3">
        <f t="shared" ca="1" si="36"/>
        <v>0.47649431990178803</v>
      </c>
      <c r="G1169" s="3">
        <f t="shared" ca="1" si="37"/>
        <v>7.7260606076807665</v>
      </c>
      <c r="H1169" s="2"/>
      <c r="I1169" s="2"/>
      <c r="J1169" s="2"/>
      <c r="K1169" s="2"/>
    </row>
    <row r="1170" spans="5:11" x14ac:dyDescent="0.25">
      <c r="E1170" s="3">
        <f t="shared" ca="1" si="36"/>
        <v>0.76331733302536009</v>
      </c>
      <c r="F1170" s="3">
        <f t="shared" ca="1" si="36"/>
        <v>0.66725071300079208</v>
      </c>
      <c r="G1170" s="3">
        <f t="shared" ca="1" si="37"/>
        <v>6.7666137250958558</v>
      </c>
      <c r="H1170" s="2"/>
      <c r="I1170" s="2"/>
      <c r="J1170" s="2"/>
      <c r="K1170" s="2"/>
    </row>
    <row r="1171" spans="5:11" x14ac:dyDescent="0.25">
      <c r="E1171" s="3">
        <f t="shared" ca="1" si="36"/>
        <v>0.82267589931811058</v>
      </c>
      <c r="F1171" s="3">
        <f t="shared" ca="1" si="36"/>
        <v>0.22164233726514437</v>
      </c>
      <c r="G1171" s="3">
        <f t="shared" ca="1" si="37"/>
        <v>2.4711179191187189</v>
      </c>
      <c r="H1171" s="2"/>
      <c r="I1171" s="2"/>
      <c r="J1171" s="2"/>
      <c r="K1171" s="2"/>
    </row>
    <row r="1172" spans="5:11" x14ac:dyDescent="0.25">
      <c r="E1172" s="3">
        <f t="shared" ca="1" si="36"/>
        <v>0.20052754102934434</v>
      </c>
      <c r="F1172" s="3">
        <f t="shared" ca="1" si="36"/>
        <v>0.52263083491741313</v>
      </c>
      <c r="G1172" s="3">
        <f t="shared" ca="1" si="37"/>
        <v>8.0037387293763</v>
      </c>
      <c r="H1172" s="2"/>
      <c r="I1172" s="2"/>
      <c r="J1172" s="2"/>
      <c r="K1172" s="2"/>
    </row>
    <row r="1173" spans="5:11" x14ac:dyDescent="0.25">
      <c r="E1173" s="3">
        <f t="shared" ca="1" si="36"/>
        <v>0.58699283113460243</v>
      </c>
      <c r="F1173" s="3">
        <f t="shared" ca="1" si="36"/>
        <v>0.79798639599563992</v>
      </c>
      <c r="G1173" s="3">
        <f t="shared" ca="1" si="37"/>
        <v>8.7172685418771376</v>
      </c>
      <c r="H1173" s="2"/>
      <c r="I1173" s="2"/>
      <c r="J1173" s="2"/>
      <c r="K1173" s="2"/>
    </row>
    <row r="1174" spans="5:11" x14ac:dyDescent="0.25">
      <c r="E1174" s="3">
        <f t="shared" ca="1" si="36"/>
        <v>0.52606831323322933</v>
      </c>
      <c r="F1174" s="3">
        <f t="shared" ca="1" si="36"/>
        <v>0.26680933036805565</v>
      </c>
      <c r="G1174" s="3">
        <f t="shared" ca="1" si="37"/>
        <v>2.3460692534427636</v>
      </c>
      <c r="H1174" s="2"/>
      <c r="I1174" s="2"/>
      <c r="J1174" s="2"/>
      <c r="K1174" s="2"/>
    </row>
    <row r="1175" spans="5:11" x14ac:dyDescent="0.25">
      <c r="E1175" s="3">
        <f t="shared" ca="1" si="36"/>
        <v>0.20320674761440971</v>
      </c>
      <c r="F1175" s="3">
        <f t="shared" ca="1" si="36"/>
        <v>0.90136462368415182</v>
      </c>
      <c r="G1175" s="3">
        <f t="shared" ca="1" si="37"/>
        <v>12.650210247257114</v>
      </c>
      <c r="H1175" s="2"/>
      <c r="I1175" s="2"/>
      <c r="J1175" s="2"/>
      <c r="K1175" s="2"/>
    </row>
    <row r="1176" spans="5:11" x14ac:dyDescent="0.25">
      <c r="E1176" s="3">
        <f t="shared" ca="1" si="36"/>
        <v>0.14368919186366991</v>
      </c>
      <c r="F1176" s="3">
        <f t="shared" ca="1" si="36"/>
        <v>0.89806072180815999</v>
      </c>
      <c r="G1176" s="3">
        <f t="shared" ca="1" si="37"/>
        <v>13.201724915043425</v>
      </c>
      <c r="H1176" s="2"/>
      <c r="I1176" s="2"/>
      <c r="J1176" s="2"/>
      <c r="K1176" s="2"/>
    </row>
    <row r="1177" spans="5:11" x14ac:dyDescent="0.25">
      <c r="E1177" s="3">
        <f t="shared" ca="1" si="36"/>
        <v>0.38989695943261027</v>
      </c>
      <c r="F1177" s="3">
        <f t="shared" ca="1" si="36"/>
        <v>0.13281397876066714</v>
      </c>
      <c r="G1177" s="3">
        <f t="shared" ca="1" si="37"/>
        <v>3.7997875762144089</v>
      </c>
      <c r="H1177" s="2"/>
      <c r="I1177" s="2"/>
      <c r="J1177" s="2"/>
      <c r="K1177" s="2"/>
    </row>
    <row r="1178" spans="5:11" x14ac:dyDescent="0.25">
      <c r="E1178" s="3">
        <f t="shared" ca="1" si="36"/>
        <v>0.32099637081064725</v>
      </c>
      <c r="F1178" s="3">
        <f t="shared" ca="1" si="36"/>
        <v>0.21580006082332881</v>
      </c>
      <c r="G1178" s="3">
        <f t="shared" ca="1" si="37"/>
        <v>4.5964988199244337</v>
      </c>
      <c r="H1178" s="2"/>
      <c r="I1178" s="2"/>
      <c r="J1178" s="2"/>
      <c r="K1178" s="2"/>
    </row>
    <row r="1179" spans="5:11" x14ac:dyDescent="0.25">
      <c r="E1179" s="3">
        <f t="shared" ca="1" si="36"/>
        <v>0.60691268951630528</v>
      </c>
      <c r="F1179" s="3">
        <f t="shared" ca="1" si="36"/>
        <v>0.67968043357839159</v>
      </c>
      <c r="G1179" s="3">
        <f t="shared" ca="1" si="37"/>
        <v>6.8611909853125939</v>
      </c>
      <c r="H1179" s="2"/>
      <c r="I1179" s="2"/>
      <c r="J1179" s="2"/>
      <c r="K1179" s="2"/>
    </row>
    <row r="1180" spans="5:11" x14ac:dyDescent="0.25">
      <c r="E1180" s="3">
        <f t="shared" ca="1" si="36"/>
        <v>0.57660814885984724</v>
      </c>
      <c r="F1180" s="3">
        <f t="shared" ca="1" si="36"/>
        <v>0.2392602133720535</v>
      </c>
      <c r="G1180" s="3">
        <f t="shared" ca="1" si="37"/>
        <v>1.5755087459215298</v>
      </c>
      <c r="H1180" s="2"/>
      <c r="I1180" s="2"/>
      <c r="J1180" s="2"/>
      <c r="K1180" s="2"/>
    </row>
    <row r="1181" spans="5:11" x14ac:dyDescent="0.25">
      <c r="E1181" s="3">
        <f t="shared" ca="1" si="36"/>
        <v>0.51365555645811001</v>
      </c>
      <c r="F1181" s="3">
        <f t="shared" ca="1" si="36"/>
        <v>0.42776104553855998</v>
      </c>
      <c r="G1181" s="3">
        <f t="shared" ca="1" si="37"/>
        <v>4.1173132279977001</v>
      </c>
      <c r="H1181" s="2"/>
      <c r="I1181" s="2"/>
      <c r="J1181" s="2"/>
      <c r="K1181" s="2"/>
    </row>
    <row r="1182" spans="5:11" x14ac:dyDescent="0.25">
      <c r="E1182" s="3">
        <f t="shared" ca="1" si="36"/>
        <v>0.44871179425587382</v>
      </c>
      <c r="F1182" s="3">
        <f t="shared" ca="1" si="36"/>
        <v>0.41588658494099884</v>
      </c>
      <c r="G1182" s="3">
        <f t="shared" ca="1" si="37"/>
        <v>4.46501309106017</v>
      </c>
      <c r="H1182" s="2"/>
      <c r="I1182" s="2"/>
      <c r="J1182" s="2"/>
      <c r="K1182" s="2"/>
    </row>
    <row r="1183" spans="5:11" x14ac:dyDescent="0.25">
      <c r="E1183" s="3">
        <f t="shared" ca="1" si="36"/>
        <v>0.32607800574363821</v>
      </c>
      <c r="F1183" s="3">
        <f t="shared" ca="1" si="36"/>
        <v>3.8859029248042631E-2</v>
      </c>
      <c r="G1183" s="3">
        <f t="shared" ca="1" si="37"/>
        <v>6.254933706329223</v>
      </c>
      <c r="H1183" s="2"/>
      <c r="I1183" s="2"/>
      <c r="J1183" s="2"/>
      <c r="K1183" s="2"/>
    </row>
    <row r="1184" spans="5:11" x14ac:dyDescent="0.25">
      <c r="E1184" s="3">
        <f t="shared" ca="1" si="36"/>
        <v>0.67912493973063914</v>
      </c>
      <c r="F1184" s="3">
        <f t="shared" ca="1" si="36"/>
        <v>0.23476255446747973</v>
      </c>
      <c r="G1184" s="3">
        <f t="shared" ca="1" si="37"/>
        <v>0.85803405118491516</v>
      </c>
      <c r="H1184" s="2"/>
      <c r="I1184" s="2"/>
      <c r="J1184" s="2"/>
      <c r="K1184" s="2"/>
    </row>
    <row r="1185" spans="5:11" x14ac:dyDescent="0.25">
      <c r="E1185" s="3">
        <f t="shared" ca="1" si="36"/>
        <v>0.22521207806984356</v>
      </c>
      <c r="F1185" s="3">
        <f t="shared" ca="1" si="36"/>
        <v>0.14891314513994647</v>
      </c>
      <c r="G1185" s="3">
        <f t="shared" ca="1" si="37"/>
        <v>6.0587230736904294</v>
      </c>
      <c r="H1185" s="2"/>
      <c r="I1185" s="2"/>
      <c r="J1185" s="2"/>
      <c r="K1185" s="2"/>
    </row>
    <row r="1186" spans="5:11" x14ac:dyDescent="0.25">
      <c r="E1186" s="3">
        <f t="shared" ca="1" si="36"/>
        <v>0.24621447997222723</v>
      </c>
      <c r="F1186" s="3">
        <f t="shared" ca="1" si="36"/>
        <v>8.7876430028520303E-2</v>
      </c>
      <c r="G1186" s="3">
        <f t="shared" ca="1" si="37"/>
        <v>6.1210720161018868</v>
      </c>
      <c r="H1186" s="2"/>
      <c r="I1186" s="2"/>
      <c r="J1186" s="2"/>
      <c r="K1186" s="2"/>
    </row>
    <row r="1187" spans="5:11" x14ac:dyDescent="0.25">
      <c r="E1187" s="3">
        <f t="shared" ca="1" si="36"/>
        <v>0.85933076169623313</v>
      </c>
      <c r="F1187" s="3">
        <f t="shared" ca="1" si="36"/>
        <v>0.95609721409270099</v>
      </c>
      <c r="G1187" s="3">
        <f t="shared" ca="1" si="37"/>
        <v>13.380576144468948</v>
      </c>
      <c r="H1187" s="2"/>
      <c r="I1187" s="2"/>
      <c r="J1187" s="2"/>
      <c r="K1187" s="2"/>
    </row>
    <row r="1188" spans="5:11" x14ac:dyDescent="0.25">
      <c r="E1188" s="3">
        <f t="shared" ca="1" si="36"/>
        <v>0.26362908147520836</v>
      </c>
      <c r="F1188" s="3">
        <f t="shared" ca="1" si="36"/>
        <v>0.29968029628356097</v>
      </c>
      <c r="G1188" s="3">
        <f t="shared" ca="1" si="37"/>
        <v>5.7072473537391133</v>
      </c>
      <c r="H1188" s="2"/>
      <c r="I1188" s="2"/>
      <c r="J1188" s="2"/>
      <c r="K1188" s="2"/>
    </row>
    <row r="1189" spans="5:11" x14ac:dyDescent="0.25">
      <c r="E1189" s="3">
        <f t="shared" ca="1" si="36"/>
        <v>0.78513161177344615</v>
      </c>
      <c r="F1189" s="3">
        <f t="shared" ca="1" si="36"/>
        <v>0.27507530939878266</v>
      </c>
      <c r="G1189" s="3">
        <f t="shared" ca="1" si="37"/>
        <v>2.2614095269645484</v>
      </c>
      <c r="H1189" s="2"/>
      <c r="I1189" s="2"/>
      <c r="J1189" s="2"/>
      <c r="K1189" s="2"/>
    </row>
    <row r="1190" spans="5:11" x14ac:dyDescent="0.25">
      <c r="E1190" s="3">
        <f t="shared" ca="1" si="36"/>
        <v>0.78693247722517745</v>
      </c>
      <c r="F1190" s="3">
        <f t="shared" ca="1" si="36"/>
        <v>6.4162770736393648E-2</v>
      </c>
      <c r="G1190" s="3">
        <f t="shared" ca="1" si="37"/>
        <v>3.5837636416564029</v>
      </c>
      <c r="H1190" s="2"/>
      <c r="I1190" s="2"/>
      <c r="J1190" s="2"/>
      <c r="K1190" s="2"/>
    </row>
    <row r="1191" spans="5:11" x14ac:dyDescent="0.25">
      <c r="E1191" s="3">
        <f t="shared" ca="1" si="36"/>
        <v>0.8985809050053708</v>
      </c>
      <c r="F1191" s="3">
        <f t="shared" ca="1" si="36"/>
        <v>0.76442450999553768</v>
      </c>
      <c r="G1191" s="3">
        <f t="shared" ca="1" si="37"/>
        <v>9.0668174984865377</v>
      </c>
      <c r="H1191" s="2"/>
      <c r="I1191" s="2"/>
      <c r="J1191" s="2"/>
      <c r="K1191" s="2"/>
    </row>
    <row r="1192" spans="5:11" x14ac:dyDescent="0.25">
      <c r="E1192" s="3">
        <f t="shared" ca="1" si="36"/>
        <v>0.75394867552006506</v>
      </c>
      <c r="F1192" s="3">
        <f t="shared" ca="1" si="36"/>
        <v>0.41838596252306715</v>
      </c>
      <c r="G1192" s="3">
        <f t="shared" ca="1" si="37"/>
        <v>3.6413482291045973</v>
      </c>
      <c r="H1192" s="2"/>
      <c r="I1192" s="2"/>
      <c r="J1192" s="2"/>
      <c r="K1192" s="2"/>
    </row>
    <row r="1193" spans="5:11" x14ac:dyDescent="0.25">
      <c r="E1193" s="3">
        <f t="shared" ca="1" si="36"/>
        <v>0.85722046723258616</v>
      </c>
      <c r="F1193" s="3">
        <f t="shared" ca="1" si="36"/>
        <v>0.15502406223552556</v>
      </c>
      <c r="G1193" s="3">
        <f t="shared" ca="1" si="37"/>
        <v>3.1578231559516263</v>
      </c>
      <c r="H1193" s="2"/>
      <c r="I1193" s="2"/>
      <c r="J1193" s="2"/>
      <c r="K1193" s="2"/>
    </row>
    <row r="1194" spans="5:11" x14ac:dyDescent="0.25">
      <c r="E1194" s="3">
        <f t="shared" ca="1" si="36"/>
        <v>0.50836635448302447</v>
      </c>
      <c r="F1194" s="3">
        <f t="shared" ca="1" si="36"/>
        <v>0.12305192080153515</v>
      </c>
      <c r="G1194" s="3">
        <f t="shared" ca="1" si="37"/>
        <v>2.5154568437608025</v>
      </c>
      <c r="H1194" s="2"/>
      <c r="I1194" s="2"/>
      <c r="J1194" s="2"/>
      <c r="K1194" s="2"/>
    </row>
    <row r="1195" spans="5:11" x14ac:dyDescent="0.25">
      <c r="E1195" s="3">
        <f t="shared" ca="1" si="36"/>
        <v>0.84329165672028683</v>
      </c>
      <c r="F1195" s="3">
        <f t="shared" ca="1" si="36"/>
        <v>8.1739902324979852E-2</v>
      </c>
      <c r="G1195" s="3">
        <f t="shared" ca="1" si="37"/>
        <v>3.7519074357609883</v>
      </c>
      <c r="H1195" s="2"/>
      <c r="I1195" s="2"/>
      <c r="J1195" s="2"/>
      <c r="K1195" s="2"/>
    </row>
    <row r="1196" spans="5:11" x14ac:dyDescent="0.25">
      <c r="E1196" s="3">
        <f t="shared" ca="1" si="36"/>
        <v>5.543962922011092E-2</v>
      </c>
      <c r="F1196" s="3">
        <f t="shared" ca="1" si="36"/>
        <v>0.9024922295155462</v>
      </c>
      <c r="G1196" s="3">
        <f t="shared" ca="1" si="37"/>
        <v>14.972204596694516</v>
      </c>
      <c r="H1196" s="2"/>
      <c r="I1196" s="2"/>
      <c r="J1196" s="2"/>
      <c r="K1196" s="2"/>
    </row>
    <row r="1197" spans="5:11" x14ac:dyDescent="0.25">
      <c r="E1197" s="3">
        <f t="shared" ca="1" si="36"/>
        <v>0.38169340337649615</v>
      </c>
      <c r="F1197" s="3">
        <f t="shared" ca="1" si="36"/>
        <v>0.36640171757656514</v>
      </c>
      <c r="G1197" s="3">
        <f t="shared" ca="1" si="37"/>
        <v>4.6543800967229911</v>
      </c>
      <c r="H1197" s="2"/>
      <c r="I1197" s="2"/>
      <c r="J1197" s="2"/>
      <c r="K1197" s="2"/>
    </row>
    <row r="1198" spans="5:11" x14ac:dyDescent="0.25">
      <c r="E1198" s="3">
        <f t="shared" ca="1" si="36"/>
        <v>0.83217150785592264</v>
      </c>
      <c r="F1198" s="3">
        <f t="shared" ca="1" si="36"/>
        <v>0.55876807119537397</v>
      </c>
      <c r="G1198" s="3">
        <f t="shared" ca="1" si="37"/>
        <v>5.8102537355413792</v>
      </c>
      <c r="H1198" s="2"/>
      <c r="I1198" s="2"/>
      <c r="J1198" s="2"/>
      <c r="K1198" s="2"/>
    </row>
    <row r="1199" spans="5:11" x14ac:dyDescent="0.25">
      <c r="E1199" s="3">
        <f t="shared" ca="1" si="36"/>
        <v>1.0237634935105322E-2</v>
      </c>
      <c r="F1199" s="3">
        <f t="shared" ca="1" si="36"/>
        <v>0.78216670874313721</v>
      </c>
      <c r="G1199" s="3">
        <f t="shared" ca="1" si="37"/>
        <v>16.16262717195081</v>
      </c>
      <c r="H1199" s="2"/>
      <c r="I1199" s="2"/>
      <c r="J1199" s="2"/>
      <c r="K1199" s="2"/>
    </row>
    <row r="1200" spans="5:11" x14ac:dyDescent="0.25">
      <c r="E1200" s="3">
        <f t="shared" ca="1" si="36"/>
        <v>0.12759964002989876</v>
      </c>
      <c r="F1200" s="3">
        <f t="shared" ca="1" si="36"/>
        <v>0.65874699735464048</v>
      </c>
      <c r="G1200" s="3">
        <f t="shared" ca="1" si="37"/>
        <v>10.26273700165822</v>
      </c>
      <c r="H1200" s="2"/>
      <c r="I1200" s="2"/>
      <c r="J1200" s="2"/>
      <c r="K1200" s="2"/>
    </row>
    <row r="1201" spans="5:11" x14ac:dyDescent="0.25">
      <c r="E1201" s="3">
        <f t="shared" ca="1" si="36"/>
        <v>0.99978021429455166</v>
      </c>
      <c r="F1201" s="3">
        <f t="shared" ca="1" si="36"/>
        <v>0.36914673467668546</v>
      </c>
      <c r="G1201" s="3">
        <f t="shared" ca="1" si="37"/>
        <v>15.588603522574829</v>
      </c>
      <c r="H1201" s="2"/>
      <c r="I1201" s="2"/>
      <c r="J1201" s="2"/>
      <c r="K1201" s="2"/>
    </row>
    <row r="1202" spans="5:11" x14ac:dyDescent="0.25">
      <c r="E1202" s="3">
        <f t="shared" ca="1" si="36"/>
        <v>0.62765330917757556</v>
      </c>
      <c r="F1202" s="3">
        <f t="shared" ca="1" si="36"/>
        <v>0.9460697276370944</v>
      </c>
      <c r="G1202" s="3">
        <f t="shared" ca="1" si="37"/>
        <v>12.524372953641665</v>
      </c>
      <c r="H1202" s="2"/>
      <c r="I1202" s="2"/>
      <c r="J1202" s="2"/>
      <c r="K1202" s="2"/>
    </row>
    <row r="1203" spans="5:11" x14ac:dyDescent="0.25">
      <c r="E1203" s="3">
        <f t="shared" ca="1" si="36"/>
        <v>0.48826311200787031</v>
      </c>
      <c r="F1203" s="3">
        <f t="shared" ca="1" si="36"/>
        <v>0.38620945548343633</v>
      </c>
      <c r="G1203" s="3">
        <f t="shared" ca="1" si="37"/>
        <v>3.8528182371244393</v>
      </c>
      <c r="H1203" s="2"/>
      <c r="I1203" s="2"/>
      <c r="J1203" s="2"/>
      <c r="K1203" s="2"/>
    </row>
    <row r="1204" spans="5:11" x14ac:dyDescent="0.25">
      <c r="E1204" s="3">
        <f t="shared" ca="1" si="36"/>
        <v>0.75503917442070778</v>
      </c>
      <c r="F1204" s="3">
        <f t="shared" ca="1" si="36"/>
        <v>3.0073239736373658E-2</v>
      </c>
      <c r="G1204" s="3">
        <f t="shared" ca="1" si="37"/>
        <v>5.0753951588183215</v>
      </c>
      <c r="H1204" s="2"/>
      <c r="I1204" s="2"/>
      <c r="J1204" s="2"/>
      <c r="K1204" s="2"/>
    </row>
    <row r="1205" spans="5:11" x14ac:dyDescent="0.25">
      <c r="E1205" s="3">
        <f t="shared" ca="1" si="36"/>
        <v>0.27517891461961574</v>
      </c>
      <c r="F1205" s="3">
        <f t="shared" ca="1" si="36"/>
        <v>0.96734169808143955</v>
      </c>
      <c r="G1205" s="3">
        <f t="shared" ca="1" si="37"/>
        <v>14.649456526999426</v>
      </c>
      <c r="H1205" s="2"/>
      <c r="I1205" s="2"/>
      <c r="J1205" s="2"/>
      <c r="K1205" s="2"/>
    </row>
    <row r="1206" spans="5:11" x14ac:dyDescent="0.25">
      <c r="E1206" s="3">
        <f t="shared" ca="1" si="36"/>
        <v>0.73761206747342289</v>
      </c>
      <c r="F1206" s="3">
        <f t="shared" ca="1" si="36"/>
        <v>0.3912119236409527</v>
      </c>
      <c r="G1206" s="3">
        <f t="shared" ca="1" si="37"/>
        <v>3.2289187365454075</v>
      </c>
      <c r="H1206" s="2"/>
      <c r="I1206" s="2"/>
      <c r="J1206" s="2"/>
      <c r="K1206" s="2"/>
    </row>
    <row r="1207" spans="5:11" x14ac:dyDescent="0.25">
      <c r="E1207" s="3">
        <f t="shared" ca="1" si="36"/>
        <v>0.73076898357183562</v>
      </c>
      <c r="F1207" s="3">
        <f t="shared" ca="1" si="36"/>
        <v>0.10541350047784315</v>
      </c>
      <c r="G1207" s="3">
        <f t="shared" ca="1" si="37"/>
        <v>1.9721380416116183</v>
      </c>
      <c r="H1207" s="2"/>
      <c r="I1207" s="2"/>
      <c r="J1207" s="2"/>
      <c r="K1207" s="2"/>
    </row>
    <row r="1208" spans="5:11" x14ac:dyDescent="0.25">
      <c r="E1208" s="3">
        <f t="shared" ca="1" si="36"/>
        <v>0.87362344513237589</v>
      </c>
      <c r="F1208" s="3">
        <f t="shared" ca="1" si="36"/>
        <v>0.28075480136135078</v>
      </c>
      <c r="G1208" s="3">
        <f t="shared" ca="1" si="37"/>
        <v>3.8147614890274997</v>
      </c>
      <c r="H1208" s="2"/>
      <c r="I1208" s="2"/>
      <c r="J1208" s="2"/>
      <c r="K1208" s="2"/>
    </row>
    <row r="1209" spans="5:11" x14ac:dyDescent="0.25">
      <c r="E1209" s="3">
        <f t="shared" ca="1" si="36"/>
        <v>7.8454105791752937E-2</v>
      </c>
      <c r="F1209" s="3">
        <f t="shared" ca="1" si="36"/>
        <v>0.42315596703169445</v>
      </c>
      <c r="G1209" s="3">
        <f t="shared" ca="1" si="37"/>
        <v>9.9540443894305568</v>
      </c>
      <c r="H1209" s="2"/>
      <c r="I1209" s="2"/>
      <c r="J1209" s="2"/>
      <c r="K1209" s="2"/>
    </row>
    <row r="1210" spans="5:11" x14ac:dyDescent="0.25">
      <c r="E1210" s="3">
        <f t="shared" ca="1" si="36"/>
        <v>0.26933632398140528</v>
      </c>
      <c r="F1210" s="3">
        <f t="shared" ca="1" si="36"/>
        <v>0.65358617430200949</v>
      </c>
      <c r="G1210" s="3">
        <f t="shared" ca="1" si="37"/>
        <v>8.353609288881481</v>
      </c>
      <c r="H1210" s="2"/>
      <c r="I1210" s="2"/>
      <c r="J1210" s="2"/>
      <c r="K1210" s="2"/>
    </row>
    <row r="1211" spans="5:11" x14ac:dyDescent="0.25">
      <c r="E1211" s="3">
        <f t="shared" ca="1" si="36"/>
        <v>0.4410506439950086</v>
      </c>
      <c r="F1211" s="3">
        <f t="shared" ca="1" si="36"/>
        <v>0.32847439541209311</v>
      </c>
      <c r="G1211" s="3">
        <f t="shared" ca="1" si="37"/>
        <v>3.7351334990489464</v>
      </c>
      <c r="H1211" s="2"/>
      <c r="I1211" s="2"/>
      <c r="J1211" s="2"/>
      <c r="K1211" s="2"/>
    </row>
    <row r="1212" spans="5:11" x14ac:dyDescent="0.25">
      <c r="E1212" s="3">
        <f t="shared" ca="1" si="36"/>
        <v>6.9653895820652956E-2</v>
      </c>
      <c r="F1212" s="3">
        <f t="shared" ca="1" si="36"/>
        <v>0.63883575469325959</v>
      </c>
      <c r="G1212" s="3">
        <f t="shared" ca="1" si="37"/>
        <v>11.480486227489253</v>
      </c>
      <c r="H1212" s="2"/>
      <c r="I1212" s="2"/>
      <c r="J1212" s="2"/>
      <c r="K1212" s="2"/>
    </row>
    <row r="1213" spans="5:11" x14ac:dyDescent="0.25">
      <c r="E1213" s="3">
        <f t="shared" ca="1" si="36"/>
        <v>0.62260843509694141</v>
      </c>
      <c r="F1213" s="3">
        <f t="shared" ca="1" si="36"/>
        <v>0.97220593630438057</v>
      </c>
      <c r="G1213" s="3">
        <f t="shared" ca="1" si="37"/>
        <v>14.057629026937054</v>
      </c>
      <c r="H1213" s="2"/>
      <c r="I1213" s="2"/>
      <c r="J1213" s="2"/>
      <c r="K1213" s="2"/>
    </row>
    <row r="1214" spans="5:11" x14ac:dyDescent="0.25">
      <c r="E1214" s="3">
        <f t="shared" ca="1" si="36"/>
        <v>0.2716839722808555</v>
      </c>
      <c r="F1214" s="3">
        <f t="shared" ca="1" si="36"/>
        <v>0.20094638233009543</v>
      </c>
      <c r="G1214" s="3">
        <f t="shared" ca="1" si="37"/>
        <v>5.286362298640424</v>
      </c>
      <c r="H1214" s="2"/>
      <c r="I1214" s="2"/>
      <c r="J1214" s="2"/>
      <c r="K1214" s="2"/>
    </row>
    <row r="1215" spans="5:11" x14ac:dyDescent="0.25">
      <c r="E1215" s="3">
        <f t="shared" ca="1" si="36"/>
        <v>0.84210483284682569</v>
      </c>
      <c r="F1215" s="3">
        <f t="shared" ca="1" si="36"/>
        <v>0.45734796036468706</v>
      </c>
      <c r="G1215" s="3">
        <f t="shared" ca="1" si="37"/>
        <v>4.8147811065875041</v>
      </c>
      <c r="H1215" s="2"/>
      <c r="I1215" s="2"/>
      <c r="J1215" s="2"/>
      <c r="K1215" s="2"/>
    </row>
    <row r="1216" spans="5:11" x14ac:dyDescent="0.25">
      <c r="E1216" s="3">
        <f t="shared" ca="1" si="36"/>
        <v>0.12716354158010157</v>
      </c>
      <c r="F1216" s="3">
        <f t="shared" ca="1" si="36"/>
        <v>0.707693891213517</v>
      </c>
      <c r="G1216" s="3">
        <f t="shared" ca="1" si="37"/>
        <v>10.720493298101502</v>
      </c>
      <c r="H1216" s="2"/>
      <c r="I1216" s="2"/>
      <c r="J1216" s="2"/>
      <c r="K1216" s="2"/>
    </row>
    <row r="1217" spans="5:11" x14ac:dyDescent="0.25">
      <c r="E1217" s="3">
        <f t="shared" ca="1" si="36"/>
        <v>1.3354034652997115E-2</v>
      </c>
      <c r="F1217" s="3">
        <f t="shared" ca="1" si="36"/>
        <v>0.16944989425133317</v>
      </c>
      <c r="G1217" s="3">
        <f t="shared" ca="1" si="37"/>
        <v>13.32280619716285</v>
      </c>
      <c r="H1217" s="2"/>
      <c r="I1217" s="2"/>
      <c r="J1217" s="2"/>
      <c r="K1217" s="2"/>
    </row>
    <row r="1218" spans="5:11" x14ac:dyDescent="0.25">
      <c r="E1218" s="3">
        <f t="shared" ca="1" si="36"/>
        <v>0.92340478890258804</v>
      </c>
      <c r="F1218" s="3">
        <f t="shared" ca="1" si="36"/>
        <v>0.3745448664365536</v>
      </c>
      <c r="G1218" s="3">
        <f t="shared" ca="1" si="37"/>
        <v>5.6802349008556821</v>
      </c>
      <c r="H1218" s="2"/>
      <c r="I1218" s="2"/>
      <c r="J1218" s="2"/>
      <c r="K1218" s="2"/>
    </row>
    <row r="1219" spans="5:11" x14ac:dyDescent="0.25">
      <c r="E1219" s="3">
        <f t="shared" ca="1" si="36"/>
        <v>9.071750667798284E-2</v>
      </c>
      <c r="F1219" s="3">
        <f t="shared" ca="1" si="36"/>
        <v>0.6936875158698006</v>
      </c>
      <c r="G1219" s="3">
        <f t="shared" ca="1" si="37"/>
        <v>11.341385859938994</v>
      </c>
      <c r="H1219" s="2"/>
      <c r="I1219" s="2"/>
      <c r="J1219" s="2"/>
      <c r="K1219" s="2"/>
    </row>
    <row r="1220" spans="5:11" x14ac:dyDescent="0.25">
      <c r="E1220" s="3">
        <f t="shared" ref="E1220:F1283" ca="1" si="38">RAND()</f>
        <v>0.71118975673036133</v>
      </c>
      <c r="F1220" s="3">
        <f t="shared" ca="1" si="38"/>
        <v>0.29589629161822828</v>
      </c>
      <c r="G1220" s="3">
        <f t="shared" ref="G1220:G1283" ca="1" si="39">SQRT(_xlfn.NORM.INV(E1220,$C$3*COS($C$6),$C$4)^2+_xlfn.NORM.INV(F1220,$C$3*SIN($C$6),$C$4)^2)</f>
        <v>1.8696592125098233</v>
      </c>
      <c r="H1220" s="2"/>
      <c r="I1220" s="2"/>
      <c r="J1220" s="2"/>
      <c r="K1220" s="2"/>
    </row>
    <row r="1221" spans="5:11" x14ac:dyDescent="0.25">
      <c r="E1221" s="3">
        <f t="shared" ca="1" si="38"/>
        <v>0.67999188467588667</v>
      </c>
      <c r="F1221" s="3">
        <f t="shared" ca="1" si="38"/>
        <v>0.62076352869145224</v>
      </c>
      <c r="G1221" s="3">
        <f t="shared" ca="1" si="39"/>
        <v>6.0082163279994285</v>
      </c>
      <c r="H1221" s="2"/>
      <c r="I1221" s="2"/>
      <c r="J1221" s="2"/>
      <c r="K1221" s="2"/>
    </row>
    <row r="1222" spans="5:11" x14ac:dyDescent="0.25">
      <c r="E1222" s="3">
        <f t="shared" ca="1" si="38"/>
        <v>0.20745315744965986</v>
      </c>
      <c r="F1222" s="3">
        <f t="shared" ca="1" si="38"/>
        <v>0.15944209137187115</v>
      </c>
      <c r="G1222" s="3">
        <f t="shared" ca="1" si="39"/>
        <v>6.3376783279197566</v>
      </c>
      <c r="H1222" s="2"/>
      <c r="I1222" s="2"/>
      <c r="J1222" s="2"/>
      <c r="K1222" s="2"/>
    </row>
    <row r="1223" spans="5:11" x14ac:dyDescent="0.25">
      <c r="E1223" s="3">
        <f t="shared" ca="1" si="38"/>
        <v>0.25226193759875282</v>
      </c>
      <c r="F1223" s="3">
        <f t="shared" ca="1" si="38"/>
        <v>0.74393154210592105</v>
      </c>
      <c r="G1223" s="3">
        <f t="shared" ca="1" si="39"/>
        <v>9.5462549010564519</v>
      </c>
      <c r="H1223" s="2"/>
      <c r="I1223" s="2"/>
      <c r="J1223" s="2"/>
      <c r="K1223" s="2"/>
    </row>
    <row r="1224" spans="5:11" x14ac:dyDescent="0.25">
      <c r="E1224" s="3">
        <f t="shared" ca="1" si="38"/>
        <v>0.44087195178122551</v>
      </c>
      <c r="F1224" s="3">
        <f t="shared" ca="1" si="38"/>
        <v>7.5447763857645844E-2</v>
      </c>
      <c r="G1224" s="3">
        <f t="shared" ca="1" si="39"/>
        <v>4.0323188013750473</v>
      </c>
      <c r="H1224" s="2"/>
      <c r="I1224" s="2"/>
      <c r="J1224" s="2"/>
      <c r="K1224" s="2"/>
    </row>
    <row r="1225" spans="5:11" x14ac:dyDescent="0.25">
      <c r="E1225" s="3">
        <f t="shared" ca="1" si="38"/>
        <v>0.76328266609334505</v>
      </c>
      <c r="F1225" s="3">
        <f t="shared" ca="1" si="38"/>
        <v>0.70894136239681194</v>
      </c>
      <c r="G1225" s="3">
        <f t="shared" ca="1" si="39"/>
        <v>7.3454851557675003</v>
      </c>
      <c r="H1225" s="2"/>
      <c r="I1225" s="2"/>
      <c r="J1225" s="2"/>
      <c r="K1225" s="2"/>
    </row>
    <row r="1226" spans="5:11" x14ac:dyDescent="0.25">
      <c r="E1226" s="3">
        <f t="shared" ca="1" si="38"/>
        <v>0.98746081313745615</v>
      </c>
      <c r="F1226" s="3">
        <f t="shared" ca="1" si="38"/>
        <v>0.2963281865559988</v>
      </c>
      <c r="G1226" s="3">
        <f t="shared" ca="1" si="39"/>
        <v>9.1386247350229546</v>
      </c>
      <c r="H1226" s="2"/>
      <c r="I1226" s="2"/>
      <c r="J1226" s="2"/>
      <c r="K1226" s="2"/>
    </row>
    <row r="1227" spans="5:11" x14ac:dyDescent="0.25">
      <c r="E1227" s="3">
        <f t="shared" ca="1" si="38"/>
        <v>0.29312346935603673</v>
      </c>
      <c r="F1227" s="3">
        <f t="shared" ca="1" si="38"/>
        <v>0.19304833466537341</v>
      </c>
      <c r="G1227" s="3">
        <f t="shared" ca="1" si="39"/>
        <v>4.9636559833005265</v>
      </c>
      <c r="H1227" s="2"/>
      <c r="I1227" s="2"/>
      <c r="J1227" s="2"/>
      <c r="K1227" s="2"/>
    </row>
    <row r="1228" spans="5:11" x14ac:dyDescent="0.25">
      <c r="E1228" s="3">
        <f t="shared" ca="1" si="38"/>
        <v>0.95518703580083442</v>
      </c>
      <c r="F1228" s="3">
        <f t="shared" ca="1" si="38"/>
        <v>0.29160699122548961</v>
      </c>
      <c r="G1228" s="3">
        <f t="shared" ca="1" si="39"/>
        <v>6.4807108063023913</v>
      </c>
      <c r="H1228" s="2"/>
      <c r="I1228" s="2"/>
      <c r="J1228" s="2"/>
      <c r="K1228" s="2"/>
    </row>
    <row r="1229" spans="5:11" x14ac:dyDescent="0.25">
      <c r="E1229" s="3">
        <f t="shared" ca="1" si="38"/>
        <v>0.12640028556640104</v>
      </c>
      <c r="F1229" s="3">
        <f t="shared" ca="1" si="38"/>
        <v>0.53245859303766885</v>
      </c>
      <c r="G1229" s="3">
        <f t="shared" ca="1" si="39"/>
        <v>9.3338627445150895</v>
      </c>
      <c r="H1229" s="2"/>
      <c r="I1229" s="2"/>
      <c r="J1229" s="2"/>
      <c r="K1229" s="2"/>
    </row>
    <row r="1230" spans="5:11" x14ac:dyDescent="0.25">
      <c r="E1230" s="3">
        <f t="shared" ca="1" si="38"/>
        <v>0.72670093102800581</v>
      </c>
      <c r="F1230" s="3">
        <f t="shared" ca="1" si="38"/>
        <v>0.56494834696219776</v>
      </c>
      <c r="G1230" s="3">
        <f t="shared" ca="1" si="39"/>
        <v>5.3439624941658979</v>
      </c>
      <c r="H1230" s="2"/>
      <c r="I1230" s="2"/>
      <c r="J1230" s="2"/>
      <c r="K1230" s="2"/>
    </row>
    <row r="1231" spans="5:11" x14ac:dyDescent="0.25">
      <c r="E1231" s="3">
        <f t="shared" ca="1" si="38"/>
        <v>0.22374470409682201</v>
      </c>
      <c r="F1231" s="3">
        <f t="shared" ca="1" si="38"/>
        <v>0.22522712148974711</v>
      </c>
      <c r="G1231" s="3">
        <f t="shared" ca="1" si="39"/>
        <v>6.0784624997613284</v>
      </c>
      <c r="H1231" s="2"/>
      <c r="I1231" s="2"/>
      <c r="J1231" s="2"/>
      <c r="K1231" s="2"/>
    </row>
    <row r="1232" spans="5:11" x14ac:dyDescent="0.25">
      <c r="E1232" s="3">
        <f t="shared" ca="1" si="38"/>
        <v>0.89636982007322719</v>
      </c>
      <c r="F1232" s="3">
        <f t="shared" ca="1" si="38"/>
        <v>4.3959567627770424E-2</v>
      </c>
      <c r="G1232" s="3">
        <f t="shared" ca="1" si="39"/>
        <v>5.7471600123583482</v>
      </c>
      <c r="H1232" s="2"/>
      <c r="I1232" s="2"/>
      <c r="J1232" s="2"/>
      <c r="K1232" s="2"/>
    </row>
    <row r="1233" spans="5:11" x14ac:dyDescent="0.25">
      <c r="E1233" s="3">
        <f t="shared" ca="1" si="38"/>
        <v>0.98710669430815301</v>
      </c>
      <c r="F1233" s="3">
        <f t="shared" ca="1" si="38"/>
        <v>0.33237091320306023</v>
      </c>
      <c r="G1233" s="3">
        <f t="shared" ca="1" si="39"/>
        <v>9.1996363403414758</v>
      </c>
      <c r="H1233" s="2"/>
      <c r="I1233" s="2"/>
      <c r="J1233" s="2"/>
      <c r="K1233" s="2"/>
    </row>
    <row r="1234" spans="5:11" x14ac:dyDescent="0.25">
      <c r="E1234" s="3">
        <f t="shared" ca="1" si="38"/>
        <v>4.4635945982541614E-2</v>
      </c>
      <c r="F1234" s="3">
        <f t="shared" ca="1" si="38"/>
        <v>0.30860331564816934</v>
      </c>
      <c r="G1234" s="3">
        <f t="shared" ca="1" si="39"/>
        <v>10.91602472109078</v>
      </c>
      <c r="H1234" s="2"/>
      <c r="I1234" s="2"/>
      <c r="J1234" s="2"/>
      <c r="K1234" s="2"/>
    </row>
    <row r="1235" spans="5:11" x14ac:dyDescent="0.25">
      <c r="E1235" s="3">
        <f t="shared" ca="1" si="38"/>
        <v>0.81969540753642067</v>
      </c>
      <c r="F1235" s="3">
        <f t="shared" ca="1" si="38"/>
        <v>0.93600047214613635</v>
      </c>
      <c r="G1235" s="3">
        <f t="shared" ca="1" si="39"/>
        <v>12.302958580850776</v>
      </c>
      <c r="H1235" s="2"/>
      <c r="I1235" s="2"/>
      <c r="J1235" s="2"/>
      <c r="K1235" s="2"/>
    </row>
    <row r="1236" spans="5:11" x14ac:dyDescent="0.25">
      <c r="E1236" s="3">
        <f t="shared" ca="1" si="38"/>
        <v>0.87004222947147114</v>
      </c>
      <c r="F1236" s="3">
        <f t="shared" ca="1" si="38"/>
        <v>0.6384370694622673</v>
      </c>
      <c r="G1236" s="3">
        <f t="shared" ca="1" si="39"/>
        <v>7.103856002847718</v>
      </c>
      <c r="H1236" s="2"/>
      <c r="I1236" s="2"/>
      <c r="J1236" s="2"/>
      <c r="K1236" s="2"/>
    </row>
    <row r="1237" spans="5:11" x14ac:dyDescent="0.25">
      <c r="E1237" s="3">
        <f t="shared" ca="1" si="38"/>
        <v>0.52243914985870277</v>
      </c>
      <c r="F1237" s="3">
        <f t="shared" ca="1" si="38"/>
        <v>0.65372493446487578</v>
      </c>
      <c r="G1237" s="3">
        <f t="shared" ca="1" si="39"/>
        <v>6.7380272150301508</v>
      </c>
      <c r="H1237" s="2"/>
      <c r="I1237" s="2"/>
      <c r="J1237" s="2"/>
      <c r="K1237" s="2"/>
    </row>
    <row r="1238" spans="5:11" x14ac:dyDescent="0.25">
      <c r="E1238" s="3">
        <f t="shared" ca="1" si="38"/>
        <v>0.18908951199168955</v>
      </c>
      <c r="F1238" s="3">
        <f t="shared" ca="1" si="38"/>
        <v>0.30608486396398649</v>
      </c>
      <c r="G1238" s="3">
        <f t="shared" ca="1" si="39"/>
        <v>6.9226102874465854</v>
      </c>
      <c r="H1238" s="2"/>
      <c r="I1238" s="2"/>
      <c r="J1238" s="2"/>
      <c r="K1238" s="2"/>
    </row>
    <row r="1239" spans="5:11" x14ac:dyDescent="0.25">
      <c r="E1239" s="3">
        <f t="shared" ca="1" si="38"/>
        <v>0.36322440442068193</v>
      </c>
      <c r="F1239" s="3">
        <f t="shared" ca="1" si="38"/>
        <v>0.87261150110134367</v>
      </c>
      <c r="G1239" s="3">
        <f t="shared" ca="1" si="39"/>
        <v>10.919069342743278</v>
      </c>
      <c r="H1239" s="2"/>
      <c r="I1239" s="2"/>
      <c r="J1239" s="2"/>
      <c r="K1239" s="2"/>
    </row>
    <row r="1240" spans="5:11" x14ac:dyDescent="0.25">
      <c r="E1240" s="3">
        <f t="shared" ca="1" si="38"/>
        <v>0.40295637533279705</v>
      </c>
      <c r="F1240" s="3">
        <f t="shared" ca="1" si="38"/>
        <v>0.63133788149622361</v>
      </c>
      <c r="G1240" s="3">
        <f t="shared" ca="1" si="39"/>
        <v>7.0582190377742764</v>
      </c>
      <c r="H1240" s="2"/>
      <c r="I1240" s="2"/>
      <c r="J1240" s="2"/>
      <c r="K1240" s="2"/>
    </row>
    <row r="1241" spans="5:11" x14ac:dyDescent="0.25">
      <c r="E1241" s="3">
        <f t="shared" ca="1" si="38"/>
        <v>0.67985049807333642</v>
      </c>
      <c r="F1241" s="3">
        <f t="shared" ca="1" si="38"/>
        <v>0.82391919052549745</v>
      </c>
      <c r="G1241" s="3">
        <f t="shared" ca="1" si="39"/>
        <v>9.1225120149571097</v>
      </c>
      <c r="H1241" s="2"/>
      <c r="I1241" s="2"/>
      <c r="J1241" s="2"/>
      <c r="K1241" s="2"/>
    </row>
    <row r="1242" spans="5:11" x14ac:dyDescent="0.25">
      <c r="E1242" s="3">
        <f t="shared" ca="1" si="38"/>
        <v>0.4427476285853218</v>
      </c>
      <c r="F1242" s="3">
        <f t="shared" ca="1" si="38"/>
        <v>0.90209096933879818</v>
      </c>
      <c r="G1242" s="3">
        <f t="shared" ca="1" si="39"/>
        <v>11.331323133049555</v>
      </c>
      <c r="H1242" s="2"/>
      <c r="I1242" s="2"/>
      <c r="J1242" s="2"/>
      <c r="K1242" s="2"/>
    </row>
    <row r="1243" spans="5:11" x14ac:dyDescent="0.25">
      <c r="E1243" s="3">
        <f t="shared" ca="1" si="38"/>
        <v>0.59373541377160555</v>
      </c>
      <c r="F1243" s="3">
        <f t="shared" ca="1" si="38"/>
        <v>0.89469655082399335</v>
      </c>
      <c r="G1243" s="3">
        <f t="shared" ca="1" si="39"/>
        <v>10.781173584164904</v>
      </c>
      <c r="H1243" s="2"/>
      <c r="I1243" s="2"/>
      <c r="J1243" s="2"/>
      <c r="K1243" s="2"/>
    </row>
    <row r="1244" spans="5:11" x14ac:dyDescent="0.25">
      <c r="E1244" s="3">
        <f t="shared" ca="1" si="38"/>
        <v>0.5286525133021035</v>
      </c>
      <c r="F1244" s="3">
        <f t="shared" ca="1" si="38"/>
        <v>0.86840979559236697</v>
      </c>
      <c r="G1244" s="3">
        <f t="shared" ca="1" si="39"/>
        <v>10.238768120661433</v>
      </c>
      <c r="H1244" s="2"/>
      <c r="I1244" s="2"/>
      <c r="J1244" s="2"/>
      <c r="K1244" s="2"/>
    </row>
    <row r="1245" spans="5:11" x14ac:dyDescent="0.25">
      <c r="E1245" s="3">
        <f t="shared" ca="1" si="38"/>
        <v>0.50866707643685327</v>
      </c>
      <c r="F1245" s="3">
        <f t="shared" ca="1" si="38"/>
        <v>7.3485152590761049E-2</v>
      </c>
      <c r="G1245" s="3">
        <f t="shared" ca="1" si="39"/>
        <v>3.5045086179614735</v>
      </c>
      <c r="H1245" s="2"/>
      <c r="I1245" s="2"/>
      <c r="J1245" s="2"/>
      <c r="K1245" s="2"/>
    </row>
    <row r="1246" spans="5:11" x14ac:dyDescent="0.25">
      <c r="E1246" s="3">
        <f t="shared" ca="1" si="38"/>
        <v>0.46813679116883555</v>
      </c>
      <c r="F1246" s="3">
        <f t="shared" ca="1" si="38"/>
        <v>0.35802072659576423</v>
      </c>
      <c r="G1246" s="3">
        <f t="shared" ca="1" si="39"/>
        <v>3.7415585568730618</v>
      </c>
      <c r="H1246" s="2"/>
      <c r="I1246" s="2"/>
      <c r="J1246" s="2"/>
      <c r="K1246" s="2"/>
    </row>
    <row r="1247" spans="5:11" x14ac:dyDescent="0.25">
      <c r="E1247" s="3">
        <f t="shared" ca="1" si="38"/>
        <v>0.87882168481871581</v>
      </c>
      <c r="F1247" s="3">
        <f t="shared" ca="1" si="38"/>
        <v>8.356248160712898E-3</v>
      </c>
      <c r="G1247" s="3">
        <f t="shared" ca="1" si="39"/>
        <v>8.3168976517568538</v>
      </c>
      <c r="H1247" s="2"/>
      <c r="I1247" s="2"/>
      <c r="J1247" s="2"/>
      <c r="K1247" s="2"/>
    </row>
    <row r="1248" spans="5:11" x14ac:dyDescent="0.25">
      <c r="E1248" s="3">
        <f t="shared" ca="1" si="38"/>
        <v>0.43553500236523568</v>
      </c>
      <c r="F1248" s="3">
        <f t="shared" ca="1" si="38"/>
        <v>0.84065737601976087</v>
      </c>
      <c r="G1248" s="3">
        <f t="shared" ca="1" si="39"/>
        <v>9.9360975531907645</v>
      </c>
      <c r="H1248" s="2"/>
      <c r="I1248" s="2"/>
      <c r="J1248" s="2"/>
      <c r="K1248" s="2"/>
    </row>
    <row r="1249" spans="5:11" x14ac:dyDescent="0.25">
      <c r="E1249" s="3">
        <f t="shared" ca="1" si="38"/>
        <v>0.51761708120621197</v>
      </c>
      <c r="F1249" s="3">
        <f t="shared" ca="1" si="38"/>
        <v>2.173965617311302E-2</v>
      </c>
      <c r="G1249" s="3">
        <f t="shared" ca="1" si="39"/>
        <v>5.9769112656798837</v>
      </c>
      <c r="H1249" s="2"/>
      <c r="I1249" s="2"/>
      <c r="J1249" s="2"/>
      <c r="K1249" s="2"/>
    </row>
    <row r="1250" spans="5:11" x14ac:dyDescent="0.25">
      <c r="E1250" s="3">
        <f t="shared" ca="1" si="38"/>
        <v>8.7394411404275285E-2</v>
      </c>
      <c r="F1250" s="3">
        <f t="shared" ca="1" si="38"/>
        <v>0.44262839622091721</v>
      </c>
      <c r="G1250" s="3">
        <f t="shared" ca="1" si="39"/>
        <v>9.7727126141805591</v>
      </c>
      <c r="H1250" s="2"/>
      <c r="I1250" s="2"/>
      <c r="J1250" s="2"/>
      <c r="K1250" s="2"/>
    </row>
    <row r="1251" spans="5:11" x14ac:dyDescent="0.25">
      <c r="E1251" s="3">
        <f t="shared" ca="1" si="38"/>
        <v>6.6420758107089362E-2</v>
      </c>
      <c r="F1251" s="3">
        <f t="shared" ca="1" si="38"/>
        <v>0.77428492924069781</v>
      </c>
      <c r="G1251" s="3">
        <f t="shared" ca="1" si="39"/>
        <v>12.76651601169478</v>
      </c>
      <c r="H1251" s="2"/>
      <c r="I1251" s="2"/>
      <c r="J1251" s="2"/>
      <c r="K1251" s="2"/>
    </row>
    <row r="1252" spans="5:11" x14ac:dyDescent="0.25">
      <c r="E1252" s="3">
        <f t="shared" ca="1" si="38"/>
        <v>0.61044198336658573</v>
      </c>
      <c r="F1252" s="3">
        <f t="shared" ca="1" si="38"/>
        <v>0.56592039867387334</v>
      </c>
      <c r="G1252" s="3">
        <f t="shared" ca="1" si="39"/>
        <v>5.3658117639126246</v>
      </c>
      <c r="H1252" s="2"/>
      <c r="I1252" s="2"/>
      <c r="J1252" s="2"/>
      <c r="K1252" s="2"/>
    </row>
    <row r="1253" spans="5:11" x14ac:dyDescent="0.25">
      <c r="E1253" s="3">
        <f t="shared" ca="1" si="38"/>
        <v>0.80241290579541913</v>
      </c>
      <c r="F1253" s="3">
        <f t="shared" ca="1" si="38"/>
        <v>0.74234918628895474</v>
      </c>
      <c r="G1253" s="3">
        <f t="shared" ca="1" si="39"/>
        <v>7.9805338046763348</v>
      </c>
      <c r="H1253" s="2"/>
      <c r="I1253" s="2"/>
      <c r="J1253" s="2"/>
      <c r="K1253" s="2"/>
    </row>
    <row r="1254" spans="5:11" x14ac:dyDescent="0.25">
      <c r="E1254" s="3">
        <f t="shared" ca="1" si="38"/>
        <v>0.48001801872302241</v>
      </c>
      <c r="F1254" s="3">
        <f t="shared" ca="1" si="38"/>
        <v>0.24087347773800405</v>
      </c>
      <c r="G1254" s="3">
        <f t="shared" ca="1" si="39"/>
        <v>2.6668143058025238</v>
      </c>
      <c r="H1254" s="2"/>
      <c r="I1254" s="2"/>
      <c r="J1254" s="2"/>
      <c r="K1254" s="2"/>
    </row>
    <row r="1255" spans="5:11" x14ac:dyDescent="0.25">
      <c r="E1255" s="3">
        <f t="shared" ca="1" si="38"/>
        <v>0.69897353440525178</v>
      </c>
      <c r="F1255" s="3">
        <f t="shared" ca="1" si="38"/>
        <v>0.80482683713815351</v>
      </c>
      <c r="G1255" s="3">
        <f t="shared" ca="1" si="39"/>
        <v>8.7726058853515969</v>
      </c>
      <c r="H1255" s="2"/>
      <c r="I1255" s="2"/>
      <c r="J1255" s="2"/>
      <c r="K1255" s="2"/>
    </row>
    <row r="1256" spans="5:11" x14ac:dyDescent="0.25">
      <c r="E1256" s="3">
        <f t="shared" ca="1" si="38"/>
        <v>3.2201698986490612E-2</v>
      </c>
      <c r="F1256" s="3">
        <f t="shared" ca="1" si="38"/>
        <v>0.88978160289739416</v>
      </c>
      <c r="G1256" s="3">
        <f t="shared" ca="1" si="39"/>
        <v>15.628486477531991</v>
      </c>
      <c r="H1256" s="2"/>
      <c r="I1256" s="2"/>
      <c r="J1256" s="2"/>
      <c r="K1256" s="2"/>
    </row>
    <row r="1257" spans="5:11" x14ac:dyDescent="0.25">
      <c r="E1257" s="3">
        <f t="shared" ca="1" si="38"/>
        <v>0.18636854677314496</v>
      </c>
      <c r="F1257" s="3">
        <f t="shared" ca="1" si="38"/>
        <v>0.2059095468249752</v>
      </c>
      <c r="G1257" s="3">
        <f t="shared" ca="1" si="39"/>
        <v>6.7071793488662559</v>
      </c>
      <c r="H1257" s="2"/>
      <c r="I1257" s="2"/>
      <c r="J1257" s="2"/>
      <c r="K1257" s="2"/>
    </row>
    <row r="1258" spans="5:11" x14ac:dyDescent="0.25">
      <c r="E1258" s="3">
        <f t="shared" ca="1" si="38"/>
        <v>0.88838273552847957</v>
      </c>
      <c r="F1258" s="3">
        <f t="shared" ca="1" si="38"/>
        <v>0.76855412377901955</v>
      </c>
      <c r="G1258" s="3">
        <f t="shared" ca="1" si="39"/>
        <v>9.0047507691281492</v>
      </c>
      <c r="H1258" s="2"/>
      <c r="I1258" s="2"/>
      <c r="J1258" s="2"/>
      <c r="K1258" s="2"/>
    </row>
    <row r="1259" spans="5:11" x14ac:dyDescent="0.25">
      <c r="E1259" s="3">
        <f t="shared" ca="1" si="38"/>
        <v>0.81240797942225429</v>
      </c>
      <c r="F1259" s="3">
        <f t="shared" ca="1" si="38"/>
        <v>0.2367479968548647</v>
      </c>
      <c r="G1259" s="3">
        <f t="shared" ca="1" si="39"/>
        <v>2.3658126258590397</v>
      </c>
      <c r="H1259" s="2"/>
      <c r="I1259" s="2"/>
      <c r="J1259" s="2"/>
      <c r="K1259" s="2"/>
    </row>
    <row r="1260" spans="5:11" x14ac:dyDescent="0.25">
      <c r="E1260" s="3">
        <f t="shared" ca="1" si="38"/>
        <v>0.41742816341883171</v>
      </c>
      <c r="F1260" s="3">
        <f t="shared" ca="1" si="38"/>
        <v>9.5499813548046819E-2</v>
      </c>
      <c r="G1260" s="3">
        <f t="shared" ca="1" si="39"/>
        <v>3.8799152003164696</v>
      </c>
      <c r="H1260" s="2"/>
      <c r="I1260" s="2"/>
      <c r="J1260" s="2"/>
      <c r="K1260" s="2"/>
    </row>
    <row r="1261" spans="5:11" x14ac:dyDescent="0.25">
      <c r="E1261" s="3">
        <f t="shared" ca="1" si="38"/>
        <v>0.64075278441055084</v>
      </c>
      <c r="F1261" s="3">
        <f t="shared" ca="1" si="38"/>
        <v>0.31931030326567733</v>
      </c>
      <c r="G1261" s="3">
        <f t="shared" ca="1" si="39"/>
        <v>2.1665791731241897</v>
      </c>
      <c r="H1261" s="2"/>
      <c r="I1261" s="2"/>
      <c r="J1261" s="2"/>
      <c r="K1261" s="2"/>
    </row>
    <row r="1262" spans="5:11" x14ac:dyDescent="0.25">
      <c r="E1262" s="3">
        <f t="shared" ca="1" si="38"/>
        <v>0.43968089025574475</v>
      </c>
      <c r="F1262" s="3">
        <f t="shared" ca="1" si="38"/>
        <v>0.39729229956918988</v>
      </c>
      <c r="G1262" s="3">
        <f t="shared" ca="1" si="39"/>
        <v>4.3626692292398879</v>
      </c>
      <c r="H1262" s="2"/>
      <c r="I1262" s="2"/>
      <c r="J1262" s="2"/>
      <c r="K1262" s="2"/>
    </row>
    <row r="1263" spans="5:11" x14ac:dyDescent="0.25">
      <c r="E1263" s="3">
        <f t="shared" ca="1" si="38"/>
        <v>0.16514147827809911</v>
      </c>
      <c r="F1263" s="3">
        <f t="shared" ca="1" si="38"/>
        <v>0.28330740184259795</v>
      </c>
      <c r="G1263" s="3">
        <f t="shared" ca="1" si="39"/>
        <v>7.286987428844367</v>
      </c>
      <c r="H1263" s="2"/>
      <c r="I1263" s="2"/>
      <c r="J1263" s="2"/>
      <c r="K1263" s="2"/>
    </row>
    <row r="1264" spans="5:11" x14ac:dyDescent="0.25">
      <c r="E1264" s="3">
        <f t="shared" ca="1" si="38"/>
        <v>1.32755663106634E-2</v>
      </c>
      <c r="F1264" s="3">
        <f t="shared" ca="1" si="38"/>
        <v>0.80172135472613293</v>
      </c>
      <c r="G1264" s="3">
        <f t="shared" ca="1" si="39"/>
        <v>15.92328791475301</v>
      </c>
      <c r="H1264" s="2"/>
      <c r="I1264" s="2"/>
      <c r="J1264" s="2"/>
      <c r="K1264" s="2"/>
    </row>
    <row r="1265" spans="5:11" x14ac:dyDescent="0.25">
      <c r="E1265" s="3">
        <f t="shared" ca="1" si="38"/>
        <v>0.74927968166677594</v>
      </c>
      <c r="F1265" s="3">
        <f t="shared" ca="1" si="38"/>
        <v>0.72763132932388563</v>
      </c>
      <c r="G1265" s="3">
        <f t="shared" ca="1" si="39"/>
        <v>7.5816032708860828</v>
      </c>
      <c r="H1265" s="2"/>
      <c r="I1265" s="2"/>
      <c r="J1265" s="2"/>
      <c r="K1265" s="2"/>
    </row>
    <row r="1266" spans="5:11" x14ac:dyDescent="0.25">
      <c r="E1266" s="3">
        <f t="shared" ca="1" si="38"/>
        <v>0.96261024693366337</v>
      </c>
      <c r="F1266" s="3">
        <f t="shared" ca="1" si="38"/>
        <v>0.6079473966722172</v>
      </c>
      <c r="G1266" s="3">
        <f t="shared" ca="1" si="39"/>
        <v>8.8642795324371502</v>
      </c>
      <c r="H1266" s="2"/>
      <c r="I1266" s="2"/>
      <c r="J1266" s="2"/>
      <c r="K1266" s="2"/>
    </row>
    <row r="1267" spans="5:11" x14ac:dyDescent="0.25">
      <c r="E1267" s="3">
        <f t="shared" ca="1" si="38"/>
        <v>0.72897941702510771</v>
      </c>
      <c r="F1267" s="3">
        <f t="shared" ca="1" si="38"/>
        <v>6.6070801207224195E-3</v>
      </c>
      <c r="G1267" s="3">
        <f t="shared" ca="1" si="39"/>
        <v>7.9608795307691302</v>
      </c>
      <c r="H1267" s="2"/>
      <c r="I1267" s="2"/>
      <c r="J1267" s="2"/>
      <c r="K1267" s="2"/>
    </row>
    <row r="1268" spans="5:11" x14ac:dyDescent="0.25">
      <c r="E1268" s="3">
        <f t="shared" ca="1" si="38"/>
        <v>0.95032040285277042</v>
      </c>
      <c r="F1268" s="3">
        <f t="shared" ca="1" si="38"/>
        <v>0.17774681653022606</v>
      </c>
      <c r="G1268" s="3">
        <f t="shared" ca="1" si="39"/>
        <v>6.0013465151750136</v>
      </c>
      <c r="H1268" s="2"/>
      <c r="I1268" s="2"/>
      <c r="J1268" s="2"/>
      <c r="K1268" s="2"/>
    </row>
    <row r="1269" spans="5:11" x14ac:dyDescent="0.25">
      <c r="E1269" s="3">
        <f t="shared" ca="1" si="38"/>
        <v>0.41847306175386167</v>
      </c>
      <c r="F1269" s="3">
        <f t="shared" ca="1" si="38"/>
        <v>0.7033336048535912</v>
      </c>
      <c r="G1269" s="3">
        <f t="shared" ca="1" si="39"/>
        <v>7.8529659608454709</v>
      </c>
      <c r="H1269" s="2"/>
      <c r="I1269" s="2"/>
      <c r="J1269" s="2"/>
      <c r="K1269" s="2"/>
    </row>
    <row r="1270" spans="5:11" x14ac:dyDescent="0.25">
      <c r="E1270" s="3">
        <f t="shared" ca="1" si="38"/>
        <v>0.57414915482148221</v>
      </c>
      <c r="F1270" s="3">
        <f t="shared" ca="1" si="38"/>
        <v>0.10470719470104972</v>
      </c>
      <c r="G1270" s="3">
        <f t="shared" ca="1" si="39"/>
        <v>2.2284426147466525</v>
      </c>
      <c r="H1270" s="2"/>
      <c r="I1270" s="2"/>
      <c r="J1270" s="2"/>
      <c r="K1270" s="2"/>
    </row>
    <row r="1271" spans="5:11" x14ac:dyDescent="0.25">
      <c r="E1271" s="3">
        <f t="shared" ca="1" si="38"/>
        <v>0.10438154694151924</v>
      </c>
      <c r="F1271" s="3">
        <f t="shared" ca="1" si="38"/>
        <v>4.9764711846193466E-2</v>
      </c>
      <c r="G1271" s="3">
        <f t="shared" ca="1" si="39"/>
        <v>9.3198856558791441</v>
      </c>
      <c r="H1271" s="2"/>
      <c r="I1271" s="2"/>
      <c r="J1271" s="2"/>
      <c r="K1271" s="2"/>
    </row>
    <row r="1272" spans="5:11" x14ac:dyDescent="0.25">
      <c r="E1272" s="3">
        <f t="shared" ca="1" si="38"/>
        <v>0.82945248959728968</v>
      </c>
      <c r="F1272" s="3">
        <f t="shared" ca="1" si="38"/>
        <v>0.71954030087821308</v>
      </c>
      <c r="G1272" s="3">
        <f t="shared" ca="1" si="39"/>
        <v>7.7957785877556178</v>
      </c>
      <c r="H1272" s="2"/>
      <c r="I1272" s="2"/>
      <c r="J1272" s="2"/>
      <c r="K1272" s="2"/>
    </row>
    <row r="1273" spans="5:11" x14ac:dyDescent="0.25">
      <c r="E1273" s="3">
        <f t="shared" ca="1" si="38"/>
        <v>0.51879828977718256</v>
      </c>
      <c r="F1273" s="3">
        <f t="shared" ca="1" si="38"/>
        <v>0.15839433539004133</v>
      </c>
      <c r="G1273" s="3">
        <f t="shared" ca="1" si="39"/>
        <v>2.0749466938299119</v>
      </c>
      <c r="H1273" s="2"/>
      <c r="I1273" s="2"/>
      <c r="J1273" s="2"/>
      <c r="K1273" s="2"/>
    </row>
    <row r="1274" spans="5:11" x14ac:dyDescent="0.25">
      <c r="E1274" s="3">
        <f t="shared" ca="1" si="38"/>
        <v>0.10477641567773188</v>
      </c>
      <c r="F1274" s="3">
        <f t="shared" ca="1" si="38"/>
        <v>1.1158807301948515E-2</v>
      </c>
      <c r="G1274" s="3">
        <f t="shared" ca="1" si="39"/>
        <v>10.993666434676081</v>
      </c>
      <c r="H1274" s="2"/>
      <c r="I1274" s="2"/>
      <c r="J1274" s="2"/>
      <c r="K1274" s="2"/>
    </row>
    <row r="1275" spans="5:11" x14ac:dyDescent="0.25">
      <c r="E1275" s="3">
        <f t="shared" ca="1" si="38"/>
        <v>0.25680433869625641</v>
      </c>
      <c r="F1275" s="3">
        <f t="shared" ca="1" si="38"/>
        <v>0.78693039951086596</v>
      </c>
      <c r="G1275" s="3">
        <f t="shared" ca="1" si="39"/>
        <v>10.085054533212295</v>
      </c>
      <c r="H1275" s="2"/>
      <c r="I1275" s="2"/>
      <c r="J1275" s="2"/>
      <c r="K1275" s="2"/>
    </row>
    <row r="1276" spans="5:11" x14ac:dyDescent="0.25">
      <c r="E1276" s="3">
        <f t="shared" ca="1" si="38"/>
        <v>0.3427041041284189</v>
      </c>
      <c r="F1276" s="3">
        <f t="shared" ca="1" si="38"/>
        <v>0.62789013609427535</v>
      </c>
      <c r="G1276" s="3">
        <f t="shared" ca="1" si="39"/>
        <v>7.4447084296635166</v>
      </c>
      <c r="H1276" s="2"/>
      <c r="I1276" s="2"/>
      <c r="J1276" s="2"/>
      <c r="K1276" s="2"/>
    </row>
    <row r="1277" spans="5:11" x14ac:dyDescent="0.25">
      <c r="E1277" s="3">
        <f t="shared" ca="1" si="38"/>
        <v>0.25006375450050355</v>
      </c>
      <c r="F1277" s="3">
        <f t="shared" ca="1" si="38"/>
        <v>0.19182294692087998</v>
      </c>
      <c r="G1277" s="3">
        <f t="shared" ca="1" si="39"/>
        <v>5.612971395316487</v>
      </c>
      <c r="H1277" s="2"/>
      <c r="I1277" s="2"/>
      <c r="J1277" s="2"/>
      <c r="K1277" s="2"/>
    </row>
    <row r="1278" spans="5:11" x14ac:dyDescent="0.25">
      <c r="E1278" s="3">
        <f t="shared" ca="1" si="38"/>
        <v>0.27770258770780121</v>
      </c>
      <c r="F1278" s="3">
        <f t="shared" ca="1" si="38"/>
        <v>0.99665845739828118</v>
      </c>
      <c r="G1278" s="3">
        <f t="shared" ca="1" si="39"/>
        <v>18.762896712658211</v>
      </c>
      <c r="H1278" s="2"/>
      <c r="I1278" s="2"/>
      <c r="J1278" s="2"/>
      <c r="K1278" s="2"/>
    </row>
    <row r="1279" spans="5:11" x14ac:dyDescent="0.25">
      <c r="E1279" s="3">
        <f t="shared" ca="1" si="38"/>
        <v>0.76441658352508102</v>
      </c>
      <c r="F1279" s="3">
        <f t="shared" ca="1" si="38"/>
        <v>0.32790242332755637</v>
      </c>
      <c r="G1279" s="3">
        <f t="shared" ca="1" si="39"/>
        <v>2.623067443606077</v>
      </c>
      <c r="H1279" s="2"/>
      <c r="I1279" s="2"/>
      <c r="J1279" s="2"/>
      <c r="K1279" s="2"/>
    </row>
    <row r="1280" spans="5:11" x14ac:dyDescent="0.25">
      <c r="E1280" s="3">
        <f t="shared" ca="1" si="38"/>
        <v>0.58687201602503203</v>
      </c>
      <c r="F1280" s="3">
        <f t="shared" ca="1" si="38"/>
        <v>0.36920649802698002</v>
      </c>
      <c r="G1280" s="3">
        <f t="shared" ca="1" si="39"/>
        <v>3.0244383140242053</v>
      </c>
      <c r="H1280" s="2"/>
      <c r="I1280" s="2"/>
      <c r="J1280" s="2"/>
      <c r="K1280" s="2"/>
    </row>
    <row r="1281" spans="5:11" x14ac:dyDescent="0.25">
      <c r="E1281" s="3">
        <f t="shared" ca="1" si="38"/>
        <v>0.81848622656172132</v>
      </c>
      <c r="F1281" s="3">
        <f t="shared" ca="1" si="38"/>
        <v>0.98423329909360147</v>
      </c>
      <c r="G1281" s="3">
        <f t="shared" ca="1" si="39"/>
        <v>15.395301335997292</v>
      </c>
      <c r="H1281" s="2"/>
      <c r="I1281" s="2"/>
      <c r="J1281" s="2"/>
      <c r="K1281" s="2"/>
    </row>
    <row r="1282" spans="5:11" x14ac:dyDescent="0.25">
      <c r="E1282" s="3">
        <f t="shared" ca="1" si="38"/>
        <v>0.29285342191792274</v>
      </c>
      <c r="F1282" s="3">
        <f t="shared" ca="1" si="38"/>
        <v>0.50332809415783797</v>
      </c>
      <c r="G1282" s="3">
        <f t="shared" ca="1" si="39"/>
        <v>6.7092208379942466</v>
      </c>
      <c r="H1282" s="2"/>
      <c r="I1282" s="2"/>
      <c r="J1282" s="2"/>
      <c r="K1282" s="2"/>
    </row>
    <row r="1283" spans="5:11" x14ac:dyDescent="0.25">
      <c r="E1283" s="3">
        <f t="shared" ca="1" si="38"/>
        <v>0.35377121490536301</v>
      </c>
      <c r="F1283" s="3">
        <f t="shared" ca="1" si="38"/>
        <v>0.46958063751671986</v>
      </c>
      <c r="G1283" s="3">
        <f t="shared" ca="1" si="39"/>
        <v>5.8015083026220591</v>
      </c>
      <c r="H1283" s="2"/>
      <c r="I1283" s="2"/>
      <c r="J1283" s="2"/>
      <c r="K1283" s="2"/>
    </row>
    <row r="1284" spans="5:11" x14ac:dyDescent="0.25">
      <c r="E1284" s="3">
        <f t="shared" ref="E1284:F1347" ca="1" si="40">RAND()</f>
        <v>0.99230455317695654</v>
      </c>
      <c r="F1284" s="3">
        <f t="shared" ca="1" si="40"/>
        <v>6.5639056720466327E-2</v>
      </c>
      <c r="G1284" s="3">
        <f t="shared" ref="G1284:G1347" ca="1" si="41">SQRT(_xlfn.NORM.INV(E1284,$C$3*COS($C$6),$C$4)^2+_xlfn.NORM.INV(F1284,$C$3*SIN($C$6),$C$4)^2)</f>
        <v>10.342693496133206</v>
      </c>
      <c r="H1284" s="2"/>
      <c r="I1284" s="2"/>
      <c r="J1284" s="2"/>
      <c r="K1284" s="2"/>
    </row>
    <row r="1285" spans="5:11" x14ac:dyDescent="0.25">
      <c r="E1285" s="3">
        <f t="shared" ca="1" si="40"/>
        <v>0.1052432013253628</v>
      </c>
      <c r="F1285" s="3">
        <f t="shared" ca="1" si="40"/>
        <v>0.18076910060277618</v>
      </c>
      <c r="G1285" s="3">
        <f t="shared" ca="1" si="41"/>
        <v>8.5020134964764864</v>
      </c>
      <c r="H1285" s="2"/>
      <c r="I1285" s="2"/>
      <c r="J1285" s="2"/>
      <c r="K1285" s="2"/>
    </row>
    <row r="1286" spans="5:11" x14ac:dyDescent="0.25">
      <c r="E1286" s="3">
        <f t="shared" ca="1" si="40"/>
        <v>0.11639612917775943</v>
      </c>
      <c r="F1286" s="3">
        <f t="shared" ca="1" si="40"/>
        <v>0.43196797963760303</v>
      </c>
      <c r="G1286" s="3">
        <f t="shared" ca="1" si="41"/>
        <v>8.9665545448855308</v>
      </c>
      <c r="H1286" s="2"/>
      <c r="I1286" s="2"/>
      <c r="J1286" s="2"/>
      <c r="K1286" s="2"/>
    </row>
    <row r="1287" spans="5:11" x14ac:dyDescent="0.25">
      <c r="E1287" s="3">
        <f t="shared" ca="1" si="40"/>
        <v>0.5358012752831508</v>
      </c>
      <c r="F1287" s="3">
        <f t="shared" ca="1" si="40"/>
        <v>8.4162691953360569E-2</v>
      </c>
      <c r="G1287" s="3">
        <f t="shared" ca="1" si="41"/>
        <v>3.0091226418530161</v>
      </c>
      <c r="H1287" s="2"/>
      <c r="I1287" s="2"/>
      <c r="J1287" s="2"/>
      <c r="K1287" s="2"/>
    </row>
    <row r="1288" spans="5:11" x14ac:dyDescent="0.25">
      <c r="E1288" s="3">
        <f t="shared" ca="1" si="40"/>
        <v>0.71730663576820985</v>
      </c>
      <c r="F1288" s="3">
        <f t="shared" ca="1" si="40"/>
        <v>0.67165602279615855</v>
      </c>
      <c r="G1288" s="3">
        <f t="shared" ca="1" si="41"/>
        <v>6.7223927071254614</v>
      </c>
      <c r="H1288" s="2"/>
      <c r="I1288" s="2"/>
      <c r="J1288" s="2"/>
      <c r="K1288" s="2"/>
    </row>
    <row r="1289" spans="5:11" x14ac:dyDescent="0.25">
      <c r="E1289" s="3">
        <f t="shared" ca="1" si="40"/>
        <v>0.88707137316418905</v>
      </c>
      <c r="F1289" s="3">
        <f t="shared" ca="1" si="40"/>
        <v>0.37305819372212523</v>
      </c>
      <c r="G1289" s="3">
        <f t="shared" ca="1" si="41"/>
        <v>4.7628074086162515</v>
      </c>
      <c r="H1289" s="2"/>
      <c r="I1289" s="2"/>
      <c r="J1289" s="2"/>
      <c r="K1289" s="2"/>
    </row>
    <row r="1290" spans="5:11" x14ac:dyDescent="0.25">
      <c r="E1290" s="3">
        <f t="shared" ca="1" si="40"/>
        <v>0.17820352716599397</v>
      </c>
      <c r="F1290" s="3">
        <f t="shared" ca="1" si="40"/>
        <v>0.90881002898485486</v>
      </c>
      <c r="G1290" s="3">
        <f t="shared" ca="1" si="41"/>
        <v>13.076043297779336</v>
      </c>
      <c r="H1290" s="2"/>
      <c r="I1290" s="2"/>
      <c r="J1290" s="2"/>
      <c r="K1290" s="2"/>
    </row>
    <row r="1291" spans="5:11" x14ac:dyDescent="0.25">
      <c r="E1291" s="3">
        <f t="shared" ca="1" si="40"/>
        <v>0.29481243363962062</v>
      </c>
      <c r="F1291" s="3">
        <f t="shared" ca="1" si="40"/>
        <v>0.79701147931013872</v>
      </c>
      <c r="G1291" s="3">
        <f t="shared" ca="1" si="41"/>
        <v>9.9381295463017612</v>
      </c>
      <c r="H1291" s="2"/>
      <c r="I1291" s="2"/>
      <c r="J1291" s="2"/>
      <c r="K1291" s="2"/>
    </row>
    <row r="1292" spans="5:11" x14ac:dyDescent="0.25">
      <c r="E1292" s="3">
        <f t="shared" ca="1" si="40"/>
        <v>0.46415157875289548</v>
      </c>
      <c r="F1292" s="3">
        <f t="shared" ca="1" si="40"/>
        <v>0.97188803537217494</v>
      </c>
      <c r="G1292" s="3">
        <f t="shared" ca="1" si="41"/>
        <v>14.272307886762333</v>
      </c>
      <c r="H1292" s="2"/>
      <c r="I1292" s="2"/>
      <c r="J1292" s="2"/>
      <c r="K1292" s="2"/>
    </row>
    <row r="1293" spans="5:11" x14ac:dyDescent="0.25">
      <c r="E1293" s="3">
        <f t="shared" ca="1" si="40"/>
        <v>0.95056135842011791</v>
      </c>
      <c r="F1293" s="3">
        <f t="shared" ca="1" si="40"/>
        <v>0.33243068963927358</v>
      </c>
      <c r="G1293" s="3">
        <f t="shared" ca="1" si="41"/>
        <v>6.4376281584072661</v>
      </c>
      <c r="H1293" s="2"/>
      <c r="I1293" s="2"/>
      <c r="J1293" s="2"/>
      <c r="K1293" s="2"/>
    </row>
    <row r="1294" spans="5:11" x14ac:dyDescent="0.25">
      <c r="E1294" s="3">
        <f t="shared" ca="1" si="40"/>
        <v>0.22743380658089496</v>
      </c>
      <c r="F1294" s="3">
        <f t="shared" ca="1" si="40"/>
        <v>0.55022639640959914</v>
      </c>
      <c r="G1294" s="3">
        <f t="shared" ca="1" si="41"/>
        <v>7.857872364160313</v>
      </c>
      <c r="H1294" s="2"/>
      <c r="I1294" s="2"/>
      <c r="J1294" s="2"/>
      <c r="K1294" s="2"/>
    </row>
    <row r="1295" spans="5:11" x14ac:dyDescent="0.25">
      <c r="E1295" s="3">
        <f t="shared" ca="1" si="40"/>
        <v>0.73925605195964317</v>
      </c>
      <c r="F1295" s="3">
        <f t="shared" ca="1" si="40"/>
        <v>0.43991238724935877</v>
      </c>
      <c r="G1295" s="3">
        <f t="shared" ca="1" si="41"/>
        <v>3.8373199890906045</v>
      </c>
      <c r="H1295" s="2"/>
      <c r="I1295" s="2"/>
      <c r="J1295" s="2"/>
      <c r="K1295" s="2"/>
    </row>
    <row r="1296" spans="5:11" x14ac:dyDescent="0.25">
      <c r="E1296" s="3">
        <f t="shared" ca="1" si="40"/>
        <v>0.72291076023237122</v>
      </c>
      <c r="F1296" s="3">
        <f t="shared" ca="1" si="40"/>
        <v>0.91255450391617687</v>
      </c>
      <c r="G1296" s="3">
        <f t="shared" ca="1" si="41"/>
        <v>11.276086548306516</v>
      </c>
      <c r="H1296" s="2"/>
      <c r="I1296" s="2"/>
      <c r="J1296" s="2"/>
      <c r="K1296" s="2"/>
    </row>
    <row r="1297" spans="5:11" x14ac:dyDescent="0.25">
      <c r="E1297" s="3">
        <f t="shared" ca="1" si="40"/>
        <v>0.95778526744354398</v>
      </c>
      <c r="F1297" s="3">
        <f t="shared" ca="1" si="40"/>
        <v>0.14571739175716081</v>
      </c>
      <c r="G1297" s="3">
        <f t="shared" ca="1" si="41"/>
        <v>6.4378688804701794</v>
      </c>
      <c r="H1297" s="2"/>
      <c r="I1297" s="2"/>
      <c r="J1297" s="2"/>
      <c r="K1297" s="2"/>
    </row>
    <row r="1298" spans="5:11" x14ac:dyDescent="0.25">
      <c r="E1298" s="3">
        <f t="shared" ca="1" si="40"/>
        <v>1.802168892332745E-2</v>
      </c>
      <c r="F1298" s="3">
        <f t="shared" ca="1" si="40"/>
        <v>0.84205950772299409</v>
      </c>
      <c r="G1298" s="3">
        <f t="shared" ca="1" si="41"/>
        <v>15.86897612533339</v>
      </c>
      <c r="H1298" s="2"/>
      <c r="I1298" s="2"/>
      <c r="J1298" s="2"/>
      <c r="K1298" s="2"/>
    </row>
    <row r="1299" spans="5:11" x14ac:dyDescent="0.25">
      <c r="E1299" s="3">
        <f t="shared" ca="1" si="40"/>
        <v>0.59824163660878771</v>
      </c>
      <c r="F1299" s="3">
        <f t="shared" ca="1" si="40"/>
        <v>0.68502867968996017</v>
      </c>
      <c r="G1299" s="3">
        <f t="shared" ca="1" si="41"/>
        <v>6.9508056030141869</v>
      </c>
      <c r="H1299" s="2"/>
      <c r="I1299" s="2"/>
      <c r="J1299" s="2"/>
      <c r="K1299" s="2"/>
    </row>
    <row r="1300" spans="5:11" x14ac:dyDescent="0.25">
      <c r="E1300" s="3">
        <f t="shared" ca="1" si="40"/>
        <v>0.84115317871889483</v>
      </c>
      <c r="F1300" s="3">
        <f t="shared" ca="1" si="40"/>
        <v>0.14448935535126495</v>
      </c>
      <c r="G1300" s="3">
        <f t="shared" ca="1" si="41"/>
        <v>2.8784896891659346</v>
      </c>
      <c r="H1300" s="2"/>
      <c r="I1300" s="2"/>
      <c r="J1300" s="2"/>
      <c r="K1300" s="2"/>
    </row>
    <row r="1301" spans="5:11" x14ac:dyDescent="0.25">
      <c r="E1301" s="3">
        <f t="shared" ca="1" si="40"/>
        <v>0.97653658149470879</v>
      </c>
      <c r="F1301" s="3">
        <f t="shared" ca="1" si="40"/>
        <v>0.19093143252292455</v>
      </c>
      <c r="G1301" s="3">
        <f t="shared" ca="1" si="41"/>
        <v>7.6950510506438938</v>
      </c>
      <c r="H1301" s="2"/>
      <c r="I1301" s="2"/>
      <c r="J1301" s="2"/>
      <c r="K1301" s="2"/>
    </row>
    <row r="1302" spans="5:11" x14ac:dyDescent="0.25">
      <c r="E1302" s="3">
        <f t="shared" ca="1" si="40"/>
        <v>0.80221836146923131</v>
      </c>
      <c r="F1302" s="3">
        <f t="shared" ca="1" si="40"/>
        <v>0.98266644185193264</v>
      </c>
      <c r="G1302" s="3">
        <f t="shared" ca="1" si="41"/>
        <v>15.164573924991858</v>
      </c>
      <c r="H1302" s="2"/>
      <c r="I1302" s="2"/>
      <c r="J1302" s="2"/>
      <c r="K1302" s="2"/>
    </row>
    <row r="1303" spans="5:11" x14ac:dyDescent="0.25">
      <c r="E1303" s="3">
        <f t="shared" ca="1" si="40"/>
        <v>0.78868548210973088</v>
      </c>
      <c r="F1303" s="3">
        <f t="shared" ca="1" si="40"/>
        <v>0.92619348925582079</v>
      </c>
      <c r="G1303" s="3">
        <f t="shared" ca="1" si="41"/>
        <v>11.842916306258918</v>
      </c>
      <c r="H1303" s="2"/>
      <c r="I1303" s="2"/>
      <c r="J1303" s="2"/>
      <c r="K1303" s="2"/>
    </row>
    <row r="1304" spans="5:11" x14ac:dyDescent="0.25">
      <c r="E1304" s="3">
        <f t="shared" ca="1" si="40"/>
        <v>0.21100010920251444</v>
      </c>
      <c r="F1304" s="3">
        <f t="shared" ca="1" si="40"/>
        <v>0.50194545527428547</v>
      </c>
      <c r="G1304" s="3">
        <f t="shared" ca="1" si="41"/>
        <v>7.7023501852542395</v>
      </c>
      <c r="H1304" s="2"/>
      <c r="I1304" s="2"/>
      <c r="J1304" s="2"/>
      <c r="K1304" s="2"/>
    </row>
    <row r="1305" spans="5:11" x14ac:dyDescent="0.25">
      <c r="E1305" s="3">
        <f t="shared" ca="1" si="40"/>
        <v>0.7638567722211923</v>
      </c>
      <c r="F1305" s="3">
        <f t="shared" ca="1" si="40"/>
        <v>0.38891842236505225</v>
      </c>
      <c r="G1305" s="3">
        <f t="shared" ca="1" si="41"/>
        <v>3.3453058504228323</v>
      </c>
      <c r="H1305" s="2"/>
      <c r="I1305" s="2"/>
      <c r="J1305" s="2"/>
      <c r="K1305" s="2"/>
    </row>
    <row r="1306" spans="5:11" x14ac:dyDescent="0.25">
      <c r="E1306" s="3">
        <f t="shared" ca="1" si="40"/>
        <v>0.72805939156648669</v>
      </c>
      <c r="F1306" s="3">
        <f t="shared" ca="1" si="40"/>
        <v>0.98457577076650948</v>
      </c>
      <c r="G1306" s="3">
        <f t="shared" ca="1" si="41"/>
        <v>15.285750046387735</v>
      </c>
      <c r="H1306" s="2"/>
      <c r="I1306" s="2"/>
      <c r="J1306" s="2"/>
      <c r="K1306" s="2"/>
    </row>
    <row r="1307" spans="5:11" x14ac:dyDescent="0.25">
      <c r="E1307" s="3">
        <f t="shared" ca="1" si="40"/>
        <v>0.52188671721641788</v>
      </c>
      <c r="F1307" s="3">
        <f t="shared" ca="1" si="40"/>
        <v>0.70390228229898966</v>
      </c>
      <c r="G1307" s="3">
        <f t="shared" ca="1" si="41"/>
        <v>7.4136768999811826</v>
      </c>
      <c r="H1307" s="2"/>
      <c r="I1307" s="2"/>
      <c r="J1307" s="2"/>
      <c r="K1307" s="2"/>
    </row>
    <row r="1308" spans="5:11" x14ac:dyDescent="0.25">
      <c r="E1308" s="3">
        <f t="shared" ca="1" si="40"/>
        <v>0.32095337628541565</v>
      </c>
      <c r="F1308" s="3">
        <f t="shared" ca="1" si="40"/>
        <v>1.9185412490396292E-2</v>
      </c>
      <c r="G1308" s="3">
        <f t="shared" ca="1" si="41"/>
        <v>7.4478190327925198</v>
      </c>
      <c r="H1308" s="2"/>
      <c r="I1308" s="2"/>
      <c r="J1308" s="2"/>
      <c r="K1308" s="2"/>
    </row>
    <row r="1309" spans="5:11" x14ac:dyDescent="0.25">
      <c r="E1309" s="3">
        <f t="shared" ca="1" si="40"/>
        <v>0.20530625602454833</v>
      </c>
      <c r="F1309" s="3">
        <f t="shared" ca="1" si="40"/>
        <v>0.5017908236134585</v>
      </c>
      <c r="G1309" s="3">
        <f t="shared" ca="1" si="41"/>
        <v>7.7820905933287339</v>
      </c>
      <c r="H1309" s="2"/>
      <c r="I1309" s="2"/>
      <c r="J1309" s="2"/>
      <c r="K1309" s="2"/>
    </row>
    <row r="1310" spans="5:11" x14ac:dyDescent="0.25">
      <c r="E1310" s="3">
        <f t="shared" ca="1" si="40"/>
        <v>0.16716066743776126</v>
      </c>
      <c r="F1310" s="3">
        <f t="shared" ca="1" si="40"/>
        <v>0.87355690408499276</v>
      </c>
      <c r="G1310" s="3">
        <f t="shared" ca="1" si="41"/>
        <v>12.398477446599964</v>
      </c>
      <c r="H1310" s="2"/>
      <c r="I1310" s="2"/>
      <c r="J1310" s="2"/>
      <c r="K1310" s="2"/>
    </row>
    <row r="1311" spans="5:11" x14ac:dyDescent="0.25">
      <c r="E1311" s="3">
        <f t="shared" ca="1" si="40"/>
        <v>0.35138739770616068</v>
      </c>
      <c r="F1311" s="3">
        <f t="shared" ca="1" si="40"/>
        <v>0.15393737115449457</v>
      </c>
      <c r="G1311" s="3">
        <f t="shared" ca="1" si="41"/>
        <v>4.1955933745328249</v>
      </c>
      <c r="H1311" s="2"/>
      <c r="I1311" s="2"/>
      <c r="J1311" s="2"/>
      <c r="K1311" s="2"/>
    </row>
    <row r="1312" spans="5:11" x14ac:dyDescent="0.25">
      <c r="E1312" s="3">
        <f t="shared" ca="1" si="40"/>
        <v>0.83276360091644497</v>
      </c>
      <c r="F1312" s="3">
        <f t="shared" ca="1" si="40"/>
        <v>0.70222269934179038</v>
      </c>
      <c r="G1312" s="3">
        <f t="shared" ca="1" si="41"/>
        <v>7.5786188039280518</v>
      </c>
      <c r="H1312" s="2"/>
      <c r="I1312" s="2"/>
      <c r="J1312" s="2"/>
      <c r="K1312" s="2"/>
    </row>
    <row r="1313" spans="5:11" x14ac:dyDescent="0.25">
      <c r="E1313" s="3">
        <f t="shared" ca="1" si="40"/>
        <v>0.32788615984491631</v>
      </c>
      <c r="F1313" s="3">
        <f t="shared" ca="1" si="40"/>
        <v>0.87605410964363473</v>
      </c>
      <c r="G1313" s="3">
        <f t="shared" ca="1" si="41"/>
        <v>11.179568780282548</v>
      </c>
      <c r="H1313" s="2"/>
      <c r="I1313" s="2"/>
      <c r="J1313" s="2"/>
      <c r="K1313" s="2"/>
    </row>
    <row r="1314" spans="5:11" x14ac:dyDescent="0.25">
      <c r="E1314" s="3">
        <f t="shared" ca="1" si="40"/>
        <v>0.51989102216897032</v>
      </c>
      <c r="F1314" s="3">
        <f t="shared" ca="1" si="40"/>
        <v>0.85693796742766648</v>
      </c>
      <c r="G1314" s="3">
        <f t="shared" ca="1" si="41"/>
        <v>10.003429663042434</v>
      </c>
      <c r="H1314" s="2"/>
      <c r="I1314" s="2"/>
      <c r="J1314" s="2"/>
      <c r="K1314" s="2"/>
    </row>
    <row r="1315" spans="5:11" x14ac:dyDescent="0.25">
      <c r="E1315" s="3">
        <f t="shared" ca="1" si="40"/>
        <v>0.44788180878266848</v>
      </c>
      <c r="F1315" s="3">
        <f t="shared" ca="1" si="40"/>
        <v>0.30754492464697258</v>
      </c>
      <c r="G1315" s="3">
        <f t="shared" ca="1" si="41"/>
        <v>3.4941431618050043</v>
      </c>
      <c r="H1315" s="2"/>
      <c r="I1315" s="2"/>
      <c r="J1315" s="2"/>
      <c r="K1315" s="2"/>
    </row>
    <row r="1316" spans="5:11" x14ac:dyDescent="0.25">
      <c r="E1316" s="3">
        <f t="shared" ca="1" si="40"/>
        <v>0.20167863136158948</v>
      </c>
      <c r="F1316" s="3">
        <f t="shared" ca="1" si="40"/>
        <v>0.59961691475609724</v>
      </c>
      <c r="G1316" s="3">
        <f t="shared" ca="1" si="41"/>
        <v>8.605296609384613</v>
      </c>
      <c r="H1316" s="2"/>
      <c r="I1316" s="2"/>
      <c r="J1316" s="2"/>
      <c r="K1316" s="2"/>
    </row>
    <row r="1317" spans="5:11" x14ac:dyDescent="0.25">
      <c r="E1317" s="3">
        <f t="shared" ca="1" si="40"/>
        <v>0.93369812019562493</v>
      </c>
      <c r="F1317" s="3">
        <f t="shared" ca="1" si="40"/>
        <v>3.0618198109909178E-2</v>
      </c>
      <c r="G1317" s="3">
        <f t="shared" ca="1" si="41"/>
        <v>7.1952524667377418</v>
      </c>
      <c r="H1317" s="2"/>
      <c r="I1317" s="2"/>
      <c r="J1317" s="2"/>
      <c r="K1317" s="2"/>
    </row>
    <row r="1318" spans="5:11" x14ac:dyDescent="0.25">
      <c r="E1318" s="3">
        <f t="shared" ca="1" si="40"/>
        <v>0.2780136974907802</v>
      </c>
      <c r="F1318" s="3">
        <f t="shared" ca="1" si="40"/>
        <v>0.95391339840378242</v>
      </c>
      <c r="G1318" s="3">
        <f t="shared" ca="1" si="41"/>
        <v>13.89361436566119</v>
      </c>
      <c r="H1318" s="2"/>
      <c r="I1318" s="2"/>
      <c r="J1318" s="2"/>
      <c r="K1318" s="2"/>
    </row>
    <row r="1319" spans="5:11" x14ac:dyDescent="0.25">
      <c r="E1319" s="3">
        <f t="shared" ca="1" si="40"/>
        <v>0.46430290656671036</v>
      </c>
      <c r="F1319" s="3">
        <f t="shared" ca="1" si="40"/>
        <v>0.14840246912885957</v>
      </c>
      <c r="G1319" s="3">
        <f t="shared" ca="1" si="41"/>
        <v>2.7900998041057954</v>
      </c>
      <c r="H1319" s="2"/>
      <c r="I1319" s="2"/>
      <c r="J1319" s="2"/>
      <c r="K1319" s="2"/>
    </row>
    <row r="1320" spans="5:11" x14ac:dyDescent="0.25">
      <c r="E1320" s="3">
        <f t="shared" ca="1" si="40"/>
        <v>0.20915025673022225</v>
      </c>
      <c r="F1320" s="3">
        <f t="shared" ca="1" si="40"/>
        <v>0.84447975916098739</v>
      </c>
      <c r="G1320" s="3">
        <f t="shared" ca="1" si="41"/>
        <v>11.421433698885616</v>
      </c>
      <c r="H1320" s="2"/>
      <c r="I1320" s="2"/>
      <c r="J1320" s="2"/>
      <c r="K1320" s="2"/>
    </row>
    <row r="1321" spans="5:11" x14ac:dyDescent="0.25">
      <c r="E1321" s="3">
        <f t="shared" ca="1" si="40"/>
        <v>0.30232377020187051</v>
      </c>
      <c r="F1321" s="3">
        <f t="shared" ca="1" si="40"/>
        <v>0.11855827343453296</v>
      </c>
      <c r="G1321" s="3">
        <f t="shared" ca="1" si="41"/>
        <v>5.0394682523313854</v>
      </c>
      <c r="H1321" s="2"/>
      <c r="I1321" s="2"/>
      <c r="J1321" s="2"/>
      <c r="K1321" s="2"/>
    </row>
    <row r="1322" spans="5:11" x14ac:dyDescent="0.25">
      <c r="E1322" s="3">
        <f t="shared" ca="1" si="40"/>
        <v>0.20521174592525337</v>
      </c>
      <c r="F1322" s="3">
        <f t="shared" ca="1" si="40"/>
        <v>0.67428162325934093</v>
      </c>
      <c r="G1322" s="3">
        <f t="shared" ca="1" si="41"/>
        <v>9.2561953783620687</v>
      </c>
      <c r="H1322" s="2"/>
      <c r="I1322" s="2"/>
      <c r="J1322" s="2"/>
      <c r="K1322" s="2"/>
    </row>
    <row r="1323" spans="5:11" x14ac:dyDescent="0.25">
      <c r="E1323" s="3">
        <f t="shared" ca="1" si="40"/>
        <v>0.36096927225822451</v>
      </c>
      <c r="F1323" s="3">
        <f t="shared" ca="1" si="40"/>
        <v>0.7785563787479427</v>
      </c>
      <c r="G1323" s="3">
        <f t="shared" ca="1" si="41"/>
        <v>9.2281087319525543</v>
      </c>
      <c r="H1323" s="2"/>
      <c r="I1323" s="2"/>
      <c r="J1323" s="2"/>
      <c r="K1323" s="2"/>
    </row>
    <row r="1324" spans="5:11" x14ac:dyDescent="0.25">
      <c r="E1324" s="3">
        <f t="shared" ca="1" si="40"/>
        <v>0.35136770748120427</v>
      </c>
      <c r="F1324" s="3">
        <f t="shared" ca="1" si="40"/>
        <v>0.85977191863687319</v>
      </c>
      <c r="G1324" s="3">
        <f t="shared" ca="1" si="41"/>
        <v>10.703141711731702</v>
      </c>
      <c r="H1324" s="2"/>
      <c r="I1324" s="2"/>
      <c r="J1324" s="2"/>
      <c r="K1324" s="2"/>
    </row>
    <row r="1325" spans="5:11" x14ac:dyDescent="0.25">
      <c r="E1325" s="3">
        <f t="shared" ca="1" si="40"/>
        <v>0.17168448132583891</v>
      </c>
      <c r="F1325" s="3">
        <f t="shared" ca="1" si="40"/>
        <v>0.15927528255512424</v>
      </c>
      <c r="G1325" s="3">
        <f t="shared" ca="1" si="41"/>
        <v>6.9971585960572531</v>
      </c>
      <c r="H1325" s="2"/>
      <c r="I1325" s="2"/>
      <c r="J1325" s="2"/>
      <c r="K1325" s="2"/>
    </row>
    <row r="1326" spans="5:11" x14ac:dyDescent="0.25">
      <c r="E1326" s="3">
        <f t="shared" ca="1" si="40"/>
        <v>0.35162419175611159</v>
      </c>
      <c r="F1326" s="3">
        <f t="shared" ca="1" si="40"/>
        <v>0.97571170278158137</v>
      </c>
      <c r="G1326" s="3">
        <f t="shared" ca="1" si="41"/>
        <v>14.918828061307247</v>
      </c>
      <c r="H1326" s="2"/>
      <c r="I1326" s="2"/>
      <c r="J1326" s="2"/>
      <c r="K1326" s="2"/>
    </row>
    <row r="1327" spans="5:11" x14ac:dyDescent="0.25">
      <c r="E1327" s="3">
        <f t="shared" ca="1" si="40"/>
        <v>3.5690285532213539E-2</v>
      </c>
      <c r="F1327" s="3">
        <f t="shared" ca="1" si="40"/>
        <v>0.43006602023268015</v>
      </c>
      <c r="G1327" s="3">
        <f t="shared" ca="1" si="41"/>
        <v>11.81394818871691</v>
      </c>
      <c r="H1327" s="2"/>
      <c r="I1327" s="2"/>
      <c r="J1327" s="2"/>
      <c r="K1327" s="2"/>
    </row>
    <row r="1328" spans="5:11" x14ac:dyDescent="0.25">
      <c r="E1328" s="3">
        <f t="shared" ca="1" si="40"/>
        <v>0.29091461082874503</v>
      </c>
      <c r="F1328" s="3">
        <f t="shared" ca="1" si="40"/>
        <v>0.53893304976361522</v>
      </c>
      <c r="G1328" s="3">
        <f t="shared" ca="1" si="41"/>
        <v>7.0376344717795263</v>
      </c>
      <c r="H1328" s="2"/>
      <c r="I1328" s="2"/>
      <c r="J1328" s="2"/>
      <c r="K1328" s="2"/>
    </row>
    <row r="1329" spans="5:11" x14ac:dyDescent="0.25">
      <c r="E1329" s="3">
        <f t="shared" ca="1" si="40"/>
        <v>8.233510697779145E-2</v>
      </c>
      <c r="F1329" s="3">
        <f t="shared" ca="1" si="40"/>
        <v>0.28428747641096996</v>
      </c>
      <c r="G1329" s="3">
        <f t="shared" ca="1" si="41"/>
        <v>9.3296302881926376</v>
      </c>
      <c r="H1329" s="2"/>
      <c r="I1329" s="2"/>
      <c r="J1329" s="2"/>
      <c r="K1329" s="2"/>
    </row>
    <row r="1330" spans="5:11" x14ac:dyDescent="0.25">
      <c r="E1330" s="3">
        <f t="shared" ca="1" si="40"/>
        <v>0.18770188190299086</v>
      </c>
      <c r="F1330" s="3">
        <f t="shared" ca="1" si="40"/>
        <v>0.5605890701609052</v>
      </c>
      <c r="G1330" s="3">
        <f t="shared" ca="1" si="41"/>
        <v>8.4792228128848688</v>
      </c>
      <c r="H1330" s="2"/>
      <c r="I1330" s="2"/>
      <c r="J1330" s="2"/>
      <c r="K1330" s="2"/>
    </row>
    <row r="1331" spans="5:11" x14ac:dyDescent="0.25">
      <c r="E1331" s="3">
        <f t="shared" ca="1" si="40"/>
        <v>0.64533276268197826</v>
      </c>
      <c r="F1331" s="3">
        <f t="shared" ca="1" si="40"/>
        <v>0.79276573389715277</v>
      </c>
      <c r="G1331" s="3">
        <f t="shared" ca="1" si="41"/>
        <v>8.558550128504228</v>
      </c>
      <c r="H1331" s="2"/>
      <c r="I1331" s="2"/>
      <c r="J1331" s="2"/>
      <c r="K1331" s="2"/>
    </row>
    <row r="1332" spans="5:11" x14ac:dyDescent="0.25">
      <c r="E1332" s="3">
        <f t="shared" ca="1" si="40"/>
        <v>0.93296217053326924</v>
      </c>
      <c r="F1332" s="3">
        <f t="shared" ca="1" si="40"/>
        <v>0.65153367849059873</v>
      </c>
      <c r="G1332" s="3">
        <f t="shared" ca="1" si="41"/>
        <v>8.2916875481705024</v>
      </c>
      <c r="H1332" s="2"/>
      <c r="I1332" s="2"/>
      <c r="J1332" s="2"/>
      <c r="K1332" s="2"/>
    </row>
    <row r="1333" spans="5:11" x14ac:dyDescent="0.25">
      <c r="E1333" s="3">
        <f t="shared" ca="1" si="40"/>
        <v>9.7269246456990088E-2</v>
      </c>
      <c r="F1333" s="3">
        <f t="shared" ca="1" si="40"/>
        <v>0.17142736662709168</v>
      </c>
      <c r="G1333" s="3">
        <f t="shared" ca="1" si="41"/>
        <v>8.7309755475461266</v>
      </c>
      <c r="H1333" s="2"/>
      <c r="I1333" s="2"/>
      <c r="J1333" s="2"/>
      <c r="K1333" s="2"/>
    </row>
    <row r="1334" spans="5:11" x14ac:dyDescent="0.25">
      <c r="E1334" s="3">
        <f t="shared" ca="1" si="40"/>
        <v>3.6956545153629006E-2</v>
      </c>
      <c r="F1334" s="3">
        <f t="shared" ca="1" si="40"/>
        <v>0.15957140658013014</v>
      </c>
      <c r="G1334" s="3">
        <f t="shared" ca="1" si="41"/>
        <v>11.187804497179858</v>
      </c>
      <c r="H1334" s="2"/>
      <c r="I1334" s="2"/>
      <c r="J1334" s="2"/>
      <c r="K1334" s="2"/>
    </row>
    <row r="1335" spans="5:11" x14ac:dyDescent="0.25">
      <c r="E1335" s="3">
        <f t="shared" ca="1" si="40"/>
        <v>0.83655940967666542</v>
      </c>
      <c r="F1335" s="3">
        <f t="shared" ca="1" si="40"/>
        <v>0.23583489252060941</v>
      </c>
      <c r="G1335" s="3">
        <f t="shared" ca="1" si="41"/>
        <v>2.8006443304879372</v>
      </c>
      <c r="H1335" s="2"/>
      <c r="I1335" s="2"/>
      <c r="J1335" s="2"/>
      <c r="K1335" s="2"/>
    </row>
    <row r="1336" spans="5:11" x14ac:dyDescent="0.25">
      <c r="E1336" s="3">
        <f t="shared" ca="1" si="40"/>
        <v>2.6105724237235339E-2</v>
      </c>
      <c r="F1336" s="3">
        <f t="shared" ca="1" si="40"/>
        <v>0.59309520213229727</v>
      </c>
      <c r="G1336" s="3">
        <f t="shared" ca="1" si="41"/>
        <v>13.214871625329101</v>
      </c>
      <c r="H1336" s="2"/>
      <c r="I1336" s="2"/>
      <c r="J1336" s="2"/>
      <c r="K1336" s="2"/>
    </row>
    <row r="1337" spans="5:11" x14ac:dyDescent="0.25">
      <c r="E1337" s="3">
        <f t="shared" ca="1" si="40"/>
        <v>0.96036272476297357</v>
      </c>
      <c r="F1337" s="3">
        <f t="shared" ca="1" si="40"/>
        <v>3.9356576278940958E-2</v>
      </c>
      <c r="G1337" s="3">
        <f t="shared" ca="1" si="41"/>
        <v>7.83370036769211</v>
      </c>
      <c r="H1337" s="2"/>
      <c r="I1337" s="2"/>
      <c r="J1337" s="2"/>
      <c r="K1337" s="2"/>
    </row>
    <row r="1338" spans="5:11" x14ac:dyDescent="0.25">
      <c r="E1338" s="3">
        <f t="shared" ca="1" si="40"/>
        <v>0.388143971464182</v>
      </c>
      <c r="F1338" s="3">
        <f t="shared" ca="1" si="40"/>
        <v>0.6933197283686533</v>
      </c>
      <c r="G1338" s="3">
        <f t="shared" ca="1" si="41"/>
        <v>7.8964350654419428</v>
      </c>
      <c r="H1338" s="2"/>
      <c r="I1338" s="2"/>
      <c r="J1338" s="2"/>
      <c r="K1338" s="2"/>
    </row>
    <row r="1339" spans="5:11" x14ac:dyDescent="0.25">
      <c r="E1339" s="3">
        <f t="shared" ca="1" si="40"/>
        <v>0.2918346494612053</v>
      </c>
      <c r="F1339" s="3">
        <f t="shared" ca="1" si="40"/>
        <v>0.31576316012866745</v>
      </c>
      <c r="G1339" s="3">
        <f t="shared" ca="1" si="41"/>
        <v>5.3943713562834779</v>
      </c>
      <c r="H1339" s="2"/>
      <c r="I1339" s="2"/>
      <c r="J1339" s="2"/>
      <c r="K1339" s="2"/>
    </row>
    <row r="1340" spans="5:11" x14ac:dyDescent="0.25">
      <c r="E1340" s="3">
        <f t="shared" ca="1" si="40"/>
        <v>0.75600972814270473</v>
      </c>
      <c r="F1340" s="3">
        <f t="shared" ca="1" si="40"/>
        <v>0.21583005477769035</v>
      </c>
      <c r="G1340" s="3">
        <f t="shared" ca="1" si="41"/>
        <v>1.3400840019034741</v>
      </c>
      <c r="H1340" s="2"/>
      <c r="I1340" s="2"/>
      <c r="J1340" s="2"/>
      <c r="K1340" s="2"/>
    </row>
    <row r="1341" spans="5:11" x14ac:dyDescent="0.25">
      <c r="E1341" s="3">
        <f t="shared" ca="1" si="40"/>
        <v>0.51875981826533335</v>
      </c>
      <c r="F1341" s="3">
        <f t="shared" ca="1" si="40"/>
        <v>0.19311244663994498</v>
      </c>
      <c r="G1341" s="3">
        <f t="shared" ca="1" si="41"/>
        <v>2.0098751665934085</v>
      </c>
      <c r="H1341" s="2"/>
      <c r="I1341" s="2"/>
      <c r="J1341" s="2"/>
      <c r="K1341" s="2"/>
    </row>
    <row r="1342" spans="5:11" x14ac:dyDescent="0.25">
      <c r="E1342" s="3">
        <f t="shared" ca="1" si="40"/>
        <v>0.53916290688041191</v>
      </c>
      <c r="F1342" s="3">
        <f t="shared" ca="1" si="40"/>
        <v>0.71281373912832779</v>
      </c>
      <c r="G1342" s="3">
        <f t="shared" ca="1" si="41"/>
        <v>7.4852426597827462</v>
      </c>
      <c r="H1342" s="2"/>
      <c r="I1342" s="2"/>
      <c r="J1342" s="2"/>
      <c r="K1342" s="2"/>
    </row>
    <row r="1343" spans="5:11" x14ac:dyDescent="0.25">
      <c r="E1343" s="3">
        <f t="shared" ca="1" si="40"/>
        <v>1.4681112381666583E-2</v>
      </c>
      <c r="F1343" s="3">
        <f t="shared" ca="1" si="40"/>
        <v>3.5351038017368719E-2</v>
      </c>
      <c r="G1343" s="3">
        <f t="shared" ca="1" si="41"/>
        <v>13.904708091054383</v>
      </c>
      <c r="H1343" s="2"/>
      <c r="I1343" s="2"/>
      <c r="J1343" s="2"/>
      <c r="K1343" s="2"/>
    </row>
    <row r="1344" spans="5:11" x14ac:dyDescent="0.25">
      <c r="E1344" s="3">
        <f t="shared" ca="1" si="40"/>
        <v>0.28050998034135732</v>
      </c>
      <c r="F1344" s="3">
        <f t="shared" ca="1" si="40"/>
        <v>0.78553363521920216</v>
      </c>
      <c r="G1344" s="3">
        <f t="shared" ca="1" si="41"/>
        <v>9.8728729466934553</v>
      </c>
      <c r="H1344" s="2"/>
      <c r="I1344" s="2"/>
      <c r="J1344" s="2"/>
      <c r="K1344" s="2"/>
    </row>
    <row r="1345" spans="5:11" x14ac:dyDescent="0.25">
      <c r="E1345" s="3">
        <f t="shared" ca="1" si="40"/>
        <v>0.95455322757186545</v>
      </c>
      <c r="F1345" s="3">
        <f t="shared" ca="1" si="40"/>
        <v>0.67678025532359332</v>
      </c>
      <c r="G1345" s="3">
        <f t="shared" ca="1" si="41"/>
        <v>9.1841631881296983</v>
      </c>
      <c r="H1345" s="2"/>
      <c r="I1345" s="2"/>
      <c r="J1345" s="2"/>
      <c r="K1345" s="2"/>
    </row>
    <row r="1346" spans="5:11" x14ac:dyDescent="0.25">
      <c r="E1346" s="3">
        <f t="shared" ca="1" si="40"/>
        <v>0.73348110739770767</v>
      </c>
      <c r="F1346" s="3">
        <f t="shared" ca="1" si="40"/>
        <v>0.5393625741162491</v>
      </c>
      <c r="G1346" s="3">
        <f t="shared" ca="1" si="41"/>
        <v>5.040911449737191</v>
      </c>
      <c r="H1346" s="2"/>
      <c r="I1346" s="2"/>
      <c r="J1346" s="2"/>
      <c r="K1346" s="2"/>
    </row>
    <row r="1347" spans="5:11" x14ac:dyDescent="0.25">
      <c r="E1347" s="3">
        <f t="shared" ca="1" si="40"/>
        <v>6.1757097982930498E-2</v>
      </c>
      <c r="F1347" s="3">
        <f t="shared" ca="1" si="40"/>
        <v>0.2544292646155607</v>
      </c>
      <c r="G1347" s="3">
        <f t="shared" ca="1" si="41"/>
        <v>10.009565738150203</v>
      </c>
      <c r="H1347" s="2"/>
      <c r="I1347" s="2"/>
      <c r="J1347" s="2"/>
      <c r="K1347" s="2"/>
    </row>
    <row r="1348" spans="5:11" x14ac:dyDescent="0.25">
      <c r="E1348" s="3">
        <f t="shared" ref="E1348:F1411" ca="1" si="42">RAND()</f>
        <v>0.72676239211346272</v>
      </c>
      <c r="F1348" s="3">
        <f t="shared" ca="1" si="42"/>
        <v>0.40727754229245006</v>
      </c>
      <c r="G1348" s="3">
        <f t="shared" ref="G1348:G1411" ca="1" si="43">SQRT(_xlfn.NORM.INV(E1348,$C$3*COS($C$6),$C$4)^2+_xlfn.NORM.INV(F1348,$C$3*SIN($C$6),$C$4)^2)</f>
        <v>3.3870440313345425</v>
      </c>
      <c r="H1348" s="2"/>
      <c r="I1348" s="2"/>
      <c r="J1348" s="2"/>
      <c r="K1348" s="2"/>
    </row>
    <row r="1349" spans="5:11" x14ac:dyDescent="0.25">
      <c r="E1349" s="3">
        <f t="shared" ca="1" si="42"/>
        <v>0.26229817965058955</v>
      </c>
      <c r="F1349" s="3">
        <f t="shared" ca="1" si="42"/>
        <v>4.1476961991638861E-3</v>
      </c>
      <c r="G1349" s="3">
        <f t="shared" ca="1" si="43"/>
        <v>10.275771097132425</v>
      </c>
      <c r="H1349" s="2"/>
      <c r="I1349" s="2"/>
      <c r="J1349" s="2"/>
      <c r="K1349" s="2"/>
    </row>
    <row r="1350" spans="5:11" x14ac:dyDescent="0.25">
      <c r="E1350" s="3">
        <f t="shared" ca="1" si="42"/>
        <v>0.70655012591829425</v>
      </c>
      <c r="F1350" s="3">
        <f t="shared" ca="1" si="42"/>
        <v>0.82128105676184604</v>
      </c>
      <c r="G1350" s="3">
        <f t="shared" ca="1" si="43"/>
        <v>9.0837698772702602</v>
      </c>
      <c r="H1350" s="2"/>
      <c r="I1350" s="2"/>
      <c r="J1350" s="2"/>
      <c r="K1350" s="2"/>
    </row>
    <row r="1351" spans="5:11" x14ac:dyDescent="0.25">
      <c r="E1351" s="3">
        <f t="shared" ca="1" si="42"/>
        <v>0.47297145234772875</v>
      </c>
      <c r="F1351" s="3">
        <f t="shared" ca="1" si="42"/>
        <v>0.88954582609370125</v>
      </c>
      <c r="G1351" s="3">
        <f t="shared" ca="1" si="43"/>
        <v>10.900149931039554</v>
      </c>
      <c r="H1351" s="2"/>
      <c r="I1351" s="2"/>
      <c r="J1351" s="2"/>
      <c r="K1351" s="2"/>
    </row>
    <row r="1352" spans="5:11" x14ac:dyDescent="0.25">
      <c r="E1352" s="3">
        <f t="shared" ca="1" si="42"/>
        <v>0.33309462186077143</v>
      </c>
      <c r="F1352" s="3">
        <f t="shared" ca="1" si="42"/>
        <v>0.74190887339429112</v>
      </c>
      <c r="G1352" s="3">
        <f t="shared" ca="1" si="43"/>
        <v>8.8812017216612205</v>
      </c>
      <c r="H1352" s="2"/>
      <c r="I1352" s="2"/>
      <c r="J1352" s="2"/>
      <c r="K1352" s="2"/>
    </row>
    <row r="1353" spans="5:11" x14ac:dyDescent="0.25">
      <c r="E1353" s="3">
        <f t="shared" ca="1" si="42"/>
        <v>0.43175615244885179</v>
      </c>
      <c r="F1353" s="3">
        <f t="shared" ca="1" si="42"/>
        <v>0.4363996350491226</v>
      </c>
      <c r="G1353" s="3">
        <f t="shared" ca="1" si="43"/>
        <v>4.8035716104864488</v>
      </c>
      <c r="H1353" s="2"/>
      <c r="I1353" s="2"/>
      <c r="J1353" s="2"/>
      <c r="K1353" s="2"/>
    </row>
    <row r="1354" spans="5:11" x14ac:dyDescent="0.25">
      <c r="E1354" s="3">
        <f t="shared" ca="1" si="42"/>
        <v>0.33191290854120692</v>
      </c>
      <c r="F1354" s="3">
        <f t="shared" ca="1" si="42"/>
        <v>0.16295746138077594</v>
      </c>
      <c r="G1354" s="3">
        <f t="shared" ca="1" si="43"/>
        <v>4.435620372320118</v>
      </c>
      <c r="H1354" s="2"/>
      <c r="I1354" s="2"/>
      <c r="J1354" s="2"/>
      <c r="K1354" s="2"/>
    </row>
    <row r="1355" spans="5:11" x14ac:dyDescent="0.25">
      <c r="E1355" s="3">
        <f t="shared" ca="1" si="42"/>
        <v>0.99813975450946701</v>
      </c>
      <c r="F1355" s="3">
        <f t="shared" ca="1" si="42"/>
        <v>0.5050978213611903</v>
      </c>
      <c r="G1355" s="3">
        <f t="shared" ca="1" si="43"/>
        <v>13.075529199715007</v>
      </c>
      <c r="H1355" s="2"/>
      <c r="I1355" s="2"/>
      <c r="J1355" s="2"/>
      <c r="K1355" s="2"/>
    </row>
    <row r="1356" spans="5:11" x14ac:dyDescent="0.25">
      <c r="E1356" s="3">
        <f t="shared" ca="1" si="42"/>
        <v>0.93581740172570838</v>
      </c>
      <c r="F1356" s="3">
        <f t="shared" ca="1" si="42"/>
        <v>0.74267195107556527</v>
      </c>
      <c r="G1356" s="3">
        <f t="shared" ca="1" si="43"/>
        <v>9.406320611346155</v>
      </c>
      <c r="H1356" s="2"/>
      <c r="I1356" s="2"/>
      <c r="J1356" s="2"/>
      <c r="K1356" s="2"/>
    </row>
    <row r="1357" spans="5:11" x14ac:dyDescent="0.25">
      <c r="E1357" s="3">
        <f t="shared" ca="1" si="42"/>
        <v>0.52388709363649877</v>
      </c>
      <c r="F1357" s="3">
        <f t="shared" ca="1" si="42"/>
        <v>0.32776590671099393</v>
      </c>
      <c r="G1357" s="3">
        <f t="shared" ca="1" si="43"/>
        <v>2.9634835222960518</v>
      </c>
      <c r="H1357" s="2"/>
      <c r="I1357" s="2"/>
      <c r="J1357" s="2"/>
      <c r="K1357" s="2"/>
    </row>
    <row r="1358" spans="5:11" x14ac:dyDescent="0.25">
      <c r="E1358" s="3">
        <f t="shared" ca="1" si="42"/>
        <v>5.0060315075534212E-2</v>
      </c>
      <c r="F1358" s="3">
        <f t="shared" ca="1" si="42"/>
        <v>0.91627659787536719</v>
      </c>
      <c r="G1358" s="3">
        <f t="shared" ca="1" si="43"/>
        <v>15.452366574272267</v>
      </c>
      <c r="H1358" s="2"/>
      <c r="I1358" s="2"/>
      <c r="J1358" s="2"/>
      <c r="K1358" s="2"/>
    </row>
    <row r="1359" spans="5:11" x14ac:dyDescent="0.25">
      <c r="E1359" s="3">
        <f t="shared" ca="1" si="42"/>
        <v>3.9095074447079381E-2</v>
      </c>
      <c r="F1359" s="3">
        <f t="shared" ca="1" si="42"/>
        <v>0.22102704341628632</v>
      </c>
      <c r="G1359" s="3">
        <f t="shared" ca="1" si="43"/>
        <v>11.064535893223885</v>
      </c>
      <c r="H1359" s="2"/>
      <c r="I1359" s="2"/>
      <c r="J1359" s="2"/>
      <c r="K1359" s="2"/>
    </row>
    <row r="1360" spans="5:11" x14ac:dyDescent="0.25">
      <c r="E1360" s="3">
        <f t="shared" ca="1" si="42"/>
        <v>7.6069591282580173E-2</v>
      </c>
      <c r="F1360" s="3">
        <f t="shared" ca="1" si="42"/>
        <v>0.99560061415717205</v>
      </c>
      <c r="G1360" s="3">
        <f t="shared" ca="1" si="43"/>
        <v>19.925694016520101</v>
      </c>
      <c r="H1360" s="2"/>
      <c r="I1360" s="2"/>
      <c r="J1360" s="2"/>
      <c r="K1360" s="2"/>
    </row>
    <row r="1361" spans="5:11" x14ac:dyDescent="0.25">
      <c r="E1361" s="3">
        <f t="shared" ca="1" si="42"/>
        <v>0.15978519073522746</v>
      </c>
      <c r="F1361" s="3">
        <f t="shared" ca="1" si="42"/>
        <v>3.2678314948414444E-2</v>
      </c>
      <c r="G1361" s="3">
        <f t="shared" ca="1" si="43"/>
        <v>8.6366870245431659</v>
      </c>
      <c r="H1361" s="2"/>
      <c r="I1361" s="2"/>
      <c r="J1361" s="2"/>
      <c r="K1361" s="2"/>
    </row>
    <row r="1362" spans="5:11" x14ac:dyDescent="0.25">
      <c r="E1362" s="3">
        <f t="shared" ca="1" si="42"/>
        <v>0.20440788834753543</v>
      </c>
      <c r="F1362" s="3">
        <f t="shared" ca="1" si="42"/>
        <v>0.5359423679069576</v>
      </c>
      <c r="G1362" s="3">
        <f t="shared" ca="1" si="43"/>
        <v>8.0496683418392827</v>
      </c>
      <c r="H1362" s="2"/>
      <c r="I1362" s="2"/>
      <c r="J1362" s="2"/>
      <c r="K1362" s="2"/>
    </row>
    <row r="1363" spans="5:11" x14ac:dyDescent="0.25">
      <c r="E1363" s="3">
        <f t="shared" ca="1" si="42"/>
        <v>9.2662681605649055E-2</v>
      </c>
      <c r="F1363" s="3">
        <f t="shared" ca="1" si="42"/>
        <v>0.54583683054335319</v>
      </c>
      <c r="G1363" s="3">
        <f t="shared" ca="1" si="43"/>
        <v>10.198674788061824</v>
      </c>
      <c r="H1363" s="2"/>
      <c r="I1363" s="2"/>
      <c r="J1363" s="2"/>
      <c r="K1363" s="2"/>
    </row>
    <row r="1364" spans="5:11" x14ac:dyDescent="0.25">
      <c r="E1364" s="3">
        <f t="shared" ca="1" si="42"/>
        <v>2.0621880564215211E-2</v>
      </c>
      <c r="F1364" s="3">
        <f t="shared" ca="1" si="42"/>
        <v>8.704821214141556E-2</v>
      </c>
      <c r="G1364" s="3">
        <f t="shared" ca="1" si="43"/>
        <v>12.661177626444832</v>
      </c>
      <c r="H1364" s="2"/>
      <c r="I1364" s="2"/>
      <c r="J1364" s="2"/>
      <c r="K1364" s="2"/>
    </row>
    <row r="1365" spans="5:11" x14ac:dyDescent="0.25">
      <c r="E1365" s="3">
        <f t="shared" ca="1" si="42"/>
        <v>0.52410632293821557</v>
      </c>
      <c r="F1365" s="3">
        <f t="shared" ca="1" si="42"/>
        <v>0.41408559443209225</v>
      </c>
      <c r="G1365" s="3">
        <f t="shared" ca="1" si="43"/>
        <v>3.900328117343391</v>
      </c>
      <c r="H1365" s="2"/>
      <c r="I1365" s="2"/>
      <c r="J1365" s="2"/>
      <c r="K1365" s="2"/>
    </row>
    <row r="1366" spans="5:11" x14ac:dyDescent="0.25">
      <c r="E1366" s="3">
        <f t="shared" ca="1" si="42"/>
        <v>0.81312481410427129</v>
      </c>
      <c r="F1366" s="3">
        <f t="shared" ca="1" si="42"/>
        <v>0.29167644502402612</v>
      </c>
      <c r="G1366" s="3">
        <f t="shared" ca="1" si="43"/>
        <v>2.8026919042760201</v>
      </c>
      <c r="H1366" s="2"/>
      <c r="I1366" s="2"/>
      <c r="J1366" s="2"/>
      <c r="K1366" s="2"/>
    </row>
    <row r="1367" spans="5:11" x14ac:dyDescent="0.25">
      <c r="E1367" s="3">
        <f t="shared" ca="1" si="42"/>
        <v>0.82428739008242569</v>
      </c>
      <c r="F1367" s="3">
        <f t="shared" ca="1" si="42"/>
        <v>1.5407366540315492E-2</v>
      </c>
      <c r="G1367" s="3">
        <f t="shared" ca="1" si="43"/>
        <v>6.7738623402660245</v>
      </c>
      <c r="H1367" s="2"/>
      <c r="I1367" s="2"/>
      <c r="J1367" s="2"/>
      <c r="K1367" s="2"/>
    </row>
    <row r="1368" spans="5:11" x14ac:dyDescent="0.25">
      <c r="E1368" s="3">
        <f t="shared" ca="1" si="42"/>
        <v>0.73475842930474711</v>
      </c>
      <c r="F1368" s="3">
        <f t="shared" ca="1" si="42"/>
        <v>0.1964728493143677</v>
      </c>
      <c r="G1368" s="3">
        <f t="shared" ca="1" si="43"/>
        <v>0.9177102014576547</v>
      </c>
      <c r="H1368" s="2"/>
      <c r="I1368" s="2"/>
      <c r="J1368" s="2"/>
      <c r="K1368" s="2"/>
    </row>
    <row r="1369" spans="5:11" x14ac:dyDescent="0.25">
      <c r="E1369" s="3">
        <f t="shared" ca="1" si="42"/>
        <v>0.7934008266685546</v>
      </c>
      <c r="F1369" s="3">
        <f t="shared" ca="1" si="42"/>
        <v>0.63445445061662231</v>
      </c>
      <c r="G1369" s="3">
        <f t="shared" ca="1" si="43"/>
        <v>6.4592594802505747</v>
      </c>
      <c r="H1369" s="2"/>
      <c r="I1369" s="2"/>
      <c r="J1369" s="2"/>
      <c r="K1369" s="2"/>
    </row>
    <row r="1370" spans="5:11" x14ac:dyDescent="0.25">
      <c r="E1370" s="3">
        <f t="shared" ca="1" si="42"/>
        <v>0.93665619321659399</v>
      </c>
      <c r="F1370" s="3">
        <f t="shared" ca="1" si="42"/>
        <v>0.14047601246004571</v>
      </c>
      <c r="G1370" s="3">
        <f t="shared" ca="1" si="43"/>
        <v>5.4741300015539558</v>
      </c>
      <c r="H1370" s="2"/>
      <c r="I1370" s="2"/>
      <c r="J1370" s="2"/>
      <c r="K1370" s="2"/>
    </row>
    <row r="1371" spans="5:11" x14ac:dyDescent="0.25">
      <c r="E1371" s="3">
        <f t="shared" ca="1" si="42"/>
        <v>0.86304626080646596</v>
      </c>
      <c r="F1371" s="3">
        <f t="shared" ca="1" si="42"/>
        <v>0.35728958969587654</v>
      </c>
      <c r="G1371" s="3">
        <f t="shared" ca="1" si="43"/>
        <v>4.172662106625955</v>
      </c>
      <c r="H1371" s="2"/>
      <c r="I1371" s="2"/>
      <c r="J1371" s="2"/>
      <c r="K1371" s="2"/>
    </row>
    <row r="1372" spans="5:11" x14ac:dyDescent="0.25">
      <c r="E1372" s="3">
        <f t="shared" ca="1" si="42"/>
        <v>0.14771233463898481</v>
      </c>
      <c r="F1372" s="3">
        <f t="shared" ca="1" si="42"/>
        <v>0.13474473898894845</v>
      </c>
      <c r="G1372" s="3">
        <f t="shared" ca="1" si="43"/>
        <v>7.5454300571100186</v>
      </c>
      <c r="H1372" s="2"/>
      <c r="I1372" s="2"/>
      <c r="J1372" s="2"/>
      <c r="K1372" s="2"/>
    </row>
    <row r="1373" spans="5:11" x14ac:dyDescent="0.25">
      <c r="E1373" s="3">
        <f t="shared" ca="1" si="42"/>
        <v>0.61121967276289413</v>
      </c>
      <c r="F1373" s="3">
        <f t="shared" ca="1" si="42"/>
        <v>0.27057998054273746</v>
      </c>
      <c r="G1373" s="3">
        <f t="shared" ca="1" si="43"/>
        <v>1.639116256877307</v>
      </c>
      <c r="H1373" s="2"/>
      <c r="I1373" s="2"/>
      <c r="J1373" s="2"/>
      <c r="K1373" s="2"/>
    </row>
    <row r="1374" spans="5:11" x14ac:dyDescent="0.25">
      <c r="E1374" s="3">
        <f t="shared" ca="1" si="42"/>
        <v>0.47026860578321295</v>
      </c>
      <c r="F1374" s="3">
        <f t="shared" ca="1" si="42"/>
        <v>0.53317133149024909</v>
      </c>
      <c r="G1374" s="3">
        <f t="shared" ca="1" si="43"/>
        <v>5.5411684776623176</v>
      </c>
      <c r="H1374" s="2"/>
      <c r="I1374" s="2"/>
      <c r="J1374" s="2"/>
      <c r="K1374" s="2"/>
    </row>
    <row r="1375" spans="5:11" x14ac:dyDescent="0.25">
      <c r="E1375" s="3">
        <f t="shared" ca="1" si="42"/>
        <v>0.39767108990088229</v>
      </c>
      <c r="F1375" s="3">
        <f t="shared" ca="1" si="42"/>
        <v>0.56510347801948757</v>
      </c>
      <c r="G1375" s="3">
        <f t="shared" ca="1" si="43"/>
        <v>6.3633343535028439</v>
      </c>
      <c r="H1375" s="2"/>
      <c r="I1375" s="2"/>
      <c r="J1375" s="2"/>
      <c r="K1375" s="2"/>
    </row>
    <row r="1376" spans="5:11" x14ac:dyDescent="0.25">
      <c r="E1376" s="3">
        <f t="shared" ca="1" si="42"/>
        <v>0.30322028451994243</v>
      </c>
      <c r="F1376" s="3">
        <f t="shared" ca="1" si="42"/>
        <v>3.824709171176377E-2</v>
      </c>
      <c r="G1376" s="3">
        <f t="shared" ca="1" si="43"/>
        <v>6.5147096430458244</v>
      </c>
      <c r="H1376" s="2"/>
      <c r="I1376" s="2"/>
      <c r="J1376" s="2"/>
      <c r="K1376" s="2"/>
    </row>
    <row r="1377" spans="5:11" x14ac:dyDescent="0.25">
      <c r="E1377" s="3">
        <f t="shared" ca="1" si="42"/>
        <v>0.42260967304533936</v>
      </c>
      <c r="F1377" s="3">
        <f t="shared" ca="1" si="42"/>
        <v>9.1749130406293844E-2</v>
      </c>
      <c r="G1377" s="3">
        <f t="shared" ca="1" si="43"/>
        <v>3.8858101282193815</v>
      </c>
      <c r="H1377" s="2"/>
      <c r="I1377" s="2"/>
      <c r="J1377" s="2"/>
      <c r="K1377" s="2"/>
    </row>
    <row r="1378" spans="5:11" x14ac:dyDescent="0.25">
      <c r="E1378" s="3">
        <f t="shared" ca="1" si="42"/>
        <v>0.3263698559637449</v>
      </c>
      <c r="F1378" s="3">
        <f t="shared" ca="1" si="42"/>
        <v>8.6011485084283912E-2</v>
      </c>
      <c r="G1378" s="3">
        <f t="shared" ca="1" si="43"/>
        <v>5.0719767216972729</v>
      </c>
      <c r="H1378" s="2"/>
      <c r="I1378" s="2"/>
      <c r="J1378" s="2"/>
      <c r="K1378" s="2"/>
    </row>
    <row r="1379" spans="5:11" x14ac:dyDescent="0.25">
      <c r="E1379" s="3">
        <f t="shared" ca="1" si="42"/>
        <v>0.89342478898778888</v>
      </c>
      <c r="F1379" s="3">
        <f t="shared" ca="1" si="42"/>
        <v>0.17809183394152994</v>
      </c>
      <c r="G1379" s="3">
        <f t="shared" ca="1" si="43"/>
        <v>3.9869548980440523</v>
      </c>
      <c r="H1379" s="2"/>
      <c r="I1379" s="2"/>
      <c r="J1379" s="2"/>
      <c r="K1379" s="2"/>
    </row>
    <row r="1380" spans="5:11" x14ac:dyDescent="0.25">
      <c r="E1380" s="3">
        <f t="shared" ca="1" si="42"/>
        <v>0.50082924483928015</v>
      </c>
      <c r="F1380" s="3">
        <f t="shared" ca="1" si="42"/>
        <v>5.3872245880580705E-2</v>
      </c>
      <c r="G1380" s="3">
        <f t="shared" ca="1" si="43"/>
        <v>4.211009304714092</v>
      </c>
      <c r="H1380" s="2"/>
      <c r="I1380" s="2"/>
      <c r="J1380" s="2"/>
      <c r="K1380" s="2"/>
    </row>
    <row r="1381" spans="5:11" x14ac:dyDescent="0.25">
      <c r="E1381" s="3">
        <f t="shared" ca="1" si="42"/>
        <v>0.88888827582959817</v>
      </c>
      <c r="F1381" s="3">
        <f t="shared" ca="1" si="42"/>
        <v>0.62961636904973761</v>
      </c>
      <c r="G1381" s="3">
        <f t="shared" ca="1" si="43"/>
        <v>7.2406370424982383</v>
      </c>
      <c r="H1381" s="2"/>
      <c r="I1381" s="2"/>
      <c r="J1381" s="2"/>
      <c r="K1381" s="2"/>
    </row>
    <row r="1382" spans="5:11" x14ac:dyDescent="0.25">
      <c r="E1382" s="3">
        <f t="shared" ca="1" si="42"/>
        <v>0.56927188320337974</v>
      </c>
      <c r="F1382" s="3">
        <f t="shared" ca="1" si="42"/>
        <v>7.6450758536528496E-2</v>
      </c>
      <c r="G1382" s="3">
        <f t="shared" ca="1" si="43"/>
        <v>3.0060038456685514</v>
      </c>
      <c r="H1382" s="2"/>
      <c r="I1382" s="2"/>
      <c r="J1382" s="2"/>
      <c r="K1382" s="2"/>
    </row>
    <row r="1383" spans="5:11" x14ac:dyDescent="0.25">
      <c r="E1383" s="3">
        <f t="shared" ca="1" si="42"/>
        <v>0.61649125573283359</v>
      </c>
      <c r="F1383" s="3">
        <f t="shared" ca="1" si="42"/>
        <v>0.43794416522824731</v>
      </c>
      <c r="G1383" s="3">
        <f t="shared" ca="1" si="43"/>
        <v>3.7663309681035759</v>
      </c>
      <c r="H1383" s="2"/>
      <c r="I1383" s="2"/>
      <c r="J1383" s="2"/>
      <c r="K1383" s="2"/>
    </row>
    <row r="1384" spans="5:11" x14ac:dyDescent="0.25">
      <c r="E1384" s="3">
        <f t="shared" ca="1" si="42"/>
        <v>0.36457245719170572</v>
      </c>
      <c r="F1384" s="3">
        <f t="shared" ca="1" si="42"/>
        <v>0.50538857363071554</v>
      </c>
      <c r="G1384" s="3">
        <f t="shared" ca="1" si="43"/>
        <v>6.030205039593092</v>
      </c>
      <c r="H1384" s="2"/>
      <c r="I1384" s="2"/>
      <c r="J1384" s="2"/>
      <c r="K1384" s="2"/>
    </row>
    <row r="1385" spans="5:11" x14ac:dyDescent="0.25">
      <c r="E1385" s="3">
        <f t="shared" ca="1" si="42"/>
        <v>0.12039946798423484</v>
      </c>
      <c r="F1385" s="3">
        <f t="shared" ca="1" si="42"/>
        <v>5.8262014236970527E-3</v>
      </c>
      <c r="G1385" s="3">
        <f t="shared" ca="1" si="43"/>
        <v>11.488991152528943</v>
      </c>
      <c r="H1385" s="2"/>
      <c r="I1385" s="2"/>
      <c r="J1385" s="2"/>
      <c r="K1385" s="2"/>
    </row>
    <row r="1386" spans="5:11" x14ac:dyDescent="0.25">
      <c r="E1386" s="3">
        <f t="shared" ca="1" si="42"/>
        <v>0.32052083881463178</v>
      </c>
      <c r="F1386" s="3">
        <f t="shared" ca="1" si="42"/>
        <v>0.41663533712008238</v>
      </c>
      <c r="G1386" s="3">
        <f t="shared" ca="1" si="43"/>
        <v>5.707736911938678</v>
      </c>
      <c r="H1386" s="2"/>
      <c r="I1386" s="2"/>
      <c r="J1386" s="2"/>
      <c r="K1386" s="2"/>
    </row>
    <row r="1387" spans="5:11" x14ac:dyDescent="0.25">
      <c r="E1387" s="3">
        <f t="shared" ca="1" si="42"/>
        <v>0.40606373152481734</v>
      </c>
      <c r="F1387" s="3">
        <f t="shared" ca="1" si="42"/>
        <v>0.51073020330685703</v>
      </c>
      <c r="G1387" s="3">
        <f t="shared" ca="1" si="43"/>
        <v>5.7408877776224774</v>
      </c>
      <c r="H1387" s="2"/>
      <c r="I1387" s="2"/>
      <c r="J1387" s="2"/>
      <c r="K1387" s="2"/>
    </row>
    <row r="1388" spans="5:11" x14ac:dyDescent="0.25">
      <c r="E1388" s="3">
        <f t="shared" ca="1" si="42"/>
        <v>4.867608810698365E-3</v>
      </c>
      <c r="F1388" s="3">
        <f t="shared" ca="1" si="42"/>
        <v>1.4273750231478477E-2</v>
      </c>
      <c r="G1388" s="3">
        <f t="shared" ca="1" si="43"/>
        <v>16.49159279094701</v>
      </c>
      <c r="H1388" s="2"/>
      <c r="I1388" s="2"/>
      <c r="J1388" s="2"/>
      <c r="K1388" s="2"/>
    </row>
    <row r="1389" spans="5:11" x14ac:dyDescent="0.25">
      <c r="E1389" s="3">
        <f t="shared" ca="1" si="42"/>
        <v>0.96681189303106274</v>
      </c>
      <c r="F1389" s="3">
        <f t="shared" ca="1" si="42"/>
        <v>0.4656473818309782</v>
      </c>
      <c r="G1389" s="3">
        <f t="shared" ca="1" si="43"/>
        <v>8.0288559429272937</v>
      </c>
      <c r="H1389" s="2"/>
      <c r="I1389" s="2"/>
      <c r="J1389" s="2"/>
      <c r="K1389" s="2"/>
    </row>
    <row r="1390" spans="5:11" x14ac:dyDescent="0.25">
      <c r="E1390" s="3">
        <f t="shared" ca="1" si="42"/>
        <v>0.80803332169289399</v>
      </c>
      <c r="F1390" s="3">
        <f t="shared" ca="1" si="42"/>
        <v>0.66392985653792169</v>
      </c>
      <c r="G1390" s="3">
        <f t="shared" ca="1" si="43"/>
        <v>6.9166990464380715</v>
      </c>
      <c r="H1390" s="2"/>
      <c r="I1390" s="2"/>
      <c r="J1390" s="2"/>
      <c r="K1390" s="2"/>
    </row>
    <row r="1391" spans="5:11" x14ac:dyDescent="0.25">
      <c r="E1391" s="3">
        <f t="shared" ca="1" si="42"/>
        <v>0.60564194332242749</v>
      </c>
      <c r="F1391" s="3">
        <f t="shared" ca="1" si="42"/>
        <v>0.30322968531756667</v>
      </c>
      <c r="G1391" s="3">
        <f t="shared" ca="1" si="43"/>
        <v>2.097446468833307</v>
      </c>
      <c r="H1391" s="2"/>
      <c r="I1391" s="2"/>
      <c r="J1391" s="2"/>
      <c r="K1391" s="2"/>
    </row>
    <row r="1392" spans="5:11" x14ac:dyDescent="0.25">
      <c r="E1392" s="3">
        <f t="shared" ca="1" si="42"/>
        <v>0.54813093929059853</v>
      </c>
      <c r="F1392" s="3">
        <f t="shared" ca="1" si="42"/>
        <v>0.48858105800293683</v>
      </c>
      <c r="G1392" s="3">
        <f t="shared" ca="1" si="43"/>
        <v>4.6256912408942235</v>
      </c>
      <c r="H1392" s="2"/>
      <c r="I1392" s="2"/>
      <c r="J1392" s="2"/>
      <c r="K1392" s="2"/>
    </row>
    <row r="1393" spans="5:11" x14ac:dyDescent="0.25">
      <c r="E1393" s="3">
        <f t="shared" ca="1" si="42"/>
        <v>0.54491707242449705</v>
      </c>
      <c r="F1393" s="3">
        <f t="shared" ca="1" si="42"/>
        <v>0.93715884696433072</v>
      </c>
      <c r="G1393" s="3">
        <f t="shared" ca="1" si="43"/>
        <v>12.242045485798146</v>
      </c>
      <c r="H1393" s="2"/>
      <c r="I1393" s="2"/>
      <c r="J1393" s="2"/>
      <c r="K1393" s="2"/>
    </row>
    <row r="1394" spans="5:11" x14ac:dyDescent="0.25">
      <c r="E1394" s="3">
        <f t="shared" ca="1" si="42"/>
        <v>0.19197350563600291</v>
      </c>
      <c r="F1394" s="3">
        <f t="shared" ca="1" si="42"/>
        <v>0.61204909736960433</v>
      </c>
      <c r="G1394" s="3">
        <f t="shared" ca="1" si="43"/>
        <v>8.8434494072372427</v>
      </c>
      <c r="H1394" s="2"/>
      <c r="I1394" s="2"/>
      <c r="J1394" s="2"/>
      <c r="K1394" s="2"/>
    </row>
    <row r="1395" spans="5:11" x14ac:dyDescent="0.25">
      <c r="E1395" s="3">
        <f t="shared" ca="1" si="42"/>
        <v>0.50717748499445547</v>
      </c>
      <c r="F1395" s="3">
        <f t="shared" ca="1" si="42"/>
        <v>0.81975041552750139</v>
      </c>
      <c r="G1395" s="3">
        <f t="shared" ca="1" si="43"/>
        <v>9.2942459854135144</v>
      </c>
      <c r="H1395" s="2"/>
      <c r="I1395" s="2"/>
      <c r="J1395" s="2"/>
      <c r="K1395" s="2"/>
    </row>
    <row r="1396" spans="5:11" x14ac:dyDescent="0.25">
      <c r="E1396" s="3">
        <f t="shared" ca="1" si="42"/>
        <v>0.17264927182160605</v>
      </c>
      <c r="F1396" s="3">
        <f t="shared" ca="1" si="42"/>
        <v>0.46291791160045204</v>
      </c>
      <c r="G1396" s="3">
        <f t="shared" ca="1" si="43"/>
        <v>8.0290502381868922</v>
      </c>
      <c r="H1396" s="2"/>
      <c r="I1396" s="2"/>
      <c r="J1396" s="2"/>
      <c r="K1396" s="2"/>
    </row>
    <row r="1397" spans="5:11" x14ac:dyDescent="0.25">
      <c r="E1397" s="3">
        <f t="shared" ca="1" si="42"/>
        <v>0.55502131351879347</v>
      </c>
      <c r="F1397" s="3">
        <f t="shared" ca="1" si="42"/>
        <v>0.59302336418919732</v>
      </c>
      <c r="G1397" s="3">
        <f t="shared" ca="1" si="43"/>
        <v>5.8551269544355815</v>
      </c>
      <c r="H1397" s="2"/>
      <c r="I1397" s="2"/>
      <c r="J1397" s="2"/>
      <c r="K1397" s="2"/>
    </row>
    <row r="1398" spans="5:11" x14ac:dyDescent="0.25">
      <c r="E1398" s="3">
        <f t="shared" ca="1" si="42"/>
        <v>0.80913876023517572</v>
      </c>
      <c r="F1398" s="3">
        <f t="shared" ca="1" si="42"/>
        <v>0.1217913787094107</v>
      </c>
      <c r="G1398" s="3">
        <f t="shared" ca="1" si="43"/>
        <v>2.5301262208659052</v>
      </c>
      <c r="H1398" s="2"/>
      <c r="I1398" s="2"/>
      <c r="J1398" s="2"/>
      <c r="K1398" s="2"/>
    </row>
    <row r="1399" spans="5:11" x14ac:dyDescent="0.25">
      <c r="E1399" s="3">
        <f t="shared" ca="1" si="42"/>
        <v>0.11603710401008871</v>
      </c>
      <c r="F1399" s="3">
        <f t="shared" ca="1" si="42"/>
        <v>0.57421450821798403</v>
      </c>
      <c r="G1399" s="3">
        <f t="shared" ca="1" si="43"/>
        <v>9.834378172745625</v>
      </c>
      <c r="H1399" s="2"/>
      <c r="I1399" s="2"/>
      <c r="J1399" s="2"/>
      <c r="K1399" s="2"/>
    </row>
    <row r="1400" spans="5:11" x14ac:dyDescent="0.25">
      <c r="E1400" s="3">
        <f t="shared" ca="1" si="42"/>
        <v>0.47280733799305086</v>
      </c>
      <c r="F1400" s="3">
        <f t="shared" ca="1" si="42"/>
        <v>2.5133627003032233E-3</v>
      </c>
      <c r="G1400" s="3">
        <f t="shared" ca="1" si="43"/>
        <v>9.8991107398529206</v>
      </c>
      <c r="H1400" s="2"/>
      <c r="I1400" s="2"/>
      <c r="J1400" s="2"/>
      <c r="K1400" s="2"/>
    </row>
    <row r="1401" spans="5:11" x14ac:dyDescent="0.25">
      <c r="E1401" s="3">
        <f t="shared" ca="1" si="42"/>
        <v>0.14054127261138682</v>
      </c>
      <c r="F1401" s="3">
        <f t="shared" ca="1" si="42"/>
        <v>0.87460586752823688</v>
      </c>
      <c r="G1401" s="3">
        <f t="shared" ca="1" si="43"/>
        <v>12.747648534160142</v>
      </c>
      <c r="H1401" s="2"/>
      <c r="I1401" s="2"/>
      <c r="J1401" s="2"/>
      <c r="K1401" s="2"/>
    </row>
    <row r="1402" spans="5:11" x14ac:dyDescent="0.25">
      <c r="E1402" s="3">
        <f t="shared" ca="1" si="42"/>
        <v>0.34406640016620216</v>
      </c>
      <c r="F1402" s="3">
        <f t="shared" ca="1" si="42"/>
        <v>0.84580859801937347</v>
      </c>
      <c r="G1402" s="3">
        <f t="shared" ca="1" si="43"/>
        <v>10.463861940012009</v>
      </c>
      <c r="H1402" s="2"/>
      <c r="I1402" s="2"/>
      <c r="J1402" s="2"/>
      <c r="K1402" s="2"/>
    </row>
    <row r="1403" spans="5:11" x14ac:dyDescent="0.25">
      <c r="E1403" s="3">
        <f t="shared" ca="1" si="42"/>
        <v>3.9338133365186323E-2</v>
      </c>
      <c r="F1403" s="3">
        <f t="shared" ca="1" si="42"/>
        <v>0.12850827724098102</v>
      </c>
      <c r="G1403" s="3">
        <f t="shared" ca="1" si="43"/>
        <v>11.097248475841209</v>
      </c>
      <c r="H1403" s="2"/>
      <c r="I1403" s="2"/>
      <c r="J1403" s="2"/>
      <c r="K1403" s="2"/>
    </row>
    <row r="1404" spans="5:11" x14ac:dyDescent="0.25">
      <c r="E1404" s="3">
        <f t="shared" ca="1" si="42"/>
        <v>0.80038216140412588</v>
      </c>
      <c r="F1404" s="3">
        <f t="shared" ca="1" si="42"/>
        <v>0.22238309718508675</v>
      </c>
      <c r="G1404" s="3">
        <f t="shared" ca="1" si="43"/>
        <v>2.0785313681641999</v>
      </c>
      <c r="H1404" s="2"/>
      <c r="I1404" s="2"/>
      <c r="J1404" s="2"/>
      <c r="K1404" s="2"/>
    </row>
    <row r="1405" spans="5:11" x14ac:dyDescent="0.25">
      <c r="E1405" s="3">
        <f t="shared" ca="1" si="42"/>
        <v>0.93706415500348095</v>
      </c>
      <c r="F1405" s="3">
        <f t="shared" ca="1" si="42"/>
        <v>0.55643751624224991</v>
      </c>
      <c r="G1405" s="3">
        <f t="shared" ca="1" si="43"/>
        <v>7.4916698433887658</v>
      </c>
      <c r="H1405" s="2"/>
      <c r="I1405" s="2"/>
      <c r="J1405" s="2"/>
      <c r="K1405" s="2"/>
    </row>
    <row r="1406" spans="5:11" x14ac:dyDescent="0.25">
      <c r="E1406" s="3">
        <f t="shared" ca="1" si="42"/>
        <v>0.45116881864775793</v>
      </c>
      <c r="F1406" s="3">
        <f t="shared" ca="1" si="42"/>
        <v>0.49749149688869032</v>
      </c>
      <c r="G1406" s="3">
        <f t="shared" ca="1" si="43"/>
        <v>5.2768822525727739</v>
      </c>
      <c r="H1406" s="2"/>
      <c r="I1406" s="2"/>
      <c r="J1406" s="2"/>
      <c r="K1406" s="2"/>
    </row>
    <row r="1407" spans="5:11" x14ac:dyDescent="0.25">
      <c r="E1407" s="3">
        <f t="shared" ca="1" si="42"/>
        <v>0.72534534380331595</v>
      </c>
      <c r="F1407" s="3">
        <f t="shared" ca="1" si="42"/>
        <v>0.87779098202825956</v>
      </c>
      <c r="G1407" s="3">
        <f t="shared" ca="1" si="43"/>
        <v>10.317616035403534</v>
      </c>
      <c r="H1407" s="2"/>
      <c r="I1407" s="2"/>
      <c r="J1407" s="2"/>
      <c r="K1407" s="2"/>
    </row>
    <row r="1408" spans="5:11" x14ac:dyDescent="0.25">
      <c r="E1408" s="3">
        <f t="shared" ca="1" si="42"/>
        <v>0.75861182829308149</v>
      </c>
      <c r="F1408" s="3">
        <f t="shared" ca="1" si="42"/>
        <v>0.32620333161555559</v>
      </c>
      <c r="G1408" s="3">
        <f t="shared" ca="1" si="43"/>
        <v>2.5551837995917555</v>
      </c>
      <c r="H1408" s="2"/>
      <c r="I1408" s="2"/>
      <c r="J1408" s="2"/>
      <c r="K1408" s="2"/>
    </row>
    <row r="1409" spans="5:11" x14ac:dyDescent="0.25">
      <c r="E1409" s="3">
        <f t="shared" ca="1" si="42"/>
        <v>0.16781734149876448</v>
      </c>
      <c r="F1409" s="3">
        <f t="shared" ca="1" si="42"/>
        <v>2.2184164536834916E-2</v>
      </c>
      <c r="G1409" s="3">
        <f t="shared" ca="1" si="43"/>
        <v>8.9964283173041757</v>
      </c>
      <c r="H1409" s="2"/>
      <c r="I1409" s="2"/>
      <c r="J1409" s="2"/>
      <c r="K1409" s="2"/>
    </row>
    <row r="1410" spans="5:11" x14ac:dyDescent="0.25">
      <c r="E1410" s="3">
        <f t="shared" ca="1" si="42"/>
        <v>0.39743113796441765</v>
      </c>
      <c r="F1410" s="3">
        <f t="shared" ca="1" si="42"/>
        <v>6.4032841796479723E-4</v>
      </c>
      <c r="G1410" s="3">
        <f t="shared" ca="1" si="43"/>
        <v>12.158292112730532</v>
      </c>
      <c r="H1410" s="2"/>
      <c r="I1410" s="2"/>
      <c r="J1410" s="2"/>
      <c r="K1410" s="2"/>
    </row>
    <row r="1411" spans="5:11" x14ac:dyDescent="0.25">
      <c r="E1411" s="3">
        <f t="shared" ca="1" si="42"/>
        <v>0.97097141592840852</v>
      </c>
      <c r="F1411" s="3">
        <f t="shared" ca="1" si="42"/>
        <v>0.59514541437375346</v>
      </c>
      <c r="G1411" s="3">
        <f t="shared" ca="1" si="43"/>
        <v>9.1952869916720434</v>
      </c>
      <c r="H1411" s="2"/>
      <c r="I1411" s="2"/>
      <c r="J1411" s="2"/>
      <c r="K1411" s="2"/>
    </row>
    <row r="1412" spans="5:11" x14ac:dyDescent="0.25">
      <c r="E1412" s="3">
        <f t="shared" ref="E1412:F1475" ca="1" si="44">RAND()</f>
        <v>0.93538753428049126</v>
      </c>
      <c r="F1412" s="3">
        <f t="shared" ca="1" si="44"/>
        <v>0.43392957041909852</v>
      </c>
      <c r="G1412" s="3">
        <f t="shared" ref="G1412:G1475" ca="1" si="45">SQRT(_xlfn.NORM.INV(E1412,$C$3*COS($C$6),$C$4)^2+_xlfn.NORM.INV(F1412,$C$3*SIN($C$6),$C$4)^2)</f>
        <v>6.4660372484524116</v>
      </c>
      <c r="H1412" s="2"/>
      <c r="I1412" s="2"/>
      <c r="J1412" s="2"/>
      <c r="K1412" s="2"/>
    </row>
    <row r="1413" spans="5:11" x14ac:dyDescent="0.25">
      <c r="E1413" s="3">
        <f t="shared" ca="1" si="44"/>
        <v>0.70582741880956357</v>
      </c>
      <c r="F1413" s="3">
        <f t="shared" ca="1" si="44"/>
        <v>0.64615548673637979</v>
      </c>
      <c r="G1413" s="3">
        <f t="shared" ca="1" si="45"/>
        <v>6.3618673296362926</v>
      </c>
      <c r="H1413" s="2"/>
      <c r="I1413" s="2"/>
      <c r="J1413" s="2"/>
      <c r="K1413" s="2"/>
    </row>
    <row r="1414" spans="5:11" x14ac:dyDescent="0.25">
      <c r="E1414" s="3">
        <f t="shared" ca="1" si="44"/>
        <v>0.86494537782564984</v>
      </c>
      <c r="F1414" s="3">
        <f t="shared" ca="1" si="44"/>
        <v>0.81598657338945979</v>
      </c>
      <c r="G1414" s="3">
        <f t="shared" ca="1" si="45"/>
        <v>9.5495220720624712</v>
      </c>
      <c r="H1414" s="2"/>
      <c r="I1414" s="2"/>
      <c r="J1414" s="2"/>
      <c r="K1414" s="2"/>
    </row>
    <row r="1415" spans="5:11" x14ac:dyDescent="0.25">
      <c r="E1415" s="3">
        <f t="shared" ca="1" si="44"/>
        <v>0.21324364245348482</v>
      </c>
      <c r="F1415" s="3">
        <f t="shared" ca="1" si="44"/>
        <v>0.7743316650509674</v>
      </c>
      <c r="G1415" s="3">
        <f t="shared" ca="1" si="45"/>
        <v>10.318660769249721</v>
      </c>
      <c r="H1415" s="2"/>
      <c r="I1415" s="2"/>
      <c r="J1415" s="2"/>
      <c r="K1415" s="2"/>
    </row>
    <row r="1416" spans="5:11" x14ac:dyDescent="0.25">
      <c r="E1416" s="3">
        <f t="shared" ca="1" si="44"/>
        <v>0.66595566768953751</v>
      </c>
      <c r="F1416" s="3">
        <f t="shared" ca="1" si="44"/>
        <v>0.3494134368452001</v>
      </c>
      <c r="G1416" s="3">
        <f t="shared" ca="1" si="45"/>
        <v>2.5372964915384042</v>
      </c>
      <c r="H1416" s="2"/>
      <c r="I1416" s="2"/>
      <c r="J1416" s="2"/>
      <c r="K1416" s="2"/>
    </row>
    <row r="1417" spans="5:11" x14ac:dyDescent="0.25">
      <c r="E1417" s="3">
        <f t="shared" ca="1" si="44"/>
        <v>0.99130558845986338</v>
      </c>
      <c r="F1417" s="3">
        <f t="shared" ca="1" si="44"/>
        <v>0.81515376723202826</v>
      </c>
      <c r="G1417" s="3">
        <f t="shared" ca="1" si="45"/>
        <v>13.166183293674496</v>
      </c>
      <c r="H1417" s="2"/>
      <c r="I1417" s="2"/>
      <c r="J1417" s="2"/>
      <c r="K1417" s="2"/>
    </row>
    <row r="1418" spans="5:11" x14ac:dyDescent="0.25">
      <c r="E1418" s="3">
        <f t="shared" ca="1" si="44"/>
        <v>0.30368501381695923</v>
      </c>
      <c r="F1418" s="3">
        <f t="shared" ca="1" si="44"/>
        <v>2.0361686493508668E-2</v>
      </c>
      <c r="G1418" s="3">
        <f t="shared" ca="1" si="45"/>
        <v>7.5052408912867161</v>
      </c>
      <c r="H1418" s="2"/>
      <c r="I1418" s="2"/>
      <c r="J1418" s="2"/>
      <c r="K1418" s="2"/>
    </row>
    <row r="1419" spans="5:11" x14ac:dyDescent="0.25">
      <c r="E1419" s="3">
        <f t="shared" ca="1" si="44"/>
        <v>0.42386039921949248</v>
      </c>
      <c r="F1419" s="3">
        <f t="shared" ca="1" si="44"/>
        <v>0.31610042686524586</v>
      </c>
      <c r="G1419" s="3">
        <f t="shared" ca="1" si="45"/>
        <v>3.8152899492802521</v>
      </c>
      <c r="H1419" s="2"/>
      <c r="I1419" s="2"/>
      <c r="J1419" s="2"/>
      <c r="K1419" s="2"/>
    </row>
    <row r="1420" spans="5:11" x14ac:dyDescent="0.25">
      <c r="E1420" s="3">
        <f t="shared" ca="1" si="44"/>
        <v>0.99901490397061588</v>
      </c>
      <c r="F1420" s="3">
        <f t="shared" ca="1" si="44"/>
        <v>4.7660884004091186E-2</v>
      </c>
      <c r="G1420" s="3">
        <f t="shared" ca="1" si="45"/>
        <v>13.787320541124119</v>
      </c>
      <c r="H1420" s="2"/>
      <c r="I1420" s="2"/>
      <c r="J1420" s="2"/>
      <c r="K1420" s="2"/>
    </row>
    <row r="1421" spans="5:11" x14ac:dyDescent="0.25">
      <c r="E1421" s="3">
        <f t="shared" ca="1" si="44"/>
        <v>0.84874971856183357</v>
      </c>
      <c r="F1421" s="3">
        <f t="shared" ca="1" si="44"/>
        <v>0.27933726689460858</v>
      </c>
      <c r="G1421" s="3">
        <f t="shared" ca="1" si="45"/>
        <v>3.2996165978509788</v>
      </c>
      <c r="H1421" s="2"/>
      <c r="I1421" s="2"/>
      <c r="J1421" s="2"/>
      <c r="K1421" s="2"/>
    </row>
    <row r="1422" spans="5:11" x14ac:dyDescent="0.25">
      <c r="E1422" s="3">
        <f t="shared" ca="1" si="44"/>
        <v>0.11383475431775314</v>
      </c>
      <c r="F1422" s="3">
        <f t="shared" ca="1" si="44"/>
        <v>0.51620349029354928</v>
      </c>
      <c r="G1422" s="3">
        <f t="shared" ca="1" si="45"/>
        <v>9.5009888446251871</v>
      </c>
      <c r="H1422" s="2"/>
      <c r="I1422" s="2"/>
      <c r="J1422" s="2"/>
      <c r="K1422" s="2"/>
    </row>
    <row r="1423" spans="5:11" x14ac:dyDescent="0.25">
      <c r="E1423" s="3">
        <f t="shared" ca="1" si="44"/>
        <v>0.37741145628832495</v>
      </c>
      <c r="F1423" s="3">
        <f t="shared" ca="1" si="44"/>
        <v>0.90113106520521924</v>
      </c>
      <c r="G1423" s="3">
        <f t="shared" ca="1" si="45"/>
        <v>11.5535256378722</v>
      </c>
      <c r="H1423" s="2"/>
      <c r="I1423" s="2"/>
      <c r="J1423" s="2"/>
      <c r="K1423" s="2"/>
    </row>
    <row r="1424" spans="5:11" x14ac:dyDescent="0.25">
      <c r="E1424" s="3">
        <f t="shared" ca="1" si="44"/>
        <v>7.9962316862519089E-2</v>
      </c>
      <c r="F1424" s="3">
        <f t="shared" ca="1" si="44"/>
        <v>0.35016023685406772</v>
      </c>
      <c r="G1424" s="3">
        <f t="shared" ca="1" si="45"/>
        <v>9.6102529421999883</v>
      </c>
      <c r="H1424" s="2"/>
      <c r="I1424" s="2"/>
      <c r="J1424" s="2"/>
      <c r="K1424" s="2"/>
    </row>
    <row r="1425" spans="5:11" x14ac:dyDescent="0.25">
      <c r="E1425" s="3">
        <f t="shared" ca="1" si="44"/>
        <v>3.2889366665230346E-2</v>
      </c>
      <c r="F1425" s="3">
        <f t="shared" ca="1" si="44"/>
        <v>0.78897416961574018</v>
      </c>
      <c r="G1425" s="3">
        <f t="shared" ca="1" si="45"/>
        <v>14.242804977503344</v>
      </c>
      <c r="H1425" s="2"/>
      <c r="I1425" s="2"/>
      <c r="J1425" s="2"/>
      <c r="K1425" s="2"/>
    </row>
    <row r="1426" spans="5:11" x14ac:dyDescent="0.25">
      <c r="E1426" s="3">
        <f t="shared" ca="1" si="44"/>
        <v>0.70340968244596114</v>
      </c>
      <c r="F1426" s="3">
        <f t="shared" ca="1" si="44"/>
        <v>7.6373695272547337E-2</v>
      </c>
      <c r="G1426" s="3">
        <f t="shared" ca="1" si="45"/>
        <v>2.7138972071513399</v>
      </c>
      <c r="H1426" s="2"/>
      <c r="I1426" s="2"/>
      <c r="J1426" s="2"/>
      <c r="K1426" s="2"/>
    </row>
    <row r="1427" spans="5:11" x14ac:dyDescent="0.25">
      <c r="E1427" s="3">
        <f t="shared" ca="1" si="44"/>
        <v>0.2574699555638662</v>
      </c>
      <c r="F1427" s="3">
        <f t="shared" ca="1" si="44"/>
        <v>0.84358471197604212</v>
      </c>
      <c r="G1427" s="3">
        <f t="shared" ca="1" si="45"/>
        <v>10.989615078961833</v>
      </c>
      <c r="H1427" s="2"/>
      <c r="I1427" s="2"/>
      <c r="J1427" s="2"/>
      <c r="K1427" s="2"/>
    </row>
    <row r="1428" spans="5:11" x14ac:dyDescent="0.25">
      <c r="E1428" s="3">
        <f t="shared" ca="1" si="44"/>
        <v>0.68162999817005521</v>
      </c>
      <c r="F1428" s="3">
        <f t="shared" ca="1" si="44"/>
        <v>0.47104776944997173</v>
      </c>
      <c r="G1428" s="3">
        <f t="shared" ca="1" si="45"/>
        <v>4.1085822023343486</v>
      </c>
      <c r="H1428" s="2"/>
      <c r="I1428" s="2"/>
      <c r="J1428" s="2"/>
      <c r="K1428" s="2"/>
    </row>
    <row r="1429" spans="5:11" x14ac:dyDescent="0.25">
      <c r="E1429" s="3">
        <f t="shared" ca="1" si="44"/>
        <v>6.0721015407949608E-4</v>
      </c>
      <c r="F1429" s="3">
        <f t="shared" ca="1" si="44"/>
        <v>1.9227405971770084E-3</v>
      </c>
      <c r="G1429" s="3">
        <f t="shared" ca="1" si="45"/>
        <v>20.949221636252791</v>
      </c>
      <c r="H1429" s="2"/>
      <c r="I1429" s="2"/>
      <c r="J1429" s="2"/>
      <c r="K1429" s="2"/>
    </row>
    <row r="1430" spans="5:11" x14ac:dyDescent="0.25">
      <c r="E1430" s="3">
        <f t="shared" ca="1" si="44"/>
        <v>2.1507700208326486E-2</v>
      </c>
      <c r="F1430" s="3">
        <f t="shared" ca="1" si="44"/>
        <v>0.83399531940489613</v>
      </c>
      <c r="G1430" s="3">
        <f t="shared" ca="1" si="45"/>
        <v>15.478804958496001</v>
      </c>
      <c r="H1430" s="2"/>
      <c r="I1430" s="2"/>
      <c r="J1430" s="2"/>
      <c r="K1430" s="2"/>
    </row>
    <row r="1431" spans="5:11" x14ac:dyDescent="0.25">
      <c r="E1431" s="3">
        <f t="shared" ca="1" si="44"/>
        <v>0.26398567068901069</v>
      </c>
      <c r="F1431" s="3">
        <f t="shared" ca="1" si="44"/>
        <v>0.37748643501367218</v>
      </c>
      <c r="G1431" s="3">
        <f t="shared" ca="1" si="45"/>
        <v>6.1303440806387393</v>
      </c>
      <c r="H1431" s="2"/>
      <c r="I1431" s="2"/>
      <c r="J1431" s="2"/>
      <c r="K1431" s="2"/>
    </row>
    <row r="1432" spans="5:11" x14ac:dyDescent="0.25">
      <c r="E1432" s="3">
        <f t="shared" ca="1" si="44"/>
        <v>0.95372369375871935</v>
      </c>
      <c r="F1432" s="3">
        <f t="shared" ca="1" si="44"/>
        <v>0.13836021612976546</v>
      </c>
      <c r="G1432" s="3">
        <f t="shared" ca="1" si="45"/>
        <v>6.2456146745404411</v>
      </c>
      <c r="H1432" s="2"/>
      <c r="I1432" s="2"/>
      <c r="J1432" s="2"/>
      <c r="K1432" s="2"/>
    </row>
    <row r="1433" spans="5:11" x14ac:dyDescent="0.25">
      <c r="E1433" s="3">
        <f t="shared" ca="1" si="44"/>
        <v>0.50064370385966284</v>
      </c>
      <c r="F1433" s="3">
        <f t="shared" ca="1" si="44"/>
        <v>0.91466018812121663</v>
      </c>
      <c r="G1433" s="3">
        <f t="shared" ca="1" si="45"/>
        <v>11.538103261351871</v>
      </c>
      <c r="H1433" s="2"/>
      <c r="I1433" s="2"/>
      <c r="J1433" s="2"/>
      <c r="K1433" s="2"/>
    </row>
    <row r="1434" spans="5:11" x14ac:dyDescent="0.25">
      <c r="E1434" s="3">
        <f t="shared" ca="1" si="44"/>
        <v>0.6901212748975506</v>
      </c>
      <c r="F1434" s="3">
        <f t="shared" ca="1" si="44"/>
        <v>9.164118432059587E-2</v>
      </c>
      <c r="G1434" s="3">
        <f t="shared" ca="1" si="45"/>
        <v>2.1968138784922822</v>
      </c>
      <c r="H1434" s="2"/>
      <c r="I1434" s="2"/>
      <c r="J1434" s="2"/>
      <c r="K1434" s="2"/>
    </row>
    <row r="1435" spans="5:11" x14ac:dyDescent="0.25">
      <c r="E1435" s="3">
        <f t="shared" ca="1" si="44"/>
        <v>0.66689135991098569</v>
      </c>
      <c r="F1435" s="3">
        <f t="shared" ca="1" si="44"/>
        <v>0.55028483789987737</v>
      </c>
      <c r="G1435" s="3">
        <f t="shared" ca="1" si="45"/>
        <v>5.1025739962492604</v>
      </c>
      <c r="H1435" s="2"/>
      <c r="I1435" s="2"/>
      <c r="J1435" s="2"/>
      <c r="K1435" s="2"/>
    </row>
    <row r="1436" spans="5:11" x14ac:dyDescent="0.25">
      <c r="E1436" s="3">
        <f t="shared" ca="1" si="44"/>
        <v>0.72815045097512188</v>
      </c>
      <c r="F1436" s="3">
        <f t="shared" ca="1" si="44"/>
        <v>0.14872142857117465</v>
      </c>
      <c r="G1436" s="3">
        <f t="shared" ca="1" si="45"/>
        <v>1.0864558396523798</v>
      </c>
      <c r="H1436" s="2"/>
      <c r="I1436" s="2"/>
      <c r="J1436" s="2"/>
      <c r="K1436" s="2"/>
    </row>
    <row r="1437" spans="5:11" x14ac:dyDescent="0.25">
      <c r="E1437" s="3">
        <f t="shared" ca="1" si="44"/>
        <v>2.9980744186691277E-2</v>
      </c>
      <c r="F1437" s="3">
        <f t="shared" ca="1" si="44"/>
        <v>0.20399316005080859</v>
      </c>
      <c r="G1437" s="3">
        <f t="shared" ca="1" si="45"/>
        <v>11.650504898492354</v>
      </c>
      <c r="H1437" s="2"/>
      <c r="I1437" s="2"/>
      <c r="J1437" s="2"/>
      <c r="K1437" s="2"/>
    </row>
    <row r="1438" spans="5:11" x14ac:dyDescent="0.25">
      <c r="E1438" s="3">
        <f t="shared" ca="1" si="44"/>
        <v>0.15529813839109752</v>
      </c>
      <c r="F1438" s="3">
        <f t="shared" ca="1" si="44"/>
        <v>0.89284796571902592</v>
      </c>
      <c r="G1438" s="3">
        <f t="shared" ca="1" si="45"/>
        <v>12.941480424247413</v>
      </c>
      <c r="H1438" s="2"/>
      <c r="I1438" s="2"/>
      <c r="J1438" s="2"/>
      <c r="K1438" s="2"/>
    </row>
    <row r="1439" spans="5:11" x14ac:dyDescent="0.25">
      <c r="E1439" s="3">
        <f t="shared" ca="1" si="44"/>
        <v>6.9737343049185885E-2</v>
      </c>
      <c r="F1439" s="3">
        <f t="shared" ca="1" si="44"/>
        <v>6.8454823574246593E-3</v>
      </c>
      <c r="G1439" s="3">
        <f t="shared" ca="1" si="45"/>
        <v>12.427489712716238</v>
      </c>
      <c r="H1439" s="2"/>
      <c r="I1439" s="2"/>
      <c r="J1439" s="2"/>
      <c r="K1439" s="2"/>
    </row>
    <row r="1440" spans="5:11" x14ac:dyDescent="0.25">
      <c r="E1440" s="3">
        <f t="shared" ca="1" si="44"/>
        <v>0.39727389020801374</v>
      </c>
      <c r="F1440" s="3">
        <f t="shared" ca="1" si="44"/>
        <v>0.33144967114223833</v>
      </c>
      <c r="G1440" s="3">
        <f t="shared" ca="1" si="45"/>
        <v>4.2183781622068697</v>
      </c>
      <c r="H1440" s="2"/>
      <c r="I1440" s="2"/>
      <c r="J1440" s="2"/>
      <c r="K1440" s="2"/>
    </row>
    <row r="1441" spans="5:11" x14ac:dyDescent="0.25">
      <c r="E1441" s="3">
        <f t="shared" ca="1" si="44"/>
        <v>0.31975152288299724</v>
      </c>
      <c r="F1441" s="3">
        <f t="shared" ca="1" si="44"/>
        <v>0.90244017228366313</v>
      </c>
      <c r="G1441" s="3">
        <f t="shared" ca="1" si="45"/>
        <v>11.868198672211969</v>
      </c>
      <c r="H1441" s="2"/>
      <c r="I1441" s="2"/>
      <c r="J1441" s="2"/>
      <c r="K1441" s="2"/>
    </row>
    <row r="1442" spans="5:11" x14ac:dyDescent="0.25">
      <c r="E1442" s="3">
        <f t="shared" ca="1" si="44"/>
        <v>0.77916399574062678</v>
      </c>
      <c r="F1442" s="3">
        <f t="shared" ca="1" si="44"/>
        <v>0.57138720151711442</v>
      </c>
      <c r="G1442" s="3">
        <f t="shared" ca="1" si="45"/>
        <v>5.6046904937625026</v>
      </c>
      <c r="H1442" s="2"/>
      <c r="I1442" s="2"/>
      <c r="J1442" s="2"/>
      <c r="K1442" s="2"/>
    </row>
    <row r="1443" spans="5:11" x14ac:dyDescent="0.25">
      <c r="E1443" s="3">
        <f t="shared" ca="1" si="44"/>
        <v>0.27843302944427695</v>
      </c>
      <c r="F1443" s="3">
        <f t="shared" ca="1" si="44"/>
        <v>0.90084784493239023</v>
      </c>
      <c r="G1443" s="3">
        <f t="shared" ca="1" si="45"/>
        <v>12.069111413409603</v>
      </c>
      <c r="H1443" s="2"/>
      <c r="I1443" s="2"/>
      <c r="J1443" s="2"/>
      <c r="K1443" s="2"/>
    </row>
    <row r="1444" spans="5:11" x14ac:dyDescent="0.25">
      <c r="E1444" s="3">
        <f t="shared" ca="1" si="44"/>
        <v>0.80208769443823758</v>
      </c>
      <c r="F1444" s="3">
        <f t="shared" ca="1" si="44"/>
        <v>0.96112176065035626</v>
      </c>
      <c r="G1444" s="3">
        <f t="shared" ca="1" si="45"/>
        <v>13.439676778056565</v>
      </c>
      <c r="H1444" s="2"/>
      <c r="I1444" s="2"/>
      <c r="J1444" s="2"/>
      <c r="K1444" s="2"/>
    </row>
    <row r="1445" spans="5:11" x14ac:dyDescent="0.25">
      <c r="E1445" s="3">
        <f t="shared" ca="1" si="44"/>
        <v>0.67033374145545332</v>
      </c>
      <c r="F1445" s="3">
        <f t="shared" ca="1" si="44"/>
        <v>0.73830393025072227</v>
      </c>
      <c r="G1445" s="3">
        <f t="shared" ca="1" si="45"/>
        <v>7.6606951572225732</v>
      </c>
      <c r="H1445" s="2"/>
      <c r="I1445" s="2"/>
      <c r="J1445" s="2"/>
      <c r="K1445" s="2"/>
    </row>
    <row r="1446" spans="5:11" x14ac:dyDescent="0.25">
      <c r="E1446" s="3">
        <f t="shared" ca="1" si="44"/>
        <v>0.67258771758381342</v>
      </c>
      <c r="F1446" s="3">
        <f t="shared" ca="1" si="44"/>
        <v>0.16510460859684428</v>
      </c>
      <c r="G1446" s="3">
        <f t="shared" ca="1" si="45"/>
        <v>0.39851103420297512</v>
      </c>
      <c r="H1446" s="2"/>
      <c r="I1446" s="2"/>
      <c r="J1446" s="2"/>
      <c r="K1446" s="2"/>
    </row>
    <row r="1447" spans="5:11" x14ac:dyDescent="0.25">
      <c r="E1447" s="3">
        <f t="shared" ca="1" si="44"/>
        <v>0.14491292412028267</v>
      </c>
      <c r="F1447" s="3">
        <f t="shared" ca="1" si="44"/>
        <v>0.75208530695681763</v>
      </c>
      <c r="G1447" s="3">
        <f t="shared" ca="1" si="45"/>
        <v>10.897934922853514</v>
      </c>
      <c r="H1447" s="2"/>
      <c r="I1447" s="2"/>
      <c r="J1447" s="2"/>
      <c r="K1447" s="2"/>
    </row>
    <row r="1448" spans="5:11" x14ac:dyDescent="0.25">
      <c r="E1448" s="3">
        <f t="shared" ca="1" si="44"/>
        <v>0.162627026661195</v>
      </c>
      <c r="F1448" s="3">
        <f t="shared" ca="1" si="44"/>
        <v>0.559878617361103</v>
      </c>
      <c r="G1448" s="3">
        <f t="shared" ca="1" si="45"/>
        <v>8.8619109612689897</v>
      </c>
      <c r="H1448" s="2"/>
      <c r="I1448" s="2"/>
      <c r="J1448" s="2"/>
      <c r="K1448" s="2"/>
    </row>
    <row r="1449" spans="5:11" x14ac:dyDescent="0.25">
      <c r="E1449" s="3">
        <f t="shared" ca="1" si="44"/>
        <v>0.9910684534802694</v>
      </c>
      <c r="F1449" s="3">
        <f t="shared" ca="1" si="44"/>
        <v>0.68710070548563318</v>
      </c>
      <c r="G1449" s="3">
        <f t="shared" ca="1" si="45"/>
        <v>11.828742582724047</v>
      </c>
      <c r="H1449" s="2"/>
      <c r="I1449" s="2"/>
      <c r="J1449" s="2"/>
      <c r="K1449" s="2"/>
    </row>
    <row r="1450" spans="5:11" x14ac:dyDescent="0.25">
      <c r="E1450" s="3">
        <f t="shared" ca="1" si="44"/>
        <v>0.77124995337347402</v>
      </c>
      <c r="F1450" s="3">
        <f t="shared" ca="1" si="44"/>
        <v>0.69141780640668349</v>
      </c>
      <c r="G1450" s="3">
        <f t="shared" ca="1" si="45"/>
        <v>7.1236169517659027</v>
      </c>
      <c r="H1450" s="2"/>
      <c r="I1450" s="2"/>
      <c r="J1450" s="2"/>
      <c r="K1450" s="2"/>
    </row>
    <row r="1451" spans="5:11" x14ac:dyDescent="0.25">
      <c r="E1451" s="3">
        <f t="shared" ca="1" si="44"/>
        <v>0.52452287867711889</v>
      </c>
      <c r="F1451" s="3">
        <f t="shared" ca="1" si="44"/>
        <v>0.48998283213087079</v>
      </c>
      <c r="G1451" s="3">
        <f t="shared" ca="1" si="45"/>
        <v>4.7549795553987408</v>
      </c>
      <c r="H1451" s="2"/>
      <c r="I1451" s="2"/>
      <c r="J1451" s="2"/>
      <c r="K1451" s="2"/>
    </row>
    <row r="1452" spans="5:11" x14ac:dyDescent="0.25">
      <c r="E1452" s="3">
        <f t="shared" ca="1" si="44"/>
        <v>0.77816830135580051</v>
      </c>
      <c r="F1452" s="3">
        <f t="shared" ca="1" si="44"/>
        <v>0.3280442732603287</v>
      </c>
      <c r="G1452" s="3">
        <f t="shared" ca="1" si="45"/>
        <v>2.7495534297281479</v>
      </c>
      <c r="H1452" s="2"/>
      <c r="I1452" s="2"/>
      <c r="J1452" s="2"/>
      <c r="K1452" s="2"/>
    </row>
    <row r="1453" spans="5:11" x14ac:dyDescent="0.25">
      <c r="E1453" s="3">
        <f t="shared" ca="1" si="44"/>
        <v>0.66605442750218624</v>
      </c>
      <c r="F1453" s="3">
        <f t="shared" ca="1" si="44"/>
        <v>0.92723059639818839</v>
      </c>
      <c r="G1453" s="3">
        <f t="shared" ca="1" si="45"/>
        <v>11.747725548522361</v>
      </c>
      <c r="H1453" s="2"/>
      <c r="I1453" s="2"/>
      <c r="J1453" s="2"/>
      <c r="K1453" s="2"/>
    </row>
    <row r="1454" spans="5:11" x14ac:dyDescent="0.25">
      <c r="E1454" s="3">
        <f t="shared" ca="1" si="44"/>
        <v>0.49276259758669727</v>
      </c>
      <c r="F1454" s="3">
        <f t="shared" ca="1" si="44"/>
        <v>0.3451909982525897</v>
      </c>
      <c r="G1454" s="3">
        <f t="shared" ca="1" si="45"/>
        <v>3.4023382443131345</v>
      </c>
      <c r="H1454" s="2"/>
      <c r="I1454" s="2"/>
      <c r="J1454" s="2"/>
      <c r="K1454" s="2"/>
    </row>
    <row r="1455" spans="5:11" x14ac:dyDescent="0.25">
      <c r="E1455" s="3">
        <f t="shared" ca="1" si="44"/>
        <v>8.7091307778671023E-2</v>
      </c>
      <c r="F1455" s="3">
        <f t="shared" ca="1" si="44"/>
        <v>0.25175098630456971</v>
      </c>
      <c r="G1455" s="3">
        <f t="shared" ca="1" si="45"/>
        <v>9.1045761543156303</v>
      </c>
      <c r="H1455" s="2"/>
      <c r="I1455" s="2"/>
      <c r="J1455" s="2"/>
      <c r="K1455" s="2"/>
    </row>
    <row r="1456" spans="5:11" x14ac:dyDescent="0.25">
      <c r="E1456" s="3">
        <f t="shared" ca="1" si="44"/>
        <v>0.43053314914680108</v>
      </c>
      <c r="F1456" s="3">
        <f t="shared" ca="1" si="44"/>
        <v>0.36505833261562326</v>
      </c>
      <c r="G1456" s="3">
        <f t="shared" ca="1" si="45"/>
        <v>4.1523239843091666</v>
      </c>
      <c r="H1456" s="2"/>
      <c r="I1456" s="2"/>
      <c r="J1456" s="2"/>
      <c r="K1456" s="2"/>
    </row>
    <row r="1457" spans="5:11" x14ac:dyDescent="0.25">
      <c r="E1457" s="3">
        <f t="shared" ca="1" si="44"/>
        <v>0.98222004734137136</v>
      </c>
      <c r="F1457" s="3">
        <f t="shared" ca="1" si="44"/>
        <v>7.7818012957532434E-2</v>
      </c>
      <c r="G1457" s="3">
        <f t="shared" ca="1" si="45"/>
        <v>8.6772681023054794</v>
      </c>
      <c r="H1457" s="2"/>
      <c r="I1457" s="2"/>
      <c r="J1457" s="2"/>
      <c r="K1457" s="2"/>
    </row>
    <row r="1458" spans="5:11" x14ac:dyDescent="0.25">
      <c r="E1458" s="3">
        <f t="shared" ca="1" si="44"/>
        <v>0.85012294185362314</v>
      </c>
      <c r="F1458" s="3">
        <f t="shared" ca="1" si="44"/>
        <v>0.77417391288807602</v>
      </c>
      <c r="G1458" s="3">
        <f t="shared" ca="1" si="45"/>
        <v>8.7439660562388113</v>
      </c>
      <c r="H1458" s="2"/>
      <c r="I1458" s="2"/>
      <c r="J1458" s="2"/>
      <c r="K1458" s="2"/>
    </row>
    <row r="1459" spans="5:11" x14ac:dyDescent="0.25">
      <c r="E1459" s="3">
        <f t="shared" ca="1" si="44"/>
        <v>0.73060048321574933</v>
      </c>
      <c r="F1459" s="3">
        <f t="shared" ca="1" si="44"/>
        <v>0.37392888312412409</v>
      </c>
      <c r="G1459" s="3">
        <f t="shared" ca="1" si="45"/>
        <v>2.981330096829331</v>
      </c>
      <c r="H1459" s="2"/>
      <c r="I1459" s="2"/>
      <c r="J1459" s="2"/>
      <c r="K1459" s="2"/>
    </row>
    <row r="1460" spans="5:11" x14ac:dyDescent="0.25">
      <c r="E1460" s="3">
        <f t="shared" ca="1" si="44"/>
        <v>0.48159882486511629</v>
      </c>
      <c r="F1460" s="3">
        <f t="shared" ca="1" si="44"/>
        <v>0.77905060310231</v>
      </c>
      <c r="G1460" s="3">
        <f t="shared" ca="1" si="45"/>
        <v>8.6743523380771776</v>
      </c>
      <c r="H1460" s="2"/>
      <c r="I1460" s="2"/>
      <c r="J1460" s="2"/>
      <c r="K1460" s="2"/>
    </row>
    <row r="1461" spans="5:11" x14ac:dyDescent="0.25">
      <c r="E1461" s="3">
        <f t="shared" ca="1" si="44"/>
        <v>0.50980787011866557</v>
      </c>
      <c r="F1461" s="3">
        <f t="shared" ca="1" si="44"/>
        <v>0.36477834081105298</v>
      </c>
      <c r="G1461" s="3">
        <f t="shared" ca="1" si="45"/>
        <v>3.4639328308821953</v>
      </c>
      <c r="H1461" s="2"/>
      <c r="I1461" s="2"/>
      <c r="J1461" s="2"/>
      <c r="K1461" s="2"/>
    </row>
    <row r="1462" spans="5:11" x14ac:dyDescent="0.25">
      <c r="E1462" s="3">
        <f t="shared" ca="1" si="44"/>
        <v>0.57752721995344036</v>
      </c>
      <c r="F1462" s="3">
        <f t="shared" ca="1" si="44"/>
        <v>0.70689301900272961</v>
      </c>
      <c r="G1462" s="3">
        <f t="shared" ca="1" si="45"/>
        <v>7.3016141388609679</v>
      </c>
      <c r="H1462" s="2"/>
      <c r="I1462" s="2"/>
      <c r="J1462" s="2"/>
      <c r="K1462" s="2"/>
    </row>
    <row r="1463" spans="5:11" x14ac:dyDescent="0.25">
      <c r="E1463" s="3">
        <f t="shared" ca="1" si="44"/>
        <v>0.54956996997875063</v>
      </c>
      <c r="F1463" s="3">
        <f t="shared" ca="1" si="44"/>
        <v>5.449591301284662E-2</v>
      </c>
      <c r="G1463" s="3">
        <f t="shared" ca="1" si="45"/>
        <v>3.8954141593704592</v>
      </c>
      <c r="H1463" s="2"/>
      <c r="I1463" s="2"/>
      <c r="J1463" s="2"/>
      <c r="K1463" s="2"/>
    </row>
    <row r="1464" spans="5:11" x14ac:dyDescent="0.25">
      <c r="E1464" s="3">
        <f t="shared" ca="1" si="44"/>
        <v>0.56988057218808363</v>
      </c>
      <c r="F1464" s="3">
        <f t="shared" ca="1" si="44"/>
        <v>5.369684185567758E-2</v>
      </c>
      <c r="G1464" s="3">
        <f t="shared" ca="1" si="45"/>
        <v>3.8297325332769048</v>
      </c>
      <c r="H1464" s="2"/>
      <c r="I1464" s="2"/>
      <c r="J1464" s="2"/>
      <c r="K1464" s="2"/>
    </row>
    <row r="1465" spans="5:11" x14ac:dyDescent="0.25">
      <c r="E1465" s="3">
        <f t="shared" ca="1" si="44"/>
        <v>0.12137179698890666</v>
      </c>
      <c r="F1465" s="3">
        <f t="shared" ca="1" si="44"/>
        <v>0.38468905638159179</v>
      </c>
      <c r="G1465" s="3">
        <f t="shared" ca="1" si="45"/>
        <v>8.6214423028097755</v>
      </c>
      <c r="H1465" s="2"/>
      <c r="I1465" s="2"/>
      <c r="J1465" s="2"/>
      <c r="K1465" s="2"/>
    </row>
    <row r="1466" spans="5:11" x14ac:dyDescent="0.25">
      <c r="E1466" s="3">
        <f t="shared" ca="1" si="44"/>
        <v>0.49060672002435712</v>
      </c>
      <c r="F1466" s="3">
        <f t="shared" ca="1" si="44"/>
        <v>0.65171141354054463</v>
      </c>
      <c r="G1466" s="3">
        <f t="shared" ca="1" si="45"/>
        <v>6.8391025664525724</v>
      </c>
      <c r="H1466" s="2"/>
      <c r="I1466" s="2"/>
      <c r="J1466" s="2"/>
      <c r="K1466" s="2"/>
    </row>
    <row r="1467" spans="5:11" x14ac:dyDescent="0.25">
      <c r="E1467" s="3">
        <f t="shared" ca="1" si="44"/>
        <v>0.60632640604397703</v>
      </c>
      <c r="F1467" s="3">
        <f t="shared" ca="1" si="44"/>
        <v>4.5430949679921895E-2</v>
      </c>
      <c r="G1467" s="3">
        <f t="shared" ca="1" si="45"/>
        <v>4.0828963643662366</v>
      </c>
      <c r="H1467" s="2"/>
      <c r="I1467" s="2"/>
      <c r="J1467" s="2"/>
      <c r="K1467" s="2"/>
    </row>
    <row r="1468" spans="5:11" x14ac:dyDescent="0.25">
      <c r="E1468" s="3">
        <f t="shared" ca="1" si="44"/>
        <v>0.17839744484773667</v>
      </c>
      <c r="F1468" s="3">
        <f t="shared" ca="1" si="44"/>
        <v>0.16698553380257308</v>
      </c>
      <c r="G1468" s="3">
        <f t="shared" ca="1" si="45"/>
        <v>6.8573114927618377</v>
      </c>
      <c r="H1468" s="2"/>
      <c r="I1468" s="2"/>
      <c r="J1468" s="2"/>
      <c r="K1468" s="2"/>
    </row>
    <row r="1469" spans="5:11" x14ac:dyDescent="0.25">
      <c r="E1469" s="3">
        <f t="shared" ca="1" si="44"/>
        <v>0.93050702760243953</v>
      </c>
      <c r="F1469" s="3">
        <f t="shared" ca="1" si="44"/>
        <v>0.91361757909680863</v>
      </c>
      <c r="G1469" s="3">
        <f t="shared" ca="1" si="45"/>
        <v>12.409392431997423</v>
      </c>
      <c r="H1469" s="2"/>
      <c r="I1469" s="2"/>
      <c r="J1469" s="2"/>
      <c r="K1469" s="2"/>
    </row>
    <row r="1470" spans="5:11" x14ac:dyDescent="0.25">
      <c r="E1470" s="3">
        <f t="shared" ca="1" si="44"/>
        <v>0.99054311497047176</v>
      </c>
      <c r="F1470" s="3">
        <f t="shared" ca="1" si="44"/>
        <v>0.23852670904375184</v>
      </c>
      <c r="G1470" s="3">
        <f t="shared" ca="1" si="45"/>
        <v>9.5397195918207611</v>
      </c>
      <c r="H1470" s="2"/>
      <c r="I1470" s="2"/>
      <c r="J1470" s="2"/>
      <c r="K1470" s="2"/>
    </row>
    <row r="1471" spans="5:11" x14ac:dyDescent="0.25">
      <c r="E1471" s="3">
        <f t="shared" ca="1" si="44"/>
        <v>1.3802030669556431E-2</v>
      </c>
      <c r="F1471" s="3">
        <f t="shared" ca="1" si="44"/>
        <v>2.8825056249096925E-2</v>
      </c>
      <c r="G1471" s="3">
        <f t="shared" ca="1" si="45"/>
        <v>14.174109011610685</v>
      </c>
      <c r="H1471" s="2"/>
      <c r="I1471" s="2"/>
      <c r="J1471" s="2"/>
      <c r="K1471" s="2"/>
    </row>
    <row r="1472" spans="5:11" x14ac:dyDescent="0.25">
      <c r="E1472" s="3">
        <f t="shared" ca="1" si="44"/>
        <v>0.58280716670912835</v>
      </c>
      <c r="F1472" s="3">
        <f t="shared" ca="1" si="44"/>
        <v>0.43310542458767687</v>
      </c>
      <c r="G1472" s="3">
        <f t="shared" ca="1" si="45"/>
        <v>3.819364624462307</v>
      </c>
      <c r="H1472" s="2"/>
      <c r="I1472" s="2"/>
      <c r="J1472" s="2"/>
      <c r="K1472" s="2"/>
    </row>
    <row r="1473" spans="5:11" x14ac:dyDescent="0.25">
      <c r="E1473" s="3">
        <f t="shared" ca="1" si="44"/>
        <v>0.8903634845427072</v>
      </c>
      <c r="F1473" s="3">
        <f t="shared" ca="1" si="44"/>
        <v>0.75040194602574817</v>
      </c>
      <c r="G1473" s="3">
        <f t="shared" ca="1" si="45"/>
        <v>8.7651713146907362</v>
      </c>
      <c r="H1473" s="2"/>
      <c r="I1473" s="2"/>
      <c r="J1473" s="2"/>
      <c r="K1473" s="2"/>
    </row>
    <row r="1474" spans="5:11" x14ac:dyDescent="0.25">
      <c r="E1474" s="3">
        <f t="shared" ca="1" si="44"/>
        <v>0.51201943627944613</v>
      </c>
      <c r="F1474" s="3">
        <f t="shared" ca="1" si="44"/>
        <v>0.63670202849103585</v>
      </c>
      <c r="G1474" s="3">
        <f t="shared" ca="1" si="45"/>
        <v>6.5600105915573375</v>
      </c>
      <c r="H1474" s="2"/>
      <c r="I1474" s="2"/>
      <c r="J1474" s="2"/>
      <c r="K1474" s="2"/>
    </row>
    <row r="1475" spans="5:11" x14ac:dyDescent="0.25">
      <c r="E1475" s="3">
        <f t="shared" ca="1" si="44"/>
        <v>0.17563692036399947</v>
      </c>
      <c r="F1475" s="3">
        <f t="shared" ca="1" si="44"/>
        <v>0.84118264430303336</v>
      </c>
      <c r="G1475" s="3">
        <f t="shared" ca="1" si="45"/>
        <v>11.714974397828623</v>
      </c>
      <c r="H1475" s="2"/>
      <c r="I1475" s="2"/>
      <c r="J1475" s="2"/>
      <c r="K1475" s="2"/>
    </row>
    <row r="1476" spans="5:11" x14ac:dyDescent="0.25">
      <c r="E1476" s="3">
        <f t="shared" ref="E1476:F1539" ca="1" si="46">RAND()</f>
        <v>0.2440600637362067</v>
      </c>
      <c r="F1476" s="3">
        <f t="shared" ca="1" si="46"/>
        <v>0.66676979032599637</v>
      </c>
      <c r="G1476" s="3">
        <f t="shared" ref="G1476:G1539" ca="1" si="47">SQRT(_xlfn.NORM.INV(E1476,$C$3*COS($C$6),$C$4)^2+_xlfn.NORM.INV(F1476,$C$3*SIN($C$6),$C$4)^2)</f>
        <v>8.7441168015982811</v>
      </c>
      <c r="H1476" s="2"/>
      <c r="I1476" s="2"/>
      <c r="J1476" s="2"/>
      <c r="K1476" s="2"/>
    </row>
    <row r="1477" spans="5:11" x14ac:dyDescent="0.25">
      <c r="E1477" s="3">
        <f t="shared" ca="1" si="46"/>
        <v>0.66579157289366575</v>
      </c>
      <c r="F1477" s="3">
        <f t="shared" ca="1" si="46"/>
        <v>6.1606850339027464E-2</v>
      </c>
      <c r="G1477" s="3">
        <f t="shared" ca="1" si="47"/>
        <v>3.2386412900112642</v>
      </c>
      <c r="H1477" s="2"/>
      <c r="I1477" s="2"/>
      <c r="J1477" s="2"/>
      <c r="K1477" s="2"/>
    </row>
    <row r="1478" spans="5:11" x14ac:dyDescent="0.25">
      <c r="E1478" s="3">
        <f t="shared" ca="1" si="46"/>
        <v>0.73602514690267795</v>
      </c>
      <c r="F1478" s="3">
        <f t="shared" ca="1" si="46"/>
        <v>0.40387914678917403</v>
      </c>
      <c r="G1478" s="3">
        <f t="shared" ca="1" si="47"/>
        <v>3.3796979623204888</v>
      </c>
      <c r="H1478" s="2"/>
      <c r="I1478" s="2"/>
      <c r="J1478" s="2"/>
      <c r="K1478" s="2"/>
    </row>
    <row r="1479" spans="5:11" x14ac:dyDescent="0.25">
      <c r="E1479" s="3">
        <f t="shared" ca="1" si="46"/>
        <v>0.86661335572665943</v>
      </c>
      <c r="F1479" s="3">
        <f t="shared" ca="1" si="46"/>
        <v>0.82509753452968482</v>
      </c>
      <c r="G1479" s="3">
        <f t="shared" ca="1" si="47"/>
        <v>9.7261905040578931</v>
      </c>
      <c r="H1479" s="2"/>
      <c r="I1479" s="2"/>
      <c r="J1479" s="2"/>
      <c r="K1479" s="2"/>
    </row>
    <row r="1480" spans="5:11" x14ac:dyDescent="0.25">
      <c r="E1480" s="3">
        <f t="shared" ca="1" si="46"/>
        <v>0.91327973059153322</v>
      </c>
      <c r="F1480" s="3">
        <f t="shared" ca="1" si="46"/>
        <v>0.31346532106134828</v>
      </c>
      <c r="G1480" s="3">
        <f t="shared" ca="1" si="47"/>
        <v>5.0006914189752516</v>
      </c>
      <c r="H1480" s="2"/>
      <c r="I1480" s="2"/>
      <c r="J1480" s="2"/>
      <c r="K1480" s="2"/>
    </row>
    <row r="1481" spans="5:11" x14ac:dyDescent="0.25">
      <c r="E1481" s="3">
        <f t="shared" ca="1" si="46"/>
        <v>0.93789596778600426</v>
      </c>
      <c r="F1481" s="3">
        <f t="shared" ca="1" si="46"/>
        <v>0.28285041931085009</v>
      </c>
      <c r="G1481" s="3">
        <f t="shared" ca="1" si="47"/>
        <v>5.6759682545796197</v>
      </c>
      <c r="H1481" s="2"/>
      <c r="I1481" s="2"/>
      <c r="J1481" s="2"/>
      <c r="K1481" s="2"/>
    </row>
    <row r="1482" spans="5:11" x14ac:dyDescent="0.25">
      <c r="E1482" s="3">
        <f t="shared" ca="1" si="46"/>
        <v>0.64777411232595572</v>
      </c>
      <c r="F1482" s="3">
        <f t="shared" ca="1" si="46"/>
        <v>0.76685466529562996</v>
      </c>
      <c r="G1482" s="3">
        <f t="shared" ca="1" si="47"/>
        <v>8.1199020668899617</v>
      </c>
      <c r="H1482" s="2"/>
      <c r="I1482" s="2"/>
      <c r="J1482" s="2"/>
      <c r="K1482" s="2"/>
    </row>
    <row r="1483" spans="5:11" x14ac:dyDescent="0.25">
      <c r="E1483" s="3">
        <f t="shared" ca="1" si="46"/>
        <v>0.42016865227930555</v>
      </c>
      <c r="F1483" s="3">
        <f t="shared" ca="1" si="46"/>
        <v>0.36117096774741497</v>
      </c>
      <c r="G1483" s="3">
        <f t="shared" ca="1" si="47"/>
        <v>4.2191755883544371</v>
      </c>
      <c r="H1483" s="2"/>
      <c r="I1483" s="2"/>
      <c r="J1483" s="2"/>
      <c r="K1483" s="2"/>
    </row>
    <row r="1484" spans="5:11" x14ac:dyDescent="0.25">
      <c r="E1484" s="3">
        <f t="shared" ca="1" si="46"/>
        <v>0.86074596570591344</v>
      </c>
      <c r="F1484" s="3">
        <f t="shared" ca="1" si="46"/>
        <v>0.82595617019708745</v>
      </c>
      <c r="G1484" s="3">
        <f t="shared" ca="1" si="47"/>
        <v>9.6970629326819271</v>
      </c>
      <c r="H1484" s="2"/>
      <c r="I1484" s="2"/>
      <c r="J1484" s="2"/>
      <c r="K1484" s="2"/>
    </row>
    <row r="1485" spans="5:11" x14ac:dyDescent="0.25">
      <c r="E1485" s="3">
        <f t="shared" ca="1" si="46"/>
        <v>0.25915102333670781</v>
      </c>
      <c r="F1485" s="3">
        <f t="shared" ca="1" si="46"/>
        <v>0.44868481631785062</v>
      </c>
      <c r="G1485" s="3">
        <f t="shared" ca="1" si="47"/>
        <v>6.6748847908111903</v>
      </c>
      <c r="H1485" s="2"/>
      <c r="I1485" s="2"/>
      <c r="J1485" s="2"/>
      <c r="K1485" s="2"/>
    </row>
    <row r="1486" spans="5:11" x14ac:dyDescent="0.25">
      <c r="E1486" s="3">
        <f t="shared" ca="1" si="46"/>
        <v>0.6223403263176075</v>
      </c>
      <c r="F1486" s="3">
        <f t="shared" ca="1" si="46"/>
        <v>0.59771902545809086</v>
      </c>
      <c r="G1486" s="3">
        <f t="shared" ca="1" si="47"/>
        <v>5.7478489208296031</v>
      </c>
      <c r="H1486" s="2"/>
      <c r="I1486" s="2"/>
      <c r="J1486" s="2"/>
      <c r="K1486" s="2"/>
    </row>
    <row r="1487" spans="5:11" x14ac:dyDescent="0.25">
      <c r="E1487" s="3">
        <f t="shared" ca="1" si="46"/>
        <v>0.39044619687426263</v>
      </c>
      <c r="F1487" s="3">
        <f t="shared" ca="1" si="46"/>
        <v>0.93921962649729673</v>
      </c>
      <c r="G1487" s="3">
        <f t="shared" ca="1" si="47"/>
        <v>12.739708045774112</v>
      </c>
      <c r="H1487" s="2"/>
      <c r="I1487" s="2"/>
      <c r="J1487" s="2"/>
      <c r="K1487" s="2"/>
    </row>
    <row r="1488" spans="5:11" x14ac:dyDescent="0.25">
      <c r="E1488" s="3">
        <f t="shared" ca="1" si="46"/>
        <v>0.36747729761936965</v>
      </c>
      <c r="F1488" s="3">
        <f t="shared" ca="1" si="46"/>
        <v>0.76548053177464082</v>
      </c>
      <c r="G1488" s="3">
        <f t="shared" ca="1" si="47"/>
        <v>8.9955808318804227</v>
      </c>
      <c r="H1488" s="2"/>
      <c r="I1488" s="2"/>
      <c r="J1488" s="2"/>
      <c r="K1488" s="2"/>
    </row>
    <row r="1489" spans="5:11" x14ac:dyDescent="0.25">
      <c r="E1489" s="3">
        <f t="shared" ca="1" si="46"/>
        <v>0.71001773481043695</v>
      </c>
      <c r="F1489" s="3">
        <f t="shared" ca="1" si="46"/>
        <v>5.717524666338003E-2</v>
      </c>
      <c r="G1489" s="3">
        <f t="shared" ca="1" si="47"/>
        <v>3.4649844762843043</v>
      </c>
      <c r="H1489" s="2"/>
      <c r="I1489" s="2"/>
      <c r="J1489" s="2"/>
      <c r="K1489" s="2"/>
    </row>
    <row r="1490" spans="5:11" x14ac:dyDescent="0.25">
      <c r="E1490" s="3">
        <f t="shared" ca="1" si="46"/>
        <v>0.93681125879579252</v>
      </c>
      <c r="F1490" s="3">
        <f t="shared" ca="1" si="46"/>
        <v>0.52367309726665845</v>
      </c>
      <c r="G1490" s="3">
        <f t="shared" ca="1" si="47"/>
        <v>7.2047436868574453</v>
      </c>
      <c r="H1490" s="2"/>
      <c r="I1490" s="2"/>
      <c r="J1490" s="2"/>
      <c r="K1490" s="2"/>
    </row>
    <row r="1491" spans="5:11" x14ac:dyDescent="0.25">
      <c r="E1491" s="3">
        <f t="shared" ca="1" si="46"/>
        <v>0.68018023307230668</v>
      </c>
      <c r="F1491" s="3">
        <f t="shared" ca="1" si="46"/>
        <v>0.37552257957026147</v>
      </c>
      <c r="G1491" s="3">
        <f t="shared" ca="1" si="47"/>
        <v>2.885431471718332</v>
      </c>
      <c r="H1491" s="2"/>
      <c r="I1491" s="2"/>
      <c r="J1491" s="2"/>
      <c r="K1491" s="2"/>
    </row>
    <row r="1492" spans="5:11" x14ac:dyDescent="0.25">
      <c r="E1492" s="3">
        <f t="shared" ca="1" si="46"/>
        <v>0.54305682824677948</v>
      </c>
      <c r="F1492" s="3">
        <f t="shared" ca="1" si="46"/>
        <v>0.2526092594113456</v>
      </c>
      <c r="G1492" s="3">
        <f t="shared" ca="1" si="47"/>
        <v>2.0457363691356507</v>
      </c>
      <c r="H1492" s="2"/>
      <c r="I1492" s="2"/>
      <c r="J1492" s="2"/>
      <c r="K1492" s="2"/>
    </row>
    <row r="1493" spans="5:11" x14ac:dyDescent="0.25">
      <c r="E1493" s="3">
        <f t="shared" ca="1" si="46"/>
        <v>7.5833537041412269E-2</v>
      </c>
      <c r="F1493" s="3">
        <f t="shared" ca="1" si="46"/>
        <v>0.54640235131927184</v>
      </c>
      <c r="G1493" s="3">
        <f t="shared" ca="1" si="47"/>
        <v>10.679665199885619</v>
      </c>
      <c r="H1493" s="2"/>
      <c r="I1493" s="2"/>
      <c r="J1493" s="2"/>
      <c r="K1493" s="2"/>
    </row>
    <row r="1494" spans="5:11" x14ac:dyDescent="0.25">
      <c r="E1494" s="3">
        <f t="shared" ca="1" si="46"/>
        <v>0.40028108853631217</v>
      </c>
      <c r="F1494" s="3">
        <f t="shared" ca="1" si="46"/>
        <v>0.61395590437877234</v>
      </c>
      <c r="G1494" s="3">
        <f t="shared" ca="1" si="47"/>
        <v>6.8774586233156985</v>
      </c>
      <c r="H1494" s="2"/>
      <c r="I1494" s="2"/>
      <c r="J1494" s="2"/>
      <c r="K1494" s="2"/>
    </row>
    <row r="1495" spans="5:11" x14ac:dyDescent="0.25">
      <c r="E1495" s="3">
        <f t="shared" ca="1" si="46"/>
        <v>0.92185285288349095</v>
      </c>
      <c r="F1495" s="3">
        <f t="shared" ca="1" si="46"/>
        <v>0.16367174815005248</v>
      </c>
      <c r="G1495" s="3">
        <f t="shared" ca="1" si="47"/>
        <v>4.8666641200164689</v>
      </c>
      <c r="H1495" s="2"/>
      <c r="I1495" s="2"/>
      <c r="J1495" s="2"/>
      <c r="K1495" s="2"/>
    </row>
    <row r="1496" spans="5:11" x14ac:dyDescent="0.25">
      <c r="E1496" s="3">
        <f t="shared" ca="1" si="46"/>
        <v>0.94303774422722242</v>
      </c>
      <c r="F1496" s="3">
        <f t="shared" ca="1" si="46"/>
        <v>0.32001877585235705</v>
      </c>
      <c r="G1496" s="3">
        <f t="shared" ca="1" si="47"/>
        <v>6.0515212895148975</v>
      </c>
      <c r="H1496" s="2"/>
      <c r="I1496" s="2"/>
      <c r="J1496" s="2"/>
      <c r="K1496" s="2"/>
    </row>
    <row r="1497" spans="5:11" x14ac:dyDescent="0.25">
      <c r="E1497" s="3">
        <f t="shared" ca="1" si="46"/>
        <v>0.46174469130093743</v>
      </c>
      <c r="F1497" s="3">
        <f t="shared" ca="1" si="46"/>
        <v>0.92894868278267084</v>
      </c>
      <c r="G1497" s="3">
        <f t="shared" ca="1" si="47"/>
        <v>12.119317945629792</v>
      </c>
      <c r="H1497" s="2"/>
      <c r="I1497" s="2"/>
      <c r="J1497" s="2"/>
      <c r="K1497" s="2"/>
    </row>
    <row r="1498" spans="5:11" x14ac:dyDescent="0.25">
      <c r="E1498" s="3">
        <f t="shared" ca="1" si="46"/>
        <v>0.67257031211799767</v>
      </c>
      <c r="F1498" s="3">
        <f t="shared" ca="1" si="46"/>
        <v>0.95404667703032697</v>
      </c>
      <c r="G1498" s="3">
        <f t="shared" ca="1" si="47"/>
        <v>12.897108293390151</v>
      </c>
      <c r="H1498" s="2"/>
      <c r="I1498" s="2"/>
      <c r="J1498" s="2"/>
      <c r="K1498" s="2"/>
    </row>
    <row r="1499" spans="5:11" x14ac:dyDescent="0.25">
      <c r="E1499" s="3">
        <f t="shared" ca="1" si="46"/>
        <v>0.36684741170481139</v>
      </c>
      <c r="F1499" s="3">
        <f t="shared" ca="1" si="46"/>
        <v>0.40302620198052042</v>
      </c>
      <c r="G1499" s="3">
        <f t="shared" ca="1" si="47"/>
        <v>5.103719541686301</v>
      </c>
      <c r="H1499" s="2"/>
      <c r="I1499" s="2"/>
      <c r="J1499" s="2"/>
      <c r="K1499" s="2"/>
    </row>
    <row r="1500" spans="5:11" x14ac:dyDescent="0.25">
      <c r="E1500" s="3">
        <f t="shared" ca="1" si="46"/>
        <v>0.47642910021834728</v>
      </c>
      <c r="F1500" s="3">
        <f t="shared" ca="1" si="46"/>
        <v>0.71050203228598208</v>
      </c>
      <c r="G1500" s="3">
        <f t="shared" ca="1" si="47"/>
        <v>7.6752939977442729</v>
      </c>
      <c r="H1500" s="2"/>
      <c r="I1500" s="2"/>
      <c r="J1500" s="2"/>
      <c r="K1500" s="2"/>
    </row>
    <row r="1501" spans="5:11" x14ac:dyDescent="0.25">
      <c r="E1501" s="3">
        <f t="shared" ca="1" si="46"/>
        <v>0.57379260760511852</v>
      </c>
      <c r="F1501" s="3">
        <f t="shared" ca="1" si="46"/>
        <v>0.65860346620646915</v>
      </c>
      <c r="G1501" s="3">
        <f t="shared" ca="1" si="47"/>
        <v>6.6437248076756923</v>
      </c>
      <c r="H1501" s="2"/>
      <c r="I1501" s="2"/>
      <c r="J1501" s="2"/>
      <c r="K1501" s="2"/>
    </row>
    <row r="1502" spans="5:11" x14ac:dyDescent="0.25">
      <c r="E1502" s="3">
        <f t="shared" ca="1" si="46"/>
        <v>0.3829255276746496</v>
      </c>
      <c r="F1502" s="3">
        <f t="shared" ca="1" si="46"/>
        <v>0.54810334786986858</v>
      </c>
      <c r="G1502" s="3">
        <f t="shared" ca="1" si="47"/>
        <v>6.2974059973492205</v>
      </c>
      <c r="H1502" s="2"/>
      <c r="I1502" s="2"/>
      <c r="J1502" s="2"/>
      <c r="K1502" s="2"/>
    </row>
    <row r="1503" spans="5:11" x14ac:dyDescent="0.25">
      <c r="E1503" s="3">
        <f t="shared" ca="1" si="46"/>
        <v>0.8174201839024744</v>
      </c>
      <c r="F1503" s="3">
        <f t="shared" ca="1" si="46"/>
        <v>0.5305529652852079</v>
      </c>
      <c r="G1503" s="3">
        <f t="shared" ca="1" si="47"/>
        <v>5.3653608153766257</v>
      </c>
      <c r="H1503" s="2"/>
      <c r="I1503" s="2"/>
      <c r="J1503" s="2"/>
      <c r="K1503" s="2"/>
    </row>
    <row r="1504" spans="5:11" x14ac:dyDescent="0.25">
      <c r="E1504" s="3">
        <f t="shared" ca="1" si="46"/>
        <v>9.4945811646233502E-2</v>
      </c>
      <c r="F1504" s="3">
        <f t="shared" ca="1" si="46"/>
        <v>0.17485096325101424</v>
      </c>
      <c r="G1504" s="3">
        <f t="shared" ca="1" si="47"/>
        <v>8.7972758216819091</v>
      </c>
      <c r="H1504" s="2"/>
      <c r="I1504" s="2"/>
      <c r="J1504" s="2"/>
      <c r="K1504" s="2"/>
    </row>
    <row r="1505" spans="5:11" x14ac:dyDescent="0.25">
      <c r="E1505" s="3">
        <f t="shared" ca="1" si="46"/>
        <v>0.91180340712495989</v>
      </c>
      <c r="F1505" s="3">
        <f t="shared" ca="1" si="46"/>
        <v>0.94298204036327593</v>
      </c>
      <c r="G1505" s="3">
        <f t="shared" ca="1" si="47"/>
        <v>13.171156721261401</v>
      </c>
      <c r="H1505" s="2"/>
      <c r="I1505" s="2"/>
      <c r="J1505" s="2"/>
      <c r="K1505" s="2"/>
    </row>
    <row r="1506" spans="5:11" x14ac:dyDescent="0.25">
      <c r="E1506" s="3">
        <f t="shared" ca="1" si="46"/>
        <v>2.0347472928383126E-2</v>
      </c>
      <c r="F1506" s="3">
        <f t="shared" ca="1" si="46"/>
        <v>0.82787430838352882</v>
      </c>
      <c r="G1506" s="3">
        <f t="shared" ca="1" si="47"/>
        <v>15.498682152874091</v>
      </c>
      <c r="H1506" s="2"/>
      <c r="I1506" s="2"/>
      <c r="J1506" s="2"/>
      <c r="K1506" s="2"/>
    </row>
    <row r="1507" spans="5:11" x14ac:dyDescent="0.25">
      <c r="E1507" s="3">
        <f t="shared" ca="1" si="46"/>
        <v>0.46159844785785276</v>
      </c>
      <c r="F1507" s="3">
        <f t="shared" ca="1" si="46"/>
        <v>0.91824142498489758</v>
      </c>
      <c r="G1507" s="3">
        <f t="shared" ca="1" si="47"/>
        <v>11.756239285298136</v>
      </c>
      <c r="H1507" s="2"/>
      <c r="I1507" s="2"/>
      <c r="J1507" s="2"/>
      <c r="K1507" s="2"/>
    </row>
    <row r="1508" spans="5:11" x14ac:dyDescent="0.25">
      <c r="E1508" s="3">
        <f t="shared" ca="1" si="46"/>
        <v>0.94183334575345912</v>
      </c>
      <c r="F1508" s="3">
        <f t="shared" ca="1" si="46"/>
        <v>0.1128080142479887</v>
      </c>
      <c r="G1508" s="3">
        <f t="shared" ca="1" si="47"/>
        <v>5.8319425373900824</v>
      </c>
      <c r="H1508" s="2"/>
      <c r="I1508" s="2"/>
      <c r="J1508" s="2"/>
      <c r="K1508" s="2"/>
    </row>
    <row r="1509" spans="5:11" x14ac:dyDescent="0.25">
      <c r="E1509" s="3">
        <f t="shared" ca="1" si="46"/>
        <v>0.24923634697462616</v>
      </c>
      <c r="F1509" s="3">
        <f t="shared" ca="1" si="46"/>
        <v>0.54881488827701708</v>
      </c>
      <c r="G1509" s="3">
        <f t="shared" ca="1" si="47"/>
        <v>7.5814913576348042</v>
      </c>
      <c r="H1509" s="2"/>
      <c r="I1509" s="2"/>
      <c r="J1509" s="2"/>
      <c r="K1509" s="2"/>
    </row>
    <row r="1510" spans="5:11" x14ac:dyDescent="0.25">
      <c r="E1510" s="3">
        <f t="shared" ca="1" si="46"/>
        <v>0.5068043676584717</v>
      </c>
      <c r="F1510" s="3">
        <f t="shared" ca="1" si="46"/>
        <v>0.82876486677719352</v>
      </c>
      <c r="G1510" s="3">
        <f t="shared" ca="1" si="47"/>
        <v>9.4650699948919481</v>
      </c>
      <c r="H1510" s="2"/>
      <c r="I1510" s="2"/>
      <c r="J1510" s="2"/>
      <c r="K1510" s="2"/>
    </row>
    <row r="1511" spans="5:11" x14ac:dyDescent="0.25">
      <c r="E1511" s="3">
        <f t="shared" ca="1" si="46"/>
        <v>0.31383974368366119</v>
      </c>
      <c r="F1511" s="3">
        <f t="shared" ca="1" si="46"/>
        <v>0.47004604252956916</v>
      </c>
      <c r="G1511" s="3">
        <f t="shared" ca="1" si="47"/>
        <v>6.2070951595263635</v>
      </c>
      <c r="H1511" s="2"/>
      <c r="I1511" s="2"/>
      <c r="J1511" s="2"/>
      <c r="K1511" s="2"/>
    </row>
    <row r="1512" spans="5:11" x14ac:dyDescent="0.25">
      <c r="E1512" s="3">
        <f t="shared" ca="1" si="46"/>
        <v>0.87341890224483254</v>
      </c>
      <c r="F1512" s="3">
        <f t="shared" ca="1" si="46"/>
        <v>0.56216113000044932</v>
      </c>
      <c r="G1512" s="3">
        <f t="shared" ca="1" si="47"/>
        <v>6.2967230220515402</v>
      </c>
      <c r="H1512" s="2"/>
      <c r="I1512" s="2"/>
      <c r="J1512" s="2"/>
      <c r="K1512" s="2"/>
    </row>
    <row r="1513" spans="5:11" x14ac:dyDescent="0.25">
      <c r="E1513" s="3">
        <f t="shared" ca="1" si="46"/>
        <v>1.4133529117846599E-2</v>
      </c>
      <c r="F1513" s="3">
        <f t="shared" ca="1" si="46"/>
        <v>0.47266407375553532</v>
      </c>
      <c r="G1513" s="3">
        <f t="shared" ca="1" si="47"/>
        <v>13.837945517316102</v>
      </c>
      <c r="H1513" s="2"/>
      <c r="I1513" s="2"/>
      <c r="J1513" s="2"/>
      <c r="K1513" s="2"/>
    </row>
    <row r="1514" spans="5:11" x14ac:dyDescent="0.25">
      <c r="E1514" s="3">
        <f t="shared" ca="1" si="46"/>
        <v>0.38964008663897176</v>
      </c>
      <c r="F1514" s="3">
        <f t="shared" ca="1" si="46"/>
        <v>0.53073967510974074</v>
      </c>
      <c r="G1514" s="3">
        <f t="shared" ca="1" si="47"/>
        <v>6.0694965225917219</v>
      </c>
      <c r="H1514" s="2"/>
      <c r="I1514" s="2"/>
      <c r="J1514" s="2"/>
      <c r="K1514" s="2"/>
    </row>
    <row r="1515" spans="5:11" x14ac:dyDescent="0.25">
      <c r="E1515" s="3">
        <f t="shared" ca="1" si="46"/>
        <v>0.59694845101196614</v>
      </c>
      <c r="F1515" s="3">
        <f t="shared" ca="1" si="46"/>
        <v>1.9544050070671726E-2</v>
      </c>
      <c r="G1515" s="3">
        <f t="shared" ca="1" si="47"/>
        <v>5.9334357039117336</v>
      </c>
      <c r="H1515" s="2"/>
      <c r="I1515" s="2"/>
      <c r="J1515" s="2"/>
      <c r="K1515" s="2"/>
    </row>
    <row r="1516" spans="5:11" x14ac:dyDescent="0.25">
      <c r="E1516" s="3">
        <f t="shared" ca="1" si="46"/>
        <v>0.30242516775759654</v>
      </c>
      <c r="F1516" s="3">
        <f t="shared" ca="1" si="46"/>
        <v>0.65882303774522577</v>
      </c>
      <c r="G1516" s="3">
        <f t="shared" ca="1" si="47"/>
        <v>8.1096746726548758</v>
      </c>
      <c r="H1516" s="2"/>
      <c r="I1516" s="2"/>
      <c r="J1516" s="2"/>
      <c r="K1516" s="2"/>
    </row>
    <row r="1517" spans="5:11" x14ac:dyDescent="0.25">
      <c r="E1517" s="3">
        <f t="shared" ca="1" si="46"/>
        <v>0.73636654916258382</v>
      </c>
      <c r="F1517" s="3">
        <f t="shared" ca="1" si="46"/>
        <v>0.68088559823421269</v>
      </c>
      <c r="G1517" s="3">
        <f t="shared" ca="1" si="47"/>
        <v>6.8827054381761386</v>
      </c>
      <c r="H1517" s="2"/>
      <c r="I1517" s="2"/>
      <c r="J1517" s="2"/>
      <c r="K1517" s="2"/>
    </row>
    <row r="1518" spans="5:11" x14ac:dyDescent="0.25">
      <c r="E1518" s="3">
        <f t="shared" ca="1" si="46"/>
        <v>0.65702737615665308</v>
      </c>
      <c r="F1518" s="3">
        <f t="shared" ca="1" si="46"/>
        <v>0.86588767756351626</v>
      </c>
      <c r="G1518" s="3">
        <f t="shared" ca="1" si="47"/>
        <v>10.008171153055514</v>
      </c>
      <c r="H1518" s="2"/>
      <c r="I1518" s="2"/>
      <c r="J1518" s="2"/>
      <c r="K1518" s="2"/>
    </row>
    <row r="1519" spans="5:11" x14ac:dyDescent="0.25">
      <c r="E1519" s="3">
        <f t="shared" ca="1" si="46"/>
        <v>0.75563920794727801</v>
      </c>
      <c r="F1519" s="3">
        <f t="shared" ca="1" si="46"/>
        <v>0.42657218274299724</v>
      </c>
      <c r="G1519" s="3">
        <f t="shared" ca="1" si="47"/>
        <v>3.7489699433875283</v>
      </c>
      <c r="H1519" s="2"/>
      <c r="I1519" s="2"/>
      <c r="J1519" s="2"/>
      <c r="K1519" s="2"/>
    </row>
    <row r="1520" spans="5:11" x14ac:dyDescent="0.25">
      <c r="E1520" s="3">
        <f t="shared" ca="1" si="46"/>
        <v>1.8873825801686284E-2</v>
      </c>
      <c r="F1520" s="3">
        <f t="shared" ca="1" si="46"/>
        <v>0.50101674744035607</v>
      </c>
      <c r="G1520" s="3">
        <f t="shared" ca="1" si="47"/>
        <v>13.400319014414814</v>
      </c>
      <c r="H1520" s="2"/>
      <c r="I1520" s="2"/>
      <c r="J1520" s="2"/>
      <c r="K1520" s="2"/>
    </row>
    <row r="1521" spans="5:11" x14ac:dyDescent="0.25">
      <c r="E1521" s="3">
        <f t="shared" ca="1" si="46"/>
        <v>0.38663871818700368</v>
      </c>
      <c r="F1521" s="3">
        <f t="shared" ca="1" si="46"/>
        <v>0.31332172639502542</v>
      </c>
      <c r="G1521" s="3">
        <f t="shared" ca="1" si="47"/>
        <v>4.2072156602426247</v>
      </c>
      <c r="H1521" s="2"/>
      <c r="I1521" s="2"/>
      <c r="J1521" s="2"/>
      <c r="K1521" s="2"/>
    </row>
    <row r="1522" spans="5:11" x14ac:dyDescent="0.25">
      <c r="E1522" s="3">
        <f t="shared" ca="1" si="46"/>
        <v>0.41686681545352611</v>
      </c>
      <c r="F1522" s="3">
        <f t="shared" ca="1" si="46"/>
        <v>2.6474774543345014E-2</v>
      </c>
      <c r="G1522" s="3">
        <f t="shared" ca="1" si="47"/>
        <v>6.1589959995023964</v>
      </c>
      <c r="H1522" s="2"/>
      <c r="I1522" s="2"/>
      <c r="J1522" s="2"/>
      <c r="K1522" s="2"/>
    </row>
    <row r="1523" spans="5:11" x14ac:dyDescent="0.25">
      <c r="E1523" s="3">
        <f t="shared" ca="1" si="46"/>
        <v>0.92296096235162528</v>
      </c>
      <c r="F1523" s="3">
        <f t="shared" ca="1" si="46"/>
        <v>0.60952875807771079</v>
      </c>
      <c r="G1523" s="3">
        <f t="shared" ca="1" si="47"/>
        <v>7.6300552439144429</v>
      </c>
      <c r="H1523" s="2"/>
      <c r="I1523" s="2"/>
      <c r="J1523" s="2"/>
      <c r="K1523" s="2"/>
    </row>
    <row r="1524" spans="5:11" x14ac:dyDescent="0.25">
      <c r="E1524" s="3">
        <f t="shared" ca="1" si="46"/>
        <v>0.54083365385515492</v>
      </c>
      <c r="F1524" s="3">
        <f t="shared" ca="1" si="46"/>
        <v>0.23307348089674429</v>
      </c>
      <c r="G1524" s="3">
        <f t="shared" ca="1" si="47"/>
        <v>1.9150707694484586</v>
      </c>
      <c r="H1524" s="2"/>
      <c r="I1524" s="2"/>
      <c r="J1524" s="2"/>
      <c r="K1524" s="2"/>
    </row>
    <row r="1525" spans="5:11" x14ac:dyDescent="0.25">
      <c r="E1525" s="3">
        <f t="shared" ca="1" si="46"/>
        <v>0.76845194221287894</v>
      </c>
      <c r="F1525" s="3">
        <f t="shared" ca="1" si="46"/>
        <v>0.78103944305380446</v>
      </c>
      <c r="G1525" s="3">
        <f t="shared" ca="1" si="47"/>
        <v>8.4698451190792738</v>
      </c>
      <c r="H1525" s="2"/>
      <c r="I1525" s="2"/>
      <c r="J1525" s="2"/>
      <c r="K1525" s="2"/>
    </row>
    <row r="1526" spans="5:11" x14ac:dyDescent="0.25">
      <c r="E1526" s="3">
        <f t="shared" ca="1" si="46"/>
        <v>0.12662152628906176</v>
      </c>
      <c r="F1526" s="3">
        <f t="shared" ca="1" si="46"/>
        <v>0.15345579162323064</v>
      </c>
      <c r="G1526" s="3">
        <f t="shared" ca="1" si="47"/>
        <v>7.9785072793402927</v>
      </c>
      <c r="H1526" s="2"/>
      <c r="I1526" s="2"/>
      <c r="J1526" s="2"/>
      <c r="K1526" s="2"/>
    </row>
    <row r="1527" spans="5:11" x14ac:dyDescent="0.25">
      <c r="E1527" s="3">
        <f t="shared" ca="1" si="46"/>
        <v>0.44142920969207966</v>
      </c>
      <c r="F1527" s="3">
        <f t="shared" ca="1" si="46"/>
        <v>0.85769641807671049</v>
      </c>
      <c r="G1527" s="3">
        <f t="shared" ca="1" si="47"/>
        <v>10.261474264460992</v>
      </c>
      <c r="H1527" s="2"/>
      <c r="I1527" s="2"/>
      <c r="J1527" s="2"/>
      <c r="K1527" s="2"/>
    </row>
    <row r="1528" spans="5:11" x14ac:dyDescent="0.25">
      <c r="E1528" s="3">
        <f t="shared" ca="1" si="46"/>
        <v>0.13662064865425438</v>
      </c>
      <c r="F1528" s="3">
        <f t="shared" ca="1" si="46"/>
        <v>8.4081942570015888E-2</v>
      </c>
      <c r="G1528" s="3">
        <f t="shared" ca="1" si="47"/>
        <v>8.0891897496831842</v>
      </c>
      <c r="H1528" s="2"/>
      <c r="I1528" s="2"/>
      <c r="J1528" s="2"/>
      <c r="K1528" s="2"/>
    </row>
    <row r="1529" spans="5:11" x14ac:dyDescent="0.25">
      <c r="E1529" s="3">
        <f t="shared" ca="1" si="46"/>
        <v>0.41227697794840457</v>
      </c>
      <c r="F1529" s="3">
        <f t="shared" ca="1" si="46"/>
        <v>0.885402704890345</v>
      </c>
      <c r="G1529" s="3">
        <f t="shared" ca="1" si="47"/>
        <v>11.00410833604764</v>
      </c>
      <c r="H1529" s="2"/>
      <c r="I1529" s="2"/>
      <c r="J1529" s="2"/>
      <c r="K1529" s="2"/>
    </row>
    <row r="1530" spans="5:11" x14ac:dyDescent="0.25">
      <c r="E1530" s="3">
        <f t="shared" ca="1" si="46"/>
        <v>0.44721517857703497</v>
      </c>
      <c r="F1530" s="3">
        <f t="shared" ca="1" si="46"/>
        <v>0.33882146070524843</v>
      </c>
      <c r="G1530" s="3">
        <f t="shared" ca="1" si="47"/>
        <v>3.7619263709078101</v>
      </c>
      <c r="H1530" s="2"/>
      <c r="I1530" s="2"/>
      <c r="J1530" s="2"/>
      <c r="K1530" s="2"/>
    </row>
    <row r="1531" spans="5:11" x14ac:dyDescent="0.25">
      <c r="E1531" s="3">
        <f t="shared" ca="1" si="46"/>
        <v>0.4183902934391982</v>
      </c>
      <c r="F1531" s="3">
        <f t="shared" ca="1" si="46"/>
        <v>0.35330158509201925</v>
      </c>
      <c r="G1531" s="3">
        <f t="shared" ca="1" si="47"/>
        <v>4.1704708552352212</v>
      </c>
      <c r="H1531" s="2"/>
      <c r="I1531" s="2"/>
      <c r="J1531" s="2"/>
      <c r="K1531" s="2"/>
    </row>
    <row r="1532" spans="5:11" x14ac:dyDescent="0.25">
      <c r="E1532" s="3">
        <f t="shared" ca="1" si="46"/>
        <v>0.96390557169436231</v>
      </c>
      <c r="F1532" s="3">
        <f t="shared" ca="1" si="46"/>
        <v>0.36706853026160213</v>
      </c>
      <c r="G1532" s="3">
        <f t="shared" ca="1" si="47"/>
        <v>7.2962739692836678</v>
      </c>
      <c r="H1532" s="2"/>
      <c r="I1532" s="2"/>
      <c r="J1532" s="2"/>
      <c r="K1532" s="2"/>
    </row>
    <row r="1533" spans="5:11" x14ac:dyDescent="0.25">
      <c r="E1533" s="3">
        <f t="shared" ca="1" si="46"/>
        <v>0.91726085313183459</v>
      </c>
      <c r="F1533" s="3">
        <f t="shared" ca="1" si="46"/>
        <v>0.2644162743513212</v>
      </c>
      <c r="G1533" s="3">
        <f t="shared" ca="1" si="47"/>
        <v>4.8763803971986057</v>
      </c>
      <c r="H1533" s="2"/>
      <c r="I1533" s="2"/>
      <c r="J1533" s="2"/>
      <c r="K1533" s="2"/>
    </row>
    <row r="1534" spans="5:11" x14ac:dyDescent="0.25">
      <c r="E1534" s="3">
        <f t="shared" ca="1" si="46"/>
        <v>0.23980660174035806</v>
      </c>
      <c r="F1534" s="3">
        <f t="shared" ca="1" si="46"/>
        <v>0.18497250818410271</v>
      </c>
      <c r="G1534" s="3">
        <f t="shared" ca="1" si="47"/>
        <v>5.7750065481347477</v>
      </c>
      <c r="H1534" s="2"/>
      <c r="I1534" s="2"/>
      <c r="J1534" s="2"/>
      <c r="K1534" s="2"/>
    </row>
    <row r="1535" spans="5:11" x14ac:dyDescent="0.25">
      <c r="E1535" s="3">
        <f t="shared" ca="1" si="46"/>
        <v>0.86865751311305295</v>
      </c>
      <c r="F1535" s="3">
        <f t="shared" ca="1" si="46"/>
        <v>0.1096604084733892</v>
      </c>
      <c r="G1535" s="3">
        <f t="shared" ca="1" si="47"/>
        <v>3.7528613464400338</v>
      </c>
      <c r="H1535" s="2"/>
      <c r="I1535" s="2"/>
      <c r="J1535" s="2"/>
      <c r="K1535" s="2"/>
    </row>
    <row r="1536" spans="5:11" x14ac:dyDescent="0.25">
      <c r="E1536" s="3">
        <f t="shared" ca="1" si="46"/>
        <v>0.37779766246116919</v>
      </c>
      <c r="F1536" s="3">
        <f t="shared" ca="1" si="46"/>
        <v>0.33727820046883761</v>
      </c>
      <c r="G1536" s="3">
        <f t="shared" ca="1" si="47"/>
        <v>4.4759572521290769</v>
      </c>
      <c r="H1536" s="2"/>
      <c r="I1536" s="2"/>
      <c r="J1536" s="2"/>
      <c r="K1536" s="2"/>
    </row>
    <row r="1537" spans="5:11" x14ac:dyDescent="0.25">
      <c r="E1537" s="3">
        <f t="shared" ca="1" si="46"/>
        <v>0.84936823439717313</v>
      </c>
      <c r="F1537" s="3">
        <f t="shared" ca="1" si="46"/>
        <v>0.89554235889526668</v>
      </c>
      <c r="G1537" s="3">
        <f t="shared" ca="1" si="47"/>
        <v>11.144345569084061</v>
      </c>
      <c r="H1537" s="2"/>
      <c r="I1537" s="2"/>
      <c r="J1537" s="2"/>
      <c r="K1537" s="2"/>
    </row>
    <row r="1538" spans="5:11" x14ac:dyDescent="0.25">
      <c r="E1538" s="3">
        <f t="shared" ca="1" si="46"/>
        <v>0.43615413347579091</v>
      </c>
      <c r="F1538" s="3">
        <f t="shared" ca="1" si="46"/>
        <v>0.28810889851279564</v>
      </c>
      <c r="G1538" s="3">
        <f t="shared" ca="1" si="47"/>
        <v>3.4746088013707173</v>
      </c>
      <c r="H1538" s="2"/>
      <c r="I1538" s="2"/>
      <c r="J1538" s="2"/>
      <c r="K1538" s="2"/>
    </row>
    <row r="1539" spans="5:11" x14ac:dyDescent="0.25">
      <c r="E1539" s="3">
        <f t="shared" ca="1" si="46"/>
        <v>7.383914927152313E-2</v>
      </c>
      <c r="F1539" s="3">
        <f t="shared" ca="1" si="46"/>
        <v>0.84726154946404053</v>
      </c>
      <c r="G1539" s="3">
        <f t="shared" ca="1" si="47"/>
        <v>13.486927260449177</v>
      </c>
      <c r="H1539" s="2"/>
      <c r="I1539" s="2"/>
      <c r="J1539" s="2"/>
      <c r="K1539" s="2"/>
    </row>
    <row r="1540" spans="5:11" x14ac:dyDescent="0.25">
      <c r="E1540" s="3">
        <f t="shared" ref="E1540:F1603" ca="1" si="48">RAND()</f>
        <v>0.81279808812657972</v>
      </c>
      <c r="F1540" s="3">
        <f t="shared" ca="1" si="48"/>
        <v>0.38678964227626322</v>
      </c>
      <c r="G1540" s="3">
        <f t="shared" ref="G1540:G1603" ca="1" si="49">SQRT(_xlfn.NORM.INV(E1540,$C$3*COS($C$6),$C$4)^2+_xlfn.NORM.INV(F1540,$C$3*SIN($C$6),$C$4)^2)</f>
        <v>3.7461964481171064</v>
      </c>
      <c r="H1540" s="2"/>
      <c r="I1540" s="2"/>
      <c r="J1540" s="2"/>
      <c r="K1540" s="2"/>
    </row>
    <row r="1541" spans="5:11" x14ac:dyDescent="0.25">
      <c r="E1541" s="3">
        <f t="shared" ca="1" si="48"/>
        <v>0.80706504884228003</v>
      </c>
      <c r="F1541" s="3">
        <f t="shared" ca="1" si="48"/>
        <v>0.38578899980810843</v>
      </c>
      <c r="G1541" s="3">
        <f t="shared" ca="1" si="49"/>
        <v>3.6743893061963178</v>
      </c>
      <c r="H1541" s="2"/>
      <c r="I1541" s="2"/>
      <c r="J1541" s="2"/>
      <c r="K1541" s="2"/>
    </row>
    <row r="1542" spans="5:11" x14ac:dyDescent="0.25">
      <c r="E1542" s="3">
        <f t="shared" ca="1" si="48"/>
        <v>0.26314026152161374</v>
      </c>
      <c r="F1542" s="3">
        <f t="shared" ca="1" si="48"/>
        <v>0.37401048318880858</v>
      </c>
      <c r="G1542" s="3">
        <f t="shared" ca="1" si="49"/>
        <v>6.1201715879345207</v>
      </c>
      <c r="H1542" s="2"/>
      <c r="I1542" s="2"/>
      <c r="J1542" s="2"/>
      <c r="K1542" s="2"/>
    </row>
    <row r="1543" spans="5:11" x14ac:dyDescent="0.25">
      <c r="E1543" s="3">
        <f t="shared" ca="1" si="48"/>
        <v>0.21218910819189385</v>
      </c>
      <c r="F1543" s="3">
        <f t="shared" ca="1" si="48"/>
        <v>0.32984050160815315</v>
      </c>
      <c r="G1543" s="3">
        <f t="shared" ca="1" si="49"/>
        <v>6.6343932841912698</v>
      </c>
      <c r="H1543" s="2"/>
      <c r="I1543" s="2"/>
      <c r="J1543" s="2"/>
      <c r="K1543" s="2"/>
    </row>
    <row r="1544" spans="5:11" x14ac:dyDescent="0.25">
      <c r="E1544" s="3">
        <f t="shared" ca="1" si="48"/>
        <v>0.3242860502795657</v>
      </c>
      <c r="F1544" s="3">
        <f t="shared" ca="1" si="48"/>
        <v>0.1264084403742618</v>
      </c>
      <c r="G1544" s="3">
        <f t="shared" ca="1" si="49"/>
        <v>4.6881771889223467</v>
      </c>
      <c r="H1544" s="2"/>
      <c r="I1544" s="2"/>
      <c r="J1544" s="2"/>
      <c r="K1544" s="2"/>
    </row>
    <row r="1545" spans="5:11" x14ac:dyDescent="0.25">
      <c r="E1545" s="3">
        <f t="shared" ca="1" si="48"/>
        <v>0.81673912587380415</v>
      </c>
      <c r="F1545" s="3">
        <f t="shared" ca="1" si="48"/>
        <v>0.54877909509908707</v>
      </c>
      <c r="G1545" s="3">
        <f t="shared" ca="1" si="49"/>
        <v>5.5686349339514614</v>
      </c>
      <c r="H1545" s="2"/>
      <c r="I1545" s="2"/>
      <c r="J1545" s="2"/>
      <c r="K1545" s="2"/>
    </row>
    <row r="1546" spans="5:11" x14ac:dyDescent="0.25">
      <c r="E1546" s="3">
        <f t="shared" ca="1" si="48"/>
        <v>0.44965611620834245</v>
      </c>
      <c r="F1546" s="3">
        <f t="shared" ca="1" si="48"/>
        <v>0.66905262593887316</v>
      </c>
      <c r="G1546" s="3">
        <f t="shared" ca="1" si="49"/>
        <v>7.2500290893094803</v>
      </c>
      <c r="H1546" s="2"/>
      <c r="I1546" s="2"/>
      <c r="J1546" s="2"/>
      <c r="K1546" s="2"/>
    </row>
    <row r="1547" spans="5:11" x14ac:dyDescent="0.25">
      <c r="E1547" s="3">
        <f t="shared" ca="1" si="48"/>
        <v>0.3004953296326125</v>
      </c>
      <c r="F1547" s="3">
        <f t="shared" ca="1" si="48"/>
        <v>0.93536908111747319</v>
      </c>
      <c r="G1547" s="3">
        <f t="shared" ca="1" si="49"/>
        <v>12.996091386598779</v>
      </c>
      <c r="H1547" s="2"/>
      <c r="I1547" s="2"/>
      <c r="J1547" s="2"/>
      <c r="K1547" s="2"/>
    </row>
    <row r="1548" spans="5:11" x14ac:dyDescent="0.25">
      <c r="E1548" s="3">
        <f t="shared" ca="1" si="48"/>
        <v>4.4467492512157092E-2</v>
      </c>
      <c r="F1548" s="3">
        <f t="shared" ca="1" si="48"/>
        <v>0.46248258916528728</v>
      </c>
      <c r="G1548" s="3">
        <f t="shared" ca="1" si="49"/>
        <v>11.465606477362499</v>
      </c>
      <c r="H1548" s="2"/>
      <c r="I1548" s="2"/>
      <c r="J1548" s="2"/>
      <c r="K1548" s="2"/>
    </row>
    <row r="1549" spans="5:11" x14ac:dyDescent="0.25">
      <c r="E1549" s="3">
        <f t="shared" ca="1" si="48"/>
        <v>0.97494597992463883</v>
      </c>
      <c r="F1549" s="3">
        <f t="shared" ca="1" si="48"/>
        <v>8.8246135264647418E-2</v>
      </c>
      <c r="G1549" s="3">
        <f t="shared" ca="1" si="49"/>
        <v>7.8937529175241705</v>
      </c>
      <c r="H1549" s="2"/>
      <c r="I1549" s="2"/>
      <c r="J1549" s="2"/>
      <c r="K1549" s="2"/>
    </row>
    <row r="1550" spans="5:11" x14ac:dyDescent="0.25">
      <c r="E1550" s="3">
        <f t="shared" ca="1" si="48"/>
        <v>4.9849839920320993E-2</v>
      </c>
      <c r="F1550" s="3">
        <f t="shared" ca="1" si="48"/>
        <v>0.94573023937147582</v>
      </c>
      <c r="G1550" s="3">
        <f t="shared" ca="1" si="49"/>
        <v>16.302142916155077</v>
      </c>
      <c r="H1550" s="2"/>
      <c r="I1550" s="2"/>
      <c r="J1550" s="2"/>
      <c r="K1550" s="2"/>
    </row>
    <row r="1551" spans="5:11" x14ac:dyDescent="0.25">
      <c r="E1551" s="3">
        <f t="shared" ca="1" si="48"/>
        <v>0.35306721632413041</v>
      </c>
      <c r="F1551" s="3">
        <f t="shared" ca="1" si="48"/>
        <v>0.16880952074140043</v>
      </c>
      <c r="G1551" s="3">
        <f t="shared" ca="1" si="49"/>
        <v>4.1383672660386095</v>
      </c>
      <c r="H1551" s="2"/>
      <c r="I1551" s="2"/>
      <c r="J1551" s="2"/>
      <c r="K1551" s="2"/>
    </row>
    <row r="1552" spans="5:11" x14ac:dyDescent="0.25">
      <c r="E1552" s="3">
        <f t="shared" ca="1" si="48"/>
        <v>0.84198103402422231</v>
      </c>
      <c r="F1552" s="3">
        <f t="shared" ca="1" si="48"/>
        <v>0.3836440558130022</v>
      </c>
      <c r="G1552" s="3">
        <f t="shared" ca="1" si="49"/>
        <v>4.078072726430336</v>
      </c>
      <c r="H1552" s="2"/>
      <c r="I1552" s="2"/>
      <c r="J1552" s="2"/>
      <c r="K1552" s="2"/>
    </row>
    <row r="1553" spans="5:11" x14ac:dyDescent="0.25">
      <c r="E1553" s="3">
        <f t="shared" ca="1" si="48"/>
        <v>0.27730817883742365</v>
      </c>
      <c r="F1553" s="3">
        <f t="shared" ca="1" si="48"/>
        <v>0.8813112555021767</v>
      </c>
      <c r="G1553" s="3">
        <f t="shared" ca="1" si="49"/>
        <v>11.605323842588643</v>
      </c>
      <c r="H1553" s="2"/>
      <c r="I1553" s="2"/>
      <c r="J1553" s="2"/>
      <c r="K1553" s="2"/>
    </row>
    <row r="1554" spans="5:11" x14ac:dyDescent="0.25">
      <c r="E1554" s="3">
        <f t="shared" ca="1" si="48"/>
        <v>0.12624616711901671</v>
      </c>
      <c r="F1554" s="3">
        <f t="shared" ca="1" si="48"/>
        <v>4.2005292431429586E-3</v>
      </c>
      <c r="G1554" s="3">
        <f t="shared" ca="1" si="49"/>
        <v>11.798920132879598</v>
      </c>
      <c r="H1554" s="2"/>
      <c r="I1554" s="2"/>
      <c r="J1554" s="2"/>
      <c r="K1554" s="2"/>
    </row>
    <row r="1555" spans="5:11" x14ac:dyDescent="0.25">
      <c r="E1555" s="3">
        <f t="shared" ca="1" si="48"/>
        <v>0.60059587222087452</v>
      </c>
      <c r="F1555" s="3">
        <f t="shared" ca="1" si="48"/>
        <v>6.4536407094601622E-2</v>
      </c>
      <c r="G1555" s="3">
        <f t="shared" ca="1" si="49"/>
        <v>3.2650079864009007</v>
      </c>
      <c r="H1555" s="2"/>
      <c r="I1555" s="2"/>
      <c r="J1555" s="2"/>
      <c r="K1555" s="2"/>
    </row>
    <row r="1556" spans="5:11" x14ac:dyDescent="0.25">
      <c r="E1556" s="3">
        <f t="shared" ca="1" si="48"/>
        <v>0.15198016765695721</v>
      </c>
      <c r="F1556" s="3">
        <f t="shared" ca="1" si="48"/>
        <v>0.4861561735699389</v>
      </c>
      <c r="G1556" s="3">
        <f t="shared" ca="1" si="49"/>
        <v>8.5397656270849716</v>
      </c>
      <c r="H1556" s="2"/>
      <c r="I1556" s="2"/>
      <c r="J1556" s="2"/>
      <c r="K1556" s="2"/>
    </row>
    <row r="1557" spans="5:11" x14ac:dyDescent="0.25">
      <c r="E1557" s="3">
        <f t="shared" ca="1" si="48"/>
        <v>0.34633423839159116</v>
      </c>
      <c r="F1557" s="3">
        <f t="shared" ca="1" si="48"/>
        <v>0.97975858908168012</v>
      </c>
      <c r="G1557" s="3">
        <f t="shared" ca="1" si="49"/>
        <v>15.3061710854377</v>
      </c>
      <c r="H1557" s="2"/>
      <c r="I1557" s="2"/>
      <c r="J1557" s="2"/>
      <c r="K1557" s="2"/>
    </row>
    <row r="1558" spans="5:11" x14ac:dyDescent="0.25">
      <c r="E1558" s="3">
        <f t="shared" ca="1" si="48"/>
        <v>0.87082635299343902</v>
      </c>
      <c r="F1558" s="3">
        <f t="shared" ca="1" si="48"/>
        <v>0.83477458397768733</v>
      </c>
      <c r="G1558" s="3">
        <f t="shared" ca="1" si="49"/>
        <v>9.939677543759986</v>
      </c>
      <c r="H1558" s="2"/>
      <c r="I1558" s="2"/>
      <c r="J1558" s="2"/>
      <c r="K1558" s="2"/>
    </row>
    <row r="1559" spans="5:11" x14ac:dyDescent="0.25">
      <c r="E1559" s="3">
        <f t="shared" ca="1" si="48"/>
        <v>0.65479640168867226</v>
      </c>
      <c r="F1559" s="3">
        <f t="shared" ca="1" si="48"/>
        <v>0.82939055400032691</v>
      </c>
      <c r="G1559" s="3">
        <f t="shared" ca="1" si="49"/>
        <v>9.2321361496466636</v>
      </c>
      <c r="H1559" s="2"/>
      <c r="I1559" s="2"/>
      <c r="J1559" s="2"/>
      <c r="K1559" s="2"/>
    </row>
    <row r="1560" spans="5:11" x14ac:dyDescent="0.25">
      <c r="E1560" s="3">
        <f t="shared" ca="1" si="48"/>
        <v>0.32124565765954571</v>
      </c>
      <c r="F1560" s="3">
        <f t="shared" ca="1" si="48"/>
        <v>0.44292642296029083</v>
      </c>
      <c r="G1560" s="3">
        <f t="shared" ca="1" si="49"/>
        <v>5.9064396285509355</v>
      </c>
      <c r="H1560" s="2"/>
      <c r="I1560" s="2"/>
      <c r="J1560" s="2"/>
      <c r="K1560" s="2"/>
    </row>
    <row r="1561" spans="5:11" x14ac:dyDescent="0.25">
      <c r="E1561" s="3">
        <f t="shared" ca="1" si="48"/>
        <v>0.59573729470205838</v>
      </c>
      <c r="F1561" s="3">
        <f t="shared" ca="1" si="48"/>
        <v>0.81698940965054123</v>
      </c>
      <c r="G1561" s="3">
        <f t="shared" ca="1" si="49"/>
        <v>9.0484088624208976</v>
      </c>
      <c r="H1561" s="2"/>
      <c r="I1561" s="2"/>
      <c r="J1561" s="2"/>
      <c r="K1561" s="2"/>
    </row>
    <row r="1562" spans="5:11" x14ac:dyDescent="0.25">
      <c r="E1562" s="3">
        <f t="shared" ca="1" si="48"/>
        <v>0.37024076696560282</v>
      </c>
      <c r="F1562" s="3">
        <f t="shared" ca="1" si="48"/>
        <v>0.77840523987392263</v>
      </c>
      <c r="G1562" s="3">
        <f t="shared" ca="1" si="49"/>
        <v>9.1727836969878513</v>
      </c>
      <c r="H1562" s="2"/>
      <c r="I1562" s="2"/>
      <c r="J1562" s="2"/>
      <c r="K1562" s="2"/>
    </row>
    <row r="1563" spans="5:11" x14ac:dyDescent="0.25">
      <c r="E1563" s="3">
        <f t="shared" ca="1" si="48"/>
        <v>0.19862591550835262</v>
      </c>
      <c r="F1563" s="3">
        <f t="shared" ca="1" si="48"/>
        <v>0.59740798613425328</v>
      </c>
      <c r="G1563" s="3">
        <f t="shared" ca="1" si="49"/>
        <v>8.6271135126160061</v>
      </c>
      <c r="H1563" s="2"/>
      <c r="I1563" s="2"/>
      <c r="J1563" s="2"/>
      <c r="K1563" s="2"/>
    </row>
    <row r="1564" spans="5:11" x14ac:dyDescent="0.25">
      <c r="E1564" s="3">
        <f t="shared" ca="1" si="48"/>
        <v>0.70932577014529985</v>
      </c>
      <c r="F1564" s="3">
        <f t="shared" ca="1" si="48"/>
        <v>0.48806705899502156</v>
      </c>
      <c r="G1564" s="3">
        <f t="shared" ca="1" si="49"/>
        <v>4.3511930016368803</v>
      </c>
      <c r="H1564" s="2"/>
      <c r="I1564" s="2"/>
      <c r="J1564" s="2"/>
      <c r="K1564" s="2"/>
    </row>
    <row r="1565" spans="5:11" x14ac:dyDescent="0.25">
      <c r="E1565" s="3">
        <f t="shared" ca="1" si="48"/>
        <v>0.19560368209820955</v>
      </c>
      <c r="F1565" s="3">
        <f t="shared" ca="1" si="48"/>
        <v>0.98928406388078705</v>
      </c>
      <c r="G1565" s="3">
        <f t="shared" ca="1" si="49"/>
        <v>17.253838694655066</v>
      </c>
      <c r="H1565" s="2"/>
      <c r="I1565" s="2"/>
      <c r="J1565" s="2"/>
      <c r="K1565" s="2"/>
    </row>
    <row r="1566" spans="5:11" x14ac:dyDescent="0.25">
      <c r="E1566" s="3">
        <f t="shared" ca="1" si="48"/>
        <v>0.75590261077692067</v>
      </c>
      <c r="F1566" s="3">
        <f t="shared" ca="1" si="48"/>
        <v>0.81343504555460355</v>
      </c>
      <c r="G1566" s="3">
        <f t="shared" ca="1" si="49"/>
        <v>9.0068809722565923</v>
      </c>
      <c r="H1566" s="2"/>
      <c r="I1566" s="2"/>
      <c r="J1566" s="2"/>
      <c r="K1566" s="2"/>
    </row>
    <row r="1567" spans="5:11" x14ac:dyDescent="0.25">
      <c r="E1567" s="3">
        <f t="shared" ca="1" si="48"/>
        <v>0.4472195573514931</v>
      </c>
      <c r="F1567" s="3">
        <f t="shared" ca="1" si="48"/>
        <v>0.47699875187538321</v>
      </c>
      <c r="G1567" s="3">
        <f t="shared" ca="1" si="49"/>
        <v>5.090919537977336</v>
      </c>
      <c r="H1567" s="2"/>
      <c r="I1567" s="2"/>
      <c r="J1567" s="2"/>
      <c r="K1567" s="2"/>
    </row>
    <row r="1568" spans="5:11" x14ac:dyDescent="0.25">
      <c r="E1568" s="3">
        <f t="shared" ca="1" si="48"/>
        <v>0.51838903273680215</v>
      </c>
      <c r="F1568" s="3">
        <f t="shared" ca="1" si="48"/>
        <v>0.28689856445994044</v>
      </c>
      <c r="G1568" s="3">
        <f t="shared" ca="1" si="49"/>
        <v>2.6052125032413951</v>
      </c>
      <c r="H1568" s="2"/>
      <c r="I1568" s="2"/>
      <c r="J1568" s="2"/>
      <c r="K1568" s="2"/>
    </row>
    <row r="1569" spans="5:11" x14ac:dyDescent="0.25">
      <c r="E1569" s="3">
        <f t="shared" ca="1" si="48"/>
        <v>0.59730918574253644</v>
      </c>
      <c r="F1569" s="3">
        <f t="shared" ca="1" si="48"/>
        <v>0.10676888592521405</v>
      </c>
      <c r="G1569" s="3">
        <f t="shared" ca="1" si="49"/>
        <v>2.0193230769372703</v>
      </c>
      <c r="H1569" s="2"/>
      <c r="I1569" s="2"/>
      <c r="J1569" s="2"/>
      <c r="K1569" s="2"/>
    </row>
    <row r="1570" spans="5:11" x14ac:dyDescent="0.25">
      <c r="E1570" s="3">
        <f t="shared" ca="1" si="48"/>
        <v>0.51037369284135958</v>
      </c>
      <c r="F1570" s="3">
        <f t="shared" ca="1" si="48"/>
        <v>0.19678019953371972</v>
      </c>
      <c r="G1570" s="3">
        <f t="shared" ca="1" si="49"/>
        <v>2.1201843741427018</v>
      </c>
      <c r="H1570" s="2"/>
      <c r="I1570" s="2"/>
      <c r="J1570" s="2"/>
      <c r="K1570" s="2"/>
    </row>
    <row r="1571" spans="5:11" x14ac:dyDescent="0.25">
      <c r="E1571" s="3">
        <f t="shared" ca="1" si="48"/>
        <v>0.95731666235788315</v>
      </c>
      <c r="F1571" s="3">
        <f t="shared" ca="1" si="48"/>
        <v>0.49970327694320549</v>
      </c>
      <c r="G1571" s="3">
        <f t="shared" ca="1" si="49"/>
        <v>7.7727379990462699</v>
      </c>
      <c r="H1571" s="2"/>
      <c r="I1571" s="2"/>
      <c r="J1571" s="2"/>
      <c r="K1571" s="2"/>
    </row>
    <row r="1572" spans="5:11" x14ac:dyDescent="0.25">
      <c r="E1572" s="3">
        <f t="shared" ca="1" si="48"/>
        <v>0.26881179733378324</v>
      </c>
      <c r="F1572" s="3">
        <f t="shared" ca="1" si="48"/>
        <v>0.95142227323070838</v>
      </c>
      <c r="G1572" s="3">
        <f t="shared" ca="1" si="49"/>
        <v>13.82923869977772</v>
      </c>
      <c r="H1572" s="2"/>
      <c r="I1572" s="2"/>
      <c r="J1572" s="2"/>
      <c r="K1572" s="2"/>
    </row>
    <row r="1573" spans="5:11" x14ac:dyDescent="0.25">
      <c r="E1573" s="3">
        <f t="shared" ca="1" si="48"/>
        <v>0.12187601071820253</v>
      </c>
      <c r="F1573" s="3">
        <f t="shared" ca="1" si="48"/>
        <v>0.26376876862778131</v>
      </c>
      <c r="G1573" s="3">
        <f t="shared" ca="1" si="49"/>
        <v>8.1745009536282414</v>
      </c>
      <c r="H1573" s="2"/>
      <c r="I1573" s="2"/>
      <c r="J1573" s="2"/>
      <c r="K1573" s="2"/>
    </row>
    <row r="1574" spans="5:11" x14ac:dyDescent="0.25">
      <c r="E1574" s="3">
        <f t="shared" ca="1" si="48"/>
        <v>0.49986311736304911</v>
      </c>
      <c r="F1574" s="3">
        <f t="shared" ca="1" si="48"/>
        <v>0.51205685497702602</v>
      </c>
      <c r="G1574" s="3">
        <f t="shared" ca="1" si="49"/>
        <v>5.1363077880694936</v>
      </c>
      <c r="H1574" s="2"/>
      <c r="I1574" s="2"/>
      <c r="J1574" s="2"/>
      <c r="K1574" s="2"/>
    </row>
    <row r="1575" spans="5:11" x14ac:dyDescent="0.25">
      <c r="E1575" s="3">
        <f t="shared" ca="1" si="48"/>
        <v>0.27468708187736512</v>
      </c>
      <c r="F1575" s="3">
        <f t="shared" ca="1" si="48"/>
        <v>0.28815649855270309</v>
      </c>
      <c r="G1575" s="3">
        <f t="shared" ca="1" si="49"/>
        <v>5.4956858792646255</v>
      </c>
      <c r="H1575" s="2"/>
      <c r="I1575" s="2"/>
      <c r="J1575" s="2"/>
      <c r="K1575" s="2"/>
    </row>
    <row r="1576" spans="5:11" x14ac:dyDescent="0.25">
      <c r="E1576" s="3">
        <f t="shared" ca="1" si="48"/>
        <v>0.4206838761930094</v>
      </c>
      <c r="F1576" s="3">
        <f t="shared" ca="1" si="48"/>
        <v>0.48928463124671262</v>
      </c>
      <c r="G1576" s="3">
        <f t="shared" ca="1" si="49"/>
        <v>5.4131963233943639</v>
      </c>
      <c r="H1576" s="2"/>
      <c r="I1576" s="2"/>
      <c r="J1576" s="2"/>
      <c r="K1576" s="2"/>
    </row>
    <row r="1577" spans="5:11" x14ac:dyDescent="0.25">
      <c r="E1577" s="3">
        <f t="shared" ca="1" si="48"/>
        <v>0.52474140699276361</v>
      </c>
      <c r="F1577" s="3">
        <f t="shared" ca="1" si="48"/>
        <v>0.63264003445885708</v>
      </c>
      <c r="G1577" s="3">
        <f t="shared" ca="1" si="49"/>
        <v>6.4593510636720177</v>
      </c>
      <c r="H1577" s="2"/>
      <c r="I1577" s="2"/>
      <c r="J1577" s="2"/>
      <c r="K1577" s="2"/>
    </row>
    <row r="1578" spans="5:11" x14ac:dyDescent="0.25">
      <c r="E1578" s="3">
        <f t="shared" ca="1" si="48"/>
        <v>0.250818076698757</v>
      </c>
      <c r="F1578" s="3">
        <f t="shared" ca="1" si="48"/>
        <v>0.76675421715154535</v>
      </c>
      <c r="G1578" s="3">
        <f t="shared" ca="1" si="49"/>
        <v>9.8563434226011886</v>
      </c>
      <c r="H1578" s="2"/>
      <c r="I1578" s="2"/>
      <c r="J1578" s="2"/>
      <c r="K1578" s="2"/>
    </row>
    <row r="1579" spans="5:11" x14ac:dyDescent="0.25">
      <c r="E1579" s="3">
        <f t="shared" ca="1" si="48"/>
        <v>0.8002731740286928</v>
      </c>
      <c r="F1579" s="3">
        <f t="shared" ca="1" si="48"/>
        <v>0.18232921669794078</v>
      </c>
      <c r="G1579" s="3">
        <f t="shared" ca="1" si="49"/>
        <v>1.9736131063694302</v>
      </c>
      <c r="H1579" s="2"/>
      <c r="I1579" s="2"/>
      <c r="J1579" s="2"/>
      <c r="K1579" s="2"/>
    </row>
    <row r="1580" spans="5:11" x14ac:dyDescent="0.25">
      <c r="E1580" s="3">
        <f t="shared" ca="1" si="48"/>
        <v>0.61397098115607218</v>
      </c>
      <c r="F1580" s="3">
        <f t="shared" ca="1" si="48"/>
        <v>0.43356260855401507</v>
      </c>
      <c r="G1580" s="3">
        <f t="shared" ca="1" si="49"/>
        <v>3.7187333068904169</v>
      </c>
      <c r="H1580" s="2"/>
      <c r="I1580" s="2"/>
      <c r="J1580" s="2"/>
      <c r="K1580" s="2"/>
    </row>
    <row r="1581" spans="5:11" x14ac:dyDescent="0.25">
      <c r="E1581" s="3">
        <f t="shared" ca="1" si="48"/>
        <v>0.36800557635801256</v>
      </c>
      <c r="F1581" s="3">
        <f t="shared" ca="1" si="48"/>
        <v>0.76058150605874297</v>
      </c>
      <c r="G1581" s="3">
        <f t="shared" ca="1" si="49"/>
        <v>8.921200657911573</v>
      </c>
      <c r="H1581" s="2"/>
      <c r="I1581" s="2"/>
      <c r="J1581" s="2"/>
      <c r="K1581" s="2"/>
    </row>
    <row r="1582" spans="5:11" x14ac:dyDescent="0.25">
      <c r="E1582" s="3">
        <f t="shared" ca="1" si="48"/>
        <v>0.64708504985264415</v>
      </c>
      <c r="F1582" s="3">
        <f t="shared" ca="1" si="48"/>
        <v>0.53982461570379814</v>
      </c>
      <c r="G1582" s="3">
        <f t="shared" ca="1" si="49"/>
        <v>4.9824671544033965</v>
      </c>
      <c r="H1582" s="2"/>
      <c r="I1582" s="2"/>
      <c r="J1582" s="2"/>
      <c r="K1582" s="2"/>
    </row>
    <row r="1583" spans="5:11" x14ac:dyDescent="0.25">
      <c r="E1583" s="3">
        <f t="shared" ca="1" si="48"/>
        <v>0.17028505858721354</v>
      </c>
      <c r="F1583" s="3">
        <f t="shared" ca="1" si="48"/>
        <v>0.53123441802751514</v>
      </c>
      <c r="G1583" s="3">
        <f t="shared" ca="1" si="49"/>
        <v>8.5273396396614416</v>
      </c>
      <c r="H1583" s="2"/>
      <c r="I1583" s="2"/>
      <c r="J1583" s="2"/>
      <c r="K1583" s="2"/>
    </row>
    <row r="1584" spans="5:11" x14ac:dyDescent="0.25">
      <c r="E1584" s="3">
        <f t="shared" ca="1" si="48"/>
        <v>7.64121437570775E-2</v>
      </c>
      <c r="F1584" s="3">
        <f t="shared" ca="1" si="48"/>
        <v>0.16337381612900892</v>
      </c>
      <c r="G1584" s="3">
        <f t="shared" ca="1" si="49"/>
        <v>9.3985001611745815</v>
      </c>
      <c r="H1584" s="2"/>
      <c r="I1584" s="2"/>
      <c r="J1584" s="2"/>
      <c r="K1584" s="2"/>
    </row>
    <row r="1585" spans="5:11" x14ac:dyDescent="0.25">
      <c r="E1585" s="3">
        <f t="shared" ca="1" si="48"/>
        <v>9.7824577465509988E-2</v>
      </c>
      <c r="F1585" s="3">
        <f t="shared" ca="1" si="48"/>
        <v>0.99962509583557346</v>
      </c>
      <c r="G1585" s="3">
        <f t="shared" ca="1" si="49"/>
        <v>23.03395127902218</v>
      </c>
      <c r="H1585" s="2"/>
      <c r="I1585" s="2"/>
      <c r="J1585" s="2"/>
      <c r="K1585" s="2"/>
    </row>
    <row r="1586" spans="5:11" x14ac:dyDescent="0.25">
      <c r="E1586" s="3">
        <f t="shared" ca="1" si="48"/>
        <v>2.1157520902147509E-2</v>
      </c>
      <c r="F1586" s="3">
        <f t="shared" ca="1" si="48"/>
        <v>0.80136331951652429</v>
      </c>
      <c r="G1586" s="3">
        <f t="shared" ca="1" si="49"/>
        <v>15.142824229743576</v>
      </c>
      <c r="H1586" s="2"/>
      <c r="I1586" s="2"/>
      <c r="J1586" s="2"/>
      <c r="K1586" s="2"/>
    </row>
    <row r="1587" spans="5:11" x14ac:dyDescent="0.25">
      <c r="E1587" s="3">
        <f t="shared" ca="1" si="48"/>
        <v>0.1237857114533546</v>
      </c>
      <c r="F1587" s="3">
        <f t="shared" ca="1" si="48"/>
        <v>0.512439188736869</v>
      </c>
      <c r="G1587" s="3">
        <f t="shared" ca="1" si="49"/>
        <v>9.2599609002110288</v>
      </c>
      <c r="H1587" s="2"/>
      <c r="I1587" s="2"/>
      <c r="J1587" s="2"/>
      <c r="K1587" s="2"/>
    </row>
    <row r="1588" spans="5:11" x14ac:dyDescent="0.25">
      <c r="E1588" s="3">
        <f t="shared" ca="1" si="48"/>
        <v>0.45082610336582474</v>
      </c>
      <c r="F1588" s="3">
        <f t="shared" ca="1" si="48"/>
        <v>0.63943299233096029</v>
      </c>
      <c r="G1588" s="3">
        <f t="shared" ca="1" si="49"/>
        <v>6.8768327068533042</v>
      </c>
      <c r="H1588" s="2"/>
      <c r="I1588" s="2"/>
      <c r="J1588" s="2"/>
      <c r="K1588" s="2"/>
    </row>
    <row r="1589" spans="5:11" x14ac:dyDescent="0.25">
      <c r="E1589" s="3">
        <f t="shared" ca="1" si="48"/>
        <v>0.93372571759735079</v>
      </c>
      <c r="F1589" s="3">
        <f t="shared" ca="1" si="48"/>
        <v>0.67777485599511011</v>
      </c>
      <c r="G1589" s="3">
        <f t="shared" ca="1" si="49"/>
        <v>8.5915389084861093</v>
      </c>
      <c r="H1589" s="2"/>
      <c r="I1589" s="2"/>
      <c r="J1589" s="2"/>
      <c r="K1589" s="2"/>
    </row>
    <row r="1590" spans="5:11" x14ac:dyDescent="0.25">
      <c r="E1590" s="3">
        <f t="shared" ca="1" si="48"/>
        <v>0.66978499434371142</v>
      </c>
      <c r="F1590" s="3">
        <f t="shared" ca="1" si="48"/>
        <v>0.95492153097221</v>
      </c>
      <c r="G1590" s="3">
        <f t="shared" ca="1" si="49"/>
        <v>12.942909543821271</v>
      </c>
      <c r="H1590" s="2"/>
      <c r="I1590" s="2"/>
      <c r="J1590" s="2"/>
      <c r="K1590" s="2"/>
    </row>
    <row r="1591" spans="5:11" x14ac:dyDescent="0.25">
      <c r="E1591" s="3">
        <f t="shared" ca="1" si="48"/>
        <v>0.56851844432658027</v>
      </c>
      <c r="F1591" s="3">
        <f t="shared" ca="1" si="48"/>
        <v>0.34483504775316298</v>
      </c>
      <c r="G1591" s="3">
        <f t="shared" ca="1" si="49"/>
        <v>2.8311031391664421</v>
      </c>
      <c r="H1591" s="2"/>
      <c r="I1591" s="2"/>
      <c r="J1591" s="2"/>
      <c r="K1591" s="2"/>
    </row>
    <row r="1592" spans="5:11" x14ac:dyDescent="0.25">
      <c r="E1592" s="3">
        <f t="shared" ca="1" si="48"/>
        <v>0.59602722125496543</v>
      </c>
      <c r="F1592" s="3">
        <f t="shared" ca="1" si="48"/>
        <v>0.13949972195312277</v>
      </c>
      <c r="G1592" s="3">
        <f t="shared" ca="1" si="49"/>
        <v>1.3926891025782198</v>
      </c>
      <c r="H1592" s="2"/>
      <c r="I1592" s="2"/>
      <c r="J1592" s="2"/>
      <c r="K1592" s="2"/>
    </row>
    <row r="1593" spans="5:11" x14ac:dyDescent="0.25">
      <c r="E1593" s="3">
        <f t="shared" ca="1" si="48"/>
        <v>0.12859869431194815</v>
      </c>
      <c r="F1593" s="3">
        <f t="shared" ca="1" si="48"/>
        <v>0.59112290712979298</v>
      </c>
      <c r="G1593" s="3">
        <f t="shared" ca="1" si="49"/>
        <v>9.7008583739772849</v>
      </c>
      <c r="H1593" s="2"/>
      <c r="I1593" s="2"/>
      <c r="J1593" s="2"/>
      <c r="K1593" s="2"/>
    </row>
    <row r="1594" spans="5:11" x14ac:dyDescent="0.25">
      <c r="E1594" s="3">
        <f t="shared" ca="1" si="48"/>
        <v>0.5384801484677596</v>
      </c>
      <c r="F1594" s="3">
        <f t="shared" ca="1" si="48"/>
        <v>4.0299014004855249E-2</v>
      </c>
      <c r="G1594" s="3">
        <f t="shared" ca="1" si="49"/>
        <v>4.6139226413791432</v>
      </c>
      <c r="H1594" s="2"/>
      <c r="I1594" s="2"/>
      <c r="J1594" s="2"/>
      <c r="K1594" s="2"/>
    </row>
    <row r="1595" spans="5:11" x14ac:dyDescent="0.25">
      <c r="E1595" s="3">
        <f t="shared" ca="1" si="48"/>
        <v>0.81411812766869773</v>
      </c>
      <c r="F1595" s="3">
        <f t="shared" ca="1" si="48"/>
        <v>0.99909413992907914</v>
      </c>
      <c r="G1595" s="3">
        <f t="shared" ca="1" si="49"/>
        <v>20.190400391506099</v>
      </c>
      <c r="H1595" s="2"/>
      <c r="I1595" s="2"/>
      <c r="J1595" s="2"/>
      <c r="K1595" s="2"/>
    </row>
    <row r="1596" spans="5:11" x14ac:dyDescent="0.25">
      <c r="E1596" s="3">
        <f t="shared" ca="1" si="48"/>
        <v>0.15342827952028171</v>
      </c>
      <c r="F1596" s="3">
        <f t="shared" ca="1" si="48"/>
        <v>0.62671778257242927</v>
      </c>
      <c r="G1596" s="3">
        <f t="shared" ca="1" si="49"/>
        <v>9.5422060189683364</v>
      </c>
      <c r="H1596" s="2"/>
      <c r="I1596" s="2"/>
      <c r="J1596" s="2"/>
      <c r="K1596" s="2"/>
    </row>
    <row r="1597" spans="5:11" x14ac:dyDescent="0.25">
      <c r="E1597" s="3">
        <f t="shared" ca="1" si="48"/>
        <v>0.29684050729224598</v>
      </c>
      <c r="F1597" s="3">
        <f t="shared" ca="1" si="48"/>
        <v>7.6684872137048554E-2</v>
      </c>
      <c r="G1597" s="3">
        <f t="shared" ca="1" si="49"/>
        <v>5.5865371358406986</v>
      </c>
      <c r="H1597" s="2"/>
      <c r="I1597" s="2"/>
      <c r="J1597" s="2"/>
      <c r="K1597" s="2"/>
    </row>
    <row r="1598" spans="5:11" x14ac:dyDescent="0.25">
      <c r="E1598" s="3">
        <f t="shared" ca="1" si="48"/>
        <v>0.48933357992394688</v>
      </c>
      <c r="F1598" s="3">
        <f t="shared" ca="1" si="48"/>
        <v>4.5938797892439709E-3</v>
      </c>
      <c r="G1598" s="3">
        <f t="shared" ca="1" si="49"/>
        <v>8.8782568065264158</v>
      </c>
      <c r="H1598" s="2"/>
      <c r="I1598" s="2"/>
      <c r="J1598" s="2"/>
      <c r="K1598" s="2"/>
    </row>
    <row r="1599" spans="5:11" x14ac:dyDescent="0.25">
      <c r="E1599" s="3">
        <f t="shared" ca="1" si="48"/>
        <v>2.6623034061904027E-2</v>
      </c>
      <c r="F1599" s="3">
        <f t="shared" ca="1" si="48"/>
        <v>0.43138480220826259</v>
      </c>
      <c r="G1599" s="3">
        <f t="shared" ca="1" si="49"/>
        <v>12.439034375768356</v>
      </c>
      <c r="H1599" s="2"/>
      <c r="I1599" s="2"/>
      <c r="J1599" s="2"/>
      <c r="K1599" s="2"/>
    </row>
    <row r="1600" spans="5:11" x14ac:dyDescent="0.25">
      <c r="E1600" s="3">
        <f t="shared" ca="1" si="48"/>
        <v>0.74436710412554763</v>
      </c>
      <c r="F1600" s="3">
        <f t="shared" ca="1" si="48"/>
        <v>0.71741601743182426</v>
      </c>
      <c r="G1600" s="3">
        <f t="shared" ca="1" si="49"/>
        <v>7.4197070843538659</v>
      </c>
      <c r="H1600" s="2"/>
      <c r="I1600" s="2"/>
      <c r="J1600" s="2"/>
      <c r="K1600" s="2"/>
    </row>
    <row r="1601" spans="5:11" x14ac:dyDescent="0.25">
      <c r="E1601" s="3">
        <f t="shared" ca="1" si="48"/>
        <v>0.27202917919585423</v>
      </c>
      <c r="F1601" s="3">
        <f t="shared" ca="1" si="48"/>
        <v>6.1947824018123265E-2</v>
      </c>
      <c r="G1601" s="3">
        <f t="shared" ca="1" si="49"/>
        <v>6.180751895864061</v>
      </c>
      <c r="H1601" s="2"/>
      <c r="I1601" s="2"/>
      <c r="J1601" s="2"/>
      <c r="K1601" s="2"/>
    </row>
    <row r="1602" spans="5:11" x14ac:dyDescent="0.25">
      <c r="E1602" s="3">
        <f t="shared" ca="1" si="48"/>
        <v>0.22729694207292139</v>
      </c>
      <c r="F1602" s="3">
        <f t="shared" ca="1" si="48"/>
        <v>0.50038856590023562</v>
      </c>
      <c r="G1602" s="3">
        <f t="shared" ca="1" si="49"/>
        <v>7.4683236280360505</v>
      </c>
      <c r="H1602" s="2"/>
      <c r="I1602" s="2"/>
      <c r="J1602" s="2"/>
      <c r="K1602" s="2"/>
    </row>
    <row r="1603" spans="5:11" x14ac:dyDescent="0.25">
      <c r="E1603" s="3">
        <f t="shared" ca="1" si="48"/>
        <v>0.11928020726854105</v>
      </c>
      <c r="F1603" s="3">
        <f t="shared" ca="1" si="48"/>
        <v>0.32010715659632683</v>
      </c>
      <c r="G1603" s="3">
        <f t="shared" ca="1" si="49"/>
        <v>8.4083717240265194</v>
      </c>
      <c r="H1603" s="2"/>
      <c r="I1603" s="2"/>
      <c r="J1603" s="2"/>
      <c r="K1603" s="2"/>
    </row>
    <row r="1604" spans="5:11" x14ac:dyDescent="0.25">
      <c r="E1604" s="3">
        <f t="shared" ref="E1604:F1667" ca="1" si="50">RAND()</f>
        <v>0.575680289840379</v>
      </c>
      <c r="F1604" s="3">
        <f t="shared" ca="1" si="50"/>
        <v>0.8769691635944139</v>
      </c>
      <c r="G1604" s="3">
        <f t="shared" ref="G1604:G1667" ca="1" si="51">SQRT(_xlfn.NORM.INV(E1604,$C$3*COS($C$6),$C$4)^2+_xlfn.NORM.INV(F1604,$C$3*SIN($C$6),$C$4)^2)</f>
        <v>10.350041108673169</v>
      </c>
      <c r="H1604" s="2"/>
      <c r="I1604" s="2"/>
      <c r="J1604" s="2"/>
      <c r="K1604" s="2"/>
    </row>
    <row r="1605" spans="5:11" x14ac:dyDescent="0.25">
      <c r="E1605" s="3">
        <f t="shared" ca="1" si="50"/>
        <v>0.2730714105524249</v>
      </c>
      <c r="F1605" s="3">
        <f t="shared" ca="1" si="50"/>
        <v>9.1758792022493929E-2</v>
      </c>
      <c r="G1605" s="3">
        <f t="shared" ca="1" si="51"/>
        <v>5.6921285405466806</v>
      </c>
      <c r="H1605" s="2"/>
      <c r="I1605" s="2"/>
      <c r="J1605" s="2"/>
      <c r="K1605" s="2"/>
    </row>
    <row r="1606" spans="5:11" x14ac:dyDescent="0.25">
      <c r="E1606" s="3">
        <f t="shared" ca="1" si="50"/>
        <v>0.58364286934118981</v>
      </c>
      <c r="F1606" s="3">
        <f t="shared" ca="1" si="50"/>
        <v>3.3411254149197211E-2</v>
      </c>
      <c r="G1606" s="3">
        <f t="shared" ca="1" si="51"/>
        <v>4.8414211746846085</v>
      </c>
      <c r="H1606" s="2"/>
      <c r="I1606" s="2"/>
      <c r="J1606" s="2"/>
      <c r="K1606" s="2"/>
    </row>
    <row r="1607" spans="5:11" x14ac:dyDescent="0.25">
      <c r="E1607" s="3">
        <f t="shared" ca="1" si="50"/>
        <v>1.5653703065050095E-2</v>
      </c>
      <c r="F1607" s="3">
        <f t="shared" ca="1" si="50"/>
        <v>0.55885092062443242</v>
      </c>
      <c r="G1607" s="3">
        <f t="shared" ca="1" si="51"/>
        <v>14.010893164307525</v>
      </c>
      <c r="H1607" s="2"/>
      <c r="I1607" s="2"/>
      <c r="J1607" s="2"/>
      <c r="K1607" s="2"/>
    </row>
    <row r="1608" spans="5:11" x14ac:dyDescent="0.25">
      <c r="E1608" s="3">
        <f t="shared" ca="1" si="50"/>
        <v>0.61786083412703319</v>
      </c>
      <c r="F1608" s="3">
        <f t="shared" ca="1" si="50"/>
        <v>2.7274378428783441E-2</v>
      </c>
      <c r="G1608" s="3">
        <f t="shared" ca="1" si="51"/>
        <v>5.1954016774435354</v>
      </c>
      <c r="H1608" s="2"/>
      <c r="I1608" s="2"/>
      <c r="J1608" s="2"/>
      <c r="K1608" s="2"/>
    </row>
    <row r="1609" spans="5:11" x14ac:dyDescent="0.25">
      <c r="E1609" s="3">
        <f t="shared" ca="1" si="50"/>
        <v>0.97467181972589356</v>
      </c>
      <c r="F1609" s="3">
        <f t="shared" ca="1" si="50"/>
        <v>0.56040498601931532</v>
      </c>
      <c r="G1609" s="3">
        <f t="shared" ca="1" si="51"/>
        <v>9.1693211960236578</v>
      </c>
      <c r="H1609" s="2"/>
      <c r="I1609" s="2"/>
      <c r="J1609" s="2"/>
      <c r="K1609" s="2"/>
    </row>
    <row r="1610" spans="5:11" x14ac:dyDescent="0.25">
      <c r="E1610" s="3">
        <f t="shared" ca="1" si="50"/>
        <v>0.48969623492997139</v>
      </c>
      <c r="F1610" s="3">
        <f t="shared" ca="1" si="50"/>
        <v>0.17510854976381307</v>
      </c>
      <c r="G1610" s="3">
        <f t="shared" ca="1" si="51"/>
        <v>2.3780188506335844</v>
      </c>
      <c r="H1610" s="2"/>
      <c r="I1610" s="2"/>
      <c r="J1610" s="2"/>
      <c r="K1610" s="2"/>
    </row>
    <row r="1611" spans="5:11" x14ac:dyDescent="0.25">
      <c r="E1611" s="3">
        <f t="shared" ca="1" si="50"/>
        <v>0.22792121893601769</v>
      </c>
      <c r="F1611" s="3">
        <f t="shared" ca="1" si="50"/>
        <v>0.11082700005930357</v>
      </c>
      <c r="G1611" s="3">
        <f t="shared" ca="1" si="51"/>
        <v>6.190313552154481</v>
      </c>
      <c r="H1611" s="2"/>
      <c r="I1611" s="2"/>
      <c r="J1611" s="2"/>
      <c r="K1611" s="2"/>
    </row>
    <row r="1612" spans="5:11" x14ac:dyDescent="0.25">
      <c r="E1612" s="3">
        <f t="shared" ca="1" si="50"/>
        <v>5.2002815563972682E-2</v>
      </c>
      <c r="F1612" s="3">
        <f t="shared" ca="1" si="50"/>
        <v>0.80619271488073185</v>
      </c>
      <c r="G1612" s="3">
        <f t="shared" ca="1" si="51"/>
        <v>13.593262743086186</v>
      </c>
      <c r="H1612" s="2"/>
      <c r="I1612" s="2"/>
      <c r="J1612" s="2"/>
      <c r="K1612" s="2"/>
    </row>
    <row r="1613" spans="5:11" x14ac:dyDescent="0.25">
      <c r="E1613" s="3">
        <f t="shared" ca="1" si="50"/>
        <v>0.48484991799772004</v>
      </c>
      <c r="F1613" s="3">
        <f t="shared" ca="1" si="50"/>
        <v>0.13472124020943022</v>
      </c>
      <c r="G1613" s="3">
        <f t="shared" ca="1" si="51"/>
        <v>2.6481133012406146</v>
      </c>
      <c r="H1613" s="2"/>
      <c r="I1613" s="2"/>
      <c r="J1613" s="2"/>
      <c r="K1613" s="2"/>
    </row>
    <row r="1614" spans="5:11" x14ac:dyDescent="0.25">
      <c r="E1614" s="3">
        <f t="shared" ca="1" si="50"/>
        <v>0.33950889467959888</v>
      </c>
      <c r="F1614" s="3">
        <f t="shared" ca="1" si="50"/>
        <v>0.54008550631904184</v>
      </c>
      <c r="G1614" s="3">
        <f t="shared" ca="1" si="51"/>
        <v>6.5805641479418053</v>
      </c>
      <c r="H1614" s="2"/>
      <c r="I1614" s="2"/>
      <c r="J1614" s="2"/>
      <c r="K1614" s="2"/>
    </row>
    <row r="1615" spans="5:11" x14ac:dyDescent="0.25">
      <c r="E1615" s="3">
        <f t="shared" ca="1" si="50"/>
        <v>0.32461405451025449</v>
      </c>
      <c r="F1615" s="3">
        <f t="shared" ca="1" si="50"/>
        <v>0.12897734959737561</v>
      </c>
      <c r="G1615" s="3">
        <f t="shared" ca="1" si="51"/>
        <v>4.6677812711895861</v>
      </c>
      <c r="H1615" s="2"/>
      <c r="I1615" s="2"/>
      <c r="J1615" s="2"/>
      <c r="K1615" s="2"/>
    </row>
    <row r="1616" spans="5:11" x14ac:dyDescent="0.25">
      <c r="E1616" s="3">
        <f t="shared" ca="1" si="50"/>
        <v>0.6642112957503119</v>
      </c>
      <c r="F1616" s="3">
        <f t="shared" ca="1" si="50"/>
        <v>0.38587022603321053</v>
      </c>
      <c r="G1616" s="3">
        <f t="shared" ca="1" si="51"/>
        <v>3.0218893754674676</v>
      </c>
      <c r="H1616" s="2"/>
      <c r="I1616" s="2"/>
      <c r="J1616" s="2"/>
      <c r="K1616" s="2"/>
    </row>
    <row r="1617" spans="5:11" x14ac:dyDescent="0.25">
      <c r="E1617" s="3">
        <f t="shared" ca="1" si="50"/>
        <v>0.47168025267903246</v>
      </c>
      <c r="F1617" s="3">
        <f t="shared" ca="1" si="50"/>
        <v>0.1668312447816559</v>
      </c>
      <c r="G1617" s="3">
        <f t="shared" ca="1" si="51"/>
        <v>2.6209776830765255</v>
      </c>
      <c r="H1617" s="2"/>
      <c r="I1617" s="2"/>
      <c r="J1617" s="2"/>
      <c r="K1617" s="2"/>
    </row>
    <row r="1618" spans="5:11" x14ac:dyDescent="0.25">
      <c r="E1618" s="3">
        <f t="shared" ca="1" si="50"/>
        <v>0.17077879022235498</v>
      </c>
      <c r="F1618" s="3">
        <f t="shared" ca="1" si="50"/>
        <v>0.75203237310605375</v>
      </c>
      <c r="G1618" s="3">
        <f t="shared" ca="1" si="51"/>
        <v>10.533235529272686</v>
      </c>
      <c r="H1618" s="2"/>
      <c r="I1618" s="2"/>
      <c r="J1618" s="2"/>
      <c r="K1618" s="2"/>
    </row>
    <row r="1619" spans="5:11" x14ac:dyDescent="0.25">
      <c r="E1619" s="3">
        <f t="shared" ca="1" si="50"/>
        <v>0.87292881583284532</v>
      </c>
      <c r="F1619" s="3">
        <f t="shared" ca="1" si="50"/>
        <v>0.89312567038325807</v>
      </c>
      <c r="G1619" s="3">
        <f t="shared" ca="1" si="51"/>
        <v>11.233184965395763</v>
      </c>
      <c r="H1619" s="2"/>
      <c r="I1619" s="2"/>
      <c r="J1619" s="2"/>
      <c r="K1619" s="2"/>
    </row>
    <row r="1620" spans="5:11" x14ac:dyDescent="0.25">
      <c r="E1620" s="3">
        <f t="shared" ca="1" si="50"/>
        <v>0.7418974907288991</v>
      </c>
      <c r="F1620" s="3">
        <f t="shared" ca="1" si="50"/>
        <v>0.30942693306211655</v>
      </c>
      <c r="G1620" s="3">
        <f t="shared" ca="1" si="51"/>
        <v>2.2230806599257273</v>
      </c>
      <c r="H1620" s="2"/>
      <c r="I1620" s="2"/>
      <c r="J1620" s="2"/>
      <c r="K1620" s="2"/>
    </row>
    <row r="1621" spans="5:11" x14ac:dyDescent="0.25">
      <c r="E1621" s="3">
        <f t="shared" ca="1" si="50"/>
        <v>0.47006541848887284</v>
      </c>
      <c r="F1621" s="3">
        <f t="shared" ca="1" si="50"/>
        <v>0.13201117929923722</v>
      </c>
      <c r="G1621" s="3">
        <f t="shared" ca="1" si="51"/>
        <v>2.843490606268928</v>
      </c>
      <c r="H1621" s="2"/>
      <c r="I1621" s="2"/>
      <c r="J1621" s="2"/>
      <c r="K1621" s="2"/>
    </row>
    <row r="1622" spans="5:11" x14ac:dyDescent="0.25">
      <c r="E1622" s="3">
        <f t="shared" ca="1" si="50"/>
        <v>0.92858231166156413</v>
      </c>
      <c r="F1622" s="3">
        <f t="shared" ca="1" si="50"/>
        <v>0.35036962130924609</v>
      </c>
      <c r="G1622" s="3">
        <f t="shared" ca="1" si="51"/>
        <v>5.6889029760361982</v>
      </c>
      <c r="H1622" s="2"/>
      <c r="I1622" s="2"/>
      <c r="J1622" s="2"/>
      <c r="K1622" s="2"/>
    </row>
    <row r="1623" spans="5:11" x14ac:dyDescent="0.25">
      <c r="E1623" s="3">
        <f t="shared" ca="1" si="50"/>
        <v>0.10022889224395937</v>
      </c>
      <c r="F1623" s="3">
        <f t="shared" ca="1" si="50"/>
        <v>0.62762010661666412</v>
      </c>
      <c r="G1623" s="3">
        <f t="shared" ca="1" si="51"/>
        <v>10.576397554882899</v>
      </c>
      <c r="H1623" s="2"/>
      <c r="I1623" s="2"/>
      <c r="J1623" s="2"/>
      <c r="K1623" s="2"/>
    </row>
    <row r="1624" spans="5:11" x14ac:dyDescent="0.25">
      <c r="E1624" s="3">
        <f t="shared" ca="1" si="50"/>
        <v>0.68423249202304282</v>
      </c>
      <c r="F1624" s="3">
        <f t="shared" ca="1" si="50"/>
        <v>0.45687034341391375</v>
      </c>
      <c r="G1624" s="3">
        <f t="shared" ca="1" si="51"/>
        <v>3.9315307418664314</v>
      </c>
      <c r="H1624" s="2"/>
      <c r="I1624" s="2"/>
      <c r="J1624" s="2"/>
      <c r="K1624" s="2"/>
    </row>
    <row r="1625" spans="5:11" x14ac:dyDescent="0.25">
      <c r="E1625" s="3">
        <f t="shared" ca="1" si="50"/>
        <v>0.18202507132734225</v>
      </c>
      <c r="F1625" s="3">
        <f t="shared" ca="1" si="50"/>
        <v>0.64469487763691535</v>
      </c>
      <c r="G1625" s="3">
        <f t="shared" ca="1" si="51"/>
        <v>9.271411167976856</v>
      </c>
      <c r="H1625" s="2"/>
      <c r="I1625" s="2"/>
      <c r="J1625" s="2"/>
      <c r="K1625" s="2"/>
    </row>
    <row r="1626" spans="5:11" x14ac:dyDescent="0.25">
      <c r="E1626" s="3">
        <f t="shared" ca="1" si="50"/>
        <v>2.5040436248945364E-2</v>
      </c>
      <c r="F1626" s="3">
        <f t="shared" ca="1" si="50"/>
        <v>7.2089185421407964E-2</v>
      </c>
      <c r="G1626" s="3">
        <f t="shared" ca="1" si="51"/>
        <v>12.365411341808995</v>
      </c>
      <c r="H1626" s="2"/>
      <c r="I1626" s="2"/>
      <c r="J1626" s="2"/>
      <c r="K1626" s="2"/>
    </row>
    <row r="1627" spans="5:11" x14ac:dyDescent="0.25">
      <c r="E1627" s="3">
        <f t="shared" ca="1" si="50"/>
        <v>0.33063182820240855</v>
      </c>
      <c r="F1627" s="3">
        <f t="shared" ca="1" si="50"/>
        <v>0.54882921968412524</v>
      </c>
      <c r="G1627" s="3">
        <f t="shared" ca="1" si="51"/>
        <v>6.7437125312453183</v>
      </c>
      <c r="H1627" s="2"/>
      <c r="I1627" s="2"/>
      <c r="J1627" s="2"/>
      <c r="K1627" s="2"/>
    </row>
    <row r="1628" spans="5:11" x14ac:dyDescent="0.25">
      <c r="E1628" s="3">
        <f t="shared" ca="1" si="50"/>
        <v>0.72774892198969388</v>
      </c>
      <c r="F1628" s="3">
        <f t="shared" ca="1" si="50"/>
        <v>0.55938870457393242</v>
      </c>
      <c r="G1628" s="3">
        <f t="shared" ca="1" si="51"/>
        <v>5.2765142792397013</v>
      </c>
      <c r="H1628" s="2"/>
      <c r="I1628" s="2"/>
      <c r="J1628" s="2"/>
      <c r="K1628" s="2"/>
    </row>
    <row r="1629" spans="5:11" x14ac:dyDescent="0.25">
      <c r="E1629" s="3">
        <f t="shared" ca="1" si="50"/>
        <v>0.17712487431965551</v>
      </c>
      <c r="F1629" s="3">
        <f t="shared" ca="1" si="50"/>
        <v>0.63647143593159505</v>
      </c>
      <c r="G1629" s="3">
        <f t="shared" ca="1" si="51"/>
        <v>9.2658831060928577</v>
      </c>
      <c r="H1629" s="2"/>
      <c r="I1629" s="2"/>
      <c r="J1629" s="2"/>
      <c r="K1629" s="2"/>
    </row>
    <row r="1630" spans="5:11" x14ac:dyDescent="0.25">
      <c r="E1630" s="3">
        <f t="shared" ca="1" si="50"/>
        <v>0.85627819949992789</v>
      </c>
      <c r="F1630" s="3">
        <f t="shared" ca="1" si="50"/>
        <v>0.25386653826046257</v>
      </c>
      <c r="G1630" s="3">
        <f t="shared" ca="1" si="51"/>
        <v>3.2890086777485323</v>
      </c>
      <c r="H1630" s="2"/>
      <c r="I1630" s="2"/>
      <c r="J1630" s="2"/>
      <c r="K1630" s="2"/>
    </row>
    <row r="1631" spans="5:11" x14ac:dyDescent="0.25">
      <c r="E1631" s="3">
        <f t="shared" ca="1" si="50"/>
        <v>0.48773043505667812</v>
      </c>
      <c r="F1631" s="3">
        <f t="shared" ca="1" si="50"/>
        <v>0.70461134964001959</v>
      </c>
      <c r="G1631" s="3">
        <f t="shared" ca="1" si="51"/>
        <v>7.5482871864530576</v>
      </c>
      <c r="H1631" s="2"/>
      <c r="I1631" s="2"/>
      <c r="J1631" s="2"/>
      <c r="K1631" s="2"/>
    </row>
    <row r="1632" spans="5:11" x14ac:dyDescent="0.25">
      <c r="E1632" s="3">
        <f t="shared" ca="1" si="50"/>
        <v>0.4389964955726211</v>
      </c>
      <c r="F1632" s="3">
        <f t="shared" ca="1" si="50"/>
        <v>0.33746658457698275</v>
      </c>
      <c r="G1632" s="3">
        <f t="shared" ca="1" si="51"/>
        <v>3.8313239576303499</v>
      </c>
      <c r="H1632" s="2"/>
      <c r="I1632" s="2"/>
      <c r="J1632" s="2"/>
      <c r="K1632" s="2"/>
    </row>
    <row r="1633" spans="5:11" x14ac:dyDescent="0.25">
      <c r="E1633" s="3">
        <f t="shared" ca="1" si="50"/>
        <v>0.37311915154782938</v>
      </c>
      <c r="F1633" s="3">
        <f t="shared" ca="1" si="50"/>
        <v>0.88808868387039941</v>
      </c>
      <c r="G1633" s="3">
        <f t="shared" ca="1" si="51"/>
        <v>11.235401458590376</v>
      </c>
      <c r="H1633" s="2"/>
      <c r="I1633" s="2"/>
      <c r="J1633" s="2"/>
      <c r="K1633" s="2"/>
    </row>
    <row r="1634" spans="5:11" x14ac:dyDescent="0.25">
      <c r="E1634" s="3">
        <f t="shared" ca="1" si="50"/>
        <v>0.50682337565088875</v>
      </c>
      <c r="F1634" s="3">
        <f t="shared" ca="1" si="50"/>
        <v>0.17198103068156378</v>
      </c>
      <c r="G1634" s="3">
        <f t="shared" ca="1" si="51"/>
        <v>2.1706963249173112</v>
      </c>
      <c r="H1634" s="2"/>
      <c r="I1634" s="2"/>
      <c r="J1634" s="2"/>
      <c r="K1634" s="2"/>
    </row>
    <row r="1635" spans="5:11" x14ac:dyDescent="0.25">
      <c r="E1635" s="3">
        <f t="shared" ca="1" si="50"/>
        <v>0.30662403380766834</v>
      </c>
      <c r="F1635" s="3">
        <f t="shared" ca="1" si="50"/>
        <v>6.6309084690023279E-2</v>
      </c>
      <c r="G1635" s="3">
        <f t="shared" ca="1" si="51"/>
        <v>5.6593346223126746</v>
      </c>
      <c r="H1635" s="2"/>
      <c r="I1635" s="2"/>
      <c r="J1635" s="2"/>
      <c r="K1635" s="2"/>
    </row>
    <row r="1636" spans="5:11" x14ac:dyDescent="0.25">
      <c r="E1636" s="3">
        <f t="shared" ca="1" si="50"/>
        <v>0.23719204038742858</v>
      </c>
      <c r="F1636" s="3">
        <f t="shared" ca="1" si="50"/>
        <v>0.57657646433034804</v>
      </c>
      <c r="G1636" s="3">
        <f t="shared" ca="1" si="51"/>
        <v>7.9615635087425485</v>
      </c>
      <c r="H1636" s="2"/>
      <c r="I1636" s="2"/>
      <c r="J1636" s="2"/>
      <c r="K1636" s="2"/>
    </row>
    <row r="1637" spans="5:11" x14ac:dyDescent="0.25">
      <c r="E1637" s="3">
        <f t="shared" ca="1" si="50"/>
        <v>0.17064178287922038</v>
      </c>
      <c r="F1637" s="3">
        <f t="shared" ca="1" si="50"/>
        <v>0.16938517044119628</v>
      </c>
      <c r="G1637" s="3">
        <f t="shared" ca="1" si="51"/>
        <v>7.005524874446893</v>
      </c>
      <c r="H1637" s="2"/>
      <c r="I1637" s="2"/>
      <c r="J1637" s="2"/>
      <c r="K1637" s="2"/>
    </row>
    <row r="1638" spans="5:11" x14ac:dyDescent="0.25">
      <c r="E1638" s="3">
        <f t="shared" ca="1" si="50"/>
        <v>0.86688687310362744</v>
      </c>
      <c r="F1638" s="3">
        <f t="shared" ca="1" si="50"/>
        <v>0.8147243458719714</v>
      </c>
      <c r="G1638" s="3">
        <f t="shared" ca="1" si="51"/>
        <v>9.5428165864033936</v>
      </c>
      <c r="H1638" s="2"/>
      <c r="I1638" s="2"/>
      <c r="J1638" s="2"/>
      <c r="K1638" s="2"/>
    </row>
    <row r="1639" spans="5:11" x14ac:dyDescent="0.25">
      <c r="E1639" s="3">
        <f t="shared" ca="1" si="50"/>
        <v>0.941562353523135</v>
      </c>
      <c r="F1639" s="3">
        <f t="shared" ca="1" si="50"/>
        <v>0.99995903024551558</v>
      </c>
      <c r="G1639" s="3">
        <f t="shared" ca="1" si="51"/>
        <v>24.803637492105352</v>
      </c>
      <c r="H1639" s="2"/>
      <c r="I1639" s="2"/>
      <c r="J1639" s="2"/>
      <c r="K1639" s="2"/>
    </row>
    <row r="1640" spans="5:11" x14ac:dyDescent="0.25">
      <c r="E1640" s="3">
        <f t="shared" ca="1" si="50"/>
        <v>0.41763712008450748</v>
      </c>
      <c r="F1640" s="3">
        <f t="shared" ca="1" si="50"/>
        <v>0.63652962502992005</v>
      </c>
      <c r="G1640" s="3">
        <f t="shared" ca="1" si="51"/>
        <v>7.0283163198937171</v>
      </c>
      <c r="H1640" s="2"/>
      <c r="I1640" s="2"/>
      <c r="J1640" s="2"/>
      <c r="K1640" s="2"/>
    </row>
    <row r="1641" spans="5:11" x14ac:dyDescent="0.25">
      <c r="E1641" s="3">
        <f t="shared" ca="1" si="50"/>
        <v>5.7292566405591661E-2</v>
      </c>
      <c r="F1641" s="3">
        <f t="shared" ca="1" si="50"/>
        <v>0.72008040940709073</v>
      </c>
      <c r="G1641" s="3">
        <f t="shared" ca="1" si="51"/>
        <v>12.536333802653115</v>
      </c>
      <c r="H1641" s="2"/>
      <c r="I1641" s="2"/>
      <c r="J1641" s="2"/>
      <c r="K1641" s="2"/>
    </row>
    <row r="1642" spans="5:11" x14ac:dyDescent="0.25">
      <c r="E1642" s="3">
        <f t="shared" ca="1" si="50"/>
        <v>0.63616373564025885</v>
      </c>
      <c r="F1642" s="3">
        <f t="shared" ca="1" si="50"/>
        <v>0.69898408453875827</v>
      </c>
      <c r="G1642" s="3">
        <f t="shared" ca="1" si="51"/>
        <v>7.0949748665240477</v>
      </c>
      <c r="H1642" s="2"/>
      <c r="I1642" s="2"/>
      <c r="J1642" s="2"/>
      <c r="K1642" s="2"/>
    </row>
    <row r="1643" spans="5:11" x14ac:dyDescent="0.25">
      <c r="E1643" s="3">
        <f t="shared" ca="1" si="50"/>
        <v>0.88966427707559814</v>
      </c>
      <c r="F1643" s="3">
        <f t="shared" ca="1" si="50"/>
        <v>0.90339332990477261</v>
      </c>
      <c r="G1643" s="3">
        <f t="shared" ca="1" si="51"/>
        <v>11.642386912040232</v>
      </c>
      <c r="H1643" s="2"/>
      <c r="I1643" s="2"/>
      <c r="J1643" s="2"/>
      <c r="K1643" s="2"/>
    </row>
    <row r="1644" spans="5:11" x14ac:dyDescent="0.25">
      <c r="E1644" s="3">
        <f t="shared" ca="1" si="50"/>
        <v>0.28739371329182661</v>
      </c>
      <c r="F1644" s="3">
        <f t="shared" ca="1" si="50"/>
        <v>0.58747858231637995</v>
      </c>
      <c r="G1644" s="3">
        <f t="shared" ca="1" si="51"/>
        <v>7.5193402402734248</v>
      </c>
      <c r="H1644" s="2"/>
      <c r="I1644" s="2"/>
      <c r="J1644" s="2"/>
      <c r="K1644" s="2"/>
    </row>
    <row r="1645" spans="5:11" x14ac:dyDescent="0.25">
      <c r="E1645" s="3">
        <f t="shared" ca="1" si="50"/>
        <v>0.88004985702736727</v>
      </c>
      <c r="F1645" s="3">
        <f t="shared" ca="1" si="50"/>
        <v>0.78625898867866861</v>
      </c>
      <c r="G1645" s="3">
        <f t="shared" ca="1" si="51"/>
        <v>9.1875412413553512</v>
      </c>
      <c r="H1645" s="2"/>
      <c r="I1645" s="2"/>
      <c r="J1645" s="2"/>
      <c r="K1645" s="2"/>
    </row>
    <row r="1646" spans="5:11" x14ac:dyDescent="0.25">
      <c r="E1646" s="3">
        <f t="shared" ca="1" si="50"/>
        <v>0.40822770746975245</v>
      </c>
      <c r="F1646" s="3">
        <f t="shared" ca="1" si="50"/>
        <v>3.8574110447816112E-2</v>
      </c>
      <c r="G1646" s="3">
        <f t="shared" ca="1" si="51"/>
        <v>5.5353733309083566</v>
      </c>
      <c r="H1646" s="2"/>
      <c r="I1646" s="2"/>
      <c r="J1646" s="2"/>
      <c r="K1646" s="2"/>
    </row>
    <row r="1647" spans="5:11" x14ac:dyDescent="0.25">
      <c r="E1647" s="3">
        <f t="shared" ca="1" si="50"/>
        <v>0.77802171881849846</v>
      </c>
      <c r="F1647" s="3">
        <f t="shared" ca="1" si="50"/>
        <v>3.3219429335364148E-2</v>
      </c>
      <c r="G1647" s="3">
        <f t="shared" ca="1" si="51"/>
        <v>4.9676822317987552</v>
      </c>
      <c r="H1647" s="2"/>
      <c r="I1647" s="2"/>
      <c r="J1647" s="2"/>
      <c r="K1647" s="2"/>
    </row>
    <row r="1648" spans="5:11" x14ac:dyDescent="0.25">
      <c r="E1648" s="3">
        <f t="shared" ca="1" si="50"/>
        <v>0.80127078013033592</v>
      </c>
      <c r="F1648" s="3">
        <f t="shared" ca="1" si="50"/>
        <v>0.90454921385992249</v>
      </c>
      <c r="G1648" s="3">
        <f t="shared" ca="1" si="51"/>
        <v>11.188054279406451</v>
      </c>
      <c r="H1648" s="2"/>
      <c r="I1648" s="2"/>
      <c r="J1648" s="2"/>
      <c r="K1648" s="2"/>
    </row>
    <row r="1649" spans="5:11" x14ac:dyDescent="0.25">
      <c r="E1649" s="3">
        <f t="shared" ca="1" si="50"/>
        <v>0.16673639396938189</v>
      </c>
      <c r="F1649" s="3">
        <f t="shared" ca="1" si="50"/>
        <v>0.75640113015700439</v>
      </c>
      <c r="G1649" s="3">
        <f t="shared" ca="1" si="51"/>
        <v>10.638403223150936</v>
      </c>
      <c r="H1649" s="2"/>
      <c r="I1649" s="2"/>
      <c r="J1649" s="2"/>
      <c r="K1649" s="2"/>
    </row>
    <row r="1650" spans="5:11" x14ac:dyDescent="0.25">
      <c r="E1650" s="3">
        <f t="shared" ca="1" si="50"/>
        <v>0.7937594660094387</v>
      </c>
      <c r="F1650" s="3">
        <f t="shared" ca="1" si="50"/>
        <v>0.5186977639102146</v>
      </c>
      <c r="G1650" s="3">
        <f t="shared" ca="1" si="51"/>
        <v>5.0577738708395898</v>
      </c>
      <c r="H1650" s="2"/>
      <c r="I1650" s="2"/>
      <c r="J1650" s="2"/>
      <c r="K1650" s="2"/>
    </row>
    <row r="1651" spans="5:11" x14ac:dyDescent="0.25">
      <c r="E1651" s="3">
        <f t="shared" ca="1" si="50"/>
        <v>0.65063875442427288</v>
      </c>
      <c r="F1651" s="3">
        <f t="shared" ca="1" si="50"/>
        <v>0.88293149229202894</v>
      </c>
      <c r="G1651" s="3">
        <f t="shared" ca="1" si="51"/>
        <v>10.423298051956049</v>
      </c>
      <c r="H1651" s="2"/>
      <c r="I1651" s="2"/>
      <c r="J1651" s="2"/>
      <c r="K1651" s="2"/>
    </row>
    <row r="1652" spans="5:11" x14ac:dyDescent="0.25">
      <c r="E1652" s="3">
        <f t="shared" ca="1" si="50"/>
        <v>0.97689596957378244</v>
      </c>
      <c r="F1652" s="3">
        <f t="shared" ca="1" si="50"/>
        <v>0.68365192958363763</v>
      </c>
      <c r="G1652" s="3">
        <f t="shared" ca="1" si="51"/>
        <v>10.332597300562908</v>
      </c>
      <c r="H1652" s="2"/>
      <c r="I1652" s="2"/>
      <c r="J1652" s="2"/>
      <c r="K1652" s="2"/>
    </row>
    <row r="1653" spans="5:11" x14ac:dyDescent="0.25">
      <c r="E1653" s="3">
        <f t="shared" ca="1" si="50"/>
        <v>0.94405169815983558</v>
      </c>
      <c r="F1653" s="3">
        <f t="shared" ca="1" si="50"/>
        <v>0.6605560524399926</v>
      </c>
      <c r="G1653" s="3">
        <f t="shared" ca="1" si="51"/>
        <v>8.6806911451095239</v>
      </c>
      <c r="H1653" s="2"/>
      <c r="I1653" s="2"/>
      <c r="J1653" s="2"/>
      <c r="K1653" s="2"/>
    </row>
    <row r="1654" spans="5:11" x14ac:dyDescent="0.25">
      <c r="E1654" s="3">
        <f t="shared" ca="1" si="50"/>
        <v>0.80394820107017817</v>
      </c>
      <c r="F1654" s="3">
        <f t="shared" ca="1" si="50"/>
        <v>0.53698326638519045</v>
      </c>
      <c r="G1654" s="3">
        <f t="shared" ca="1" si="51"/>
        <v>5.338744148740596</v>
      </c>
      <c r="H1654" s="2"/>
      <c r="I1654" s="2"/>
      <c r="J1654" s="2"/>
      <c r="K1654" s="2"/>
    </row>
    <row r="1655" spans="5:11" x14ac:dyDescent="0.25">
      <c r="E1655" s="3">
        <f t="shared" ca="1" si="50"/>
        <v>5.6860808376278604E-2</v>
      </c>
      <c r="F1655" s="3">
        <f t="shared" ca="1" si="50"/>
        <v>0.88363728744952552</v>
      </c>
      <c r="G1655" s="3">
        <f t="shared" ca="1" si="51"/>
        <v>14.557650609556411</v>
      </c>
      <c r="H1655" s="2"/>
      <c r="I1655" s="2"/>
      <c r="J1655" s="2"/>
      <c r="K1655" s="2"/>
    </row>
    <row r="1656" spans="5:11" x14ac:dyDescent="0.25">
      <c r="E1656" s="3">
        <f t="shared" ca="1" si="50"/>
        <v>0.82905551768003305</v>
      </c>
      <c r="F1656" s="3">
        <f t="shared" ca="1" si="50"/>
        <v>0.30619334689531486</v>
      </c>
      <c r="G1656" s="3">
        <f t="shared" ca="1" si="51"/>
        <v>3.1717258752396447</v>
      </c>
      <c r="H1656" s="2"/>
      <c r="I1656" s="2"/>
      <c r="J1656" s="2"/>
      <c r="K1656" s="2"/>
    </row>
    <row r="1657" spans="5:11" x14ac:dyDescent="0.25">
      <c r="E1657" s="3">
        <f t="shared" ca="1" si="50"/>
        <v>0.18913995480399037</v>
      </c>
      <c r="F1657" s="3">
        <f t="shared" ca="1" si="50"/>
        <v>0.38948755048980133</v>
      </c>
      <c r="G1657" s="3">
        <f t="shared" ca="1" si="51"/>
        <v>7.3191717171839255</v>
      </c>
      <c r="H1657" s="2"/>
      <c r="I1657" s="2"/>
      <c r="J1657" s="2"/>
      <c r="K1657" s="2"/>
    </row>
    <row r="1658" spans="5:11" x14ac:dyDescent="0.25">
      <c r="E1658" s="3">
        <f t="shared" ca="1" si="50"/>
        <v>0.95943505200403634</v>
      </c>
      <c r="F1658" s="3">
        <f t="shared" ca="1" si="50"/>
        <v>0.3788249222831408</v>
      </c>
      <c r="G1658" s="3">
        <f t="shared" ca="1" si="51"/>
        <v>7.1108815246975903</v>
      </c>
      <c r="H1658" s="2"/>
      <c r="I1658" s="2"/>
      <c r="J1658" s="2"/>
      <c r="K1658" s="2"/>
    </row>
    <row r="1659" spans="5:11" x14ac:dyDescent="0.25">
      <c r="E1659" s="3">
        <f t="shared" ca="1" si="50"/>
        <v>0.78025726658839956</v>
      </c>
      <c r="F1659" s="3">
        <f t="shared" ca="1" si="50"/>
        <v>0.17310320778752408</v>
      </c>
      <c r="G1659" s="3">
        <f t="shared" ca="1" si="51"/>
        <v>1.6425546511563438</v>
      </c>
      <c r="H1659" s="2"/>
      <c r="I1659" s="2"/>
      <c r="J1659" s="2"/>
      <c r="K1659" s="2"/>
    </row>
    <row r="1660" spans="5:11" x14ac:dyDescent="0.25">
      <c r="E1660" s="3">
        <f t="shared" ca="1" si="50"/>
        <v>0.14444089983544262</v>
      </c>
      <c r="F1660" s="3">
        <f t="shared" ca="1" si="50"/>
        <v>0.6236074732961655</v>
      </c>
      <c r="G1660" s="3">
        <f t="shared" ca="1" si="51"/>
        <v>9.6664724923284702</v>
      </c>
      <c r="H1660" s="2"/>
      <c r="I1660" s="2"/>
      <c r="J1660" s="2"/>
      <c r="K1660" s="2"/>
    </row>
    <row r="1661" spans="5:11" x14ac:dyDescent="0.25">
      <c r="E1661" s="3">
        <f t="shared" ca="1" si="50"/>
        <v>0.19005400717613707</v>
      </c>
      <c r="F1661" s="3">
        <f t="shared" ca="1" si="50"/>
        <v>0.26958834929641651</v>
      </c>
      <c r="G1661" s="3">
        <f t="shared" ca="1" si="51"/>
        <v>6.7750164218120554</v>
      </c>
      <c r="H1661" s="2"/>
      <c r="I1661" s="2"/>
      <c r="J1661" s="2"/>
      <c r="K1661" s="2"/>
    </row>
    <row r="1662" spans="5:11" x14ac:dyDescent="0.25">
      <c r="E1662" s="3">
        <f t="shared" ca="1" si="50"/>
        <v>0.22953141437668656</v>
      </c>
      <c r="F1662" s="3">
        <f t="shared" ca="1" si="50"/>
        <v>0.17208506237559251</v>
      </c>
      <c r="G1662" s="3">
        <f t="shared" ca="1" si="51"/>
        <v>5.9479994592184671</v>
      </c>
      <c r="H1662" s="2"/>
      <c r="I1662" s="2"/>
      <c r="J1662" s="2"/>
      <c r="K1662" s="2"/>
    </row>
    <row r="1663" spans="5:11" x14ac:dyDescent="0.25">
      <c r="E1663" s="3">
        <f t="shared" ca="1" si="50"/>
        <v>0.8464019652871253</v>
      </c>
      <c r="F1663" s="3">
        <f t="shared" ca="1" si="50"/>
        <v>5.2732387780625278E-2</v>
      </c>
      <c r="G1663" s="3">
        <f t="shared" ca="1" si="51"/>
        <v>4.6203291708235996</v>
      </c>
      <c r="H1663" s="2"/>
      <c r="I1663" s="2"/>
      <c r="J1663" s="2"/>
      <c r="K1663" s="2"/>
    </row>
    <row r="1664" spans="5:11" x14ac:dyDescent="0.25">
      <c r="E1664" s="3">
        <f t="shared" ca="1" si="50"/>
        <v>0.50599364671388769</v>
      </c>
      <c r="F1664" s="3">
        <f t="shared" ca="1" si="50"/>
        <v>0.23605650079666352</v>
      </c>
      <c r="G1664" s="3">
        <f t="shared" ca="1" si="51"/>
        <v>2.3352708134425617</v>
      </c>
      <c r="H1664" s="2"/>
      <c r="I1664" s="2"/>
      <c r="J1664" s="2"/>
      <c r="K1664" s="2"/>
    </row>
    <row r="1665" spans="5:11" x14ac:dyDescent="0.25">
      <c r="E1665" s="3">
        <f t="shared" ca="1" si="50"/>
        <v>0.98741310118665315</v>
      </c>
      <c r="F1665" s="3">
        <f t="shared" ca="1" si="50"/>
        <v>0.11624879688824097</v>
      </c>
      <c r="G1665" s="3">
        <f t="shared" ca="1" si="51"/>
        <v>9.078002571271405</v>
      </c>
      <c r="H1665" s="2"/>
      <c r="I1665" s="2"/>
      <c r="J1665" s="2"/>
      <c r="K1665" s="2"/>
    </row>
    <row r="1666" spans="5:11" x14ac:dyDescent="0.25">
      <c r="E1666" s="3">
        <f t="shared" ca="1" si="50"/>
        <v>0.37973642488656445</v>
      </c>
      <c r="F1666" s="3">
        <f t="shared" ca="1" si="50"/>
        <v>6.0624678333833337E-2</v>
      </c>
      <c r="G1666" s="3">
        <f t="shared" ca="1" si="51"/>
        <v>4.9965973696096082</v>
      </c>
      <c r="H1666" s="2"/>
      <c r="I1666" s="2"/>
      <c r="J1666" s="2"/>
      <c r="K1666" s="2"/>
    </row>
    <row r="1667" spans="5:11" x14ac:dyDescent="0.25">
      <c r="E1667" s="3">
        <f t="shared" ca="1" si="50"/>
        <v>4.0487699414552325E-2</v>
      </c>
      <c r="F1667" s="3">
        <f t="shared" ca="1" si="50"/>
        <v>0.22540082717941945</v>
      </c>
      <c r="G1667" s="3">
        <f t="shared" ca="1" si="51"/>
        <v>10.987933628860393</v>
      </c>
      <c r="H1667" s="2"/>
      <c r="I1667" s="2"/>
      <c r="J1667" s="2"/>
      <c r="K1667" s="2"/>
    </row>
    <row r="1668" spans="5:11" x14ac:dyDescent="0.25">
      <c r="E1668" s="3">
        <f t="shared" ref="E1668:F1731" ca="1" si="52">RAND()</f>
        <v>0.33036788077653767</v>
      </c>
      <c r="F1668" s="3">
        <f t="shared" ca="1" si="52"/>
        <v>0.68322548914796621</v>
      </c>
      <c r="G1668" s="3">
        <f t="shared" ref="G1668:G1731" ca="1" si="53">SQRT(_xlfn.NORM.INV(E1668,$C$3*COS($C$6),$C$4)^2+_xlfn.NORM.INV(F1668,$C$3*SIN($C$6),$C$4)^2)</f>
        <v>8.1633788267028979</v>
      </c>
      <c r="H1668" s="2"/>
      <c r="I1668" s="2"/>
      <c r="J1668" s="2"/>
      <c r="K1668" s="2"/>
    </row>
    <row r="1669" spans="5:11" x14ac:dyDescent="0.25">
      <c r="E1669" s="3">
        <f t="shared" ca="1" si="52"/>
        <v>0.25964377415997952</v>
      </c>
      <c r="F1669" s="3">
        <f t="shared" ca="1" si="52"/>
        <v>0.56563614653772643</v>
      </c>
      <c r="G1669" s="3">
        <f t="shared" ca="1" si="53"/>
        <v>7.608631245036845</v>
      </c>
      <c r="H1669" s="2"/>
      <c r="I1669" s="2"/>
      <c r="J1669" s="2"/>
      <c r="K1669" s="2"/>
    </row>
    <row r="1670" spans="5:11" x14ac:dyDescent="0.25">
      <c r="E1670" s="3">
        <f t="shared" ca="1" si="52"/>
        <v>0.86993994104458072</v>
      </c>
      <c r="F1670" s="3">
        <f t="shared" ca="1" si="52"/>
        <v>0.85489011430264727</v>
      </c>
      <c r="G1670" s="3">
        <f t="shared" ca="1" si="53"/>
        <v>10.330311981164739</v>
      </c>
      <c r="H1670" s="2"/>
      <c r="I1670" s="2"/>
      <c r="J1670" s="2"/>
      <c r="K1670" s="2"/>
    </row>
    <row r="1671" spans="5:11" x14ac:dyDescent="0.25">
      <c r="E1671" s="3">
        <f t="shared" ca="1" si="52"/>
        <v>3.8478959472019847E-2</v>
      </c>
      <c r="F1671" s="3">
        <f t="shared" ca="1" si="52"/>
        <v>0.85435081850021655</v>
      </c>
      <c r="G1671" s="3">
        <f t="shared" ca="1" si="53"/>
        <v>14.759221495498306</v>
      </c>
      <c r="H1671" s="2"/>
      <c r="I1671" s="2"/>
      <c r="J1671" s="2"/>
      <c r="K1671" s="2"/>
    </row>
    <row r="1672" spans="5:11" x14ac:dyDescent="0.25">
      <c r="E1672" s="3">
        <f t="shared" ca="1" si="52"/>
        <v>0.75791931621428199</v>
      </c>
      <c r="F1672" s="3">
        <f t="shared" ca="1" si="52"/>
        <v>0.41904068801147709</v>
      </c>
      <c r="G1672" s="3">
        <f t="shared" ca="1" si="53"/>
        <v>3.6704671901598283</v>
      </c>
      <c r="H1672" s="2"/>
      <c r="I1672" s="2"/>
      <c r="J1672" s="2"/>
      <c r="K1672" s="2"/>
    </row>
    <row r="1673" spans="5:11" x14ac:dyDescent="0.25">
      <c r="E1673" s="3">
        <f t="shared" ca="1" si="52"/>
        <v>0.57900643788680672</v>
      </c>
      <c r="F1673" s="3">
        <f t="shared" ca="1" si="52"/>
        <v>0.42971059311874005</v>
      </c>
      <c r="G1673" s="3">
        <f t="shared" ca="1" si="53"/>
        <v>3.7940324521839273</v>
      </c>
      <c r="H1673" s="2"/>
      <c r="I1673" s="2"/>
      <c r="J1673" s="2"/>
      <c r="K1673" s="2"/>
    </row>
    <row r="1674" spans="5:11" x14ac:dyDescent="0.25">
      <c r="E1674" s="3">
        <f t="shared" ca="1" si="52"/>
        <v>0.20809480561256</v>
      </c>
      <c r="F1674" s="3">
        <f t="shared" ca="1" si="52"/>
        <v>1.161867069618705E-2</v>
      </c>
      <c r="G1674" s="3">
        <f t="shared" ca="1" si="53"/>
        <v>9.3306862331559639</v>
      </c>
      <c r="H1674" s="2"/>
      <c r="I1674" s="2"/>
      <c r="J1674" s="2"/>
      <c r="K1674" s="2"/>
    </row>
    <row r="1675" spans="5:11" x14ac:dyDescent="0.25">
      <c r="E1675" s="3">
        <f t="shared" ca="1" si="52"/>
        <v>0.80982316073310046</v>
      </c>
      <c r="F1675" s="3">
        <f t="shared" ca="1" si="52"/>
        <v>0.66196952825884103</v>
      </c>
      <c r="G1675" s="3">
        <f t="shared" ca="1" si="53"/>
        <v>6.901294604640964</v>
      </c>
      <c r="H1675" s="2"/>
      <c r="I1675" s="2"/>
      <c r="J1675" s="2"/>
      <c r="K1675" s="2"/>
    </row>
    <row r="1676" spans="5:11" x14ac:dyDescent="0.25">
      <c r="E1676" s="3">
        <f t="shared" ca="1" si="52"/>
        <v>0.37533396673543762</v>
      </c>
      <c r="F1676" s="3">
        <f t="shared" ca="1" si="52"/>
        <v>0.88390096988704947</v>
      </c>
      <c r="G1676" s="3">
        <f t="shared" ca="1" si="53"/>
        <v>11.123420422351121</v>
      </c>
      <c r="H1676" s="2"/>
      <c r="I1676" s="2"/>
      <c r="J1676" s="2"/>
      <c r="K1676" s="2"/>
    </row>
    <row r="1677" spans="5:11" x14ac:dyDescent="0.25">
      <c r="E1677" s="3">
        <f t="shared" ca="1" si="52"/>
        <v>0.42357043191191834</v>
      </c>
      <c r="F1677" s="3">
        <f t="shared" ca="1" si="52"/>
        <v>0.65990203579311257</v>
      </c>
      <c r="G1677" s="3">
        <f t="shared" ca="1" si="53"/>
        <v>7.2746414999550684</v>
      </c>
      <c r="H1677" s="2"/>
      <c r="I1677" s="2"/>
      <c r="J1677" s="2"/>
      <c r="K1677" s="2"/>
    </row>
    <row r="1678" spans="5:11" x14ac:dyDescent="0.25">
      <c r="E1678" s="3">
        <f t="shared" ca="1" si="52"/>
        <v>0.19653523642096127</v>
      </c>
      <c r="F1678" s="3">
        <f t="shared" ca="1" si="52"/>
        <v>0.32895978239963675</v>
      </c>
      <c r="G1678" s="3">
        <f t="shared" ca="1" si="53"/>
        <v>6.8904785656909429</v>
      </c>
      <c r="H1678" s="2"/>
      <c r="I1678" s="2"/>
      <c r="J1678" s="2"/>
      <c r="K1678" s="2"/>
    </row>
    <row r="1679" spans="5:11" x14ac:dyDescent="0.25">
      <c r="E1679" s="3">
        <f t="shared" ca="1" si="52"/>
        <v>0.67222417158367531</v>
      </c>
      <c r="F1679" s="3">
        <f t="shared" ca="1" si="52"/>
        <v>0.78880284677863266</v>
      </c>
      <c r="G1679" s="3">
        <f t="shared" ca="1" si="53"/>
        <v>8.4813607655498533</v>
      </c>
      <c r="H1679" s="2"/>
      <c r="I1679" s="2"/>
      <c r="J1679" s="2"/>
      <c r="K1679" s="2"/>
    </row>
    <row r="1680" spans="5:11" x14ac:dyDescent="0.25">
      <c r="E1680" s="3">
        <f t="shared" ca="1" si="52"/>
        <v>0.35716014879133606</v>
      </c>
      <c r="F1680" s="3">
        <f t="shared" ca="1" si="52"/>
        <v>7.154482819009822E-2</v>
      </c>
      <c r="G1680" s="3">
        <f t="shared" ca="1" si="53"/>
        <v>4.9702936802607338</v>
      </c>
      <c r="H1680" s="2"/>
      <c r="I1680" s="2"/>
      <c r="J1680" s="2"/>
      <c r="K1680" s="2"/>
    </row>
    <row r="1681" spans="5:11" x14ac:dyDescent="0.25">
      <c r="E1681" s="3">
        <f t="shared" ca="1" si="52"/>
        <v>0.29207054765775076</v>
      </c>
      <c r="F1681" s="3">
        <f t="shared" ca="1" si="52"/>
        <v>0.32370730508639722</v>
      </c>
      <c r="G1681" s="3">
        <f t="shared" ca="1" si="53"/>
        <v>5.4348745203153834</v>
      </c>
      <c r="H1681" s="2"/>
      <c r="I1681" s="2"/>
      <c r="J1681" s="2"/>
      <c r="K1681" s="2"/>
    </row>
    <row r="1682" spans="5:11" x14ac:dyDescent="0.25">
      <c r="E1682" s="3">
        <f t="shared" ca="1" si="52"/>
        <v>0.26569166815895207</v>
      </c>
      <c r="F1682" s="3">
        <f t="shared" ca="1" si="52"/>
        <v>0.95629352154734171</v>
      </c>
      <c r="G1682" s="3">
        <f t="shared" ca="1" si="53"/>
        <v>14.080189797563541</v>
      </c>
      <c r="H1682" s="2"/>
      <c r="I1682" s="2"/>
      <c r="J1682" s="2"/>
      <c r="K1682" s="2"/>
    </row>
    <row r="1683" spans="5:11" x14ac:dyDescent="0.25">
      <c r="E1683" s="3">
        <f t="shared" ca="1" si="52"/>
        <v>0.76292086633584355</v>
      </c>
      <c r="F1683" s="3">
        <f t="shared" ca="1" si="52"/>
        <v>0.6756056345163014</v>
      </c>
      <c r="G1683" s="3">
        <f t="shared" ca="1" si="53"/>
        <v>6.8786518862465744</v>
      </c>
      <c r="H1683" s="2"/>
      <c r="I1683" s="2"/>
      <c r="J1683" s="2"/>
      <c r="K1683" s="2"/>
    </row>
    <row r="1684" spans="5:11" x14ac:dyDescent="0.25">
      <c r="E1684" s="3">
        <f t="shared" ca="1" si="52"/>
        <v>0.99419849491722845</v>
      </c>
      <c r="F1684" s="3">
        <f t="shared" ca="1" si="52"/>
        <v>0.93896746253827479</v>
      </c>
      <c r="G1684" s="3">
        <f t="shared" ca="1" si="53"/>
        <v>16.018602363206259</v>
      </c>
      <c r="H1684" s="2"/>
      <c r="I1684" s="2"/>
      <c r="J1684" s="2"/>
      <c r="K1684" s="2"/>
    </row>
    <row r="1685" spans="5:11" x14ac:dyDescent="0.25">
      <c r="E1685" s="3">
        <f t="shared" ca="1" si="52"/>
        <v>0.91177839366943736</v>
      </c>
      <c r="F1685" s="3">
        <f t="shared" ca="1" si="52"/>
        <v>0.2805929763683721</v>
      </c>
      <c r="G1685" s="3">
        <f t="shared" ca="1" si="53"/>
        <v>4.7817768546776724</v>
      </c>
      <c r="H1685" s="2"/>
      <c r="I1685" s="2"/>
      <c r="J1685" s="2"/>
      <c r="K1685" s="2"/>
    </row>
    <row r="1686" spans="5:11" x14ac:dyDescent="0.25">
      <c r="E1686" s="3">
        <f t="shared" ca="1" si="52"/>
        <v>0.18422854678619149</v>
      </c>
      <c r="F1686" s="3">
        <f t="shared" ca="1" si="52"/>
        <v>0.23621381442889156</v>
      </c>
      <c r="G1686" s="3">
        <f t="shared" ca="1" si="53"/>
        <v>6.7940850909969868</v>
      </c>
      <c r="H1686" s="2"/>
      <c r="I1686" s="2"/>
      <c r="J1686" s="2"/>
      <c r="K1686" s="2"/>
    </row>
    <row r="1687" spans="5:11" x14ac:dyDescent="0.25">
      <c r="E1687" s="3">
        <f t="shared" ca="1" si="52"/>
        <v>0.73684843461854144</v>
      </c>
      <c r="F1687" s="3">
        <f t="shared" ca="1" si="52"/>
        <v>0.39013408190270604</v>
      </c>
      <c r="G1687" s="3">
        <f t="shared" ca="1" si="53"/>
        <v>3.2120880450634308</v>
      </c>
      <c r="H1687" s="2"/>
      <c r="I1687" s="2"/>
      <c r="J1687" s="2"/>
      <c r="K1687" s="2"/>
    </row>
    <row r="1688" spans="5:11" x14ac:dyDescent="0.25">
      <c r="E1688" s="3">
        <f t="shared" ca="1" si="52"/>
        <v>0.90356196369992525</v>
      </c>
      <c r="F1688" s="3">
        <f t="shared" ca="1" si="52"/>
        <v>0.74508200819448034</v>
      </c>
      <c r="G1688" s="3">
        <f t="shared" ca="1" si="53"/>
        <v>8.8621096913259674</v>
      </c>
      <c r="H1688" s="2"/>
      <c r="I1688" s="2"/>
      <c r="J1688" s="2"/>
      <c r="K1688" s="2"/>
    </row>
    <row r="1689" spans="5:11" x14ac:dyDescent="0.25">
      <c r="E1689" s="3">
        <f t="shared" ca="1" si="52"/>
        <v>0.38815578198818967</v>
      </c>
      <c r="F1689" s="3">
        <f t="shared" ca="1" si="52"/>
        <v>0.11141299502420121</v>
      </c>
      <c r="G1689" s="3">
        <f t="shared" ca="1" si="53"/>
        <v>4.0055553262808781</v>
      </c>
      <c r="H1689" s="2"/>
      <c r="I1689" s="2"/>
      <c r="J1689" s="2"/>
      <c r="K1689" s="2"/>
    </row>
    <row r="1690" spans="5:11" x14ac:dyDescent="0.25">
      <c r="E1690" s="3">
        <f t="shared" ca="1" si="52"/>
        <v>0.78389005736411932</v>
      </c>
      <c r="F1690" s="3">
        <f t="shared" ca="1" si="52"/>
        <v>0.59501458772687277</v>
      </c>
      <c r="G1690" s="3">
        <f t="shared" ca="1" si="53"/>
        <v>5.9177453705355063</v>
      </c>
      <c r="H1690" s="2"/>
      <c r="I1690" s="2"/>
      <c r="J1690" s="2"/>
      <c r="K1690" s="2"/>
    </row>
    <row r="1691" spans="5:11" x14ac:dyDescent="0.25">
      <c r="E1691" s="3">
        <f t="shared" ca="1" si="52"/>
        <v>0.27958546599310108</v>
      </c>
      <c r="F1691" s="3">
        <f t="shared" ca="1" si="52"/>
        <v>0.23833103763881136</v>
      </c>
      <c r="G1691" s="3">
        <f t="shared" ca="1" si="53"/>
        <v>5.2406256906320161</v>
      </c>
      <c r="H1691" s="2"/>
      <c r="I1691" s="2"/>
      <c r="J1691" s="2"/>
      <c r="K1691" s="2"/>
    </row>
    <row r="1692" spans="5:11" x14ac:dyDescent="0.25">
      <c r="E1692" s="3">
        <f t="shared" ca="1" si="52"/>
        <v>0.23556128896600548</v>
      </c>
      <c r="F1692" s="3">
        <f t="shared" ca="1" si="52"/>
        <v>0.50238845021653633</v>
      </c>
      <c r="G1692" s="3">
        <f t="shared" ca="1" si="53"/>
        <v>7.3754563008347542</v>
      </c>
      <c r="H1692" s="2"/>
      <c r="I1692" s="2"/>
      <c r="J1692" s="2"/>
      <c r="K1692" s="2"/>
    </row>
    <row r="1693" spans="5:11" x14ac:dyDescent="0.25">
      <c r="E1693" s="3">
        <f t="shared" ca="1" si="52"/>
        <v>0.75220258667358075</v>
      </c>
      <c r="F1693" s="3">
        <f t="shared" ca="1" si="52"/>
        <v>0.15586111743273057</v>
      </c>
      <c r="G1693" s="3">
        <f t="shared" ca="1" si="53"/>
        <v>1.3066431369697384</v>
      </c>
      <c r="H1693" s="2"/>
      <c r="I1693" s="2"/>
      <c r="J1693" s="2"/>
      <c r="K1693" s="2"/>
    </row>
    <row r="1694" spans="5:11" x14ac:dyDescent="0.25">
      <c r="E1694" s="3">
        <f t="shared" ca="1" si="52"/>
        <v>0.99476620835021279</v>
      </c>
      <c r="F1694" s="3">
        <f t="shared" ca="1" si="52"/>
        <v>0.60252613757375983</v>
      </c>
      <c r="G1694" s="3">
        <f t="shared" ca="1" si="53"/>
        <v>12.032911861148794</v>
      </c>
      <c r="H1694" s="2"/>
      <c r="I1694" s="2"/>
      <c r="J1694" s="2"/>
      <c r="K1694" s="2"/>
    </row>
    <row r="1695" spans="5:11" x14ac:dyDescent="0.25">
      <c r="E1695" s="3">
        <f t="shared" ca="1" si="52"/>
        <v>0.33823791757303434</v>
      </c>
      <c r="F1695" s="3">
        <f t="shared" ca="1" si="52"/>
        <v>0.44818564746119793</v>
      </c>
      <c r="G1695" s="3">
        <f t="shared" ca="1" si="53"/>
        <v>5.7709308740344065</v>
      </c>
      <c r="H1695" s="2"/>
      <c r="I1695" s="2"/>
      <c r="J1695" s="2"/>
      <c r="K1695" s="2"/>
    </row>
    <row r="1696" spans="5:11" x14ac:dyDescent="0.25">
      <c r="E1696" s="3">
        <f t="shared" ca="1" si="52"/>
        <v>0.52698907545225249</v>
      </c>
      <c r="F1696" s="3">
        <f t="shared" ca="1" si="52"/>
        <v>0.7620107743825616</v>
      </c>
      <c r="G1696" s="3">
        <f t="shared" ca="1" si="53"/>
        <v>8.2559535715212267</v>
      </c>
      <c r="H1696" s="2"/>
      <c r="I1696" s="2"/>
      <c r="J1696" s="2"/>
      <c r="K1696" s="2"/>
    </row>
    <row r="1697" spans="5:11" x14ac:dyDescent="0.25">
      <c r="E1697" s="3">
        <f t="shared" ca="1" si="52"/>
        <v>0.74666306537473526</v>
      </c>
      <c r="F1697" s="3">
        <f t="shared" ca="1" si="52"/>
        <v>0.65270175019313892</v>
      </c>
      <c r="G1697" s="3">
        <f t="shared" ca="1" si="53"/>
        <v>6.523094563160047</v>
      </c>
      <c r="H1697" s="2"/>
      <c r="I1697" s="2"/>
      <c r="J1697" s="2"/>
      <c r="K1697" s="2"/>
    </row>
    <row r="1698" spans="5:11" x14ac:dyDescent="0.25">
      <c r="E1698" s="3">
        <f t="shared" ca="1" si="52"/>
        <v>0.71808223841821928</v>
      </c>
      <c r="F1698" s="3">
        <f t="shared" ca="1" si="52"/>
        <v>0.9329590257987127</v>
      </c>
      <c r="G1698" s="3">
        <f t="shared" ca="1" si="53"/>
        <v>11.978370676747602</v>
      </c>
      <c r="H1698" s="2"/>
      <c r="I1698" s="2"/>
      <c r="J1698" s="2"/>
      <c r="K1698" s="2"/>
    </row>
    <row r="1699" spans="5:11" x14ac:dyDescent="0.25">
      <c r="E1699" s="3">
        <f t="shared" ca="1" si="52"/>
        <v>0.17018846898207529</v>
      </c>
      <c r="F1699" s="3">
        <f t="shared" ca="1" si="52"/>
        <v>0.87276815420341114</v>
      </c>
      <c r="G1699" s="3">
        <f t="shared" ca="1" si="53"/>
        <v>12.348681454787361</v>
      </c>
      <c r="H1699" s="2"/>
      <c r="I1699" s="2"/>
      <c r="J1699" s="2"/>
      <c r="K1699" s="2"/>
    </row>
    <row r="1700" spans="5:11" x14ac:dyDescent="0.25">
      <c r="E1700" s="3">
        <f t="shared" ca="1" si="52"/>
        <v>6.5855040573533641E-3</v>
      </c>
      <c r="F1700" s="3">
        <f t="shared" ca="1" si="52"/>
        <v>0.11601563657793512</v>
      </c>
      <c r="G1700" s="3">
        <f t="shared" ca="1" si="53"/>
        <v>14.71317637417124</v>
      </c>
      <c r="H1700" s="2"/>
      <c r="I1700" s="2"/>
      <c r="J1700" s="2"/>
      <c r="K1700" s="2"/>
    </row>
    <row r="1701" spans="5:11" x14ac:dyDescent="0.25">
      <c r="E1701" s="3">
        <f t="shared" ca="1" si="52"/>
        <v>0.95619507372458212</v>
      </c>
      <c r="F1701" s="3">
        <f t="shared" ca="1" si="52"/>
        <v>0.39160647111452396</v>
      </c>
      <c r="G1701" s="3">
        <f t="shared" ca="1" si="53"/>
        <v>7.0191964176834842</v>
      </c>
      <c r="H1701" s="2"/>
      <c r="I1701" s="2"/>
      <c r="J1701" s="2"/>
      <c r="K1701" s="2"/>
    </row>
    <row r="1702" spans="5:11" x14ac:dyDescent="0.25">
      <c r="E1702" s="3">
        <f t="shared" ca="1" si="52"/>
        <v>0.18662272020538673</v>
      </c>
      <c r="F1702" s="3">
        <f t="shared" ca="1" si="52"/>
        <v>0.27766297121599492</v>
      </c>
      <c r="G1702" s="3">
        <f t="shared" ca="1" si="53"/>
        <v>6.8630837765363912</v>
      </c>
      <c r="H1702" s="2"/>
      <c r="I1702" s="2"/>
      <c r="J1702" s="2"/>
      <c r="K1702" s="2"/>
    </row>
    <row r="1703" spans="5:11" x14ac:dyDescent="0.25">
      <c r="E1703" s="3">
        <f t="shared" ca="1" si="52"/>
        <v>0.40978188863078402</v>
      </c>
      <c r="F1703" s="3">
        <f t="shared" ca="1" si="52"/>
        <v>2.6597191003625675E-2</v>
      </c>
      <c r="G1703" s="3">
        <f t="shared" ca="1" si="53"/>
        <v>6.1997028606920654</v>
      </c>
      <c r="H1703" s="2"/>
      <c r="I1703" s="2"/>
      <c r="J1703" s="2"/>
      <c r="K1703" s="2"/>
    </row>
    <row r="1704" spans="5:11" x14ac:dyDescent="0.25">
      <c r="E1704" s="3">
        <f t="shared" ca="1" si="52"/>
        <v>0.33513132394322886</v>
      </c>
      <c r="F1704" s="3">
        <f t="shared" ca="1" si="52"/>
        <v>0.77306015409037943</v>
      </c>
      <c r="G1704" s="3">
        <f t="shared" ca="1" si="53"/>
        <v>9.3045000035135281</v>
      </c>
      <c r="H1704" s="2"/>
      <c r="I1704" s="2"/>
      <c r="J1704" s="2"/>
      <c r="K1704" s="2"/>
    </row>
    <row r="1705" spans="5:11" x14ac:dyDescent="0.25">
      <c r="E1705" s="3">
        <f t="shared" ca="1" si="52"/>
        <v>0.11912584779251967</v>
      </c>
      <c r="F1705" s="3">
        <f t="shared" ca="1" si="52"/>
        <v>0.4892917504958183</v>
      </c>
      <c r="G1705" s="3">
        <f t="shared" ca="1" si="53"/>
        <v>9.220247189434529</v>
      </c>
      <c r="H1705" s="2"/>
      <c r="I1705" s="2"/>
      <c r="J1705" s="2"/>
      <c r="K1705" s="2"/>
    </row>
    <row r="1706" spans="5:11" x14ac:dyDescent="0.25">
      <c r="E1706" s="3">
        <f t="shared" ca="1" si="52"/>
        <v>0.23335414368283725</v>
      </c>
      <c r="F1706" s="3">
        <f t="shared" ca="1" si="52"/>
        <v>0.40774094805205263</v>
      </c>
      <c r="G1706" s="3">
        <f t="shared" ca="1" si="53"/>
        <v>6.7439345970555129</v>
      </c>
      <c r="H1706" s="2"/>
      <c r="I1706" s="2"/>
      <c r="J1706" s="2"/>
      <c r="K1706" s="2"/>
    </row>
    <row r="1707" spans="5:11" x14ac:dyDescent="0.25">
      <c r="E1707" s="3">
        <f t="shared" ca="1" si="52"/>
        <v>0.90071025358116674</v>
      </c>
      <c r="F1707" s="3">
        <f t="shared" ca="1" si="52"/>
        <v>0.26608087475769326</v>
      </c>
      <c r="G1707" s="3">
        <f t="shared" ca="1" si="53"/>
        <v>4.398810635480884</v>
      </c>
      <c r="H1707" s="2"/>
      <c r="I1707" s="2"/>
      <c r="J1707" s="2"/>
      <c r="K1707" s="2"/>
    </row>
    <row r="1708" spans="5:11" x14ac:dyDescent="0.25">
      <c r="E1708" s="3">
        <f t="shared" ca="1" si="52"/>
        <v>0.39245317638938737</v>
      </c>
      <c r="F1708" s="3">
        <f t="shared" ca="1" si="52"/>
        <v>2.1772922185715249E-2</v>
      </c>
      <c r="G1708" s="3">
        <f t="shared" ca="1" si="53"/>
        <v>6.6787197899874275</v>
      </c>
      <c r="H1708" s="2"/>
      <c r="I1708" s="2"/>
      <c r="J1708" s="2"/>
      <c r="K1708" s="2"/>
    </row>
    <row r="1709" spans="5:11" x14ac:dyDescent="0.25">
      <c r="E1709" s="3">
        <f t="shared" ca="1" si="52"/>
        <v>0.79009282898987721</v>
      </c>
      <c r="F1709" s="3">
        <f t="shared" ca="1" si="52"/>
        <v>2.2422154731460919E-2</v>
      </c>
      <c r="G1709" s="3">
        <f t="shared" ca="1" si="53"/>
        <v>5.8426114132394975</v>
      </c>
      <c r="H1709" s="2"/>
      <c r="I1709" s="2"/>
      <c r="J1709" s="2"/>
      <c r="K1709" s="2"/>
    </row>
    <row r="1710" spans="5:11" x14ac:dyDescent="0.25">
      <c r="E1710" s="3">
        <f t="shared" ca="1" si="52"/>
        <v>0.66356795546026492</v>
      </c>
      <c r="F1710" s="3">
        <f t="shared" ca="1" si="52"/>
        <v>0.77847918318071663</v>
      </c>
      <c r="G1710" s="3">
        <f t="shared" ca="1" si="53"/>
        <v>8.306324614596635</v>
      </c>
      <c r="H1710" s="2"/>
      <c r="I1710" s="2"/>
      <c r="J1710" s="2"/>
      <c r="K1710" s="2"/>
    </row>
    <row r="1711" spans="5:11" x14ac:dyDescent="0.25">
      <c r="E1711" s="3">
        <f t="shared" ca="1" si="52"/>
        <v>6.2486789170383972E-2</v>
      </c>
      <c r="F1711" s="3">
        <f t="shared" ca="1" si="52"/>
        <v>0.64189615623310459</v>
      </c>
      <c r="G1711" s="3">
        <f t="shared" ca="1" si="53"/>
        <v>11.737650254521791</v>
      </c>
      <c r="H1711" s="2"/>
      <c r="I1711" s="2"/>
      <c r="J1711" s="2"/>
      <c r="K1711" s="2"/>
    </row>
    <row r="1712" spans="5:11" x14ac:dyDescent="0.25">
      <c r="E1712" s="3">
        <f t="shared" ca="1" si="52"/>
        <v>0.99729061277729159</v>
      </c>
      <c r="F1712" s="3">
        <f t="shared" ca="1" si="52"/>
        <v>0.395524261841533</v>
      </c>
      <c r="G1712" s="3">
        <f t="shared" ca="1" si="53"/>
        <v>12.081346893717617</v>
      </c>
      <c r="H1712" s="2"/>
      <c r="I1712" s="2"/>
      <c r="J1712" s="2"/>
      <c r="K1712" s="2"/>
    </row>
    <row r="1713" spans="5:11" x14ac:dyDescent="0.25">
      <c r="E1713" s="3">
        <f t="shared" ca="1" si="52"/>
        <v>0.10020317375273424</v>
      </c>
      <c r="F1713" s="3">
        <f t="shared" ca="1" si="52"/>
        <v>0.66905165066515515</v>
      </c>
      <c r="G1713" s="3">
        <f t="shared" ca="1" si="53"/>
        <v>10.90864675292546</v>
      </c>
      <c r="H1713" s="2"/>
      <c r="I1713" s="2"/>
      <c r="J1713" s="2"/>
      <c r="K1713" s="2"/>
    </row>
    <row r="1714" spans="5:11" x14ac:dyDescent="0.25">
      <c r="E1714" s="3">
        <f t="shared" ca="1" si="52"/>
        <v>0.23691095221710634</v>
      </c>
      <c r="F1714" s="3">
        <f t="shared" ca="1" si="52"/>
        <v>0.69232594532677239</v>
      </c>
      <c r="G1714" s="3">
        <f t="shared" ca="1" si="53"/>
        <v>9.0909037326727162</v>
      </c>
      <c r="H1714" s="2"/>
      <c r="I1714" s="2"/>
      <c r="J1714" s="2"/>
      <c r="K1714" s="2"/>
    </row>
    <row r="1715" spans="5:11" x14ac:dyDescent="0.25">
      <c r="E1715" s="3">
        <f t="shared" ca="1" si="52"/>
        <v>0.13989947555037141</v>
      </c>
      <c r="F1715" s="3">
        <f t="shared" ca="1" si="52"/>
        <v>0.18023469504669531</v>
      </c>
      <c r="G1715" s="3">
        <f t="shared" ca="1" si="53"/>
        <v>7.6449089878433236</v>
      </c>
      <c r="H1715" s="2"/>
      <c r="I1715" s="2"/>
      <c r="J1715" s="2"/>
      <c r="K1715" s="2"/>
    </row>
    <row r="1716" spans="5:11" x14ac:dyDescent="0.25">
      <c r="E1716" s="3">
        <f t="shared" ca="1" si="52"/>
        <v>5.8556714981218505E-2</v>
      </c>
      <c r="F1716" s="3">
        <f t="shared" ca="1" si="52"/>
        <v>0.93407042490240322</v>
      </c>
      <c r="G1716" s="3">
        <f t="shared" ca="1" si="53"/>
        <v>15.671965497043889</v>
      </c>
      <c r="H1716" s="2"/>
      <c r="I1716" s="2"/>
      <c r="J1716" s="2"/>
      <c r="K1716" s="2"/>
    </row>
    <row r="1717" spans="5:11" x14ac:dyDescent="0.25">
      <c r="E1717" s="3">
        <f t="shared" ca="1" si="52"/>
        <v>0.21696038753487901</v>
      </c>
      <c r="F1717" s="3">
        <f t="shared" ca="1" si="52"/>
        <v>0.72386319982231495</v>
      </c>
      <c r="G1717" s="3">
        <f t="shared" ca="1" si="53"/>
        <v>9.6559658184126729</v>
      </c>
      <c r="H1717" s="2"/>
      <c r="I1717" s="2"/>
      <c r="J1717" s="2"/>
      <c r="K1717" s="2"/>
    </row>
    <row r="1718" spans="5:11" x14ac:dyDescent="0.25">
      <c r="E1718" s="3">
        <f t="shared" ca="1" si="52"/>
        <v>0.20113791875511455</v>
      </c>
      <c r="F1718" s="3">
        <f t="shared" ca="1" si="52"/>
        <v>0.20494049554999361</v>
      </c>
      <c r="G1718" s="3">
        <f t="shared" ca="1" si="53"/>
        <v>6.437678524321222</v>
      </c>
      <c r="H1718" s="2"/>
      <c r="I1718" s="2"/>
      <c r="J1718" s="2"/>
      <c r="K1718" s="2"/>
    </row>
    <row r="1719" spans="5:11" x14ac:dyDescent="0.25">
      <c r="E1719" s="3">
        <f t="shared" ca="1" si="52"/>
        <v>0.54248449989554415</v>
      </c>
      <c r="F1719" s="3">
        <f t="shared" ca="1" si="52"/>
        <v>0.25980994704971982</v>
      </c>
      <c r="G1719" s="3">
        <f t="shared" ca="1" si="53"/>
        <v>2.1158451032506993</v>
      </c>
      <c r="H1719" s="2"/>
      <c r="I1719" s="2"/>
      <c r="J1719" s="2"/>
      <c r="K1719" s="2"/>
    </row>
    <row r="1720" spans="5:11" x14ac:dyDescent="0.25">
      <c r="E1720" s="3">
        <f t="shared" ca="1" si="52"/>
        <v>4.9908600364476752E-2</v>
      </c>
      <c r="F1720" s="3">
        <f t="shared" ca="1" si="52"/>
        <v>0.42016652956057077</v>
      </c>
      <c r="G1720" s="3">
        <f t="shared" ca="1" si="53"/>
        <v>11.026846957595211</v>
      </c>
      <c r="H1720" s="2"/>
      <c r="I1720" s="2"/>
      <c r="J1720" s="2"/>
      <c r="K1720" s="2"/>
    </row>
    <row r="1721" spans="5:11" x14ac:dyDescent="0.25">
      <c r="E1721" s="3">
        <f t="shared" ca="1" si="52"/>
        <v>0.64399757337443286</v>
      </c>
      <c r="F1721" s="3">
        <f t="shared" ca="1" si="52"/>
        <v>0.54473617269264218</v>
      </c>
      <c r="G1721" s="3">
        <f t="shared" ca="1" si="53"/>
        <v>5.0472926239861788</v>
      </c>
      <c r="H1721" s="2"/>
      <c r="I1721" s="2"/>
      <c r="J1721" s="2"/>
      <c r="K1721" s="2"/>
    </row>
    <row r="1722" spans="5:11" x14ac:dyDescent="0.25">
      <c r="E1722" s="3">
        <f t="shared" ca="1" si="52"/>
        <v>0.50365650374706239</v>
      </c>
      <c r="F1722" s="3">
        <f t="shared" ca="1" si="52"/>
        <v>0.78654929625013914</v>
      </c>
      <c r="G1722" s="3">
        <f t="shared" ca="1" si="53"/>
        <v>8.7230708846682461</v>
      </c>
      <c r="H1722" s="2"/>
      <c r="I1722" s="2"/>
      <c r="J1722" s="2"/>
      <c r="K1722" s="2"/>
    </row>
    <row r="1723" spans="5:11" x14ac:dyDescent="0.25">
      <c r="E1723" s="3">
        <f t="shared" ca="1" si="52"/>
        <v>0.153846116342367</v>
      </c>
      <c r="F1723" s="3">
        <f t="shared" ca="1" si="52"/>
        <v>0.60875668646126102</v>
      </c>
      <c r="G1723" s="3">
        <f t="shared" ca="1" si="53"/>
        <v>9.3868842346117791</v>
      </c>
      <c r="H1723" s="2"/>
      <c r="I1723" s="2"/>
      <c r="J1723" s="2"/>
      <c r="K1723" s="2"/>
    </row>
    <row r="1724" spans="5:11" x14ac:dyDescent="0.25">
      <c r="E1724" s="3">
        <f t="shared" ca="1" si="52"/>
        <v>0.27543228157131727</v>
      </c>
      <c r="F1724" s="3">
        <f t="shared" ca="1" si="52"/>
        <v>0.70961968437194645</v>
      </c>
      <c r="G1724" s="3">
        <f t="shared" ca="1" si="53"/>
        <v>8.9201457390155614</v>
      </c>
      <c r="H1724" s="2"/>
      <c r="I1724" s="2"/>
      <c r="J1724" s="2"/>
      <c r="K1724" s="2"/>
    </row>
    <row r="1725" spans="5:11" x14ac:dyDescent="0.25">
      <c r="E1725" s="3">
        <f t="shared" ca="1" si="52"/>
        <v>0.85599634727109308</v>
      </c>
      <c r="F1725" s="3">
        <f t="shared" ca="1" si="52"/>
        <v>0.9461344333182149</v>
      </c>
      <c r="G1725" s="3">
        <f t="shared" ca="1" si="53"/>
        <v>12.883991398677573</v>
      </c>
      <c r="H1725" s="2"/>
      <c r="I1725" s="2"/>
      <c r="J1725" s="2"/>
      <c r="K1725" s="2"/>
    </row>
    <row r="1726" spans="5:11" x14ac:dyDescent="0.25">
      <c r="E1726" s="3">
        <f t="shared" ca="1" si="52"/>
        <v>0.1970667235632203</v>
      </c>
      <c r="F1726" s="3">
        <f t="shared" ca="1" si="52"/>
        <v>0.17861542314553458</v>
      </c>
      <c r="G1726" s="3">
        <f t="shared" ca="1" si="53"/>
        <v>6.5024608653147569</v>
      </c>
      <c r="H1726" s="2"/>
      <c r="I1726" s="2"/>
      <c r="J1726" s="2"/>
      <c r="K1726" s="2"/>
    </row>
    <row r="1727" spans="5:11" x14ac:dyDescent="0.25">
      <c r="E1727" s="3">
        <f t="shared" ca="1" si="52"/>
        <v>0.41057536520455862</v>
      </c>
      <c r="F1727" s="3">
        <f t="shared" ca="1" si="52"/>
        <v>0.38274557606090132</v>
      </c>
      <c r="G1727" s="3">
        <f t="shared" ca="1" si="53"/>
        <v>4.4981776358261536</v>
      </c>
      <c r="H1727" s="2"/>
      <c r="I1727" s="2"/>
      <c r="J1727" s="2"/>
      <c r="K1727" s="2"/>
    </row>
    <row r="1728" spans="5:11" x14ac:dyDescent="0.25">
      <c r="E1728" s="3">
        <f t="shared" ca="1" si="52"/>
        <v>0.37759473320409598</v>
      </c>
      <c r="F1728" s="3">
        <f t="shared" ca="1" si="52"/>
        <v>0.27726051270613083</v>
      </c>
      <c r="G1728" s="3">
        <f t="shared" ca="1" si="53"/>
        <v>4.090298129073382</v>
      </c>
      <c r="H1728" s="2"/>
      <c r="I1728" s="2"/>
      <c r="J1728" s="2"/>
      <c r="K1728" s="2"/>
    </row>
    <row r="1729" spans="5:11" x14ac:dyDescent="0.25">
      <c r="E1729" s="3">
        <f t="shared" ca="1" si="52"/>
        <v>0.2195027373582783</v>
      </c>
      <c r="F1729" s="3">
        <f t="shared" ca="1" si="52"/>
        <v>7.2264834249459176E-2</v>
      </c>
      <c r="G1729" s="3">
        <f t="shared" ca="1" si="53"/>
        <v>6.7315109387819216</v>
      </c>
      <c r="H1729" s="2"/>
      <c r="I1729" s="2"/>
      <c r="J1729" s="2"/>
      <c r="K1729" s="2"/>
    </row>
    <row r="1730" spans="5:11" x14ac:dyDescent="0.25">
      <c r="E1730" s="3">
        <f t="shared" ca="1" si="52"/>
        <v>0.96210129626379881</v>
      </c>
      <c r="F1730" s="3">
        <f t="shared" ca="1" si="52"/>
        <v>0.66092507796160971</v>
      </c>
      <c r="G1730" s="3">
        <f t="shared" ca="1" si="53"/>
        <v>9.3217403276573645</v>
      </c>
      <c r="H1730" s="2"/>
      <c r="I1730" s="2"/>
      <c r="J1730" s="2"/>
      <c r="K1730" s="2"/>
    </row>
    <row r="1731" spans="5:11" x14ac:dyDescent="0.25">
      <c r="E1731" s="3">
        <f t="shared" ca="1" si="52"/>
        <v>0.3598613572712126</v>
      </c>
      <c r="F1731" s="3">
        <f t="shared" ca="1" si="52"/>
        <v>0.23118141078404286</v>
      </c>
      <c r="G1731" s="3">
        <f t="shared" ca="1" si="53"/>
        <v>4.1121302387187955</v>
      </c>
      <c r="H1731" s="2"/>
      <c r="I1731" s="2"/>
      <c r="J1731" s="2"/>
      <c r="K1731" s="2"/>
    </row>
    <row r="1732" spans="5:11" x14ac:dyDescent="0.25">
      <c r="E1732" s="3">
        <f t="shared" ref="E1732:F1795" ca="1" si="54">RAND()</f>
        <v>0.88800682534984021</v>
      </c>
      <c r="F1732" s="3">
        <f t="shared" ca="1" si="54"/>
        <v>0.51230017291093211</v>
      </c>
      <c r="G1732" s="3">
        <f t="shared" ref="G1732:G1795" ca="1" si="55">SQRT(_xlfn.NORM.INV(E1732,$C$3*COS($C$6),$C$4)^2+_xlfn.NORM.INV(F1732,$C$3*SIN($C$6),$C$4)^2)</f>
        <v>6.0104538101786851</v>
      </c>
      <c r="H1732" s="2"/>
      <c r="I1732" s="2"/>
      <c r="J1732" s="2"/>
      <c r="K1732" s="2"/>
    </row>
    <row r="1733" spans="5:11" x14ac:dyDescent="0.25">
      <c r="E1733" s="3">
        <f t="shared" ca="1" si="54"/>
        <v>0.68828440371947497</v>
      </c>
      <c r="F1733" s="3">
        <f t="shared" ca="1" si="54"/>
        <v>0.54996050656206275</v>
      </c>
      <c r="G1733" s="3">
        <f t="shared" ca="1" si="55"/>
        <v>5.1023060593501022</v>
      </c>
      <c r="H1733" s="2"/>
      <c r="I1733" s="2"/>
      <c r="J1733" s="2"/>
      <c r="K1733" s="2"/>
    </row>
    <row r="1734" spans="5:11" x14ac:dyDescent="0.25">
      <c r="E1734" s="3">
        <f t="shared" ca="1" si="54"/>
        <v>0.16953661776146334</v>
      </c>
      <c r="F1734" s="3">
        <f t="shared" ca="1" si="54"/>
        <v>0.39343075799330596</v>
      </c>
      <c r="G1734" s="3">
        <f t="shared" ca="1" si="55"/>
        <v>7.6816412753526411</v>
      </c>
      <c r="H1734" s="2"/>
      <c r="I1734" s="2"/>
      <c r="J1734" s="2"/>
      <c r="K1734" s="2"/>
    </row>
    <row r="1735" spans="5:11" x14ac:dyDescent="0.25">
      <c r="E1735" s="3">
        <f t="shared" ca="1" si="54"/>
        <v>0.45144095145489116</v>
      </c>
      <c r="F1735" s="3">
        <f t="shared" ca="1" si="54"/>
        <v>0.58706545825394552</v>
      </c>
      <c r="G1735" s="3">
        <f t="shared" ca="1" si="55"/>
        <v>6.2570021975384575</v>
      </c>
      <c r="H1735" s="2"/>
      <c r="I1735" s="2"/>
      <c r="J1735" s="2"/>
      <c r="K1735" s="2"/>
    </row>
    <row r="1736" spans="5:11" x14ac:dyDescent="0.25">
      <c r="E1736" s="3">
        <f t="shared" ca="1" si="54"/>
        <v>0.84416074144827979</v>
      </c>
      <c r="F1736" s="3">
        <f t="shared" ca="1" si="54"/>
        <v>0.67703244735244428</v>
      </c>
      <c r="G1736" s="3">
        <f t="shared" ca="1" si="55"/>
        <v>7.3304313401704642</v>
      </c>
      <c r="H1736" s="2"/>
      <c r="I1736" s="2"/>
      <c r="J1736" s="2"/>
      <c r="K1736" s="2"/>
    </row>
    <row r="1737" spans="5:11" x14ac:dyDescent="0.25">
      <c r="E1737" s="3">
        <f t="shared" ca="1" si="54"/>
        <v>0.14936308242575336</v>
      </c>
      <c r="F1737" s="3">
        <f t="shared" ca="1" si="54"/>
        <v>6.4179647151666575E-2</v>
      </c>
      <c r="G1737" s="3">
        <f t="shared" ca="1" si="55"/>
        <v>8.0692734619235242</v>
      </c>
      <c r="H1737" s="2"/>
      <c r="I1737" s="2"/>
      <c r="J1737" s="2"/>
      <c r="K1737" s="2"/>
    </row>
    <row r="1738" spans="5:11" x14ac:dyDescent="0.25">
      <c r="E1738" s="3">
        <f t="shared" ca="1" si="54"/>
        <v>0.54675481496628153</v>
      </c>
      <c r="F1738" s="3">
        <f t="shared" ca="1" si="54"/>
        <v>0.69014913366236341</v>
      </c>
      <c r="G1738" s="3">
        <f t="shared" ca="1" si="55"/>
        <v>7.1451926204929013</v>
      </c>
      <c r="H1738" s="2"/>
      <c r="I1738" s="2"/>
      <c r="J1738" s="2"/>
      <c r="K1738" s="2"/>
    </row>
    <row r="1739" spans="5:11" x14ac:dyDescent="0.25">
      <c r="E1739" s="3">
        <f t="shared" ca="1" si="54"/>
        <v>0.88888585019548416</v>
      </c>
      <c r="F1739" s="3">
        <f t="shared" ca="1" si="54"/>
        <v>0.55132773823130166</v>
      </c>
      <c r="G1739" s="3">
        <f t="shared" ca="1" si="55"/>
        <v>6.4097400076955537</v>
      </c>
      <c r="H1739" s="2"/>
      <c r="I1739" s="2"/>
      <c r="J1739" s="2"/>
      <c r="K1739" s="2"/>
    </row>
    <row r="1740" spans="5:11" x14ac:dyDescent="0.25">
      <c r="E1740" s="3">
        <f t="shared" ca="1" si="54"/>
        <v>3.4290384581885158E-2</v>
      </c>
      <c r="F1740" s="3">
        <f t="shared" ca="1" si="54"/>
        <v>5.0555896873114126E-2</v>
      </c>
      <c r="G1740" s="3">
        <f t="shared" ca="1" si="55"/>
        <v>11.942812156750955</v>
      </c>
      <c r="H1740" s="2"/>
      <c r="I1740" s="2"/>
      <c r="J1740" s="2"/>
      <c r="K1740" s="2"/>
    </row>
    <row r="1741" spans="5:11" x14ac:dyDescent="0.25">
      <c r="E1741" s="3">
        <f t="shared" ca="1" si="54"/>
        <v>0.32809342644347139</v>
      </c>
      <c r="F1741" s="3">
        <f t="shared" ca="1" si="54"/>
        <v>0.28663967721623729</v>
      </c>
      <c r="G1741" s="3">
        <f t="shared" ca="1" si="55"/>
        <v>4.7626585066251641</v>
      </c>
      <c r="H1741" s="2"/>
      <c r="I1741" s="2"/>
      <c r="J1741" s="2"/>
      <c r="K1741" s="2"/>
    </row>
    <row r="1742" spans="5:11" x14ac:dyDescent="0.25">
      <c r="E1742" s="3">
        <f t="shared" ca="1" si="54"/>
        <v>0.53974723824129345</v>
      </c>
      <c r="F1742" s="3">
        <f t="shared" ca="1" si="54"/>
        <v>0.11883886145733569</v>
      </c>
      <c r="G1742" s="3">
        <f t="shared" ca="1" si="55"/>
        <v>2.2558769076471905</v>
      </c>
      <c r="H1742" s="2"/>
      <c r="I1742" s="2"/>
      <c r="J1742" s="2"/>
      <c r="K1742" s="2"/>
    </row>
    <row r="1743" spans="5:11" x14ac:dyDescent="0.25">
      <c r="E1743" s="3">
        <f t="shared" ca="1" si="54"/>
        <v>5.3190387302544107E-3</v>
      </c>
      <c r="F1743" s="3">
        <f t="shared" ca="1" si="54"/>
        <v>0.96528553961711272</v>
      </c>
      <c r="G1743" s="3">
        <f t="shared" ca="1" si="55"/>
        <v>20.221689716811273</v>
      </c>
      <c r="H1743" s="2"/>
      <c r="I1743" s="2"/>
      <c r="J1743" s="2"/>
      <c r="K1743" s="2"/>
    </row>
    <row r="1744" spans="5:11" x14ac:dyDescent="0.25">
      <c r="E1744" s="3">
        <f t="shared" ca="1" si="54"/>
        <v>3.56286050768303E-2</v>
      </c>
      <c r="F1744" s="3">
        <f t="shared" ca="1" si="54"/>
        <v>0.83016495107061394</v>
      </c>
      <c r="G1744" s="3">
        <f t="shared" ca="1" si="55"/>
        <v>14.568119762560025</v>
      </c>
      <c r="H1744" s="2"/>
      <c r="I1744" s="2"/>
      <c r="J1744" s="2"/>
      <c r="K1744" s="2"/>
    </row>
    <row r="1745" spans="5:11" x14ac:dyDescent="0.25">
      <c r="E1745" s="3">
        <f t="shared" ca="1" si="54"/>
        <v>0.2514398207784071</v>
      </c>
      <c r="F1745" s="3">
        <f t="shared" ca="1" si="54"/>
        <v>0.14060414581648373</v>
      </c>
      <c r="G1745" s="3">
        <f t="shared" ca="1" si="55"/>
        <v>5.6650804192837949</v>
      </c>
      <c r="H1745" s="2"/>
      <c r="I1745" s="2"/>
      <c r="J1745" s="2"/>
      <c r="K1745" s="2"/>
    </row>
    <row r="1746" spans="5:11" x14ac:dyDescent="0.25">
      <c r="E1746" s="3">
        <f t="shared" ca="1" si="54"/>
        <v>6.6546111161810084E-2</v>
      </c>
      <c r="F1746" s="3">
        <f t="shared" ca="1" si="54"/>
        <v>0.91805419377437991</v>
      </c>
      <c r="G1746" s="3">
        <f t="shared" ca="1" si="55"/>
        <v>15.024235835693675</v>
      </c>
      <c r="H1746" s="2"/>
      <c r="I1746" s="2"/>
      <c r="J1746" s="2"/>
      <c r="K1746" s="2"/>
    </row>
    <row r="1747" spans="5:11" x14ac:dyDescent="0.25">
      <c r="E1747" s="3">
        <f t="shared" ca="1" si="54"/>
        <v>0.74798005773210696</v>
      </c>
      <c r="F1747" s="3">
        <f t="shared" ca="1" si="54"/>
        <v>0.4993538574722407</v>
      </c>
      <c r="G1747" s="3">
        <f t="shared" ca="1" si="55"/>
        <v>4.5955656968365775</v>
      </c>
      <c r="H1747" s="2"/>
      <c r="I1747" s="2"/>
      <c r="J1747" s="2"/>
      <c r="K1747" s="2"/>
    </row>
    <row r="1748" spans="5:11" x14ac:dyDescent="0.25">
      <c r="E1748" s="3">
        <f t="shared" ca="1" si="54"/>
        <v>0.51131851998508959</v>
      </c>
      <c r="F1748" s="3">
        <f t="shared" ca="1" si="54"/>
        <v>0.58638757732877211</v>
      </c>
      <c r="G1748" s="3">
        <f t="shared" ca="1" si="55"/>
        <v>5.9440443718696132</v>
      </c>
      <c r="H1748" s="2"/>
      <c r="I1748" s="2"/>
      <c r="J1748" s="2"/>
      <c r="K1748" s="2"/>
    </row>
    <row r="1749" spans="5:11" x14ac:dyDescent="0.25">
      <c r="E1749" s="3">
        <f t="shared" ca="1" si="54"/>
        <v>0.17595669004669734</v>
      </c>
      <c r="F1749" s="3">
        <f t="shared" ca="1" si="54"/>
        <v>0.36737510995713663</v>
      </c>
      <c r="G1749" s="3">
        <f t="shared" ca="1" si="55"/>
        <v>7.4326197578091149</v>
      </c>
      <c r="H1749" s="2"/>
      <c r="I1749" s="2"/>
      <c r="J1749" s="2"/>
      <c r="K1749" s="2"/>
    </row>
    <row r="1750" spans="5:11" x14ac:dyDescent="0.25">
      <c r="E1750" s="3">
        <f t="shared" ca="1" si="54"/>
        <v>0.86650846756833233</v>
      </c>
      <c r="F1750" s="3">
        <f t="shared" ca="1" si="54"/>
        <v>9.7411647077021435E-2</v>
      </c>
      <c r="G1750" s="3">
        <f t="shared" ca="1" si="55"/>
        <v>3.8734923609301619</v>
      </c>
      <c r="H1750" s="2"/>
      <c r="I1750" s="2"/>
      <c r="J1750" s="2"/>
      <c r="K1750" s="2"/>
    </row>
    <row r="1751" spans="5:11" x14ac:dyDescent="0.25">
      <c r="E1751" s="3">
        <f t="shared" ca="1" si="54"/>
        <v>0.31586437128915679</v>
      </c>
      <c r="F1751" s="3">
        <f t="shared" ca="1" si="54"/>
        <v>0.98330789980827604</v>
      </c>
      <c r="G1751" s="3">
        <f t="shared" ca="1" si="55"/>
        <v>15.802724607027782</v>
      </c>
      <c r="H1751" s="2"/>
      <c r="I1751" s="2"/>
      <c r="J1751" s="2"/>
      <c r="K1751" s="2"/>
    </row>
    <row r="1752" spans="5:11" x14ac:dyDescent="0.25">
      <c r="E1752" s="3">
        <f t="shared" ca="1" si="54"/>
        <v>0.47905151788004607</v>
      </c>
      <c r="F1752" s="3">
        <f t="shared" ca="1" si="54"/>
        <v>0.88787889236057671</v>
      </c>
      <c r="G1752" s="3">
        <f t="shared" ca="1" si="55"/>
        <v>10.839563496868292</v>
      </c>
      <c r="H1752" s="2"/>
      <c r="I1752" s="2"/>
      <c r="J1752" s="2"/>
      <c r="K1752" s="2"/>
    </row>
    <row r="1753" spans="5:11" x14ac:dyDescent="0.25">
      <c r="E1753" s="3">
        <f t="shared" ca="1" si="54"/>
        <v>0.93403959679375226</v>
      </c>
      <c r="F1753" s="3">
        <f t="shared" ca="1" si="54"/>
        <v>5.9506194849665905E-2</v>
      </c>
      <c r="G1753" s="3">
        <f t="shared" ca="1" si="55"/>
        <v>6.2501098972335329</v>
      </c>
      <c r="H1753" s="2"/>
      <c r="I1753" s="2"/>
      <c r="J1753" s="2"/>
      <c r="K1753" s="2"/>
    </row>
    <row r="1754" spans="5:11" x14ac:dyDescent="0.25">
      <c r="E1754" s="3">
        <f t="shared" ca="1" si="54"/>
        <v>0.67394977649715149</v>
      </c>
      <c r="F1754" s="3">
        <f t="shared" ca="1" si="54"/>
        <v>0.85523817042039996</v>
      </c>
      <c r="G1754" s="3">
        <f t="shared" ca="1" si="55"/>
        <v>9.7658289464082859</v>
      </c>
      <c r="H1754" s="2"/>
      <c r="I1754" s="2"/>
      <c r="J1754" s="2"/>
      <c r="K1754" s="2"/>
    </row>
    <row r="1755" spans="5:11" x14ac:dyDescent="0.25">
      <c r="E1755" s="3">
        <f t="shared" ca="1" si="54"/>
        <v>0.29460682831028295</v>
      </c>
      <c r="F1755" s="3">
        <f t="shared" ca="1" si="54"/>
        <v>0.85438163444539217</v>
      </c>
      <c r="G1755" s="3">
        <f t="shared" ca="1" si="55"/>
        <v>10.927531433506729</v>
      </c>
      <c r="H1755" s="2"/>
      <c r="I1755" s="2"/>
      <c r="J1755" s="2"/>
      <c r="K1755" s="2"/>
    </row>
    <row r="1756" spans="5:11" x14ac:dyDescent="0.25">
      <c r="E1756" s="3">
        <f t="shared" ca="1" si="54"/>
        <v>0.11632586911460352</v>
      </c>
      <c r="F1756" s="3">
        <f t="shared" ca="1" si="54"/>
        <v>0.22238615642866011</v>
      </c>
      <c r="G1756" s="3">
        <f t="shared" ca="1" si="55"/>
        <v>8.2337797612782637</v>
      </c>
      <c r="H1756" s="2"/>
      <c r="I1756" s="2"/>
      <c r="J1756" s="2"/>
      <c r="K1756" s="2"/>
    </row>
    <row r="1757" spans="5:11" x14ac:dyDescent="0.25">
      <c r="E1757" s="3">
        <f t="shared" ca="1" si="54"/>
        <v>0.6906625814412527</v>
      </c>
      <c r="F1757" s="3">
        <f t="shared" ca="1" si="54"/>
        <v>0.79373406759062493</v>
      </c>
      <c r="G1757" s="3">
        <f t="shared" ca="1" si="55"/>
        <v>8.5708113064964149</v>
      </c>
      <c r="H1757" s="2"/>
      <c r="I1757" s="2"/>
      <c r="J1757" s="2"/>
      <c r="K1757" s="2"/>
    </row>
    <row r="1758" spans="5:11" x14ac:dyDescent="0.25">
      <c r="E1758" s="3">
        <f t="shared" ca="1" si="54"/>
        <v>0.56594326587833055</v>
      </c>
      <c r="F1758" s="3">
        <f t="shared" ca="1" si="54"/>
        <v>0.43525205811221512</v>
      </c>
      <c r="G1758" s="3">
        <f t="shared" ca="1" si="55"/>
        <v>3.917473333196301</v>
      </c>
      <c r="H1758" s="2"/>
      <c r="I1758" s="2"/>
      <c r="J1758" s="2"/>
      <c r="K1758" s="2"/>
    </row>
    <row r="1759" spans="5:11" x14ac:dyDescent="0.25">
      <c r="E1759" s="3">
        <f t="shared" ca="1" si="54"/>
        <v>0.292062292391016</v>
      </c>
      <c r="F1759" s="3">
        <f t="shared" ca="1" si="54"/>
        <v>0.81445531201993604</v>
      </c>
      <c r="G1759" s="3">
        <f t="shared" ca="1" si="55"/>
        <v>10.23400522398382</v>
      </c>
      <c r="H1759" s="2"/>
      <c r="I1759" s="2"/>
      <c r="J1759" s="2"/>
      <c r="K1759" s="2"/>
    </row>
    <row r="1760" spans="5:11" x14ac:dyDescent="0.25">
      <c r="E1760" s="3">
        <f t="shared" ca="1" si="54"/>
        <v>0.83399638222103256</v>
      </c>
      <c r="F1760" s="3">
        <f t="shared" ca="1" si="54"/>
        <v>0.41684674684128797</v>
      </c>
      <c r="G1760" s="3">
        <f t="shared" ca="1" si="55"/>
        <v>4.3022844616774893</v>
      </c>
      <c r="H1760" s="2"/>
      <c r="I1760" s="2"/>
      <c r="J1760" s="2"/>
      <c r="K1760" s="2"/>
    </row>
    <row r="1761" spans="5:11" x14ac:dyDescent="0.25">
      <c r="E1761" s="3">
        <f t="shared" ca="1" si="54"/>
        <v>0.88854138725317333</v>
      </c>
      <c r="F1761" s="3">
        <f t="shared" ca="1" si="54"/>
        <v>0.68633738426449509</v>
      </c>
      <c r="G1761" s="3">
        <f t="shared" ca="1" si="55"/>
        <v>7.9009939761451342</v>
      </c>
      <c r="H1761" s="2"/>
      <c r="I1761" s="2"/>
      <c r="J1761" s="2"/>
      <c r="K1761" s="2"/>
    </row>
    <row r="1762" spans="5:11" x14ac:dyDescent="0.25">
      <c r="E1762" s="3">
        <f t="shared" ca="1" si="54"/>
        <v>0.51689218388451763</v>
      </c>
      <c r="F1762" s="3">
        <f t="shared" ca="1" si="54"/>
        <v>4.6969271158007642E-2</v>
      </c>
      <c r="G1762" s="3">
        <f t="shared" ca="1" si="55"/>
        <v>4.4003960625710734</v>
      </c>
      <c r="H1762" s="2"/>
      <c r="I1762" s="2"/>
      <c r="J1762" s="2"/>
      <c r="K1762" s="2"/>
    </row>
    <row r="1763" spans="5:11" x14ac:dyDescent="0.25">
      <c r="E1763" s="3">
        <f t="shared" ca="1" si="54"/>
        <v>0.44613772453122458</v>
      </c>
      <c r="F1763" s="3">
        <f t="shared" ca="1" si="54"/>
        <v>0.7220023749894221</v>
      </c>
      <c r="G1763" s="3">
        <f t="shared" ca="1" si="55"/>
        <v>7.9673679020478883</v>
      </c>
      <c r="H1763" s="2"/>
      <c r="I1763" s="2"/>
      <c r="J1763" s="2"/>
      <c r="K1763" s="2"/>
    </row>
    <row r="1764" spans="5:11" x14ac:dyDescent="0.25">
      <c r="E1764" s="3">
        <f t="shared" ca="1" si="54"/>
        <v>0.21188823854177996</v>
      </c>
      <c r="F1764" s="3">
        <f t="shared" ca="1" si="54"/>
        <v>0.87827444834744484</v>
      </c>
      <c r="G1764" s="3">
        <f t="shared" ca="1" si="55"/>
        <v>12.044351475745842</v>
      </c>
      <c r="H1764" s="2"/>
      <c r="I1764" s="2"/>
      <c r="J1764" s="2"/>
      <c r="K1764" s="2"/>
    </row>
    <row r="1765" spans="5:11" x14ac:dyDescent="0.25">
      <c r="E1765" s="3">
        <f t="shared" ca="1" si="54"/>
        <v>0.67410175331342947</v>
      </c>
      <c r="F1765" s="3">
        <f t="shared" ca="1" si="54"/>
        <v>0.32243696299519198</v>
      </c>
      <c r="G1765" s="3">
        <f t="shared" ca="1" si="55"/>
        <v>2.1655671219520594</v>
      </c>
      <c r="H1765" s="2"/>
      <c r="I1765" s="2"/>
      <c r="J1765" s="2"/>
      <c r="K1765" s="2"/>
    </row>
    <row r="1766" spans="5:11" x14ac:dyDescent="0.25">
      <c r="E1766" s="3">
        <f t="shared" ca="1" si="54"/>
        <v>1.3752094345201749E-2</v>
      </c>
      <c r="F1766" s="3">
        <f t="shared" ca="1" si="54"/>
        <v>0.52634718489051102</v>
      </c>
      <c r="G1766" s="3">
        <f t="shared" ca="1" si="55"/>
        <v>14.103884997605936</v>
      </c>
      <c r="H1766" s="2"/>
      <c r="I1766" s="2"/>
      <c r="J1766" s="2"/>
      <c r="K1766" s="2"/>
    </row>
    <row r="1767" spans="5:11" x14ac:dyDescent="0.25">
      <c r="E1767" s="3">
        <f t="shared" ca="1" si="54"/>
        <v>0.5574202053415942</v>
      </c>
      <c r="F1767" s="3">
        <f t="shared" ca="1" si="54"/>
        <v>0.39478528164320803</v>
      </c>
      <c r="G1767" s="3">
        <f t="shared" ca="1" si="55"/>
        <v>3.4838498739737083</v>
      </c>
      <c r="H1767" s="2"/>
      <c r="I1767" s="2"/>
      <c r="J1767" s="2"/>
      <c r="K1767" s="2"/>
    </row>
    <row r="1768" spans="5:11" x14ac:dyDescent="0.25">
      <c r="E1768" s="3">
        <f t="shared" ca="1" si="54"/>
        <v>0.44772777059230617</v>
      </c>
      <c r="F1768" s="3">
        <f t="shared" ca="1" si="54"/>
        <v>0.79049595414820439</v>
      </c>
      <c r="G1768" s="3">
        <f t="shared" ca="1" si="55"/>
        <v>8.9903768598968519</v>
      </c>
      <c r="H1768" s="2"/>
      <c r="I1768" s="2"/>
      <c r="J1768" s="2"/>
      <c r="K1768" s="2"/>
    </row>
    <row r="1769" spans="5:11" x14ac:dyDescent="0.25">
      <c r="E1769" s="3">
        <f t="shared" ca="1" si="54"/>
        <v>0.72328210320829689</v>
      </c>
      <c r="F1769" s="3">
        <f t="shared" ca="1" si="54"/>
        <v>0.90588114370808581</v>
      </c>
      <c r="G1769" s="3">
        <f t="shared" ca="1" si="55"/>
        <v>11.072646993719102</v>
      </c>
      <c r="H1769" s="2"/>
      <c r="I1769" s="2"/>
      <c r="J1769" s="2"/>
      <c r="K1769" s="2"/>
    </row>
    <row r="1770" spans="5:11" x14ac:dyDescent="0.25">
      <c r="E1770" s="3">
        <f t="shared" ca="1" si="54"/>
        <v>0.9303015045173384</v>
      </c>
      <c r="F1770" s="3">
        <f t="shared" ca="1" si="54"/>
        <v>0.4308572773155499</v>
      </c>
      <c r="G1770" s="3">
        <f t="shared" ca="1" si="55"/>
        <v>6.2828140539457751</v>
      </c>
      <c r="H1770" s="2"/>
      <c r="I1770" s="2"/>
      <c r="J1770" s="2"/>
      <c r="K1770" s="2"/>
    </row>
    <row r="1771" spans="5:11" x14ac:dyDescent="0.25">
      <c r="E1771" s="3">
        <f t="shared" ca="1" si="54"/>
        <v>0.6571505668647355</v>
      </c>
      <c r="F1771" s="3">
        <f t="shared" ca="1" si="54"/>
        <v>0.29092494852579087</v>
      </c>
      <c r="G1771" s="3">
        <f t="shared" ca="1" si="55"/>
        <v>1.7302061625566174</v>
      </c>
      <c r="H1771" s="2"/>
      <c r="I1771" s="2"/>
      <c r="J1771" s="2"/>
      <c r="K1771" s="2"/>
    </row>
    <row r="1772" spans="5:11" x14ac:dyDescent="0.25">
      <c r="E1772" s="3">
        <f t="shared" ca="1" si="54"/>
        <v>0.62788247338579872</v>
      </c>
      <c r="F1772" s="3">
        <f t="shared" ca="1" si="54"/>
        <v>0.93319406286794637</v>
      </c>
      <c r="G1772" s="3">
        <f t="shared" ca="1" si="55"/>
        <v>11.985520117788944</v>
      </c>
      <c r="H1772" s="2"/>
      <c r="I1772" s="2"/>
      <c r="J1772" s="2"/>
      <c r="K1772" s="2"/>
    </row>
    <row r="1773" spans="5:11" x14ac:dyDescent="0.25">
      <c r="E1773" s="3">
        <f t="shared" ca="1" si="54"/>
        <v>0.89943027847808643</v>
      </c>
      <c r="F1773" s="3">
        <f t="shared" ca="1" si="54"/>
        <v>0.43357623895961173</v>
      </c>
      <c r="G1773" s="3">
        <f t="shared" ca="1" si="55"/>
        <v>5.516833146516297</v>
      </c>
      <c r="H1773" s="2"/>
      <c r="I1773" s="2"/>
      <c r="J1773" s="2"/>
      <c r="K1773" s="2"/>
    </row>
    <row r="1774" spans="5:11" x14ac:dyDescent="0.25">
      <c r="E1774" s="3">
        <f t="shared" ca="1" si="54"/>
        <v>0.77156570528757751</v>
      </c>
      <c r="F1774" s="3">
        <f t="shared" ca="1" si="54"/>
        <v>0.26740852802346005</v>
      </c>
      <c r="G1774" s="3">
        <f t="shared" ca="1" si="55"/>
        <v>2.0142482491657496</v>
      </c>
      <c r="H1774" s="2"/>
      <c r="I1774" s="2"/>
      <c r="J1774" s="2"/>
      <c r="K1774" s="2"/>
    </row>
    <row r="1775" spans="5:11" x14ac:dyDescent="0.25">
      <c r="E1775" s="3">
        <f t="shared" ca="1" si="54"/>
        <v>3.040141169834687E-2</v>
      </c>
      <c r="F1775" s="3">
        <f t="shared" ca="1" si="54"/>
        <v>0.99614097506724708</v>
      </c>
      <c r="G1775" s="3">
        <f t="shared" ca="1" si="55"/>
        <v>21.246658260251568</v>
      </c>
      <c r="H1775" s="2"/>
      <c r="I1775" s="2"/>
      <c r="J1775" s="2"/>
      <c r="K1775" s="2"/>
    </row>
    <row r="1776" spans="5:11" x14ac:dyDescent="0.25">
      <c r="E1776" s="3">
        <f t="shared" ca="1" si="54"/>
        <v>0.56764697287635169</v>
      </c>
      <c r="F1776" s="3">
        <f t="shared" ca="1" si="54"/>
        <v>0.48527071582405212</v>
      </c>
      <c r="G1776" s="3">
        <f t="shared" ca="1" si="55"/>
        <v>4.5046493248252313</v>
      </c>
      <c r="H1776" s="2"/>
      <c r="I1776" s="2"/>
      <c r="J1776" s="2"/>
      <c r="K1776" s="2"/>
    </row>
    <row r="1777" spans="5:11" x14ac:dyDescent="0.25">
      <c r="E1777" s="3">
        <f t="shared" ca="1" si="54"/>
        <v>0.32124082518161001</v>
      </c>
      <c r="F1777" s="3">
        <f t="shared" ca="1" si="54"/>
        <v>0.60325687812441553</v>
      </c>
      <c r="G1777" s="3">
        <f t="shared" ca="1" si="55"/>
        <v>7.3622947877095681</v>
      </c>
      <c r="H1777" s="2"/>
      <c r="I1777" s="2"/>
      <c r="J1777" s="2"/>
      <c r="K1777" s="2"/>
    </row>
    <row r="1778" spans="5:11" x14ac:dyDescent="0.25">
      <c r="E1778" s="3">
        <f t="shared" ca="1" si="54"/>
        <v>0.43275810417165472</v>
      </c>
      <c r="F1778" s="3">
        <f t="shared" ca="1" si="54"/>
        <v>0.20767451634314038</v>
      </c>
      <c r="G1778" s="3">
        <f t="shared" ca="1" si="55"/>
        <v>3.1126237513468542</v>
      </c>
      <c r="H1778" s="2"/>
      <c r="I1778" s="2"/>
      <c r="J1778" s="2"/>
      <c r="K1778" s="2"/>
    </row>
    <row r="1779" spans="5:11" x14ac:dyDescent="0.25">
      <c r="E1779" s="3">
        <f t="shared" ca="1" si="54"/>
        <v>0.3215191465841043</v>
      </c>
      <c r="F1779" s="3">
        <f t="shared" ca="1" si="54"/>
        <v>0.89039790476059488</v>
      </c>
      <c r="G1779" s="3">
        <f t="shared" ca="1" si="55"/>
        <v>11.550433334536979</v>
      </c>
      <c r="H1779" s="2"/>
      <c r="I1779" s="2"/>
      <c r="J1779" s="2"/>
      <c r="K1779" s="2"/>
    </row>
    <row r="1780" spans="5:11" x14ac:dyDescent="0.25">
      <c r="E1780" s="3">
        <f t="shared" ca="1" si="54"/>
        <v>0.47215613664247302</v>
      </c>
      <c r="F1780" s="3">
        <f t="shared" ca="1" si="54"/>
        <v>0.20842414721322844</v>
      </c>
      <c r="G1780" s="3">
        <f t="shared" ca="1" si="55"/>
        <v>2.6219531805596792</v>
      </c>
      <c r="H1780" s="2"/>
      <c r="I1780" s="2"/>
      <c r="J1780" s="2"/>
      <c r="K1780" s="2"/>
    </row>
    <row r="1781" spans="5:11" x14ac:dyDescent="0.25">
      <c r="E1781" s="3">
        <f t="shared" ca="1" si="54"/>
        <v>5.3666464447436391E-2</v>
      </c>
      <c r="F1781" s="3">
        <f t="shared" ca="1" si="54"/>
        <v>0.40005153940501748</v>
      </c>
      <c r="G1781" s="3">
        <f t="shared" ca="1" si="55"/>
        <v>10.779024048637384</v>
      </c>
      <c r="H1781" s="2"/>
      <c r="I1781" s="2"/>
      <c r="J1781" s="2"/>
      <c r="K1781" s="2"/>
    </row>
    <row r="1782" spans="5:11" x14ac:dyDescent="0.25">
      <c r="E1782" s="3">
        <f t="shared" ca="1" si="54"/>
        <v>0.96849104904171979</v>
      </c>
      <c r="F1782" s="3">
        <f t="shared" ca="1" si="54"/>
        <v>0.63926901848115913</v>
      </c>
      <c r="G1782" s="3">
        <f t="shared" ca="1" si="55"/>
        <v>9.4268937809730478</v>
      </c>
      <c r="H1782" s="2"/>
      <c r="I1782" s="2"/>
      <c r="J1782" s="2"/>
      <c r="K1782" s="2"/>
    </row>
    <row r="1783" spans="5:11" x14ac:dyDescent="0.25">
      <c r="E1783" s="3">
        <f t="shared" ca="1" si="54"/>
        <v>0.77340204528815149</v>
      </c>
      <c r="F1783" s="3">
        <f t="shared" ca="1" si="54"/>
        <v>0.35346813643920494</v>
      </c>
      <c r="G1783" s="3">
        <f t="shared" ca="1" si="55"/>
        <v>2.9981913240184013</v>
      </c>
      <c r="H1783" s="2"/>
      <c r="I1783" s="2"/>
      <c r="J1783" s="2"/>
      <c r="K1783" s="2"/>
    </row>
    <row r="1784" spans="5:11" x14ac:dyDescent="0.25">
      <c r="E1784" s="3">
        <f t="shared" ca="1" si="54"/>
        <v>0.7736962479200914</v>
      </c>
      <c r="F1784" s="3">
        <f t="shared" ca="1" si="54"/>
        <v>0.99419685072775887</v>
      </c>
      <c r="G1784" s="3">
        <f t="shared" ca="1" si="55"/>
        <v>17.156474777435484</v>
      </c>
      <c r="H1784" s="2"/>
      <c r="I1784" s="2"/>
      <c r="J1784" s="2"/>
      <c r="K1784" s="2"/>
    </row>
    <row r="1785" spans="5:11" x14ac:dyDescent="0.25">
      <c r="E1785" s="3">
        <f t="shared" ca="1" si="54"/>
        <v>3.3903225543618798E-2</v>
      </c>
      <c r="F1785" s="3">
        <f t="shared" ca="1" si="54"/>
        <v>0.48242256039725806</v>
      </c>
      <c r="G1785" s="3">
        <f t="shared" ca="1" si="55"/>
        <v>12.13991554612711</v>
      </c>
      <c r="H1785" s="2"/>
      <c r="I1785" s="2"/>
      <c r="J1785" s="2"/>
      <c r="K1785" s="2"/>
    </row>
    <row r="1786" spans="5:11" x14ac:dyDescent="0.25">
      <c r="E1786" s="3">
        <f t="shared" ca="1" si="54"/>
        <v>0.79407462640005699</v>
      </c>
      <c r="F1786" s="3">
        <f t="shared" ca="1" si="54"/>
        <v>0.27740621494457096</v>
      </c>
      <c r="G1786" s="3">
        <f t="shared" ca="1" si="55"/>
        <v>2.4024869492697456</v>
      </c>
      <c r="H1786" s="2"/>
      <c r="I1786" s="2"/>
      <c r="J1786" s="2"/>
      <c r="K1786" s="2"/>
    </row>
    <row r="1787" spans="5:11" x14ac:dyDescent="0.25">
      <c r="E1787" s="3">
        <f t="shared" ca="1" si="54"/>
        <v>0.94703850926972399</v>
      </c>
      <c r="F1787" s="3">
        <f t="shared" ca="1" si="54"/>
        <v>0.8048982091287924</v>
      </c>
      <c r="G1787" s="3">
        <f t="shared" ca="1" si="55"/>
        <v>10.535383864677875</v>
      </c>
      <c r="H1787" s="2"/>
      <c r="I1787" s="2"/>
      <c r="J1787" s="2"/>
      <c r="K1787" s="2"/>
    </row>
    <row r="1788" spans="5:11" x14ac:dyDescent="0.25">
      <c r="E1788" s="3">
        <f t="shared" ca="1" si="54"/>
        <v>0.74317988847876748</v>
      </c>
      <c r="F1788" s="3">
        <f t="shared" ca="1" si="54"/>
        <v>0.24230622156600023</v>
      </c>
      <c r="G1788" s="3">
        <f t="shared" ca="1" si="55"/>
        <v>1.4153625666949403</v>
      </c>
      <c r="H1788" s="2"/>
      <c r="I1788" s="2"/>
      <c r="J1788" s="2"/>
      <c r="K1788" s="2"/>
    </row>
    <row r="1789" spans="5:11" x14ac:dyDescent="0.25">
      <c r="E1789" s="3">
        <f t="shared" ca="1" si="54"/>
        <v>0.76372826049925813</v>
      </c>
      <c r="F1789" s="3">
        <f t="shared" ca="1" si="54"/>
        <v>7.1437457077493494E-2</v>
      </c>
      <c r="G1789" s="3">
        <f t="shared" ca="1" si="55"/>
        <v>3.1594501823180674</v>
      </c>
      <c r="H1789" s="2"/>
      <c r="I1789" s="2"/>
      <c r="J1789" s="2"/>
      <c r="K1789" s="2"/>
    </row>
    <row r="1790" spans="5:11" x14ac:dyDescent="0.25">
      <c r="E1790" s="3">
        <f t="shared" ca="1" si="54"/>
        <v>0.21106581764082011</v>
      </c>
      <c r="F1790" s="3">
        <f t="shared" ca="1" si="54"/>
        <v>0.79144243210124099</v>
      </c>
      <c r="G1790" s="3">
        <f t="shared" ca="1" si="55"/>
        <v>10.574743317944112</v>
      </c>
      <c r="H1790" s="2"/>
      <c r="I1790" s="2"/>
      <c r="J1790" s="2"/>
      <c r="K1790" s="2"/>
    </row>
    <row r="1791" spans="5:11" x14ac:dyDescent="0.25">
      <c r="E1791" s="3">
        <f t="shared" ca="1" si="54"/>
        <v>0.13499354773771577</v>
      </c>
      <c r="F1791" s="3">
        <f t="shared" ca="1" si="54"/>
        <v>0.18132694318928422</v>
      </c>
      <c r="G1791" s="3">
        <f t="shared" ca="1" si="55"/>
        <v>7.7562588666421473</v>
      </c>
      <c r="H1791" s="2"/>
      <c r="I1791" s="2"/>
      <c r="J1791" s="2"/>
      <c r="K1791" s="2"/>
    </row>
    <row r="1792" spans="5:11" x14ac:dyDescent="0.25">
      <c r="E1792" s="3">
        <f t="shared" ca="1" si="54"/>
        <v>0.6988467633379305</v>
      </c>
      <c r="F1792" s="3">
        <f t="shared" ca="1" si="54"/>
        <v>0.87772206043724399</v>
      </c>
      <c r="G1792" s="3">
        <f t="shared" ca="1" si="55"/>
        <v>10.294831468218042</v>
      </c>
      <c r="H1792" s="2"/>
      <c r="I1792" s="2"/>
      <c r="J1792" s="2"/>
      <c r="K1792" s="2"/>
    </row>
    <row r="1793" spans="5:11" x14ac:dyDescent="0.25">
      <c r="E1793" s="3">
        <f t="shared" ca="1" si="54"/>
        <v>0.46461018244823205</v>
      </c>
      <c r="F1793" s="3">
        <f t="shared" ca="1" si="54"/>
        <v>0.22571105487080878</v>
      </c>
      <c r="G1793" s="3">
        <f t="shared" ca="1" si="55"/>
        <v>2.7754638382665999</v>
      </c>
      <c r="H1793" s="2"/>
      <c r="I1793" s="2"/>
      <c r="J1793" s="2"/>
      <c r="K1793" s="2"/>
    </row>
    <row r="1794" spans="5:11" x14ac:dyDescent="0.25">
      <c r="E1794" s="3">
        <f t="shared" ca="1" si="54"/>
        <v>0.93668572655110971</v>
      </c>
      <c r="F1794" s="3">
        <f t="shared" ca="1" si="54"/>
        <v>0.83980137502728502</v>
      </c>
      <c r="G1794" s="3">
        <f t="shared" ca="1" si="55"/>
        <v>10.872455618865787</v>
      </c>
      <c r="H1794" s="2"/>
      <c r="I1794" s="2"/>
      <c r="J1794" s="2"/>
      <c r="K1794" s="2"/>
    </row>
    <row r="1795" spans="5:11" x14ac:dyDescent="0.25">
      <c r="E1795" s="3">
        <f t="shared" ca="1" si="54"/>
        <v>0.5393969987130115</v>
      </c>
      <c r="F1795" s="3">
        <f t="shared" ca="1" si="54"/>
        <v>0.34736248263309988</v>
      </c>
      <c r="G1795" s="3">
        <f t="shared" ca="1" si="55"/>
        <v>3.0555684655404485</v>
      </c>
      <c r="H1795" s="2"/>
      <c r="I1795" s="2"/>
      <c r="J1795" s="2"/>
      <c r="K1795" s="2"/>
    </row>
    <row r="1796" spans="5:11" x14ac:dyDescent="0.25">
      <c r="E1796" s="3">
        <f t="shared" ref="E1796:F1859" ca="1" si="56">RAND()</f>
        <v>0.95739597063188708</v>
      </c>
      <c r="F1796" s="3">
        <f t="shared" ca="1" si="56"/>
        <v>3.6814733785250797E-2</v>
      </c>
      <c r="G1796" s="3">
        <f t="shared" ref="G1796:G1859" ca="1" si="57">SQRT(_xlfn.NORM.INV(E1796,$C$3*COS($C$6),$C$4)^2+_xlfn.NORM.INV(F1796,$C$3*SIN($C$6),$C$4)^2)</f>
        <v>7.7810826358434939</v>
      </c>
      <c r="H1796" s="2"/>
      <c r="I1796" s="2"/>
      <c r="J1796" s="2"/>
      <c r="K1796" s="2"/>
    </row>
    <row r="1797" spans="5:11" x14ac:dyDescent="0.25">
      <c r="E1797" s="3">
        <f t="shared" ca="1" si="56"/>
        <v>0.31493492068734419</v>
      </c>
      <c r="F1797" s="3">
        <f t="shared" ca="1" si="56"/>
        <v>0.50790627230613894</v>
      </c>
      <c r="G1797" s="3">
        <f t="shared" ca="1" si="57"/>
        <v>6.5190670342938297</v>
      </c>
      <c r="H1797" s="2"/>
      <c r="I1797" s="2"/>
      <c r="J1797" s="2"/>
      <c r="K1797" s="2"/>
    </row>
    <row r="1798" spans="5:11" x14ac:dyDescent="0.25">
      <c r="E1798" s="3">
        <f t="shared" ca="1" si="56"/>
        <v>0.73032134240186708</v>
      </c>
      <c r="F1798" s="3">
        <f t="shared" ca="1" si="56"/>
        <v>0.51366456179612929</v>
      </c>
      <c r="G1798" s="3">
        <f t="shared" ca="1" si="57"/>
        <v>4.7146534553571016</v>
      </c>
      <c r="H1798" s="2"/>
      <c r="I1798" s="2"/>
      <c r="J1798" s="2"/>
      <c r="K1798" s="2"/>
    </row>
    <row r="1799" spans="5:11" x14ac:dyDescent="0.25">
      <c r="E1799" s="3">
        <f t="shared" ca="1" si="56"/>
        <v>3.8484262782753187E-2</v>
      </c>
      <c r="F1799" s="3">
        <f t="shared" ca="1" si="56"/>
        <v>0.91307988266933138</v>
      </c>
      <c r="G1799" s="3">
        <f t="shared" ca="1" si="57"/>
        <v>15.806475698365633</v>
      </c>
      <c r="H1799" s="2"/>
      <c r="I1799" s="2"/>
      <c r="J1799" s="2"/>
      <c r="K1799" s="2"/>
    </row>
    <row r="1800" spans="5:11" x14ac:dyDescent="0.25">
      <c r="E1800" s="3">
        <f t="shared" ca="1" si="56"/>
        <v>0.91340798591604111</v>
      </c>
      <c r="F1800" s="3">
        <f t="shared" ca="1" si="56"/>
        <v>0.50469717460143093</v>
      </c>
      <c r="G1800" s="3">
        <f t="shared" ca="1" si="57"/>
        <v>6.4338223728226369</v>
      </c>
      <c r="H1800" s="2"/>
      <c r="I1800" s="2"/>
      <c r="J1800" s="2"/>
      <c r="K1800" s="2"/>
    </row>
    <row r="1801" spans="5:11" x14ac:dyDescent="0.25">
      <c r="E1801" s="3">
        <f t="shared" ca="1" si="56"/>
        <v>0.89158017481952523</v>
      </c>
      <c r="F1801" s="3">
        <f t="shared" ca="1" si="56"/>
        <v>0.49933240572825532</v>
      </c>
      <c r="G1801" s="3">
        <f t="shared" ca="1" si="57"/>
        <v>5.9486453145312099</v>
      </c>
      <c r="H1801" s="2"/>
      <c r="I1801" s="2"/>
      <c r="J1801" s="2"/>
      <c r="K1801" s="2"/>
    </row>
    <row r="1802" spans="5:11" x14ac:dyDescent="0.25">
      <c r="E1802" s="3">
        <f t="shared" ca="1" si="56"/>
        <v>9.177473078691667E-2</v>
      </c>
      <c r="F1802" s="3">
        <f t="shared" ca="1" si="56"/>
        <v>9.722515103945395E-3</v>
      </c>
      <c r="G1802" s="3">
        <f t="shared" ca="1" si="57"/>
        <v>11.44895560000093</v>
      </c>
      <c r="H1802" s="2"/>
      <c r="I1802" s="2"/>
      <c r="J1802" s="2"/>
      <c r="K1802" s="2"/>
    </row>
    <row r="1803" spans="5:11" x14ac:dyDescent="0.25">
      <c r="E1803" s="3">
        <f t="shared" ca="1" si="56"/>
        <v>0.29027617554176477</v>
      </c>
      <c r="F1803" s="3">
        <f t="shared" ca="1" si="56"/>
        <v>0.34102508037837542</v>
      </c>
      <c r="G1803" s="3">
        <f t="shared" ca="1" si="57"/>
        <v>5.5585046244034109</v>
      </c>
      <c r="H1803" s="2"/>
      <c r="I1803" s="2"/>
      <c r="J1803" s="2"/>
      <c r="K1803" s="2"/>
    </row>
    <row r="1804" spans="5:11" x14ac:dyDescent="0.25">
      <c r="E1804" s="3">
        <f t="shared" ca="1" si="56"/>
        <v>0.25185960342187386</v>
      </c>
      <c r="F1804" s="3">
        <f t="shared" ca="1" si="56"/>
        <v>0.38198579184949</v>
      </c>
      <c r="G1804" s="3">
        <f t="shared" ca="1" si="57"/>
        <v>6.32372918025741</v>
      </c>
      <c r="H1804" s="2"/>
      <c r="I1804" s="2"/>
      <c r="J1804" s="2"/>
      <c r="K1804" s="2"/>
    </row>
    <row r="1805" spans="5:11" x14ac:dyDescent="0.25">
      <c r="E1805" s="3">
        <f t="shared" ca="1" si="56"/>
        <v>0.93816937893422903</v>
      </c>
      <c r="F1805" s="3">
        <f t="shared" ca="1" si="56"/>
        <v>0.81603694486028777</v>
      </c>
      <c r="G1805" s="3">
        <f t="shared" ca="1" si="57"/>
        <v>10.50134885624594</v>
      </c>
      <c r="H1805" s="2"/>
      <c r="I1805" s="2"/>
      <c r="J1805" s="2"/>
      <c r="K1805" s="2"/>
    </row>
    <row r="1806" spans="5:11" x14ac:dyDescent="0.25">
      <c r="E1806" s="3">
        <f t="shared" ca="1" si="56"/>
        <v>0.37377635533623566</v>
      </c>
      <c r="F1806" s="3">
        <f t="shared" ca="1" si="56"/>
        <v>0.55692638370036596</v>
      </c>
      <c r="G1806" s="3">
        <f t="shared" ca="1" si="57"/>
        <v>6.4586135810922078</v>
      </c>
      <c r="H1806" s="2"/>
      <c r="I1806" s="2"/>
      <c r="J1806" s="2"/>
      <c r="K1806" s="2"/>
    </row>
    <row r="1807" spans="5:11" x14ac:dyDescent="0.25">
      <c r="E1807" s="3">
        <f t="shared" ca="1" si="56"/>
        <v>6.3028332519437402E-2</v>
      </c>
      <c r="F1807" s="3">
        <f t="shared" ca="1" si="56"/>
        <v>0.61663317650109084</v>
      </c>
      <c r="G1807" s="3">
        <f t="shared" ca="1" si="57"/>
        <v>11.543154674241086</v>
      </c>
      <c r="H1807" s="2"/>
      <c r="I1807" s="2"/>
      <c r="J1807" s="2"/>
      <c r="K1807" s="2"/>
    </row>
    <row r="1808" spans="5:11" x14ac:dyDescent="0.25">
      <c r="E1808" s="3">
        <f t="shared" ca="1" si="56"/>
        <v>1.696782296275412E-2</v>
      </c>
      <c r="F1808" s="3">
        <f t="shared" ca="1" si="56"/>
        <v>0.28954349263178991</v>
      </c>
      <c r="G1808" s="3">
        <f t="shared" ca="1" si="57"/>
        <v>12.956083145628799</v>
      </c>
      <c r="H1808" s="2"/>
      <c r="I1808" s="2"/>
      <c r="J1808" s="2"/>
      <c r="K1808" s="2"/>
    </row>
    <row r="1809" spans="5:11" x14ac:dyDescent="0.25">
      <c r="E1809" s="3">
        <f t="shared" ca="1" si="56"/>
        <v>0.74674567174150031</v>
      </c>
      <c r="F1809" s="3">
        <f t="shared" ca="1" si="56"/>
        <v>0.13401105035374183</v>
      </c>
      <c r="G1809" s="3">
        <f t="shared" ca="1" si="57"/>
        <v>1.5197500870647076</v>
      </c>
      <c r="H1809" s="2"/>
      <c r="I1809" s="2"/>
      <c r="J1809" s="2"/>
      <c r="K1809" s="2"/>
    </row>
    <row r="1810" spans="5:11" x14ac:dyDescent="0.25">
      <c r="E1810" s="3">
        <f t="shared" ca="1" si="56"/>
        <v>0.70903237103305594</v>
      </c>
      <c r="F1810" s="3">
        <f t="shared" ca="1" si="56"/>
        <v>0.86761169478534961</v>
      </c>
      <c r="G1810" s="3">
        <f t="shared" ca="1" si="57"/>
        <v>10.058905569591422</v>
      </c>
      <c r="H1810" s="2"/>
      <c r="I1810" s="2"/>
      <c r="J1810" s="2"/>
      <c r="K1810" s="2"/>
    </row>
    <row r="1811" spans="5:11" x14ac:dyDescent="0.25">
      <c r="E1811" s="3">
        <f t="shared" ca="1" si="56"/>
        <v>1.8643048405984075E-2</v>
      </c>
      <c r="F1811" s="3">
        <f t="shared" ca="1" si="56"/>
        <v>8.8520971173241536E-3</v>
      </c>
      <c r="G1811" s="3">
        <f t="shared" ca="1" si="57"/>
        <v>14.652768353476528</v>
      </c>
      <c r="H1811" s="2"/>
      <c r="I1811" s="2"/>
      <c r="J1811" s="2"/>
      <c r="K1811" s="2"/>
    </row>
    <row r="1812" spans="5:11" x14ac:dyDescent="0.25">
      <c r="E1812" s="3">
        <f t="shared" ca="1" si="56"/>
        <v>0.82388485001266087</v>
      </c>
      <c r="F1812" s="3">
        <f t="shared" ca="1" si="56"/>
        <v>0.93719158957343263</v>
      </c>
      <c r="G1812" s="3">
        <f t="shared" ca="1" si="57"/>
        <v>12.365395161974174</v>
      </c>
      <c r="H1812" s="2"/>
      <c r="I1812" s="2"/>
      <c r="J1812" s="2"/>
      <c r="K1812" s="2"/>
    </row>
    <row r="1813" spans="5:11" x14ac:dyDescent="0.25">
      <c r="E1813" s="3">
        <f t="shared" ca="1" si="56"/>
        <v>0.90198252582236138</v>
      </c>
      <c r="F1813" s="3">
        <f t="shared" ca="1" si="56"/>
        <v>0.21593355345705123</v>
      </c>
      <c r="G1813" s="3">
        <f t="shared" ca="1" si="57"/>
        <v>4.2586588920678636</v>
      </c>
      <c r="H1813" s="2"/>
      <c r="I1813" s="2"/>
      <c r="J1813" s="2"/>
      <c r="K1813" s="2"/>
    </row>
    <row r="1814" spans="5:11" x14ac:dyDescent="0.25">
      <c r="E1814" s="3">
        <f t="shared" ca="1" si="56"/>
        <v>0.6584651931803126</v>
      </c>
      <c r="F1814" s="3">
        <f t="shared" ca="1" si="56"/>
        <v>0.60452299389206976</v>
      </c>
      <c r="G1814" s="3">
        <f t="shared" ca="1" si="57"/>
        <v>5.7987580873880757</v>
      </c>
      <c r="H1814" s="2"/>
      <c r="I1814" s="2"/>
      <c r="J1814" s="2"/>
      <c r="K1814" s="2"/>
    </row>
    <row r="1815" spans="5:11" x14ac:dyDescent="0.25">
      <c r="E1815" s="3">
        <f t="shared" ca="1" si="56"/>
        <v>0.49134995393602421</v>
      </c>
      <c r="F1815" s="3">
        <f t="shared" ca="1" si="56"/>
        <v>0.61016645160536886</v>
      </c>
      <c r="G1815" s="3">
        <f t="shared" ca="1" si="57"/>
        <v>6.3213138950946055</v>
      </c>
      <c r="H1815" s="2"/>
      <c r="I1815" s="2"/>
      <c r="J1815" s="2"/>
      <c r="K1815" s="2"/>
    </row>
    <row r="1816" spans="5:11" x14ac:dyDescent="0.25">
      <c r="E1816" s="3">
        <f t="shared" ca="1" si="56"/>
        <v>0.45145806907834296</v>
      </c>
      <c r="F1816" s="3">
        <f t="shared" ca="1" si="56"/>
        <v>0.48325148437378651</v>
      </c>
      <c r="G1816" s="3">
        <f t="shared" ca="1" si="57"/>
        <v>5.1255895399338076</v>
      </c>
      <c r="H1816" s="2"/>
      <c r="I1816" s="2"/>
      <c r="J1816" s="2"/>
      <c r="K1816" s="2"/>
    </row>
    <row r="1817" spans="5:11" x14ac:dyDescent="0.25">
      <c r="E1817" s="3">
        <f t="shared" ca="1" si="56"/>
        <v>0.36743938360408779</v>
      </c>
      <c r="F1817" s="3">
        <f t="shared" ca="1" si="56"/>
        <v>0.32721155385159628</v>
      </c>
      <c r="G1817" s="3">
        <f t="shared" ca="1" si="57"/>
        <v>4.5226363928910054</v>
      </c>
      <c r="H1817" s="2"/>
      <c r="I1817" s="2"/>
      <c r="J1817" s="2"/>
      <c r="K1817" s="2"/>
    </row>
    <row r="1818" spans="5:11" x14ac:dyDescent="0.25">
      <c r="E1818" s="3">
        <f t="shared" ca="1" si="56"/>
        <v>0.82505939109450877</v>
      </c>
      <c r="F1818" s="3">
        <f t="shared" ca="1" si="56"/>
        <v>0.66576274082507836</v>
      </c>
      <c r="G1818" s="3">
        <f t="shared" ca="1" si="57"/>
        <v>7.0449243845164116</v>
      </c>
      <c r="H1818" s="2"/>
      <c r="I1818" s="2"/>
      <c r="J1818" s="2"/>
      <c r="K1818" s="2"/>
    </row>
    <row r="1819" spans="5:11" x14ac:dyDescent="0.25">
      <c r="E1819" s="3">
        <f t="shared" ca="1" si="56"/>
        <v>0.30960361579346463</v>
      </c>
      <c r="F1819" s="3">
        <f t="shared" ca="1" si="56"/>
        <v>0.32991451438783037</v>
      </c>
      <c r="G1819" s="3">
        <f t="shared" ca="1" si="57"/>
        <v>5.2418815922955257</v>
      </c>
      <c r="H1819" s="2"/>
      <c r="I1819" s="2"/>
      <c r="J1819" s="2"/>
      <c r="K1819" s="2"/>
    </row>
    <row r="1820" spans="5:11" x14ac:dyDescent="0.25">
      <c r="E1820" s="3">
        <f t="shared" ca="1" si="56"/>
        <v>0.4554974122206894</v>
      </c>
      <c r="F1820" s="3">
        <f t="shared" ca="1" si="56"/>
        <v>0.6613251856929675</v>
      </c>
      <c r="G1820" s="3">
        <f t="shared" ca="1" si="57"/>
        <v>7.1234608444269574</v>
      </c>
      <c r="H1820" s="2"/>
      <c r="I1820" s="2"/>
      <c r="J1820" s="2"/>
      <c r="K1820" s="2"/>
    </row>
    <row r="1821" spans="5:11" x14ac:dyDescent="0.25">
      <c r="E1821" s="3">
        <f t="shared" ca="1" si="56"/>
        <v>0.7673180425518753</v>
      </c>
      <c r="F1821" s="3">
        <f t="shared" ca="1" si="56"/>
        <v>0.50891010691441518</v>
      </c>
      <c r="G1821" s="3">
        <f t="shared" ca="1" si="57"/>
        <v>4.7936744949265924</v>
      </c>
      <c r="H1821" s="2"/>
      <c r="I1821" s="2"/>
      <c r="J1821" s="2"/>
      <c r="K1821" s="2"/>
    </row>
    <row r="1822" spans="5:11" x14ac:dyDescent="0.25">
      <c r="E1822" s="3">
        <f t="shared" ca="1" si="56"/>
        <v>0.8119108296370825</v>
      </c>
      <c r="F1822" s="3">
        <f t="shared" ca="1" si="56"/>
        <v>0.49680997039302888</v>
      </c>
      <c r="G1822" s="3">
        <f t="shared" ca="1" si="57"/>
        <v>4.9392968405243369</v>
      </c>
      <c r="H1822" s="2"/>
      <c r="I1822" s="2"/>
      <c r="J1822" s="2"/>
      <c r="K1822" s="2"/>
    </row>
    <row r="1823" spans="5:11" x14ac:dyDescent="0.25">
      <c r="E1823" s="3">
        <f t="shared" ca="1" si="56"/>
        <v>0.23005383976886684</v>
      </c>
      <c r="F1823" s="3">
        <f t="shared" ca="1" si="56"/>
        <v>7.8614840436806666E-2</v>
      </c>
      <c r="G1823" s="3">
        <f t="shared" ca="1" si="57"/>
        <v>6.4792582666031029</v>
      </c>
      <c r="H1823" s="2"/>
      <c r="I1823" s="2"/>
      <c r="J1823" s="2"/>
      <c r="K1823" s="2"/>
    </row>
    <row r="1824" spans="5:11" x14ac:dyDescent="0.25">
      <c r="E1824" s="3">
        <f t="shared" ca="1" si="56"/>
        <v>0.19640115481323273</v>
      </c>
      <c r="F1824" s="3">
        <f t="shared" ca="1" si="56"/>
        <v>1.7179419799684958E-2</v>
      </c>
      <c r="G1824" s="3">
        <f t="shared" ca="1" si="57"/>
        <v>8.9298767354597697</v>
      </c>
      <c r="H1824" s="2"/>
      <c r="I1824" s="2"/>
      <c r="J1824" s="2"/>
      <c r="K1824" s="2"/>
    </row>
    <row r="1825" spans="5:11" x14ac:dyDescent="0.25">
      <c r="E1825" s="3">
        <f t="shared" ca="1" si="56"/>
        <v>0.84773775406444984</v>
      </c>
      <c r="F1825" s="3">
        <f t="shared" ca="1" si="56"/>
        <v>0.98694086170611328</v>
      </c>
      <c r="G1825" s="3">
        <f t="shared" ca="1" si="57"/>
        <v>15.858436988676123</v>
      </c>
      <c r="H1825" s="2"/>
      <c r="I1825" s="2"/>
      <c r="J1825" s="2"/>
      <c r="K1825" s="2"/>
    </row>
    <row r="1826" spans="5:11" x14ac:dyDescent="0.25">
      <c r="E1826" s="3">
        <f t="shared" ca="1" si="56"/>
        <v>0.30595092354626152</v>
      </c>
      <c r="F1826" s="3">
        <f t="shared" ca="1" si="56"/>
        <v>1.8238947231661418E-2</v>
      </c>
      <c r="G1826" s="3">
        <f t="shared" ca="1" si="57"/>
        <v>7.6599810890292828</v>
      </c>
      <c r="H1826" s="2"/>
      <c r="I1826" s="2"/>
      <c r="J1826" s="2"/>
      <c r="K1826" s="2"/>
    </row>
    <row r="1827" spans="5:11" x14ac:dyDescent="0.25">
      <c r="E1827" s="3">
        <f t="shared" ca="1" si="56"/>
        <v>0.99447857533050943</v>
      </c>
      <c r="F1827" s="3">
        <f t="shared" ca="1" si="56"/>
        <v>0.49338291486689145</v>
      </c>
      <c r="G1827" s="3">
        <f t="shared" ca="1" si="57"/>
        <v>11.348580367198956</v>
      </c>
      <c r="H1827" s="2"/>
      <c r="I1827" s="2"/>
      <c r="J1827" s="2"/>
      <c r="K1827" s="2"/>
    </row>
    <row r="1828" spans="5:11" x14ac:dyDescent="0.25">
      <c r="E1828" s="3">
        <f t="shared" ca="1" si="56"/>
        <v>0.8771861775642974</v>
      </c>
      <c r="F1828" s="3">
        <f t="shared" ca="1" si="56"/>
        <v>0.18254236925051415</v>
      </c>
      <c r="G1828" s="3">
        <f t="shared" ca="1" si="57"/>
        <v>3.5652889682646829</v>
      </c>
      <c r="H1828" s="2"/>
      <c r="I1828" s="2"/>
      <c r="J1828" s="2"/>
      <c r="K1828" s="2"/>
    </row>
    <row r="1829" spans="5:11" x14ac:dyDescent="0.25">
      <c r="E1829" s="3">
        <f t="shared" ca="1" si="56"/>
        <v>0.94069927626011041</v>
      </c>
      <c r="F1829" s="3">
        <f t="shared" ca="1" si="56"/>
        <v>0.23241637742967491</v>
      </c>
      <c r="G1829" s="3">
        <f t="shared" ca="1" si="57"/>
        <v>5.6224305028166146</v>
      </c>
      <c r="H1829" s="2"/>
      <c r="I1829" s="2"/>
      <c r="J1829" s="2"/>
      <c r="K1829" s="2"/>
    </row>
    <row r="1830" spans="5:11" x14ac:dyDescent="0.25">
      <c r="E1830" s="3">
        <f t="shared" ca="1" si="56"/>
        <v>0.24007531099466328</v>
      </c>
      <c r="F1830" s="3">
        <f t="shared" ca="1" si="56"/>
        <v>0.14798830551326081</v>
      </c>
      <c r="G1830" s="3">
        <f t="shared" ca="1" si="57"/>
        <v>5.819917248263633</v>
      </c>
      <c r="H1830" s="2"/>
      <c r="I1830" s="2"/>
      <c r="J1830" s="2"/>
      <c r="K1830" s="2"/>
    </row>
    <row r="1831" spans="5:11" x14ac:dyDescent="0.25">
      <c r="E1831" s="3">
        <f t="shared" ca="1" si="56"/>
        <v>0.44998760679706762</v>
      </c>
      <c r="F1831" s="3">
        <f t="shared" ca="1" si="56"/>
        <v>0.64312789907110879</v>
      </c>
      <c r="G1831" s="3">
        <f t="shared" ca="1" si="57"/>
        <v>6.9262130922899852</v>
      </c>
      <c r="H1831" s="2"/>
      <c r="I1831" s="2"/>
      <c r="J1831" s="2"/>
      <c r="K1831" s="2"/>
    </row>
    <row r="1832" spans="5:11" x14ac:dyDescent="0.25">
      <c r="E1832" s="3">
        <f t="shared" ca="1" si="56"/>
        <v>0.38815458247189161</v>
      </c>
      <c r="F1832" s="3">
        <f t="shared" ca="1" si="56"/>
        <v>0.38724242995060232</v>
      </c>
      <c r="G1832" s="3">
        <f t="shared" ca="1" si="57"/>
        <v>4.7569974247105149</v>
      </c>
      <c r="H1832" s="2"/>
      <c r="I1832" s="2"/>
      <c r="J1832" s="2"/>
      <c r="K1832" s="2"/>
    </row>
    <row r="1833" spans="5:11" x14ac:dyDescent="0.25">
      <c r="E1833" s="3">
        <f t="shared" ca="1" si="56"/>
        <v>0.14706514288915051</v>
      </c>
      <c r="F1833" s="3">
        <f t="shared" ca="1" si="56"/>
        <v>0.93235639259617387</v>
      </c>
      <c r="G1833" s="3">
        <f t="shared" ca="1" si="57"/>
        <v>14.090804054028531</v>
      </c>
      <c r="H1833" s="2"/>
      <c r="I1833" s="2"/>
      <c r="J1833" s="2"/>
      <c r="K1833" s="2"/>
    </row>
    <row r="1834" spans="5:11" x14ac:dyDescent="0.25">
      <c r="E1834" s="3">
        <f t="shared" ca="1" si="56"/>
        <v>0.10960930767682109</v>
      </c>
      <c r="F1834" s="3">
        <f t="shared" ca="1" si="56"/>
        <v>0.95437684793821909</v>
      </c>
      <c r="G1834" s="3">
        <f t="shared" ca="1" si="57"/>
        <v>15.396761381075178</v>
      </c>
      <c r="H1834" s="2"/>
      <c r="I1834" s="2"/>
      <c r="J1834" s="2"/>
      <c r="K1834" s="2"/>
    </row>
    <row r="1835" spans="5:11" x14ac:dyDescent="0.25">
      <c r="E1835" s="3">
        <f t="shared" ca="1" si="56"/>
        <v>1.6846041788161625E-2</v>
      </c>
      <c r="F1835" s="3">
        <f t="shared" ca="1" si="56"/>
        <v>0.64537103944111174</v>
      </c>
      <c r="G1835" s="3">
        <f t="shared" ca="1" si="57"/>
        <v>14.334504923723346</v>
      </c>
      <c r="H1835" s="2"/>
      <c r="I1835" s="2"/>
      <c r="J1835" s="2"/>
      <c r="K1835" s="2"/>
    </row>
    <row r="1836" spans="5:11" x14ac:dyDescent="0.25">
      <c r="E1836" s="3">
        <f t="shared" ca="1" si="56"/>
        <v>0.23071067106289644</v>
      </c>
      <c r="F1836" s="3">
        <f t="shared" ca="1" si="56"/>
        <v>0.40565944656268205</v>
      </c>
      <c r="G1836" s="3">
        <f t="shared" ca="1" si="57"/>
        <v>6.7687068051092556</v>
      </c>
      <c r="H1836" s="2"/>
      <c r="I1836" s="2"/>
      <c r="J1836" s="2"/>
      <c r="K1836" s="2"/>
    </row>
    <row r="1837" spans="5:11" x14ac:dyDescent="0.25">
      <c r="E1837" s="3">
        <f t="shared" ca="1" si="56"/>
        <v>0.38262640259904368</v>
      </c>
      <c r="F1837" s="3">
        <f t="shared" ca="1" si="56"/>
        <v>0.99838877763171685</v>
      </c>
      <c r="G1837" s="3">
        <f t="shared" ca="1" si="57"/>
        <v>19.558011048340564</v>
      </c>
      <c r="H1837" s="2"/>
      <c r="I1837" s="2"/>
      <c r="J1837" s="2"/>
      <c r="K1837" s="2"/>
    </row>
    <row r="1838" spans="5:11" x14ac:dyDescent="0.25">
      <c r="E1838" s="3">
        <f t="shared" ca="1" si="56"/>
        <v>0.64700905703247791</v>
      </c>
      <c r="F1838" s="3">
        <f t="shared" ca="1" si="56"/>
        <v>0.7872065336225329</v>
      </c>
      <c r="G1838" s="3">
        <f t="shared" ca="1" si="57"/>
        <v>8.461225246860975</v>
      </c>
      <c r="H1838" s="2"/>
      <c r="I1838" s="2"/>
      <c r="J1838" s="2"/>
      <c r="K1838" s="2"/>
    </row>
    <row r="1839" spans="5:11" x14ac:dyDescent="0.25">
      <c r="E1839" s="3">
        <f t="shared" ca="1" si="56"/>
        <v>7.8064950401358524E-2</v>
      </c>
      <c r="F1839" s="3">
        <f t="shared" ca="1" si="56"/>
        <v>0.35482149308902677</v>
      </c>
      <c r="G1839" s="3">
        <f t="shared" ca="1" si="57"/>
        <v>9.6890907613051276</v>
      </c>
      <c r="H1839" s="2"/>
      <c r="I1839" s="2"/>
      <c r="J1839" s="2"/>
      <c r="K1839" s="2"/>
    </row>
    <row r="1840" spans="5:11" x14ac:dyDescent="0.25">
      <c r="E1840" s="3">
        <f t="shared" ca="1" si="56"/>
        <v>0.67795173175512935</v>
      </c>
      <c r="F1840" s="3">
        <f t="shared" ca="1" si="56"/>
        <v>0.81903494870679983</v>
      </c>
      <c r="G1840" s="3">
        <f t="shared" ca="1" si="57"/>
        <v>9.0287183630594861</v>
      </c>
      <c r="H1840" s="2"/>
      <c r="I1840" s="2"/>
      <c r="J1840" s="2"/>
      <c r="K1840" s="2"/>
    </row>
    <row r="1841" spans="5:11" x14ac:dyDescent="0.25">
      <c r="E1841" s="3">
        <f t="shared" ca="1" si="56"/>
        <v>0.4637944442670161</v>
      </c>
      <c r="F1841" s="3">
        <f t="shared" ca="1" si="56"/>
        <v>9.1603944114652447E-2</v>
      </c>
      <c r="G1841" s="3">
        <f t="shared" ca="1" si="57"/>
        <v>3.4691191079868475</v>
      </c>
      <c r="H1841" s="2"/>
      <c r="I1841" s="2"/>
      <c r="J1841" s="2"/>
      <c r="K1841" s="2"/>
    </row>
    <row r="1842" spans="5:11" x14ac:dyDescent="0.25">
      <c r="E1842" s="3">
        <f t="shared" ca="1" si="56"/>
        <v>0.71372401616963432</v>
      </c>
      <c r="F1842" s="3">
        <f t="shared" ca="1" si="56"/>
        <v>0.88573486237233734</v>
      </c>
      <c r="G1842" s="3">
        <f t="shared" ca="1" si="57"/>
        <v>10.506833230359035</v>
      </c>
      <c r="H1842" s="2"/>
      <c r="I1842" s="2"/>
      <c r="J1842" s="2"/>
      <c r="K1842" s="2"/>
    </row>
    <row r="1843" spans="5:11" x14ac:dyDescent="0.25">
      <c r="E1843" s="3">
        <f t="shared" ca="1" si="56"/>
        <v>0.79127711896993358</v>
      </c>
      <c r="F1843" s="3">
        <f t="shared" ca="1" si="56"/>
        <v>0.85444054437448058</v>
      </c>
      <c r="G1843" s="3">
        <f t="shared" ca="1" si="57"/>
        <v>9.9156634629933738</v>
      </c>
      <c r="H1843" s="2"/>
      <c r="I1843" s="2"/>
      <c r="J1843" s="2"/>
      <c r="K1843" s="2"/>
    </row>
    <row r="1844" spans="5:11" x14ac:dyDescent="0.25">
      <c r="E1844" s="3">
        <f t="shared" ca="1" si="56"/>
        <v>0.97840400194392951</v>
      </c>
      <c r="F1844" s="3">
        <f t="shared" ca="1" si="56"/>
        <v>0.65906544073830498</v>
      </c>
      <c r="G1844" s="3">
        <f t="shared" ca="1" si="57"/>
        <v>10.218794442210926</v>
      </c>
      <c r="H1844" s="2"/>
      <c r="I1844" s="2"/>
      <c r="J1844" s="2"/>
      <c r="K1844" s="2"/>
    </row>
    <row r="1845" spans="5:11" x14ac:dyDescent="0.25">
      <c r="E1845" s="3">
        <f t="shared" ca="1" si="56"/>
        <v>0.90257305137870514</v>
      </c>
      <c r="F1845" s="3">
        <f t="shared" ca="1" si="56"/>
        <v>0.39049080074858389</v>
      </c>
      <c r="G1845" s="3">
        <f t="shared" ca="1" si="57"/>
        <v>5.2416133935096614</v>
      </c>
      <c r="H1845" s="2"/>
      <c r="I1845" s="2"/>
      <c r="J1845" s="2"/>
      <c r="K1845" s="2"/>
    </row>
    <row r="1846" spans="5:11" x14ac:dyDescent="0.25">
      <c r="E1846" s="3">
        <f t="shared" ca="1" si="56"/>
        <v>0.80224190343788948</v>
      </c>
      <c r="F1846" s="3">
        <f t="shared" ca="1" si="56"/>
        <v>0.77962901106277382</v>
      </c>
      <c r="G1846" s="3">
        <f t="shared" ca="1" si="57"/>
        <v>8.5634188117615366</v>
      </c>
      <c r="H1846" s="2"/>
      <c r="I1846" s="2"/>
      <c r="J1846" s="2"/>
      <c r="K1846" s="2"/>
    </row>
    <row r="1847" spans="5:11" x14ac:dyDescent="0.25">
      <c r="E1847" s="3">
        <f t="shared" ca="1" si="56"/>
        <v>0.31063954615701483</v>
      </c>
      <c r="F1847" s="3">
        <f t="shared" ca="1" si="56"/>
        <v>0.16769596416552734</v>
      </c>
      <c r="G1847" s="3">
        <f t="shared" ca="1" si="57"/>
        <v>4.7232915366424706</v>
      </c>
      <c r="H1847" s="2"/>
      <c r="I1847" s="2"/>
      <c r="J1847" s="2"/>
      <c r="K1847" s="2"/>
    </row>
    <row r="1848" spans="5:11" x14ac:dyDescent="0.25">
      <c r="E1848" s="3">
        <f t="shared" ca="1" si="56"/>
        <v>0.93319705772879802</v>
      </c>
      <c r="F1848" s="3">
        <f t="shared" ca="1" si="56"/>
        <v>0.98905029143730239</v>
      </c>
      <c r="G1848" s="3">
        <f t="shared" ca="1" si="57"/>
        <v>16.776382692955718</v>
      </c>
      <c r="H1848" s="2"/>
      <c r="I1848" s="2"/>
      <c r="J1848" s="2"/>
      <c r="K1848" s="2"/>
    </row>
    <row r="1849" spans="5:11" x14ac:dyDescent="0.25">
      <c r="E1849" s="3">
        <f t="shared" ca="1" si="56"/>
        <v>0.25970282867340067</v>
      </c>
      <c r="F1849" s="3">
        <f t="shared" ca="1" si="56"/>
        <v>0.40061973977665477</v>
      </c>
      <c r="G1849" s="3">
        <f t="shared" ca="1" si="57"/>
        <v>6.3357835298837859</v>
      </c>
      <c r="H1849" s="2"/>
      <c r="I1849" s="2"/>
      <c r="J1849" s="2"/>
      <c r="K1849" s="2"/>
    </row>
    <row r="1850" spans="5:11" x14ac:dyDescent="0.25">
      <c r="E1850" s="3">
        <f t="shared" ca="1" si="56"/>
        <v>0.11371880843872528</v>
      </c>
      <c r="F1850" s="3">
        <f t="shared" ca="1" si="56"/>
        <v>0.6702744318129481</v>
      </c>
      <c r="G1850" s="3">
        <f t="shared" ca="1" si="57"/>
        <v>10.630803849522593</v>
      </c>
      <c r="H1850" s="2"/>
      <c r="I1850" s="2"/>
      <c r="J1850" s="2"/>
      <c r="K1850" s="2"/>
    </row>
    <row r="1851" spans="5:11" x14ac:dyDescent="0.25">
      <c r="E1851" s="3">
        <f t="shared" ca="1" si="56"/>
        <v>0.10537639203316529</v>
      </c>
      <c r="F1851" s="3">
        <f t="shared" ca="1" si="56"/>
        <v>0.79608354017460992</v>
      </c>
      <c r="G1851" s="3">
        <f t="shared" ca="1" si="57"/>
        <v>12.096310610936685</v>
      </c>
      <c r="H1851" s="2"/>
      <c r="I1851" s="2"/>
      <c r="J1851" s="2"/>
      <c r="K1851" s="2"/>
    </row>
    <row r="1852" spans="5:11" x14ac:dyDescent="0.25">
      <c r="E1852" s="3">
        <f t="shared" ca="1" si="56"/>
        <v>2.2332352748701489E-2</v>
      </c>
      <c r="F1852" s="3">
        <f t="shared" ca="1" si="56"/>
        <v>0.19616933517142954</v>
      </c>
      <c r="G1852" s="3">
        <f t="shared" ca="1" si="57"/>
        <v>12.280878356911641</v>
      </c>
      <c r="H1852" s="2"/>
      <c r="I1852" s="2"/>
      <c r="J1852" s="2"/>
      <c r="K1852" s="2"/>
    </row>
    <row r="1853" spans="5:11" x14ac:dyDescent="0.25">
      <c r="E1853" s="3">
        <f t="shared" ca="1" si="56"/>
        <v>0.57920060866459289</v>
      </c>
      <c r="F1853" s="3">
        <f t="shared" ca="1" si="56"/>
        <v>0.99471507697147199</v>
      </c>
      <c r="G1853" s="3">
        <f t="shared" ca="1" si="57"/>
        <v>17.297603435905021</v>
      </c>
      <c r="H1853" s="2"/>
      <c r="I1853" s="2"/>
      <c r="J1853" s="2"/>
      <c r="K1853" s="2"/>
    </row>
    <row r="1854" spans="5:11" x14ac:dyDescent="0.25">
      <c r="E1854" s="3">
        <f t="shared" ca="1" si="56"/>
        <v>0.91443577517160535</v>
      </c>
      <c r="F1854" s="3">
        <f t="shared" ca="1" si="56"/>
        <v>0.88751788688803446</v>
      </c>
      <c r="G1854" s="3">
        <f t="shared" ca="1" si="57"/>
        <v>11.498484065080401</v>
      </c>
      <c r="H1854" s="2"/>
      <c r="I1854" s="2"/>
      <c r="J1854" s="2"/>
      <c r="K1854" s="2"/>
    </row>
    <row r="1855" spans="5:11" x14ac:dyDescent="0.25">
      <c r="E1855" s="3">
        <f t="shared" ca="1" si="56"/>
        <v>0.63618418224098272</v>
      </c>
      <c r="F1855" s="3">
        <f t="shared" ca="1" si="56"/>
        <v>0.92870588031004619</v>
      </c>
      <c r="G1855" s="3">
        <f t="shared" ca="1" si="57"/>
        <v>11.8116299071665</v>
      </c>
      <c r="H1855" s="2"/>
      <c r="I1855" s="2"/>
      <c r="J1855" s="2"/>
      <c r="K1855" s="2"/>
    </row>
    <row r="1856" spans="5:11" x14ac:dyDescent="0.25">
      <c r="E1856" s="3">
        <f t="shared" ca="1" si="56"/>
        <v>4.3634304607815144E-2</v>
      </c>
      <c r="F1856" s="3">
        <f t="shared" ca="1" si="56"/>
        <v>0.24059820090442119</v>
      </c>
      <c r="G1856" s="3">
        <f t="shared" ca="1" si="57"/>
        <v>10.831865602256688</v>
      </c>
      <c r="H1856" s="2"/>
      <c r="I1856" s="2"/>
      <c r="J1856" s="2"/>
      <c r="K1856" s="2"/>
    </row>
    <row r="1857" spans="5:11" x14ac:dyDescent="0.25">
      <c r="E1857" s="3">
        <f t="shared" ca="1" si="56"/>
        <v>0.26108125257946724</v>
      </c>
      <c r="F1857" s="3">
        <f t="shared" ca="1" si="56"/>
        <v>0.49567028649301559</v>
      </c>
      <c r="G1857" s="3">
        <f t="shared" ca="1" si="57"/>
        <v>7.0069258027213301</v>
      </c>
      <c r="H1857" s="2"/>
      <c r="I1857" s="2"/>
      <c r="J1857" s="2"/>
      <c r="K1857" s="2"/>
    </row>
    <row r="1858" spans="5:11" x14ac:dyDescent="0.25">
      <c r="E1858" s="3">
        <f t="shared" ca="1" si="56"/>
        <v>0.65342452247095573</v>
      </c>
      <c r="F1858" s="3">
        <f t="shared" ca="1" si="56"/>
        <v>0.53885765007978437</v>
      </c>
      <c r="G1858" s="3">
        <f t="shared" ca="1" si="57"/>
        <v>4.9649732751408857</v>
      </c>
      <c r="H1858" s="2"/>
      <c r="I1858" s="2"/>
      <c r="J1858" s="2"/>
      <c r="K1858" s="2"/>
    </row>
    <row r="1859" spans="5:11" x14ac:dyDescent="0.25">
      <c r="E1859" s="3">
        <f t="shared" ca="1" si="56"/>
        <v>0.53416796171812586</v>
      </c>
      <c r="F1859" s="3">
        <f t="shared" ca="1" si="56"/>
        <v>0.45604375662089691</v>
      </c>
      <c r="G1859" s="3">
        <f t="shared" ca="1" si="57"/>
        <v>4.3165147468486023</v>
      </c>
      <c r="H1859" s="2"/>
      <c r="I1859" s="2"/>
      <c r="J1859" s="2"/>
      <c r="K1859" s="2"/>
    </row>
    <row r="1860" spans="5:11" x14ac:dyDescent="0.25">
      <c r="E1860" s="3">
        <f t="shared" ref="E1860:F1923" ca="1" si="58">RAND()</f>
        <v>7.1346828245418603E-2</v>
      </c>
      <c r="F1860" s="3">
        <f t="shared" ca="1" si="58"/>
        <v>0.86312645954513667</v>
      </c>
      <c r="G1860" s="3">
        <f t="shared" ref="G1860:G1923" ca="1" si="59">SQRT(_xlfn.NORM.INV(E1860,$C$3*COS($C$6),$C$4)^2+_xlfn.NORM.INV(F1860,$C$3*SIN($C$6),$C$4)^2)</f>
        <v>13.799507731127532</v>
      </c>
      <c r="H1860" s="2"/>
      <c r="I1860" s="2"/>
      <c r="J1860" s="2"/>
      <c r="K1860" s="2"/>
    </row>
    <row r="1861" spans="5:11" x14ac:dyDescent="0.25">
      <c r="E1861" s="3">
        <f t="shared" ca="1" si="58"/>
        <v>0.67507089041240442</v>
      </c>
      <c r="F1861" s="3">
        <f t="shared" ca="1" si="58"/>
        <v>0.32370523506106452</v>
      </c>
      <c r="G1861" s="3">
        <f t="shared" ca="1" si="59"/>
        <v>2.1833688408099041</v>
      </c>
      <c r="H1861" s="2"/>
      <c r="I1861" s="2"/>
      <c r="J1861" s="2"/>
      <c r="K1861" s="2"/>
    </row>
    <row r="1862" spans="5:11" x14ac:dyDescent="0.25">
      <c r="E1862" s="3">
        <f t="shared" ca="1" si="58"/>
        <v>0.32132344994579598</v>
      </c>
      <c r="F1862" s="3">
        <f t="shared" ca="1" si="58"/>
        <v>0.63469216314032217</v>
      </c>
      <c r="G1862" s="3">
        <f t="shared" ca="1" si="59"/>
        <v>7.6897262044011923</v>
      </c>
      <c r="H1862" s="2"/>
      <c r="I1862" s="2"/>
      <c r="J1862" s="2"/>
      <c r="K1862" s="2"/>
    </row>
    <row r="1863" spans="5:11" x14ac:dyDescent="0.25">
      <c r="E1863" s="3">
        <f t="shared" ca="1" si="58"/>
        <v>0.57639657208412998</v>
      </c>
      <c r="F1863" s="3">
        <f t="shared" ca="1" si="58"/>
        <v>0.85065743438411678</v>
      </c>
      <c r="G1863" s="3">
        <f t="shared" ca="1" si="59"/>
        <v>9.7502495416504207</v>
      </c>
      <c r="H1863" s="2"/>
      <c r="I1863" s="2"/>
      <c r="J1863" s="2"/>
      <c r="K1863" s="2"/>
    </row>
    <row r="1864" spans="5:11" x14ac:dyDescent="0.25">
      <c r="E1864" s="3">
        <f t="shared" ca="1" si="58"/>
        <v>0.24330761131981671</v>
      </c>
      <c r="F1864" s="3">
        <f t="shared" ca="1" si="58"/>
        <v>3.6402414061446065E-2</v>
      </c>
      <c r="G1864" s="3">
        <f t="shared" ca="1" si="59"/>
        <v>7.2772310112183654</v>
      </c>
      <c r="H1864" s="2"/>
      <c r="I1864" s="2"/>
      <c r="J1864" s="2"/>
      <c r="K1864" s="2"/>
    </row>
    <row r="1865" spans="5:11" x14ac:dyDescent="0.25">
      <c r="E1865" s="3">
        <f t="shared" ca="1" si="58"/>
        <v>0.98441055016090218</v>
      </c>
      <c r="F1865" s="3">
        <f t="shared" ca="1" si="58"/>
        <v>0.10310832680575732</v>
      </c>
      <c r="G1865" s="3">
        <f t="shared" ca="1" si="59"/>
        <v>8.7318146076494436</v>
      </c>
      <c r="H1865" s="2"/>
      <c r="I1865" s="2"/>
      <c r="J1865" s="2"/>
      <c r="K1865" s="2"/>
    </row>
    <row r="1866" spans="5:11" x14ac:dyDescent="0.25">
      <c r="E1866" s="3">
        <f t="shared" ca="1" si="58"/>
        <v>0.23045672655084393</v>
      </c>
      <c r="F1866" s="3">
        <f t="shared" ca="1" si="58"/>
        <v>0.82642894331690919</v>
      </c>
      <c r="G1866" s="3">
        <f t="shared" ca="1" si="59"/>
        <v>10.91936032925045</v>
      </c>
      <c r="H1866" s="2"/>
      <c r="I1866" s="2"/>
      <c r="J1866" s="2"/>
      <c r="K1866" s="2"/>
    </row>
    <row r="1867" spans="5:11" x14ac:dyDescent="0.25">
      <c r="E1867" s="3">
        <f t="shared" ca="1" si="58"/>
        <v>7.3396117497457447E-2</v>
      </c>
      <c r="F1867" s="3">
        <f t="shared" ca="1" si="58"/>
        <v>0.31647974051275596</v>
      </c>
      <c r="G1867" s="3">
        <f t="shared" ca="1" si="59"/>
        <v>9.7207596377121881</v>
      </c>
      <c r="H1867" s="2"/>
      <c r="I1867" s="2"/>
      <c r="J1867" s="2"/>
      <c r="K1867" s="2"/>
    </row>
    <row r="1868" spans="5:11" x14ac:dyDescent="0.25">
      <c r="E1868" s="3">
        <f t="shared" ca="1" si="58"/>
        <v>0.95813711687626701</v>
      </c>
      <c r="F1868" s="3">
        <f t="shared" ca="1" si="58"/>
        <v>0.8125943525740098</v>
      </c>
      <c r="G1868" s="3">
        <f t="shared" ca="1" si="59"/>
        <v>10.972335797343634</v>
      </c>
      <c r="H1868" s="2"/>
      <c r="I1868" s="2"/>
      <c r="J1868" s="2"/>
      <c r="K1868" s="2"/>
    </row>
    <row r="1869" spans="5:11" x14ac:dyDescent="0.25">
      <c r="E1869" s="3">
        <f t="shared" ca="1" si="58"/>
        <v>0.92802601551591424</v>
      </c>
      <c r="F1869" s="3">
        <f t="shared" ca="1" si="58"/>
        <v>0.27849735166241696</v>
      </c>
      <c r="G1869" s="3">
        <f t="shared" ca="1" si="59"/>
        <v>5.292858508757134</v>
      </c>
      <c r="H1869" s="2"/>
      <c r="I1869" s="2"/>
      <c r="J1869" s="2"/>
      <c r="K1869" s="2"/>
    </row>
    <row r="1870" spans="5:11" x14ac:dyDescent="0.25">
      <c r="E1870" s="3">
        <f t="shared" ca="1" si="58"/>
        <v>0.84108538108283171</v>
      </c>
      <c r="F1870" s="3">
        <f t="shared" ca="1" si="58"/>
        <v>0.58155756516860191</v>
      </c>
      <c r="G1870" s="3">
        <f t="shared" ca="1" si="59"/>
        <v>6.1505474603958694</v>
      </c>
      <c r="H1870" s="2"/>
      <c r="I1870" s="2"/>
      <c r="J1870" s="2"/>
      <c r="K1870" s="2"/>
    </row>
    <row r="1871" spans="5:11" x14ac:dyDescent="0.25">
      <c r="E1871" s="3">
        <f t="shared" ca="1" si="58"/>
        <v>0.56483359783138709</v>
      </c>
      <c r="F1871" s="3">
        <f t="shared" ca="1" si="58"/>
        <v>0.73324586882160581</v>
      </c>
      <c r="G1871" s="3">
        <f t="shared" ca="1" si="59"/>
        <v>7.7158581861325208</v>
      </c>
      <c r="H1871" s="2"/>
      <c r="I1871" s="2"/>
      <c r="J1871" s="2"/>
      <c r="K1871" s="2"/>
    </row>
    <row r="1872" spans="5:11" x14ac:dyDescent="0.25">
      <c r="E1872" s="3">
        <f t="shared" ca="1" si="58"/>
        <v>0.57049645672692428</v>
      </c>
      <c r="F1872" s="3">
        <f t="shared" ca="1" si="58"/>
        <v>0.77565232938350159</v>
      </c>
      <c r="G1872" s="3">
        <f t="shared" ca="1" si="59"/>
        <v>8.3679149363172094</v>
      </c>
      <c r="H1872" s="2"/>
      <c r="I1872" s="2"/>
      <c r="J1872" s="2"/>
      <c r="K1872" s="2"/>
    </row>
    <row r="1873" spans="5:11" x14ac:dyDescent="0.25">
      <c r="E1873" s="3">
        <f t="shared" ca="1" si="58"/>
        <v>0.12561716397806888</v>
      </c>
      <c r="F1873" s="3">
        <f t="shared" ca="1" si="58"/>
        <v>0.85905456711147277</v>
      </c>
      <c r="G1873" s="3">
        <f t="shared" ca="1" si="59"/>
        <v>12.675374350723544</v>
      </c>
      <c r="H1873" s="2"/>
      <c r="I1873" s="2"/>
      <c r="J1873" s="2"/>
      <c r="K1873" s="2"/>
    </row>
    <row r="1874" spans="5:11" x14ac:dyDescent="0.25">
      <c r="E1874" s="3">
        <f t="shared" ca="1" si="58"/>
        <v>0.13307534477582739</v>
      </c>
      <c r="F1874" s="3">
        <f t="shared" ca="1" si="58"/>
        <v>0.75947735346672474</v>
      </c>
      <c r="G1874" s="3">
        <f t="shared" ca="1" si="59"/>
        <v>11.168394478244888</v>
      </c>
      <c r="H1874" s="2"/>
      <c r="I1874" s="2"/>
      <c r="J1874" s="2"/>
      <c r="K1874" s="2"/>
    </row>
    <row r="1875" spans="5:11" x14ac:dyDescent="0.25">
      <c r="E1875" s="3">
        <f t="shared" ca="1" si="58"/>
        <v>0.12263927699678612</v>
      </c>
      <c r="F1875" s="3">
        <f t="shared" ca="1" si="58"/>
        <v>0.85827967119724058</v>
      </c>
      <c r="G1875" s="3">
        <f t="shared" ca="1" si="59"/>
        <v>12.707857085236981</v>
      </c>
      <c r="H1875" s="2"/>
      <c r="I1875" s="2"/>
      <c r="J1875" s="2"/>
      <c r="K1875" s="2"/>
    </row>
    <row r="1876" spans="5:11" x14ac:dyDescent="0.25">
      <c r="E1876" s="3">
        <f t="shared" ca="1" si="58"/>
        <v>0.44453863032837393</v>
      </c>
      <c r="F1876" s="3">
        <f t="shared" ca="1" si="58"/>
        <v>0.594160764941155</v>
      </c>
      <c r="G1876" s="3">
        <f t="shared" ca="1" si="59"/>
        <v>6.3781222274585767</v>
      </c>
      <c r="H1876" s="2"/>
      <c r="I1876" s="2"/>
      <c r="J1876" s="2"/>
      <c r="K1876" s="2"/>
    </row>
    <row r="1877" spans="5:11" x14ac:dyDescent="0.25">
      <c r="E1877" s="3">
        <f t="shared" ca="1" si="58"/>
        <v>0.10595363793236789</v>
      </c>
      <c r="F1877" s="3">
        <f t="shared" ca="1" si="58"/>
        <v>0.11961222844179065</v>
      </c>
      <c r="G1877" s="3">
        <f t="shared" ca="1" si="59"/>
        <v>8.5992186714265877</v>
      </c>
      <c r="H1877" s="2"/>
      <c r="I1877" s="2"/>
      <c r="J1877" s="2"/>
      <c r="K1877" s="2"/>
    </row>
    <row r="1878" spans="5:11" x14ac:dyDescent="0.25">
      <c r="E1878" s="3">
        <f t="shared" ca="1" si="58"/>
        <v>0.23115655985185335</v>
      </c>
      <c r="F1878" s="3">
        <f t="shared" ca="1" si="58"/>
        <v>0.43564488027628379</v>
      </c>
      <c r="G1878" s="3">
        <f t="shared" ca="1" si="59"/>
        <v>6.9562109854004737</v>
      </c>
      <c r="H1878" s="2"/>
      <c r="I1878" s="2"/>
      <c r="J1878" s="2"/>
      <c r="K1878" s="2"/>
    </row>
    <row r="1879" spans="5:11" x14ac:dyDescent="0.25">
      <c r="E1879" s="3">
        <f t="shared" ca="1" si="58"/>
        <v>0.37535692680514166</v>
      </c>
      <c r="F1879" s="3">
        <f t="shared" ca="1" si="58"/>
        <v>7.5298816222168163E-2</v>
      </c>
      <c r="G1879" s="3">
        <f t="shared" ca="1" si="59"/>
        <v>4.6949959756458899</v>
      </c>
      <c r="H1879" s="2"/>
      <c r="I1879" s="2"/>
      <c r="J1879" s="2"/>
      <c r="K1879" s="2"/>
    </row>
    <row r="1880" spans="5:11" x14ac:dyDescent="0.25">
      <c r="E1880" s="3">
        <f t="shared" ca="1" si="58"/>
        <v>0.24110700489593295</v>
      </c>
      <c r="F1880" s="3">
        <f t="shared" ca="1" si="58"/>
        <v>0.34299160167974518</v>
      </c>
      <c r="G1880" s="3">
        <f t="shared" ca="1" si="59"/>
        <v>6.2533528891883758</v>
      </c>
      <c r="H1880" s="2"/>
      <c r="I1880" s="2"/>
      <c r="J1880" s="2"/>
      <c r="K1880" s="2"/>
    </row>
    <row r="1881" spans="5:11" x14ac:dyDescent="0.25">
      <c r="E1881" s="3">
        <f t="shared" ca="1" si="58"/>
        <v>0.83194895834905114</v>
      </c>
      <c r="F1881" s="3">
        <f t="shared" ca="1" si="58"/>
        <v>0.93487208500094399</v>
      </c>
      <c r="G1881" s="3">
        <f t="shared" ca="1" si="59"/>
        <v>12.306601421511147</v>
      </c>
      <c r="H1881" s="2"/>
      <c r="I1881" s="2"/>
      <c r="J1881" s="2"/>
      <c r="K1881" s="2"/>
    </row>
    <row r="1882" spans="5:11" x14ac:dyDescent="0.25">
      <c r="E1882" s="3">
        <f t="shared" ca="1" si="58"/>
        <v>0.81546220117378887</v>
      </c>
      <c r="F1882" s="3">
        <f t="shared" ca="1" si="58"/>
        <v>0.95359304369396825</v>
      </c>
      <c r="G1882" s="3">
        <f t="shared" ca="1" si="59"/>
        <v>13.068928251240751</v>
      </c>
      <c r="H1882" s="2"/>
      <c r="I1882" s="2"/>
      <c r="J1882" s="2"/>
      <c r="K1882" s="2"/>
    </row>
    <row r="1883" spans="5:11" x14ac:dyDescent="0.25">
      <c r="E1883" s="3">
        <f t="shared" ca="1" si="58"/>
        <v>0.80811330727102726</v>
      </c>
      <c r="F1883" s="3">
        <f t="shared" ca="1" si="58"/>
        <v>0.42034525261668954</v>
      </c>
      <c r="G1883" s="3">
        <f t="shared" ca="1" si="59"/>
        <v>4.0591471018296454</v>
      </c>
      <c r="H1883" s="2"/>
      <c r="I1883" s="2"/>
      <c r="J1883" s="2"/>
      <c r="K1883" s="2"/>
    </row>
    <row r="1884" spans="5:11" x14ac:dyDescent="0.25">
      <c r="E1884" s="3">
        <f t="shared" ca="1" si="58"/>
        <v>0.48445266930757269</v>
      </c>
      <c r="F1884" s="3">
        <f t="shared" ca="1" si="58"/>
        <v>0.30991222594172563</v>
      </c>
      <c r="G1884" s="3">
        <f t="shared" ca="1" si="59"/>
        <v>3.1446178812840042</v>
      </c>
      <c r="H1884" s="2"/>
      <c r="I1884" s="2"/>
      <c r="J1884" s="2"/>
      <c r="K1884" s="2"/>
    </row>
    <row r="1885" spans="5:11" x14ac:dyDescent="0.25">
      <c r="E1885" s="3">
        <f t="shared" ca="1" si="58"/>
        <v>0.68250706503581393</v>
      </c>
      <c r="F1885" s="3">
        <f t="shared" ca="1" si="58"/>
        <v>0.4588836597587147</v>
      </c>
      <c r="G1885" s="3">
        <f t="shared" ca="1" si="59"/>
        <v>3.9559950422423817</v>
      </c>
      <c r="H1885" s="2"/>
      <c r="I1885" s="2"/>
      <c r="J1885" s="2"/>
      <c r="K1885" s="2"/>
    </row>
    <row r="1886" spans="5:11" x14ac:dyDescent="0.25">
      <c r="E1886" s="3">
        <f t="shared" ca="1" si="58"/>
        <v>0.68303258432265102</v>
      </c>
      <c r="F1886" s="3">
        <f t="shared" ca="1" si="58"/>
        <v>0.78789875565140688</v>
      </c>
      <c r="G1886" s="3">
        <f t="shared" ca="1" si="59"/>
        <v>8.4669091822485125</v>
      </c>
      <c r="H1886" s="2"/>
      <c r="I1886" s="2"/>
      <c r="J1886" s="2"/>
      <c r="K1886" s="2"/>
    </row>
    <row r="1887" spans="5:11" x14ac:dyDescent="0.25">
      <c r="E1887" s="3">
        <f t="shared" ca="1" si="58"/>
        <v>0.20533304487282955</v>
      </c>
      <c r="F1887" s="3">
        <f t="shared" ca="1" si="58"/>
        <v>0.40203823470923883</v>
      </c>
      <c r="G1887" s="3">
        <f t="shared" ca="1" si="59"/>
        <v>7.1276512590811025</v>
      </c>
      <c r="H1887" s="2"/>
      <c r="I1887" s="2"/>
      <c r="J1887" s="2"/>
      <c r="K1887" s="2"/>
    </row>
    <row r="1888" spans="5:11" x14ac:dyDescent="0.25">
      <c r="E1888" s="3">
        <f t="shared" ca="1" si="58"/>
        <v>0.14528589771737965</v>
      </c>
      <c r="F1888" s="3">
        <f t="shared" ca="1" si="58"/>
        <v>0.22076214046793918</v>
      </c>
      <c r="G1888" s="3">
        <f t="shared" ca="1" si="59"/>
        <v>7.5503619743794843</v>
      </c>
      <c r="H1888" s="2"/>
      <c r="I1888" s="2"/>
      <c r="J1888" s="2"/>
      <c r="K1888" s="2"/>
    </row>
    <row r="1889" spans="5:11" x14ac:dyDescent="0.25">
      <c r="E1889" s="3">
        <f t="shared" ca="1" si="58"/>
        <v>0.21668637324149809</v>
      </c>
      <c r="F1889" s="3">
        <f t="shared" ca="1" si="58"/>
        <v>0.38225250219224705</v>
      </c>
      <c r="G1889" s="3">
        <f t="shared" ca="1" si="59"/>
        <v>6.8373092692267843</v>
      </c>
      <c r="H1889" s="2"/>
      <c r="I1889" s="2"/>
      <c r="J1889" s="2"/>
      <c r="K1889" s="2"/>
    </row>
    <row r="1890" spans="5:11" x14ac:dyDescent="0.25">
      <c r="E1890" s="3">
        <f t="shared" ca="1" si="58"/>
        <v>0.27771744838324097</v>
      </c>
      <c r="F1890" s="3">
        <f t="shared" ca="1" si="58"/>
        <v>0.76936635289699196</v>
      </c>
      <c r="G1890" s="3">
        <f t="shared" ca="1" si="59"/>
        <v>9.6646435868686833</v>
      </c>
      <c r="H1890" s="2"/>
      <c r="I1890" s="2"/>
      <c r="J1890" s="2"/>
      <c r="K1890" s="2"/>
    </row>
    <row r="1891" spans="5:11" x14ac:dyDescent="0.25">
      <c r="E1891" s="3">
        <f t="shared" ca="1" si="58"/>
        <v>0.20644131565505175</v>
      </c>
      <c r="F1891" s="3">
        <f t="shared" ca="1" si="58"/>
        <v>0.73900210275923861</v>
      </c>
      <c r="G1891" s="3">
        <f t="shared" ca="1" si="59"/>
        <v>9.9486538133112621</v>
      </c>
      <c r="H1891" s="2"/>
      <c r="I1891" s="2"/>
      <c r="J1891" s="2"/>
      <c r="K1891" s="2"/>
    </row>
    <row r="1892" spans="5:11" x14ac:dyDescent="0.25">
      <c r="E1892" s="3">
        <f t="shared" ca="1" si="58"/>
        <v>0.84655222649536843</v>
      </c>
      <c r="F1892" s="3">
        <f t="shared" ca="1" si="58"/>
        <v>0.4882429010309085</v>
      </c>
      <c r="G1892" s="3">
        <f t="shared" ca="1" si="59"/>
        <v>5.1877532383522711</v>
      </c>
      <c r="H1892" s="2"/>
      <c r="I1892" s="2"/>
      <c r="J1892" s="2"/>
      <c r="K1892" s="2"/>
    </row>
    <row r="1893" spans="5:11" x14ac:dyDescent="0.25">
      <c r="E1893" s="3">
        <f t="shared" ca="1" si="58"/>
        <v>0.7453492915531218</v>
      </c>
      <c r="F1893" s="3">
        <f t="shared" ca="1" si="58"/>
        <v>0.30806359489700874</v>
      </c>
      <c r="G1893" s="3">
        <f t="shared" ca="1" si="59"/>
        <v>2.2307813223304866</v>
      </c>
      <c r="H1893" s="2"/>
      <c r="I1893" s="2"/>
      <c r="J1893" s="2"/>
      <c r="K1893" s="2"/>
    </row>
    <row r="1894" spans="5:11" x14ac:dyDescent="0.25">
      <c r="E1894" s="3">
        <f t="shared" ca="1" si="58"/>
        <v>0.3880439143258998</v>
      </c>
      <c r="F1894" s="3">
        <f t="shared" ca="1" si="58"/>
        <v>0.53010499141004264</v>
      </c>
      <c r="G1894" s="3">
        <f t="shared" ca="1" si="59"/>
        <v>6.0756430484190131</v>
      </c>
      <c r="H1894" s="2"/>
      <c r="I1894" s="2"/>
      <c r="J1894" s="2"/>
      <c r="K1894" s="2"/>
    </row>
    <row r="1895" spans="5:11" x14ac:dyDescent="0.25">
      <c r="E1895" s="3">
        <f t="shared" ca="1" si="58"/>
        <v>0.23187244962844733</v>
      </c>
      <c r="F1895" s="3">
        <f t="shared" ca="1" si="58"/>
        <v>0.53675598819045001</v>
      </c>
      <c r="G1895" s="3">
        <f t="shared" ca="1" si="59"/>
        <v>7.6924047570913512</v>
      </c>
      <c r="H1895" s="2"/>
      <c r="I1895" s="2"/>
      <c r="J1895" s="2"/>
      <c r="K1895" s="2"/>
    </row>
    <row r="1896" spans="5:11" x14ac:dyDescent="0.25">
      <c r="E1896" s="3">
        <f t="shared" ca="1" si="58"/>
        <v>7.5682304570010572E-2</v>
      </c>
      <c r="F1896" s="3">
        <f t="shared" ca="1" si="58"/>
        <v>0.44825937637174329</v>
      </c>
      <c r="G1896" s="3">
        <f t="shared" ca="1" si="59"/>
        <v>10.159405652473435</v>
      </c>
      <c r="H1896" s="2"/>
      <c r="I1896" s="2"/>
      <c r="J1896" s="2"/>
      <c r="K1896" s="2"/>
    </row>
    <row r="1897" spans="5:11" x14ac:dyDescent="0.25">
      <c r="E1897" s="3">
        <f t="shared" ca="1" si="58"/>
        <v>4.0701540987436169E-2</v>
      </c>
      <c r="F1897" s="3">
        <f t="shared" ca="1" si="58"/>
        <v>9.1536595270864329E-2</v>
      </c>
      <c r="G1897" s="3">
        <f t="shared" ca="1" si="59"/>
        <v>11.169536000420186</v>
      </c>
      <c r="H1897" s="2"/>
      <c r="I1897" s="2"/>
      <c r="J1897" s="2"/>
      <c r="K1897" s="2"/>
    </row>
    <row r="1898" spans="5:11" x14ac:dyDescent="0.25">
      <c r="E1898" s="3">
        <f t="shared" ca="1" si="58"/>
        <v>0.35457856593523551</v>
      </c>
      <c r="F1898" s="3">
        <f t="shared" ca="1" si="58"/>
        <v>0.5120838006337185</v>
      </c>
      <c r="G1898" s="3">
        <f t="shared" ca="1" si="59"/>
        <v>6.1815377722603539</v>
      </c>
      <c r="H1898" s="2"/>
      <c r="I1898" s="2"/>
      <c r="J1898" s="2"/>
      <c r="K1898" s="2"/>
    </row>
    <row r="1899" spans="5:11" x14ac:dyDescent="0.25">
      <c r="E1899" s="3">
        <f t="shared" ca="1" si="58"/>
        <v>0.86658192534488521</v>
      </c>
      <c r="F1899" s="3">
        <f t="shared" ca="1" si="58"/>
        <v>0.24941322481344286</v>
      </c>
      <c r="G1899" s="3">
        <f t="shared" ca="1" si="59"/>
        <v>3.4857665111616982</v>
      </c>
      <c r="H1899" s="2"/>
      <c r="I1899" s="2"/>
      <c r="J1899" s="2"/>
      <c r="K1899" s="2"/>
    </row>
    <row r="1900" spans="5:11" x14ac:dyDescent="0.25">
      <c r="E1900" s="3">
        <f t="shared" ca="1" si="58"/>
        <v>0.61645972109860669</v>
      </c>
      <c r="F1900" s="3">
        <f t="shared" ca="1" si="58"/>
        <v>4.0872031913096629E-2</v>
      </c>
      <c r="G1900" s="3">
        <f t="shared" ca="1" si="59"/>
        <v>4.3008640874990398</v>
      </c>
      <c r="H1900" s="2"/>
      <c r="I1900" s="2"/>
      <c r="J1900" s="2"/>
      <c r="K1900" s="2"/>
    </row>
    <row r="1901" spans="5:11" x14ac:dyDescent="0.25">
      <c r="E1901" s="3">
        <f t="shared" ca="1" si="58"/>
        <v>0.12210168605157512</v>
      </c>
      <c r="F1901" s="3">
        <f t="shared" ca="1" si="58"/>
        <v>0.34114555344960351</v>
      </c>
      <c r="G1901" s="3">
        <f t="shared" ca="1" si="59"/>
        <v>8.419368889294164</v>
      </c>
      <c r="H1901" s="2"/>
      <c r="I1901" s="2"/>
      <c r="J1901" s="2"/>
      <c r="K1901" s="2"/>
    </row>
    <row r="1902" spans="5:11" x14ac:dyDescent="0.25">
      <c r="E1902" s="3">
        <f t="shared" ca="1" si="58"/>
        <v>0.2196875606167138</v>
      </c>
      <c r="F1902" s="3">
        <f t="shared" ca="1" si="58"/>
        <v>0.10103948766478454</v>
      </c>
      <c r="G1902" s="3">
        <f t="shared" ca="1" si="59"/>
        <v>6.3978286777645721</v>
      </c>
      <c r="H1902" s="2"/>
      <c r="I1902" s="2"/>
      <c r="J1902" s="2"/>
      <c r="K1902" s="2"/>
    </row>
    <row r="1903" spans="5:11" x14ac:dyDescent="0.25">
      <c r="E1903" s="3">
        <f t="shared" ca="1" si="58"/>
        <v>0.79126172512192328</v>
      </c>
      <c r="F1903" s="3">
        <f t="shared" ca="1" si="58"/>
        <v>8.1536537054292757E-2</v>
      </c>
      <c r="G1903" s="3">
        <f t="shared" ca="1" si="59"/>
        <v>3.0918832761521142</v>
      </c>
      <c r="H1903" s="2"/>
      <c r="I1903" s="2"/>
      <c r="J1903" s="2"/>
      <c r="K1903" s="2"/>
    </row>
    <row r="1904" spans="5:11" x14ac:dyDescent="0.25">
      <c r="E1904" s="3">
        <f t="shared" ca="1" si="58"/>
        <v>0.52917714853512721</v>
      </c>
      <c r="F1904" s="3">
        <f t="shared" ca="1" si="58"/>
        <v>0.19739434990912896</v>
      </c>
      <c r="G1904" s="3">
        <f t="shared" ca="1" si="59"/>
        <v>1.8866686706070215</v>
      </c>
      <c r="H1904" s="2"/>
      <c r="I1904" s="2"/>
      <c r="J1904" s="2"/>
      <c r="K1904" s="2"/>
    </row>
    <row r="1905" spans="5:11" x14ac:dyDescent="0.25">
      <c r="E1905" s="3">
        <f t="shared" ca="1" si="58"/>
        <v>0.94166889049982727</v>
      </c>
      <c r="F1905" s="3">
        <f t="shared" ca="1" si="58"/>
        <v>7.6831761757560124E-2</v>
      </c>
      <c r="G1905" s="3">
        <f t="shared" ca="1" si="59"/>
        <v>6.2050825869795032</v>
      </c>
      <c r="H1905" s="2"/>
      <c r="I1905" s="2"/>
      <c r="J1905" s="2"/>
      <c r="K1905" s="2"/>
    </row>
    <row r="1906" spans="5:11" x14ac:dyDescent="0.25">
      <c r="E1906" s="3">
        <f t="shared" ca="1" si="58"/>
        <v>5.3922897369795719E-2</v>
      </c>
      <c r="F1906" s="3">
        <f t="shared" ca="1" si="58"/>
        <v>0.12409834888201443</v>
      </c>
      <c r="G1906" s="3">
        <f t="shared" ca="1" si="59"/>
        <v>10.362464432638074</v>
      </c>
      <c r="H1906" s="2"/>
      <c r="I1906" s="2"/>
      <c r="J1906" s="2"/>
      <c r="K1906" s="2"/>
    </row>
    <row r="1907" spans="5:11" x14ac:dyDescent="0.25">
      <c r="E1907" s="3">
        <f t="shared" ca="1" si="58"/>
        <v>0.89608329522703922</v>
      </c>
      <c r="F1907" s="3">
        <f t="shared" ca="1" si="58"/>
        <v>0.99061766560479592</v>
      </c>
      <c r="G1907" s="3">
        <f t="shared" ca="1" si="59"/>
        <v>16.720590314409737</v>
      </c>
      <c r="H1907" s="2"/>
      <c r="I1907" s="2"/>
      <c r="J1907" s="2"/>
      <c r="K1907" s="2"/>
    </row>
    <row r="1908" spans="5:11" x14ac:dyDescent="0.25">
      <c r="E1908" s="3">
        <f t="shared" ca="1" si="58"/>
        <v>0.61296967892195453</v>
      </c>
      <c r="F1908" s="3">
        <f t="shared" ca="1" si="58"/>
        <v>0.70241970977044355</v>
      </c>
      <c r="G1908" s="3">
        <f t="shared" ca="1" si="59"/>
        <v>7.1721694941595056</v>
      </c>
      <c r="H1908" s="2"/>
      <c r="I1908" s="2"/>
      <c r="J1908" s="2"/>
      <c r="K1908" s="2"/>
    </row>
    <row r="1909" spans="5:11" x14ac:dyDescent="0.25">
      <c r="E1909" s="3">
        <f t="shared" ca="1" si="58"/>
        <v>0.1469952896116814</v>
      </c>
      <c r="F1909" s="3">
        <f t="shared" ca="1" si="58"/>
        <v>0.55144766607996298</v>
      </c>
      <c r="G1909" s="3">
        <f t="shared" ca="1" si="59"/>
        <v>9.0686634918256797</v>
      </c>
      <c r="H1909" s="2"/>
      <c r="I1909" s="2"/>
      <c r="J1909" s="2"/>
      <c r="K1909" s="2"/>
    </row>
    <row r="1910" spans="5:11" x14ac:dyDescent="0.25">
      <c r="E1910" s="3">
        <f t="shared" ca="1" si="58"/>
        <v>0.19062268356570944</v>
      </c>
      <c r="F1910" s="3">
        <f t="shared" ca="1" si="58"/>
        <v>0.38254564044994643</v>
      </c>
      <c r="G1910" s="3">
        <f t="shared" ca="1" si="59"/>
        <v>7.256685330861667</v>
      </c>
      <c r="H1910" s="2"/>
      <c r="I1910" s="2"/>
      <c r="J1910" s="2"/>
      <c r="K1910" s="2"/>
    </row>
    <row r="1911" spans="5:11" x14ac:dyDescent="0.25">
      <c r="E1911" s="3">
        <f t="shared" ca="1" si="58"/>
        <v>0.65086319441011342</v>
      </c>
      <c r="F1911" s="3">
        <f t="shared" ca="1" si="58"/>
        <v>0.72472038910264303</v>
      </c>
      <c r="G1911" s="3">
        <f t="shared" ca="1" si="59"/>
        <v>7.4607142655762129</v>
      </c>
      <c r="H1911" s="2"/>
      <c r="I1911" s="2"/>
      <c r="J1911" s="2"/>
      <c r="K1911" s="2"/>
    </row>
    <row r="1912" spans="5:11" x14ac:dyDescent="0.25">
      <c r="E1912" s="3">
        <f t="shared" ca="1" si="58"/>
        <v>0.38149983111462482</v>
      </c>
      <c r="F1912" s="3">
        <f t="shared" ca="1" si="58"/>
        <v>0.48182777895445938</v>
      </c>
      <c r="G1912" s="3">
        <f t="shared" ca="1" si="59"/>
        <v>5.6607418702314902</v>
      </c>
      <c r="H1912" s="2"/>
      <c r="I1912" s="2"/>
      <c r="J1912" s="2"/>
      <c r="K1912" s="2"/>
    </row>
    <row r="1913" spans="5:11" x14ac:dyDescent="0.25">
      <c r="E1913" s="3">
        <f t="shared" ca="1" si="58"/>
        <v>0.16826734265975829</v>
      </c>
      <c r="F1913" s="3">
        <f t="shared" ca="1" si="58"/>
        <v>0.18828800521080113</v>
      </c>
      <c r="G1913" s="3">
        <f t="shared" ca="1" si="59"/>
        <v>7.0457114187009964</v>
      </c>
      <c r="H1913" s="2"/>
      <c r="I1913" s="2"/>
      <c r="J1913" s="2"/>
      <c r="K1913" s="2"/>
    </row>
    <row r="1914" spans="5:11" x14ac:dyDescent="0.25">
      <c r="E1914" s="3">
        <f t="shared" ca="1" si="58"/>
        <v>0.35151287425047917</v>
      </c>
      <c r="F1914" s="3">
        <f t="shared" ca="1" si="58"/>
        <v>0.7220508148254956</v>
      </c>
      <c r="G1914" s="3">
        <f t="shared" ca="1" si="59"/>
        <v>8.495402979301879</v>
      </c>
      <c r="H1914" s="2"/>
      <c r="I1914" s="2"/>
      <c r="J1914" s="2"/>
      <c r="K1914" s="2"/>
    </row>
    <row r="1915" spans="5:11" x14ac:dyDescent="0.25">
      <c r="E1915" s="3">
        <f t="shared" ca="1" si="58"/>
        <v>5.632111447479915E-2</v>
      </c>
      <c r="F1915" s="3">
        <f t="shared" ca="1" si="58"/>
        <v>6.4288970861480332E-2</v>
      </c>
      <c r="G1915" s="3">
        <f t="shared" ca="1" si="59"/>
        <v>10.642772169739036</v>
      </c>
      <c r="H1915" s="2"/>
      <c r="I1915" s="2"/>
      <c r="J1915" s="2"/>
      <c r="K1915" s="2"/>
    </row>
    <row r="1916" spans="5:11" x14ac:dyDescent="0.25">
      <c r="E1916" s="3">
        <f t="shared" ca="1" si="58"/>
        <v>0.3143056751560197</v>
      </c>
      <c r="F1916" s="3">
        <f t="shared" ca="1" si="58"/>
        <v>0.20976949297096592</v>
      </c>
      <c r="G1916" s="3">
        <f t="shared" ca="1" si="59"/>
        <v>4.6789396892948147</v>
      </c>
      <c r="H1916" s="2"/>
      <c r="I1916" s="2"/>
      <c r="J1916" s="2"/>
      <c r="K1916" s="2"/>
    </row>
    <row r="1917" spans="5:11" x14ac:dyDescent="0.25">
      <c r="E1917" s="3">
        <f t="shared" ca="1" si="58"/>
        <v>0.1079776745168558</v>
      </c>
      <c r="F1917" s="3">
        <f t="shared" ca="1" si="58"/>
        <v>0.31951524252150831</v>
      </c>
      <c r="G1917" s="3">
        <f t="shared" ca="1" si="59"/>
        <v>8.6908643727181225</v>
      </c>
      <c r="H1917" s="2"/>
      <c r="I1917" s="2"/>
      <c r="J1917" s="2"/>
      <c r="K1917" s="2"/>
    </row>
    <row r="1918" spans="5:11" x14ac:dyDescent="0.25">
      <c r="E1918" s="3">
        <f t="shared" ca="1" si="58"/>
        <v>0.92078257929332696</v>
      </c>
      <c r="F1918" s="3">
        <f t="shared" ca="1" si="58"/>
        <v>0.60067872310701909</v>
      </c>
      <c r="G1918" s="3">
        <f t="shared" ca="1" si="59"/>
        <v>7.4940288629619713</v>
      </c>
      <c r="H1918" s="2"/>
      <c r="I1918" s="2"/>
      <c r="J1918" s="2"/>
      <c r="K1918" s="2"/>
    </row>
    <row r="1919" spans="5:11" x14ac:dyDescent="0.25">
      <c r="E1919" s="3">
        <f t="shared" ca="1" si="58"/>
        <v>0.89835008984232279</v>
      </c>
      <c r="F1919" s="3">
        <f t="shared" ca="1" si="58"/>
        <v>0.54050801032680096</v>
      </c>
      <c r="G1919" s="3">
        <f t="shared" ca="1" si="59"/>
        <v>6.4626498489764588</v>
      </c>
      <c r="H1919" s="2"/>
      <c r="I1919" s="2"/>
      <c r="J1919" s="2"/>
      <c r="K1919" s="2"/>
    </row>
    <row r="1920" spans="5:11" x14ac:dyDescent="0.25">
      <c r="E1920" s="3">
        <f t="shared" ca="1" si="58"/>
        <v>0.90163498639297013</v>
      </c>
      <c r="F1920" s="3">
        <f t="shared" ca="1" si="58"/>
        <v>0.97373131176778538</v>
      </c>
      <c r="G1920" s="3">
        <f t="shared" ca="1" si="59"/>
        <v>14.777170343815468</v>
      </c>
      <c r="H1920" s="2"/>
      <c r="I1920" s="2"/>
      <c r="J1920" s="2"/>
      <c r="K1920" s="2"/>
    </row>
    <row r="1921" spans="5:11" x14ac:dyDescent="0.25">
      <c r="E1921" s="3">
        <f t="shared" ca="1" si="58"/>
        <v>0.58681963416135052</v>
      </c>
      <c r="F1921" s="3">
        <f t="shared" ca="1" si="58"/>
        <v>0.47570014531179738</v>
      </c>
      <c r="G1921" s="3">
        <f t="shared" ca="1" si="59"/>
        <v>4.319357815074115</v>
      </c>
      <c r="H1921" s="2"/>
      <c r="I1921" s="2"/>
      <c r="J1921" s="2"/>
      <c r="K1921" s="2"/>
    </row>
    <row r="1922" spans="5:11" x14ac:dyDescent="0.25">
      <c r="E1922" s="3">
        <f t="shared" ca="1" si="58"/>
        <v>0.78567793069365499</v>
      </c>
      <c r="F1922" s="3">
        <f t="shared" ca="1" si="58"/>
        <v>0.43068630983113187</v>
      </c>
      <c r="G1922" s="3">
        <f t="shared" ca="1" si="59"/>
        <v>3.9857363536345916</v>
      </c>
      <c r="H1922" s="2"/>
      <c r="I1922" s="2"/>
      <c r="J1922" s="2"/>
      <c r="K1922" s="2"/>
    </row>
    <row r="1923" spans="5:11" x14ac:dyDescent="0.25">
      <c r="E1923" s="3">
        <f t="shared" ca="1" si="58"/>
        <v>0.92842601008684589</v>
      </c>
      <c r="F1923" s="3">
        <f t="shared" ca="1" si="58"/>
        <v>0.18017230504569293</v>
      </c>
      <c r="G1923" s="3">
        <f t="shared" ca="1" si="59"/>
        <v>5.0815285941146362</v>
      </c>
      <c r="H1923" s="2"/>
      <c r="I1923" s="2"/>
      <c r="J1923" s="2"/>
      <c r="K1923" s="2"/>
    </row>
    <row r="1924" spans="5:11" x14ac:dyDescent="0.25">
      <c r="E1924" s="3">
        <f t="shared" ref="E1924:F1987" ca="1" si="60">RAND()</f>
        <v>0.78598053066239748</v>
      </c>
      <c r="F1924" s="3">
        <f t="shared" ca="1" si="60"/>
        <v>0.7712700000428071</v>
      </c>
      <c r="G1924" s="3">
        <f t="shared" ref="G1924:G1987" ca="1" si="61">SQRT(_xlfn.NORM.INV(E1924,$C$3*COS($C$6),$C$4)^2+_xlfn.NORM.INV(F1924,$C$3*SIN($C$6),$C$4)^2)</f>
        <v>8.3644196060391458</v>
      </c>
      <c r="H1924" s="2"/>
      <c r="I1924" s="2"/>
      <c r="J1924" s="2"/>
      <c r="K1924" s="2"/>
    </row>
    <row r="1925" spans="5:11" x14ac:dyDescent="0.25">
      <c r="E1925" s="3">
        <f t="shared" ca="1" si="60"/>
        <v>0.144516842624825</v>
      </c>
      <c r="F1925" s="3">
        <f t="shared" ca="1" si="60"/>
        <v>0.48503644010454317</v>
      </c>
      <c r="G1925" s="3">
        <f t="shared" ca="1" si="61"/>
        <v>8.6726281186941989</v>
      </c>
      <c r="H1925" s="2"/>
      <c r="I1925" s="2"/>
      <c r="J1925" s="2"/>
      <c r="K1925" s="2"/>
    </row>
    <row r="1926" spans="5:11" x14ac:dyDescent="0.25">
      <c r="E1926" s="3">
        <f t="shared" ca="1" si="60"/>
        <v>2.9287407007624999E-2</v>
      </c>
      <c r="F1926" s="3">
        <f t="shared" ca="1" si="60"/>
        <v>0.61169486141879303</v>
      </c>
      <c r="G1926" s="3">
        <f t="shared" ca="1" si="61"/>
        <v>13.095861562365622</v>
      </c>
      <c r="H1926" s="2"/>
      <c r="I1926" s="2"/>
      <c r="J1926" s="2"/>
      <c r="K1926" s="2"/>
    </row>
    <row r="1927" spans="5:11" x14ac:dyDescent="0.25">
      <c r="E1927" s="3">
        <f t="shared" ca="1" si="60"/>
        <v>0.13946388653824016</v>
      </c>
      <c r="F1927" s="3">
        <f t="shared" ca="1" si="60"/>
        <v>0.29515731895805786</v>
      </c>
      <c r="G1927" s="3">
        <f t="shared" ca="1" si="61"/>
        <v>7.8578405901964476</v>
      </c>
      <c r="H1927" s="2"/>
      <c r="I1927" s="2"/>
      <c r="J1927" s="2"/>
      <c r="K1927" s="2"/>
    </row>
    <row r="1928" spans="5:11" x14ac:dyDescent="0.25">
      <c r="E1928" s="3">
        <f t="shared" ca="1" si="60"/>
        <v>0.15593488360656438</v>
      </c>
      <c r="F1928" s="3">
        <f t="shared" ca="1" si="60"/>
        <v>0.48758495807166025</v>
      </c>
      <c r="G1928" s="3">
        <f t="shared" ca="1" si="61"/>
        <v>8.4769362112791935</v>
      </c>
      <c r="H1928" s="2"/>
      <c r="I1928" s="2"/>
      <c r="J1928" s="2"/>
      <c r="K1928" s="2"/>
    </row>
    <row r="1929" spans="5:11" x14ac:dyDescent="0.25">
      <c r="E1929" s="3">
        <f t="shared" ca="1" si="60"/>
        <v>0.95129844940796837</v>
      </c>
      <c r="F1929" s="3">
        <f t="shared" ca="1" si="60"/>
        <v>0.16595330962050703</v>
      </c>
      <c r="G1929" s="3">
        <f t="shared" ca="1" si="61"/>
        <v>6.0595275720873554</v>
      </c>
      <c r="H1929" s="2"/>
      <c r="I1929" s="2"/>
      <c r="J1929" s="2"/>
      <c r="K1929" s="2"/>
    </row>
    <row r="1930" spans="5:11" x14ac:dyDescent="0.25">
      <c r="E1930" s="3">
        <f t="shared" ca="1" si="60"/>
        <v>0.72762504170390929</v>
      </c>
      <c r="F1930" s="3">
        <f t="shared" ca="1" si="60"/>
        <v>0.78062412336140019</v>
      </c>
      <c r="G1930" s="3">
        <f t="shared" ca="1" si="61"/>
        <v>8.3786217485801995</v>
      </c>
      <c r="H1930" s="2"/>
      <c r="I1930" s="2"/>
      <c r="J1930" s="2"/>
      <c r="K1930" s="2"/>
    </row>
    <row r="1931" spans="5:11" x14ac:dyDescent="0.25">
      <c r="E1931" s="3">
        <f t="shared" ca="1" si="60"/>
        <v>0.30743561569277367</v>
      </c>
      <c r="F1931" s="3">
        <f t="shared" ca="1" si="60"/>
        <v>0.51493020407983559</v>
      </c>
      <c r="G1931" s="3">
        <f t="shared" ca="1" si="61"/>
        <v>6.6564900329434531</v>
      </c>
      <c r="H1931" s="2"/>
      <c r="I1931" s="2"/>
      <c r="J1931" s="2"/>
      <c r="K1931" s="2"/>
    </row>
    <row r="1932" spans="5:11" x14ac:dyDescent="0.25">
      <c r="E1932" s="3">
        <f t="shared" ca="1" si="60"/>
        <v>0.41537348786189454</v>
      </c>
      <c r="F1932" s="3">
        <f t="shared" ca="1" si="60"/>
        <v>0.29596088896392414</v>
      </c>
      <c r="G1932" s="3">
        <f t="shared" ca="1" si="61"/>
        <v>3.7620659275735622</v>
      </c>
      <c r="H1932" s="2"/>
      <c r="I1932" s="2"/>
      <c r="J1932" s="2"/>
      <c r="K1932" s="2"/>
    </row>
    <row r="1933" spans="5:11" x14ac:dyDescent="0.25">
      <c r="E1933" s="3">
        <f t="shared" ca="1" si="60"/>
        <v>0.48126580288202225</v>
      </c>
      <c r="F1933" s="3">
        <f t="shared" ca="1" si="60"/>
        <v>0.14080170172407447</v>
      </c>
      <c r="G1933" s="3">
        <f t="shared" ca="1" si="61"/>
        <v>2.6384867044838516</v>
      </c>
      <c r="H1933" s="2"/>
      <c r="I1933" s="2"/>
      <c r="J1933" s="2"/>
      <c r="K1933" s="2"/>
    </row>
    <row r="1934" spans="5:11" x14ac:dyDescent="0.25">
      <c r="E1934" s="3">
        <f t="shared" ca="1" si="60"/>
        <v>0.57147460109296044</v>
      </c>
      <c r="F1934" s="3">
        <f t="shared" ca="1" si="60"/>
        <v>0.83262439263277455</v>
      </c>
      <c r="G1934" s="3">
        <f t="shared" ca="1" si="61"/>
        <v>9.3889974309819255</v>
      </c>
      <c r="H1934" s="2"/>
      <c r="I1934" s="2"/>
      <c r="J1934" s="2"/>
      <c r="K1934" s="2"/>
    </row>
    <row r="1935" spans="5:11" x14ac:dyDescent="0.25">
      <c r="E1935" s="3">
        <f t="shared" ca="1" si="60"/>
        <v>0.18990468431527852</v>
      </c>
      <c r="F1935" s="3">
        <f t="shared" ca="1" si="60"/>
        <v>0.56732486508793945</v>
      </c>
      <c r="G1935" s="3">
        <f t="shared" ca="1" si="61"/>
        <v>8.5004363421098823</v>
      </c>
      <c r="H1935" s="2"/>
      <c r="I1935" s="2"/>
      <c r="J1935" s="2"/>
      <c r="K1935" s="2"/>
    </row>
    <row r="1936" spans="5:11" x14ac:dyDescent="0.25">
      <c r="E1936" s="3">
        <f t="shared" ca="1" si="60"/>
        <v>0.25273811925697998</v>
      </c>
      <c r="F1936" s="3">
        <f t="shared" ca="1" si="60"/>
        <v>0.81487207460727007</v>
      </c>
      <c r="G1936" s="3">
        <f t="shared" ca="1" si="61"/>
        <v>10.541584714876768</v>
      </c>
      <c r="H1936" s="2"/>
      <c r="I1936" s="2"/>
      <c r="J1936" s="2"/>
      <c r="K1936" s="2"/>
    </row>
    <row r="1937" spans="5:11" x14ac:dyDescent="0.25">
      <c r="E1937" s="3">
        <f t="shared" ca="1" si="60"/>
        <v>0.65677408026134554</v>
      </c>
      <c r="F1937" s="3">
        <f t="shared" ca="1" si="60"/>
        <v>0.60286725631473859</v>
      </c>
      <c r="G1937" s="3">
        <f t="shared" ca="1" si="61"/>
        <v>5.778127843224989</v>
      </c>
      <c r="H1937" s="2"/>
      <c r="I1937" s="2"/>
      <c r="J1937" s="2"/>
      <c r="K1937" s="2"/>
    </row>
    <row r="1938" spans="5:11" x14ac:dyDescent="0.25">
      <c r="E1938" s="3">
        <f t="shared" ca="1" si="60"/>
        <v>0.42317219685025664</v>
      </c>
      <c r="F1938" s="3">
        <f t="shared" ca="1" si="60"/>
        <v>0.18451481965125127</v>
      </c>
      <c r="G1938" s="3">
        <f t="shared" ca="1" si="61"/>
        <v>3.2093639288691915</v>
      </c>
      <c r="H1938" s="2"/>
      <c r="I1938" s="2"/>
      <c r="J1938" s="2"/>
      <c r="K1938" s="2"/>
    </row>
    <row r="1939" spans="5:11" x14ac:dyDescent="0.25">
      <c r="E1939" s="3">
        <f t="shared" ca="1" si="60"/>
        <v>0.10587059117894093</v>
      </c>
      <c r="F1939" s="3">
        <f t="shared" ca="1" si="60"/>
        <v>0.33417311967269003</v>
      </c>
      <c r="G1939" s="3">
        <f t="shared" ca="1" si="61"/>
        <v>8.7978910333301261</v>
      </c>
      <c r="H1939" s="2"/>
      <c r="I1939" s="2"/>
      <c r="J1939" s="2"/>
      <c r="K1939" s="2"/>
    </row>
    <row r="1940" spans="5:11" x14ac:dyDescent="0.25">
      <c r="E1940" s="3">
        <f t="shared" ca="1" si="60"/>
        <v>0.99921012010736154</v>
      </c>
      <c r="F1940" s="3">
        <f t="shared" ca="1" si="60"/>
        <v>0.94296192399173329</v>
      </c>
      <c r="G1940" s="3">
        <f t="shared" ca="1" si="61"/>
        <v>18.3533358738941</v>
      </c>
      <c r="H1940" s="2"/>
      <c r="I1940" s="2"/>
      <c r="J1940" s="2"/>
      <c r="K1940" s="2"/>
    </row>
    <row r="1941" spans="5:11" x14ac:dyDescent="0.25">
      <c r="E1941" s="3">
        <f t="shared" ca="1" si="60"/>
        <v>0.60929999027493154</v>
      </c>
      <c r="F1941" s="3">
        <f t="shared" ca="1" si="60"/>
        <v>0.96603936227192344</v>
      </c>
      <c r="G1941" s="3">
        <f t="shared" ca="1" si="61"/>
        <v>13.624349135395434</v>
      </c>
      <c r="H1941" s="2"/>
      <c r="I1941" s="2"/>
      <c r="J1941" s="2"/>
      <c r="K1941" s="2"/>
    </row>
    <row r="1942" spans="5:11" x14ac:dyDescent="0.25">
      <c r="E1942" s="3">
        <f t="shared" ca="1" si="60"/>
        <v>0.91540234691978062</v>
      </c>
      <c r="F1942" s="3">
        <f t="shared" ca="1" si="60"/>
        <v>0.84040070809478495</v>
      </c>
      <c r="G1942" s="3">
        <f t="shared" ca="1" si="61"/>
        <v>10.525325766738899</v>
      </c>
      <c r="H1942" s="2"/>
      <c r="I1942" s="2"/>
      <c r="J1942" s="2"/>
      <c r="K1942" s="2"/>
    </row>
    <row r="1943" spans="5:11" x14ac:dyDescent="0.25">
      <c r="E1943" s="3">
        <f t="shared" ca="1" si="60"/>
        <v>0.44566919605272481</v>
      </c>
      <c r="F1943" s="3">
        <f t="shared" ca="1" si="60"/>
        <v>0.4767353749283838</v>
      </c>
      <c r="G1943" s="3">
        <f t="shared" ca="1" si="61"/>
        <v>5.0994195492831835</v>
      </c>
      <c r="H1943" s="2"/>
      <c r="I1943" s="2"/>
      <c r="J1943" s="2"/>
      <c r="K1943" s="2"/>
    </row>
    <row r="1944" spans="5:11" x14ac:dyDescent="0.25">
      <c r="E1944" s="3">
        <f t="shared" ca="1" si="60"/>
        <v>0.50650101567456063</v>
      </c>
      <c r="F1944" s="3">
        <f t="shared" ca="1" si="60"/>
        <v>0.39763284960550116</v>
      </c>
      <c r="G1944" s="3">
        <f t="shared" ca="1" si="61"/>
        <v>3.8374610714646367</v>
      </c>
      <c r="H1944" s="2"/>
      <c r="I1944" s="2"/>
      <c r="J1944" s="2"/>
      <c r="K1944" s="2"/>
    </row>
    <row r="1945" spans="5:11" x14ac:dyDescent="0.25">
      <c r="E1945" s="3">
        <f t="shared" ca="1" si="60"/>
        <v>0.88665351034381223</v>
      </c>
      <c r="F1945" s="3">
        <f t="shared" ca="1" si="60"/>
        <v>0.88207755650053832</v>
      </c>
      <c r="G1945" s="3">
        <f t="shared" ca="1" si="61"/>
        <v>11.071282787677911</v>
      </c>
      <c r="H1945" s="2"/>
      <c r="I1945" s="2"/>
      <c r="J1945" s="2"/>
      <c r="K1945" s="2"/>
    </row>
    <row r="1946" spans="5:11" x14ac:dyDescent="0.25">
      <c r="E1946" s="3">
        <f t="shared" ca="1" si="60"/>
        <v>0.16478795995775708</v>
      </c>
      <c r="F1946" s="3">
        <f t="shared" ca="1" si="60"/>
        <v>0.29074290824879279</v>
      </c>
      <c r="G1946" s="3">
        <f t="shared" ca="1" si="61"/>
        <v>7.3187216316110844</v>
      </c>
      <c r="H1946" s="2"/>
      <c r="I1946" s="2"/>
      <c r="J1946" s="2"/>
      <c r="K1946" s="2"/>
    </row>
    <row r="1947" spans="5:11" x14ac:dyDescent="0.25">
      <c r="E1947" s="3">
        <f t="shared" ca="1" si="60"/>
        <v>0.4968644358007166</v>
      </c>
      <c r="F1947" s="3">
        <f t="shared" ca="1" si="60"/>
        <v>0.75356166430852978</v>
      </c>
      <c r="G1947" s="3">
        <f t="shared" ca="1" si="61"/>
        <v>8.2210784276647573</v>
      </c>
      <c r="H1947" s="2"/>
      <c r="I1947" s="2"/>
      <c r="J1947" s="2"/>
      <c r="K1947" s="2"/>
    </row>
    <row r="1948" spans="5:11" x14ac:dyDescent="0.25">
      <c r="E1948" s="3">
        <f t="shared" ca="1" si="60"/>
        <v>0.96136413051596015</v>
      </c>
      <c r="F1948" s="3">
        <f t="shared" ca="1" si="60"/>
        <v>0.1422214416544284</v>
      </c>
      <c r="G1948" s="3">
        <f t="shared" ca="1" si="61"/>
        <v>6.6520617536458024</v>
      </c>
      <c r="H1948" s="2"/>
      <c r="I1948" s="2"/>
      <c r="J1948" s="2"/>
      <c r="K1948" s="2"/>
    </row>
    <row r="1949" spans="5:11" x14ac:dyDescent="0.25">
      <c r="E1949" s="3">
        <f t="shared" ca="1" si="60"/>
        <v>0.42747623036030724</v>
      </c>
      <c r="F1949" s="3">
        <f t="shared" ca="1" si="60"/>
        <v>0.91684165912154969</v>
      </c>
      <c r="G1949" s="3">
        <f t="shared" ca="1" si="61"/>
        <v>11.819365406498289</v>
      </c>
      <c r="H1949" s="2"/>
      <c r="I1949" s="2"/>
      <c r="J1949" s="2"/>
      <c r="K1949" s="2"/>
    </row>
    <row r="1950" spans="5:11" x14ac:dyDescent="0.25">
      <c r="E1950" s="3">
        <f t="shared" ca="1" si="60"/>
        <v>0.33757553736189849</v>
      </c>
      <c r="F1950" s="3">
        <f t="shared" ca="1" si="60"/>
        <v>0.52583033842886562</v>
      </c>
      <c r="G1950" s="3">
        <f t="shared" ca="1" si="61"/>
        <v>6.4638367727868307</v>
      </c>
      <c r="H1950" s="2"/>
      <c r="I1950" s="2"/>
      <c r="J1950" s="2"/>
      <c r="K1950" s="2"/>
    </row>
    <row r="1951" spans="5:11" x14ac:dyDescent="0.25">
      <c r="E1951" s="3">
        <f t="shared" ca="1" si="60"/>
        <v>0.22523324775749443</v>
      </c>
      <c r="F1951" s="3">
        <f t="shared" ca="1" si="60"/>
        <v>1.20334001644129E-3</v>
      </c>
      <c r="G1951" s="3">
        <f t="shared" ca="1" si="61"/>
        <v>12.277722906001225</v>
      </c>
      <c r="H1951" s="2"/>
      <c r="I1951" s="2"/>
      <c r="J1951" s="2"/>
      <c r="K1951" s="2"/>
    </row>
    <row r="1952" spans="5:11" x14ac:dyDescent="0.25">
      <c r="E1952" s="3">
        <f t="shared" ca="1" si="60"/>
        <v>0.75369643928676411</v>
      </c>
      <c r="F1952" s="3">
        <f t="shared" ca="1" si="60"/>
        <v>0.25448899854593665</v>
      </c>
      <c r="G1952" s="3">
        <f t="shared" ca="1" si="61"/>
        <v>1.6676511472709807</v>
      </c>
      <c r="H1952" s="2"/>
      <c r="I1952" s="2"/>
      <c r="J1952" s="2"/>
      <c r="K1952" s="2"/>
    </row>
    <row r="1953" spans="5:11" x14ac:dyDescent="0.25">
      <c r="E1953" s="3">
        <f t="shared" ca="1" si="60"/>
        <v>0.51889989741528275</v>
      </c>
      <c r="F1953" s="3">
        <f t="shared" ca="1" si="60"/>
        <v>0.68477599673607159</v>
      </c>
      <c r="G1953" s="3">
        <f t="shared" ca="1" si="61"/>
        <v>7.1614000215951643</v>
      </c>
      <c r="H1953" s="2"/>
      <c r="I1953" s="2"/>
      <c r="J1953" s="2"/>
      <c r="K1953" s="2"/>
    </row>
    <row r="1954" spans="5:11" x14ac:dyDescent="0.25">
      <c r="E1954" s="3">
        <f t="shared" ca="1" si="60"/>
        <v>0.61469388718622453</v>
      </c>
      <c r="F1954" s="3">
        <f t="shared" ca="1" si="60"/>
        <v>0.13654708891135181</v>
      </c>
      <c r="G1954" s="3">
        <f t="shared" ca="1" si="61"/>
        <v>1.2775289169253681</v>
      </c>
      <c r="H1954" s="2"/>
      <c r="I1954" s="2"/>
      <c r="J1954" s="2"/>
      <c r="K1954" s="2"/>
    </row>
    <row r="1955" spans="5:11" x14ac:dyDescent="0.25">
      <c r="E1955" s="3">
        <f t="shared" ca="1" si="60"/>
        <v>0.28870290178941105</v>
      </c>
      <c r="F1955" s="3">
        <f t="shared" ca="1" si="60"/>
        <v>0.59595022616533611</v>
      </c>
      <c r="G1955" s="3">
        <f t="shared" ca="1" si="61"/>
        <v>7.5878454101810835</v>
      </c>
      <c r="H1955" s="2"/>
      <c r="I1955" s="2"/>
      <c r="J1955" s="2"/>
      <c r="K1955" s="2"/>
    </row>
    <row r="1956" spans="5:11" x14ac:dyDescent="0.25">
      <c r="E1956" s="3">
        <f t="shared" ca="1" si="60"/>
        <v>0.70151200069990116</v>
      </c>
      <c r="F1956" s="3">
        <f t="shared" ca="1" si="60"/>
        <v>0.75242645390336294</v>
      </c>
      <c r="G1956" s="3">
        <f t="shared" ca="1" si="61"/>
        <v>7.8910277736986343</v>
      </c>
      <c r="H1956" s="2"/>
      <c r="I1956" s="2"/>
      <c r="J1956" s="2"/>
      <c r="K1956" s="2"/>
    </row>
    <row r="1957" spans="5:11" x14ac:dyDescent="0.25">
      <c r="E1957" s="3">
        <f t="shared" ca="1" si="60"/>
        <v>0.82246171291787806</v>
      </c>
      <c r="F1957" s="3">
        <f t="shared" ca="1" si="60"/>
        <v>0.92930218431402556</v>
      </c>
      <c r="G1957" s="3">
        <f t="shared" ca="1" si="61"/>
        <v>12.06092639895961</v>
      </c>
      <c r="H1957" s="2"/>
      <c r="I1957" s="2"/>
      <c r="J1957" s="2"/>
      <c r="K1957" s="2"/>
    </row>
    <row r="1958" spans="5:11" x14ac:dyDescent="0.25">
      <c r="E1958" s="3">
        <f t="shared" ca="1" si="60"/>
        <v>0.26015088290668209</v>
      </c>
      <c r="F1958" s="3">
        <f t="shared" ca="1" si="60"/>
        <v>0.69351845930967593</v>
      </c>
      <c r="G1958" s="3">
        <f t="shared" ca="1" si="61"/>
        <v>8.8737628173388057</v>
      </c>
      <c r="H1958" s="2"/>
      <c r="I1958" s="2"/>
      <c r="J1958" s="2"/>
      <c r="K1958" s="2"/>
    </row>
    <row r="1959" spans="5:11" x14ac:dyDescent="0.25">
      <c r="E1959" s="3">
        <f t="shared" ca="1" si="60"/>
        <v>0.5912774046534649</v>
      </c>
      <c r="F1959" s="3">
        <f t="shared" ca="1" si="60"/>
        <v>0.94948166433917203</v>
      </c>
      <c r="G1959" s="3">
        <f t="shared" ca="1" si="61"/>
        <v>12.715704025413451</v>
      </c>
      <c r="H1959" s="2"/>
      <c r="I1959" s="2"/>
      <c r="J1959" s="2"/>
      <c r="K1959" s="2"/>
    </row>
    <row r="1960" spans="5:11" x14ac:dyDescent="0.25">
      <c r="E1960" s="3">
        <f t="shared" ca="1" si="60"/>
        <v>0.56522686425259916</v>
      </c>
      <c r="F1960" s="3">
        <f t="shared" ca="1" si="60"/>
        <v>0.40660780675637709</v>
      </c>
      <c r="G1960" s="3">
        <f t="shared" ca="1" si="61"/>
        <v>3.5817454221936016</v>
      </c>
      <c r="H1960" s="2"/>
      <c r="I1960" s="2"/>
      <c r="J1960" s="2"/>
      <c r="K1960" s="2"/>
    </row>
    <row r="1961" spans="5:11" x14ac:dyDescent="0.25">
      <c r="E1961" s="3">
        <f t="shared" ca="1" si="60"/>
        <v>0.49841395824279455</v>
      </c>
      <c r="F1961" s="3">
        <f t="shared" ca="1" si="60"/>
        <v>0.45386032266499376</v>
      </c>
      <c r="G1961" s="3">
        <f t="shared" ca="1" si="61"/>
        <v>4.4993361805016736</v>
      </c>
      <c r="H1961" s="2"/>
      <c r="I1961" s="2"/>
      <c r="J1961" s="2"/>
      <c r="K1961" s="2"/>
    </row>
    <row r="1962" spans="5:11" x14ac:dyDescent="0.25">
      <c r="E1962" s="3">
        <f t="shared" ca="1" si="60"/>
        <v>0.63348306108399932</v>
      </c>
      <c r="F1962" s="3">
        <f t="shared" ca="1" si="60"/>
        <v>0.22478724062666489</v>
      </c>
      <c r="G1962" s="3">
        <f t="shared" ca="1" si="61"/>
        <v>0.87254855926946073</v>
      </c>
      <c r="H1962" s="2"/>
      <c r="I1962" s="2"/>
      <c r="J1962" s="2"/>
      <c r="K1962" s="2"/>
    </row>
    <row r="1963" spans="5:11" x14ac:dyDescent="0.25">
      <c r="E1963" s="3">
        <f t="shared" ca="1" si="60"/>
        <v>0.49160824578902818</v>
      </c>
      <c r="F1963" s="3">
        <f t="shared" ca="1" si="60"/>
        <v>0.33824231654895442</v>
      </c>
      <c r="G1963" s="3">
        <f t="shared" ca="1" si="61"/>
        <v>3.3441646852422702</v>
      </c>
      <c r="H1963" s="2"/>
      <c r="I1963" s="2"/>
      <c r="J1963" s="2"/>
      <c r="K1963" s="2"/>
    </row>
    <row r="1964" spans="5:11" x14ac:dyDescent="0.25">
      <c r="E1964" s="3">
        <f t="shared" ca="1" si="60"/>
        <v>0.31535564394938209</v>
      </c>
      <c r="F1964" s="3">
        <f t="shared" ca="1" si="60"/>
        <v>0.77331181892362699</v>
      </c>
      <c r="G1964" s="3">
        <f t="shared" ca="1" si="61"/>
        <v>9.4402457400265281</v>
      </c>
      <c r="H1964" s="2"/>
      <c r="I1964" s="2"/>
      <c r="J1964" s="2"/>
      <c r="K1964" s="2"/>
    </row>
    <row r="1965" spans="5:11" x14ac:dyDescent="0.25">
      <c r="E1965" s="3">
        <f t="shared" ca="1" si="60"/>
        <v>0.12997473699932605</v>
      </c>
      <c r="F1965" s="3">
        <f t="shared" ca="1" si="60"/>
        <v>0.99602950318814554</v>
      </c>
      <c r="G1965" s="3">
        <f t="shared" ca="1" si="61"/>
        <v>19.411098242867922</v>
      </c>
      <c r="H1965" s="2"/>
      <c r="I1965" s="2"/>
      <c r="J1965" s="2"/>
      <c r="K1965" s="2"/>
    </row>
    <row r="1966" spans="5:11" x14ac:dyDescent="0.25">
      <c r="E1966" s="3">
        <f t="shared" ca="1" si="60"/>
        <v>0.70267283842650818</v>
      </c>
      <c r="F1966" s="3">
        <f t="shared" ca="1" si="60"/>
        <v>0.70192051752780926</v>
      </c>
      <c r="G1966" s="3">
        <f t="shared" ca="1" si="61"/>
        <v>7.1320304336325879</v>
      </c>
      <c r="H1966" s="2"/>
      <c r="I1966" s="2"/>
      <c r="J1966" s="2"/>
      <c r="K1966" s="2"/>
    </row>
    <row r="1967" spans="5:11" x14ac:dyDescent="0.25">
      <c r="E1967" s="3">
        <f t="shared" ca="1" si="60"/>
        <v>0.1291433339409167</v>
      </c>
      <c r="F1967" s="3">
        <f t="shared" ca="1" si="60"/>
        <v>7.0114748933984727E-2</v>
      </c>
      <c r="G1967" s="3">
        <f t="shared" ca="1" si="61"/>
        <v>8.410155052058558</v>
      </c>
      <c r="H1967" s="2"/>
      <c r="I1967" s="2"/>
      <c r="J1967" s="2"/>
      <c r="K1967" s="2"/>
    </row>
    <row r="1968" spans="5:11" x14ac:dyDescent="0.25">
      <c r="E1968" s="3">
        <f t="shared" ca="1" si="60"/>
        <v>0.62027873108844811</v>
      </c>
      <c r="F1968" s="3">
        <f t="shared" ca="1" si="60"/>
        <v>0.34942452039762495</v>
      </c>
      <c r="G1968" s="3">
        <f t="shared" ca="1" si="61"/>
        <v>2.6329509966653681</v>
      </c>
      <c r="H1968" s="2"/>
      <c r="I1968" s="2"/>
      <c r="J1968" s="2"/>
      <c r="K1968" s="2"/>
    </row>
    <row r="1969" spans="5:11" x14ac:dyDescent="0.25">
      <c r="E1969" s="3">
        <f t="shared" ca="1" si="60"/>
        <v>0.81453012655753043</v>
      </c>
      <c r="F1969" s="3">
        <f t="shared" ca="1" si="60"/>
        <v>0.84425022806642791</v>
      </c>
      <c r="G1969" s="3">
        <f t="shared" ca="1" si="61"/>
        <v>9.788537131348706</v>
      </c>
      <c r="H1969" s="2"/>
      <c r="I1969" s="2"/>
      <c r="J1969" s="2"/>
      <c r="K1969" s="2"/>
    </row>
    <row r="1970" spans="5:11" x14ac:dyDescent="0.25">
      <c r="E1970" s="3">
        <f t="shared" ca="1" si="60"/>
        <v>0.81182094103745039</v>
      </c>
      <c r="F1970" s="3">
        <f t="shared" ca="1" si="60"/>
        <v>0.8122919628406442</v>
      </c>
      <c r="G1970" s="3">
        <f t="shared" ca="1" si="61"/>
        <v>9.1655575110733256</v>
      </c>
      <c r="H1970" s="2"/>
      <c r="I1970" s="2"/>
      <c r="J1970" s="2"/>
      <c r="K1970" s="2"/>
    </row>
    <row r="1971" spans="5:11" x14ac:dyDescent="0.25">
      <c r="E1971" s="3">
        <f t="shared" ca="1" si="60"/>
        <v>0.88247601038508483</v>
      </c>
      <c r="F1971" s="3">
        <f t="shared" ca="1" si="60"/>
        <v>0.67910029989881637</v>
      </c>
      <c r="G1971" s="3">
        <f t="shared" ca="1" si="61"/>
        <v>7.736373252275226</v>
      </c>
      <c r="H1971" s="2"/>
      <c r="I1971" s="2"/>
      <c r="J1971" s="2"/>
      <c r="K1971" s="2"/>
    </row>
    <row r="1972" spans="5:11" x14ac:dyDescent="0.25">
      <c r="E1972" s="3">
        <f t="shared" ca="1" si="60"/>
        <v>0.23467300917705269</v>
      </c>
      <c r="F1972" s="3">
        <f t="shared" ca="1" si="60"/>
        <v>0.25924950090749577</v>
      </c>
      <c r="G1972" s="3">
        <f t="shared" ca="1" si="61"/>
        <v>5.9882330614190407</v>
      </c>
      <c r="H1972" s="2"/>
      <c r="I1972" s="2"/>
      <c r="J1972" s="2"/>
      <c r="K1972" s="2"/>
    </row>
    <row r="1973" spans="5:11" x14ac:dyDescent="0.25">
      <c r="E1973" s="3">
        <f t="shared" ca="1" si="60"/>
        <v>0.12538789469192602</v>
      </c>
      <c r="F1973" s="3">
        <f t="shared" ca="1" si="60"/>
        <v>0.78841911348794924</v>
      </c>
      <c r="G1973" s="3">
        <f t="shared" ca="1" si="61"/>
        <v>11.642357494679466</v>
      </c>
      <c r="H1973" s="2"/>
      <c r="I1973" s="2"/>
      <c r="J1973" s="2"/>
      <c r="K1973" s="2"/>
    </row>
    <row r="1974" spans="5:11" x14ac:dyDescent="0.25">
      <c r="E1974" s="3">
        <f t="shared" ca="1" si="60"/>
        <v>0.14985744291197023</v>
      </c>
      <c r="F1974" s="3">
        <f t="shared" ca="1" si="60"/>
        <v>7.1050944445167352E-2</v>
      </c>
      <c r="G1974" s="3">
        <f t="shared" ca="1" si="61"/>
        <v>7.9609468621524559</v>
      </c>
      <c r="H1974" s="2"/>
      <c r="I1974" s="2"/>
      <c r="J1974" s="2"/>
      <c r="K1974" s="2"/>
    </row>
    <row r="1975" spans="5:11" x14ac:dyDescent="0.25">
      <c r="E1975" s="3">
        <f t="shared" ca="1" si="60"/>
        <v>0.85248999876375897</v>
      </c>
      <c r="F1975" s="3">
        <f t="shared" ca="1" si="60"/>
        <v>0.5192346932766343</v>
      </c>
      <c r="G1975" s="3">
        <f t="shared" ca="1" si="61"/>
        <v>5.5828221460618588</v>
      </c>
      <c r="H1975" s="2"/>
      <c r="I1975" s="2"/>
      <c r="J1975" s="2"/>
      <c r="K1975" s="2"/>
    </row>
    <row r="1976" spans="5:11" x14ac:dyDescent="0.25">
      <c r="E1976" s="3">
        <f t="shared" ca="1" si="60"/>
        <v>0.89982100792308251</v>
      </c>
      <c r="F1976" s="3">
        <f t="shared" ca="1" si="60"/>
        <v>0.76977605615641331</v>
      </c>
      <c r="G1976" s="3">
        <f t="shared" ca="1" si="61"/>
        <v>9.1607288956454056</v>
      </c>
      <c r="H1976" s="2"/>
      <c r="I1976" s="2"/>
      <c r="J1976" s="2"/>
      <c r="K1976" s="2"/>
    </row>
    <row r="1977" spans="5:11" x14ac:dyDescent="0.25">
      <c r="E1977" s="3">
        <f t="shared" ca="1" si="60"/>
        <v>0.91356608927662641</v>
      </c>
      <c r="F1977" s="3">
        <f t="shared" ca="1" si="60"/>
        <v>0.51996095682024279</v>
      </c>
      <c r="G1977" s="3">
        <f t="shared" ca="1" si="61"/>
        <v>6.5734508525768653</v>
      </c>
      <c r="H1977" s="2"/>
      <c r="I1977" s="2"/>
      <c r="J1977" s="2"/>
      <c r="K1977" s="2"/>
    </row>
    <row r="1978" spans="5:11" x14ac:dyDescent="0.25">
      <c r="E1978" s="3">
        <f t="shared" ca="1" si="60"/>
        <v>0.47939286432738393</v>
      </c>
      <c r="F1978" s="3">
        <f t="shared" ca="1" si="60"/>
        <v>0.63192412483790172</v>
      </c>
      <c r="G1978" s="3">
        <f t="shared" ca="1" si="61"/>
        <v>6.6426464402685266</v>
      </c>
      <c r="H1978" s="2"/>
      <c r="I1978" s="2"/>
      <c r="J1978" s="2"/>
      <c r="K1978" s="2"/>
    </row>
    <row r="1979" spans="5:11" x14ac:dyDescent="0.25">
      <c r="E1979" s="3">
        <f t="shared" ca="1" si="60"/>
        <v>0.68142504005638482</v>
      </c>
      <c r="F1979" s="3">
        <f t="shared" ca="1" si="60"/>
        <v>0.32349119356469258</v>
      </c>
      <c r="G1979" s="3">
        <f t="shared" ca="1" si="61"/>
        <v>2.1833864173671764</v>
      </c>
      <c r="H1979" s="2"/>
      <c r="I1979" s="2"/>
      <c r="J1979" s="2"/>
      <c r="K1979" s="2"/>
    </row>
    <row r="1980" spans="5:11" x14ac:dyDescent="0.25">
      <c r="E1980" s="3">
        <f t="shared" ca="1" si="60"/>
        <v>0.80254226842028209</v>
      </c>
      <c r="F1980" s="3">
        <f t="shared" ca="1" si="60"/>
        <v>5.735654200581275E-2</v>
      </c>
      <c r="G1980" s="3">
        <f t="shared" ca="1" si="61"/>
        <v>3.9658575758558352</v>
      </c>
      <c r="H1980" s="2"/>
      <c r="I1980" s="2"/>
      <c r="J1980" s="2"/>
      <c r="K1980" s="2"/>
    </row>
    <row r="1981" spans="5:11" x14ac:dyDescent="0.25">
      <c r="E1981" s="3">
        <f t="shared" ca="1" si="60"/>
        <v>0.79531483897657207</v>
      </c>
      <c r="F1981" s="3">
        <f t="shared" ca="1" si="60"/>
        <v>0.83934280754967616</v>
      </c>
      <c r="G1981" s="3">
        <f t="shared" ca="1" si="61"/>
        <v>9.6152940049249658</v>
      </c>
      <c r="H1981" s="2"/>
      <c r="I1981" s="2"/>
      <c r="J1981" s="2"/>
      <c r="K1981" s="2"/>
    </row>
    <row r="1982" spans="5:11" x14ac:dyDescent="0.25">
      <c r="E1982" s="3">
        <f t="shared" ca="1" si="60"/>
        <v>0.72850403306851441</v>
      </c>
      <c r="F1982" s="3">
        <f t="shared" ca="1" si="60"/>
        <v>0.61773552082622407</v>
      </c>
      <c r="G1982" s="3">
        <f t="shared" ca="1" si="61"/>
        <v>6.0212079159084011</v>
      </c>
      <c r="H1982" s="2"/>
      <c r="I1982" s="2"/>
      <c r="J1982" s="2"/>
      <c r="K1982" s="2"/>
    </row>
    <row r="1983" spans="5:11" x14ac:dyDescent="0.25">
      <c r="E1983" s="3">
        <f t="shared" ca="1" si="60"/>
        <v>0.61323727750917267</v>
      </c>
      <c r="F1983" s="3">
        <f t="shared" ca="1" si="60"/>
        <v>0.16844411595780096</v>
      </c>
      <c r="G1983" s="3">
        <f t="shared" ca="1" si="61"/>
        <v>0.86744900497659405</v>
      </c>
      <c r="H1983" s="2"/>
      <c r="I1983" s="2"/>
      <c r="J1983" s="2"/>
      <c r="K1983" s="2"/>
    </row>
    <row r="1984" spans="5:11" x14ac:dyDescent="0.25">
      <c r="E1984" s="3">
        <f t="shared" ca="1" si="60"/>
        <v>0.22207399899617264</v>
      </c>
      <c r="F1984" s="3">
        <f t="shared" ca="1" si="60"/>
        <v>0.80774133059418673</v>
      </c>
      <c r="G1984" s="3">
        <f t="shared" ca="1" si="61"/>
        <v>10.70319485675576</v>
      </c>
      <c r="H1984" s="2"/>
      <c r="I1984" s="2"/>
      <c r="J1984" s="2"/>
      <c r="K1984" s="2"/>
    </row>
    <row r="1985" spans="5:11" x14ac:dyDescent="0.25">
      <c r="E1985" s="3">
        <f t="shared" ca="1" si="60"/>
        <v>0.13546088994862082</v>
      </c>
      <c r="F1985" s="3">
        <f t="shared" ca="1" si="60"/>
        <v>0.81729159591251455</v>
      </c>
      <c r="G1985" s="3">
        <f t="shared" ca="1" si="61"/>
        <v>11.870308742871927</v>
      </c>
      <c r="H1985" s="2"/>
      <c r="I1985" s="2"/>
      <c r="J1985" s="2"/>
      <c r="K1985" s="2"/>
    </row>
    <row r="1986" spans="5:11" x14ac:dyDescent="0.25">
      <c r="E1986" s="3">
        <f t="shared" ca="1" si="60"/>
        <v>0.86439310352606458</v>
      </c>
      <c r="F1986" s="3">
        <f t="shared" ca="1" si="60"/>
        <v>0.49025901316927867</v>
      </c>
      <c r="G1986" s="3">
        <f t="shared" ca="1" si="61"/>
        <v>5.434902831641673</v>
      </c>
      <c r="H1986" s="2"/>
      <c r="I1986" s="2"/>
      <c r="J1986" s="2"/>
      <c r="K1986" s="2"/>
    </row>
    <row r="1987" spans="5:11" x14ac:dyDescent="0.25">
      <c r="E1987" s="3">
        <f t="shared" ca="1" si="60"/>
        <v>0.92450009439872627</v>
      </c>
      <c r="F1987" s="3">
        <f t="shared" ca="1" si="60"/>
        <v>0.81251476754424934</v>
      </c>
      <c r="G1987" s="3">
        <f t="shared" ca="1" si="61"/>
        <v>10.184157724266898</v>
      </c>
      <c r="H1987" s="2"/>
      <c r="I1987" s="2"/>
      <c r="J1987" s="2"/>
      <c r="K1987" s="2"/>
    </row>
    <row r="1988" spans="5:11" x14ac:dyDescent="0.25">
      <c r="E1988" s="3">
        <f t="shared" ref="E1988:F2051" ca="1" si="62">RAND()</f>
        <v>0.20055136314036037</v>
      </c>
      <c r="F1988" s="3">
        <f t="shared" ca="1" si="62"/>
        <v>9.0324388167501768E-2</v>
      </c>
      <c r="G1988" s="3">
        <f t="shared" ref="G1988:G2051" ca="1" si="63">SQRT(_xlfn.NORM.INV(E1988,$C$3*COS($C$6),$C$4)^2+_xlfn.NORM.INV(F1988,$C$3*SIN($C$6),$C$4)^2)</f>
        <v>6.8118564064458393</v>
      </c>
      <c r="H1988" s="2"/>
      <c r="I1988" s="2"/>
      <c r="J1988" s="2"/>
      <c r="K1988" s="2"/>
    </row>
    <row r="1989" spans="5:11" x14ac:dyDescent="0.25">
      <c r="E1989" s="3">
        <f t="shared" ca="1" si="62"/>
        <v>0.48756711662160823</v>
      </c>
      <c r="F1989" s="3">
        <f t="shared" ca="1" si="62"/>
        <v>0.56207827248790598</v>
      </c>
      <c r="G1989" s="3">
        <f t="shared" ca="1" si="63"/>
        <v>5.7720711597639127</v>
      </c>
      <c r="H1989" s="2"/>
      <c r="I1989" s="2"/>
      <c r="J1989" s="2"/>
      <c r="K1989" s="2"/>
    </row>
    <row r="1990" spans="5:11" x14ac:dyDescent="0.25">
      <c r="E1990" s="3">
        <f t="shared" ca="1" si="62"/>
        <v>0.58759757967210102</v>
      </c>
      <c r="F1990" s="3">
        <f t="shared" ca="1" si="62"/>
        <v>0.36309620338479021</v>
      </c>
      <c r="G1990" s="3">
        <f t="shared" ca="1" si="63"/>
        <v>2.9458238842774507</v>
      </c>
      <c r="H1990" s="2"/>
      <c r="I1990" s="2"/>
      <c r="J1990" s="2"/>
      <c r="K1990" s="2"/>
    </row>
    <row r="1991" spans="5:11" x14ac:dyDescent="0.25">
      <c r="E1991" s="3">
        <f t="shared" ca="1" si="62"/>
        <v>0.73607177381013134</v>
      </c>
      <c r="F1991" s="3">
        <f t="shared" ca="1" si="62"/>
        <v>0.84710474877457687</v>
      </c>
      <c r="G1991" s="3">
        <f t="shared" ca="1" si="63"/>
        <v>9.6341060689458722</v>
      </c>
      <c r="H1991" s="2"/>
      <c r="I1991" s="2"/>
      <c r="J1991" s="2"/>
      <c r="K1991" s="2"/>
    </row>
    <row r="1992" spans="5:11" x14ac:dyDescent="0.25">
      <c r="E1992" s="3">
        <f t="shared" ca="1" si="62"/>
        <v>0.23462244358755446</v>
      </c>
      <c r="F1992" s="3">
        <f t="shared" ca="1" si="62"/>
        <v>0.24417577655835365</v>
      </c>
      <c r="G1992" s="3">
        <f t="shared" ca="1" si="63"/>
        <v>5.944533692524069</v>
      </c>
      <c r="H1992" s="2"/>
      <c r="I1992" s="2"/>
      <c r="J1992" s="2"/>
      <c r="K1992" s="2"/>
    </row>
    <row r="1993" spans="5:11" x14ac:dyDescent="0.25">
      <c r="E1993" s="3">
        <f t="shared" ca="1" si="62"/>
        <v>0.9420707522551286</v>
      </c>
      <c r="F1993" s="3">
        <f t="shared" ca="1" si="62"/>
        <v>7.0999827380273661E-2</v>
      </c>
      <c r="G1993" s="3">
        <f t="shared" ca="1" si="63"/>
        <v>6.3127356385960285</v>
      </c>
      <c r="H1993" s="2"/>
      <c r="I1993" s="2"/>
      <c r="J1993" s="2"/>
      <c r="K1993" s="2"/>
    </row>
    <row r="1994" spans="5:11" x14ac:dyDescent="0.25">
      <c r="E1994" s="3">
        <f t="shared" ca="1" si="62"/>
        <v>0.9457202743543438</v>
      </c>
      <c r="F1994" s="3">
        <f t="shared" ca="1" si="62"/>
        <v>0.46970771038061498</v>
      </c>
      <c r="G1994" s="3">
        <f t="shared" ca="1" si="63"/>
        <v>7.08325432947258</v>
      </c>
      <c r="H1994" s="2"/>
      <c r="I1994" s="2"/>
      <c r="J1994" s="2"/>
      <c r="K1994" s="2"/>
    </row>
    <row r="1995" spans="5:11" x14ac:dyDescent="0.25">
      <c r="E1995" s="3">
        <f t="shared" ca="1" si="62"/>
        <v>0.35452947685785563</v>
      </c>
      <c r="F1995" s="3">
        <f t="shared" ca="1" si="62"/>
        <v>0.54051973785958385</v>
      </c>
      <c r="G1995" s="3">
        <f t="shared" ca="1" si="63"/>
        <v>6.4534045212207127</v>
      </c>
      <c r="H1995" s="2"/>
      <c r="I1995" s="2"/>
      <c r="J1995" s="2"/>
      <c r="K1995" s="2"/>
    </row>
    <row r="1996" spans="5:11" x14ac:dyDescent="0.25">
      <c r="E1996" s="3">
        <f t="shared" ca="1" si="62"/>
        <v>0.70644739081041086</v>
      </c>
      <c r="F1996" s="3">
        <f t="shared" ca="1" si="62"/>
        <v>0.3289015826724232</v>
      </c>
      <c r="G1996" s="3">
        <f t="shared" ca="1" si="63"/>
        <v>2.3046825623897145</v>
      </c>
      <c r="H1996" s="2"/>
      <c r="I1996" s="2"/>
      <c r="J1996" s="2"/>
      <c r="K1996" s="2"/>
    </row>
    <row r="1997" spans="5:11" x14ac:dyDescent="0.25">
      <c r="E1997" s="3">
        <f t="shared" ca="1" si="62"/>
        <v>0.57813023787557083</v>
      </c>
      <c r="F1997" s="3">
        <f t="shared" ca="1" si="62"/>
        <v>0.34214228298429794</v>
      </c>
      <c r="G1997" s="3">
        <f t="shared" ca="1" si="63"/>
        <v>2.7409584929923296</v>
      </c>
      <c r="H1997" s="2"/>
      <c r="I1997" s="2"/>
      <c r="J1997" s="2"/>
      <c r="K1997" s="2"/>
    </row>
    <row r="1998" spans="5:11" x14ac:dyDescent="0.25">
      <c r="E1998" s="3">
        <f t="shared" ca="1" si="62"/>
        <v>0.32959696686954032</v>
      </c>
      <c r="F1998" s="3">
        <f t="shared" ca="1" si="62"/>
        <v>0.81588052783146614</v>
      </c>
      <c r="G1998" s="3">
        <f t="shared" ca="1" si="63"/>
        <v>10.01014812917413</v>
      </c>
      <c r="H1998" s="2"/>
      <c r="I1998" s="2"/>
      <c r="J1998" s="2"/>
      <c r="K1998" s="2"/>
    </row>
    <row r="1999" spans="5:11" x14ac:dyDescent="0.25">
      <c r="E1999" s="3">
        <f t="shared" ca="1" si="62"/>
        <v>0.93152151665536442</v>
      </c>
      <c r="F1999" s="3">
        <f t="shared" ca="1" si="62"/>
        <v>0.26055927408767332</v>
      </c>
      <c r="G1999" s="3">
        <f t="shared" ca="1" si="63"/>
        <v>5.3467656697109751</v>
      </c>
      <c r="H1999" s="2"/>
      <c r="I1999" s="2"/>
      <c r="J1999" s="2"/>
      <c r="K1999" s="2"/>
    </row>
    <row r="2000" spans="5:11" x14ac:dyDescent="0.25">
      <c r="E2000" s="3">
        <f t="shared" ca="1" si="62"/>
        <v>0.38670635696758016</v>
      </c>
      <c r="F2000" s="3">
        <f t="shared" ca="1" si="62"/>
        <v>0.60789861994968664</v>
      </c>
      <c r="G2000" s="3">
        <f t="shared" ca="1" si="63"/>
        <v>6.9020551713693301</v>
      </c>
      <c r="H2000" s="2"/>
      <c r="I2000" s="2"/>
      <c r="J2000" s="2"/>
      <c r="K2000" s="2"/>
    </row>
    <row r="2001" spans="5:11" x14ac:dyDescent="0.25">
      <c r="E2001" s="3">
        <f t="shared" ca="1" si="62"/>
        <v>0.28694188741274929</v>
      </c>
      <c r="F2001" s="3">
        <f t="shared" ca="1" si="62"/>
        <v>0.21467884000716131</v>
      </c>
      <c r="G2001" s="3">
        <f t="shared" ca="1" si="63"/>
        <v>5.0786127740814919</v>
      </c>
      <c r="H2001" s="2"/>
      <c r="I2001" s="2"/>
      <c r="J2001" s="2"/>
      <c r="K2001" s="2"/>
    </row>
    <row r="2002" spans="5:11" x14ac:dyDescent="0.25">
      <c r="E2002" s="3">
        <f t="shared" ca="1" si="62"/>
        <v>0.57609620159044528</v>
      </c>
      <c r="F2002" s="3">
        <f t="shared" ca="1" si="62"/>
        <v>0.20655410453455436</v>
      </c>
      <c r="G2002" s="3">
        <f t="shared" ca="1" si="63"/>
        <v>1.3353450391143182</v>
      </c>
      <c r="H2002" s="2"/>
      <c r="I2002" s="2"/>
      <c r="J2002" s="2"/>
      <c r="K2002" s="2"/>
    </row>
    <row r="2003" spans="5:11" x14ac:dyDescent="0.25">
      <c r="E2003" s="3">
        <f t="shared" ca="1" si="62"/>
        <v>0.1862425950747032</v>
      </c>
      <c r="F2003" s="3">
        <f t="shared" ca="1" si="62"/>
        <v>0.4158530846821592</v>
      </c>
      <c r="G2003" s="3">
        <f t="shared" ca="1" si="63"/>
        <v>7.516240523032959</v>
      </c>
      <c r="H2003" s="2"/>
      <c r="I2003" s="2"/>
      <c r="J2003" s="2"/>
      <c r="K2003" s="2"/>
    </row>
    <row r="2004" spans="5:11" x14ac:dyDescent="0.25">
      <c r="E2004" s="3">
        <f t="shared" ca="1" si="62"/>
        <v>0.73793348654286139</v>
      </c>
      <c r="F2004" s="3">
        <f t="shared" ca="1" si="62"/>
        <v>0.8222028063506035</v>
      </c>
      <c r="G2004" s="3">
        <f t="shared" ca="1" si="63"/>
        <v>9.1378959421382646</v>
      </c>
      <c r="H2004" s="2"/>
      <c r="I2004" s="2"/>
      <c r="J2004" s="2"/>
      <c r="K2004" s="2"/>
    </row>
    <row r="2005" spans="5:11" x14ac:dyDescent="0.25">
      <c r="E2005" s="3">
        <f t="shared" ca="1" si="62"/>
        <v>0.10521627012881063</v>
      </c>
      <c r="F2005" s="3">
        <f t="shared" ca="1" si="62"/>
        <v>0.90704573712352254</v>
      </c>
      <c r="G2005" s="3">
        <f t="shared" ca="1" si="63"/>
        <v>13.969279902027388</v>
      </c>
      <c r="H2005" s="2"/>
      <c r="I2005" s="2"/>
      <c r="J2005" s="2"/>
      <c r="K2005" s="2"/>
    </row>
    <row r="2006" spans="5:11" x14ac:dyDescent="0.25">
      <c r="E2006" s="3">
        <f t="shared" ca="1" si="62"/>
        <v>0.73954472782138325</v>
      </c>
      <c r="F2006" s="3">
        <f t="shared" ca="1" si="62"/>
        <v>7.6732451816012515E-2</v>
      </c>
      <c r="G2006" s="3">
        <f t="shared" ca="1" si="63"/>
        <v>2.8377069856800476</v>
      </c>
      <c r="H2006" s="2"/>
      <c r="I2006" s="2"/>
      <c r="J2006" s="2"/>
      <c r="K2006" s="2"/>
    </row>
    <row r="2007" spans="5:11" x14ac:dyDescent="0.25">
      <c r="E2007" s="3">
        <f t="shared" ca="1" si="62"/>
        <v>0.35421927694130362</v>
      </c>
      <c r="F2007" s="3">
        <f t="shared" ca="1" si="62"/>
        <v>0.78922720373767796</v>
      </c>
      <c r="G2007" s="3">
        <f t="shared" ca="1" si="63"/>
        <v>9.431394769759029</v>
      </c>
      <c r="H2007" s="2"/>
      <c r="I2007" s="2"/>
      <c r="J2007" s="2"/>
      <c r="K2007" s="2"/>
    </row>
    <row r="2008" spans="5:11" x14ac:dyDescent="0.25">
      <c r="E2008" s="3">
        <f t="shared" ca="1" si="62"/>
        <v>0.80501919415253875</v>
      </c>
      <c r="F2008" s="3">
        <f t="shared" ca="1" si="62"/>
        <v>0.22959765686962463</v>
      </c>
      <c r="G2008" s="3">
        <f t="shared" ca="1" si="63"/>
        <v>2.1970857323894259</v>
      </c>
      <c r="H2008" s="2"/>
      <c r="I2008" s="2"/>
      <c r="J2008" s="2"/>
      <c r="K2008" s="2"/>
    </row>
    <row r="2009" spans="5:11" x14ac:dyDescent="0.25">
      <c r="E2009" s="3">
        <f t="shared" ca="1" si="62"/>
        <v>0.76437326729233512</v>
      </c>
      <c r="F2009" s="3">
        <f t="shared" ca="1" si="62"/>
        <v>0.93318583591260251</v>
      </c>
      <c r="G2009" s="3">
        <f t="shared" ca="1" si="63"/>
        <v>12.046935992710749</v>
      </c>
      <c r="H2009" s="2"/>
      <c r="I2009" s="2"/>
      <c r="J2009" s="2"/>
      <c r="K2009" s="2"/>
    </row>
    <row r="2010" spans="5:11" x14ac:dyDescent="0.25">
      <c r="E2010" s="3">
        <f t="shared" ca="1" si="62"/>
        <v>0.25944670575081274</v>
      </c>
      <c r="F2010" s="3">
        <f t="shared" ca="1" si="62"/>
        <v>0.63487829658791994</v>
      </c>
      <c r="G2010" s="3">
        <f t="shared" ca="1" si="63"/>
        <v>8.2606679750394072</v>
      </c>
      <c r="H2010" s="2"/>
      <c r="I2010" s="2"/>
      <c r="J2010" s="2"/>
      <c r="K2010" s="2"/>
    </row>
    <row r="2011" spans="5:11" x14ac:dyDescent="0.25">
      <c r="E2011" s="3">
        <f t="shared" ca="1" si="62"/>
        <v>0.58088719149331769</v>
      </c>
      <c r="F2011" s="3">
        <f t="shared" ca="1" si="62"/>
        <v>0.22595124871654726</v>
      </c>
      <c r="G2011" s="3">
        <f t="shared" ca="1" si="63"/>
        <v>1.4105408716636489</v>
      </c>
      <c r="H2011" s="2"/>
      <c r="I2011" s="2"/>
      <c r="J2011" s="2"/>
      <c r="K2011" s="2"/>
    </row>
    <row r="2012" spans="5:11" x14ac:dyDescent="0.25">
      <c r="E2012" s="3">
        <f t="shared" ca="1" si="62"/>
        <v>0.88101632097797133</v>
      </c>
      <c r="F2012" s="3">
        <f t="shared" ca="1" si="62"/>
        <v>0.39925410269528328</v>
      </c>
      <c r="G2012" s="3">
        <f t="shared" ca="1" si="63"/>
        <v>4.8574643602270697</v>
      </c>
      <c r="H2012" s="2"/>
      <c r="I2012" s="2"/>
      <c r="J2012" s="2"/>
      <c r="K2012" s="2"/>
    </row>
    <row r="2013" spans="5:11" x14ac:dyDescent="0.25">
      <c r="E2013" s="3">
        <f t="shared" ca="1" si="62"/>
        <v>4.2069131483967293E-2</v>
      </c>
      <c r="F2013" s="3">
        <f t="shared" ca="1" si="62"/>
        <v>0.23246768182396538</v>
      </c>
      <c r="G2013" s="3">
        <f t="shared" ca="1" si="63"/>
        <v>10.906774094712109</v>
      </c>
      <c r="H2013" s="2"/>
      <c r="I2013" s="2"/>
      <c r="J2013" s="2"/>
      <c r="K2013" s="2"/>
    </row>
    <row r="2014" spans="5:11" x14ac:dyDescent="0.25">
      <c r="E2014" s="3">
        <f t="shared" ca="1" si="62"/>
        <v>0.98929586660419888</v>
      </c>
      <c r="F2014" s="3">
        <f t="shared" ca="1" si="62"/>
        <v>0.69455773671746057</v>
      </c>
      <c r="G2014" s="3">
        <f t="shared" ca="1" si="63"/>
        <v>11.619074863956289</v>
      </c>
      <c r="H2014" s="2"/>
      <c r="I2014" s="2"/>
      <c r="J2014" s="2"/>
      <c r="K2014" s="2"/>
    </row>
    <row r="2015" spans="5:11" x14ac:dyDescent="0.25">
      <c r="E2015" s="3">
        <f t="shared" ca="1" si="62"/>
        <v>0.49328896182952164</v>
      </c>
      <c r="F2015" s="3">
        <f t="shared" ca="1" si="62"/>
        <v>0.59160152888527062</v>
      </c>
      <c r="G2015" s="3">
        <f t="shared" ca="1" si="63"/>
        <v>6.08943064300672</v>
      </c>
      <c r="H2015" s="2"/>
      <c r="I2015" s="2"/>
      <c r="J2015" s="2"/>
      <c r="K2015" s="2"/>
    </row>
    <row r="2016" spans="5:11" x14ac:dyDescent="0.25">
      <c r="E2016" s="3">
        <f t="shared" ca="1" si="62"/>
        <v>0.49277027867698731</v>
      </c>
      <c r="F2016" s="3">
        <f t="shared" ca="1" si="62"/>
        <v>0.71784357733716864</v>
      </c>
      <c r="G2016" s="3">
        <f t="shared" ca="1" si="63"/>
        <v>7.7128870928921121</v>
      </c>
      <c r="H2016" s="2"/>
      <c r="I2016" s="2"/>
      <c r="J2016" s="2"/>
      <c r="K2016" s="2"/>
    </row>
    <row r="2017" spans="5:11" x14ac:dyDescent="0.25">
      <c r="E2017" s="3">
        <f t="shared" ca="1" si="62"/>
        <v>0.32181064915501767</v>
      </c>
      <c r="F2017" s="3">
        <f t="shared" ca="1" si="62"/>
        <v>7.5663535304043017E-2</v>
      </c>
      <c r="G2017" s="3">
        <f t="shared" ca="1" si="63"/>
        <v>5.2960717450028625</v>
      </c>
      <c r="H2017" s="2"/>
      <c r="I2017" s="2"/>
      <c r="J2017" s="2"/>
      <c r="K2017" s="2"/>
    </row>
    <row r="2018" spans="5:11" x14ac:dyDescent="0.25">
      <c r="E2018" s="3">
        <f t="shared" ca="1" si="62"/>
        <v>0.95863790372455215</v>
      </c>
      <c r="F2018" s="3">
        <f t="shared" ca="1" si="62"/>
        <v>0.11558422486964448</v>
      </c>
      <c r="G2018" s="3">
        <f t="shared" ca="1" si="63"/>
        <v>6.6114424779235605</v>
      </c>
      <c r="H2018" s="2"/>
      <c r="I2018" s="2"/>
      <c r="J2018" s="2"/>
      <c r="K2018" s="2"/>
    </row>
    <row r="2019" spans="5:11" x14ac:dyDescent="0.25">
      <c r="E2019" s="3">
        <f t="shared" ca="1" si="62"/>
        <v>0.32470144429334602</v>
      </c>
      <c r="F2019" s="3">
        <f t="shared" ca="1" si="62"/>
        <v>0.48317508204340265</v>
      </c>
      <c r="G2019" s="3">
        <f t="shared" ca="1" si="63"/>
        <v>6.2056140380197533</v>
      </c>
      <c r="H2019" s="2"/>
      <c r="I2019" s="2"/>
      <c r="J2019" s="2"/>
      <c r="K2019" s="2"/>
    </row>
    <row r="2020" spans="5:11" x14ac:dyDescent="0.25">
      <c r="E2020" s="3">
        <f t="shared" ca="1" si="62"/>
        <v>0.22231986497918077</v>
      </c>
      <c r="F2020" s="3">
        <f t="shared" ca="1" si="62"/>
        <v>0.90680074139332567</v>
      </c>
      <c r="G2020" s="3">
        <f t="shared" ca="1" si="63"/>
        <v>12.626980281057754</v>
      </c>
      <c r="H2020" s="2"/>
      <c r="I2020" s="2"/>
      <c r="J2020" s="2"/>
      <c r="K2020" s="2"/>
    </row>
    <row r="2021" spans="5:11" x14ac:dyDescent="0.25">
      <c r="E2021" s="3">
        <f t="shared" ca="1" si="62"/>
        <v>0.71316247598824534</v>
      </c>
      <c r="F2021" s="3">
        <f t="shared" ca="1" si="62"/>
        <v>0.23671559801684705</v>
      </c>
      <c r="G2021" s="3">
        <f t="shared" ca="1" si="63"/>
        <v>1.0546056513510851</v>
      </c>
      <c r="H2021" s="2"/>
      <c r="I2021" s="2"/>
      <c r="J2021" s="2"/>
      <c r="K2021" s="2"/>
    </row>
    <row r="2022" spans="5:11" x14ac:dyDescent="0.25">
      <c r="E2022" s="3">
        <f t="shared" ca="1" si="62"/>
        <v>0.51568931279131469</v>
      </c>
      <c r="F2022" s="3">
        <f t="shared" ca="1" si="62"/>
        <v>0.45407808129317795</v>
      </c>
      <c r="G2022" s="3">
        <f t="shared" ca="1" si="63"/>
        <v>4.3969683333824605</v>
      </c>
      <c r="H2022" s="2"/>
      <c r="I2022" s="2"/>
      <c r="J2022" s="2"/>
      <c r="K2022" s="2"/>
    </row>
    <row r="2023" spans="5:11" x14ac:dyDescent="0.25">
      <c r="E2023" s="3">
        <f t="shared" ca="1" si="62"/>
        <v>0.71578675494545219</v>
      </c>
      <c r="F2023" s="3">
        <f t="shared" ca="1" si="62"/>
        <v>0.62217876833144248</v>
      </c>
      <c r="G2023" s="3">
        <f t="shared" ca="1" si="63"/>
        <v>6.0569689411525287</v>
      </c>
      <c r="H2023" s="2"/>
      <c r="I2023" s="2"/>
      <c r="J2023" s="2"/>
      <c r="K2023" s="2"/>
    </row>
    <row r="2024" spans="5:11" x14ac:dyDescent="0.25">
      <c r="E2024" s="3">
        <f t="shared" ca="1" si="62"/>
        <v>0.12037272592892556</v>
      </c>
      <c r="F2024" s="3">
        <f t="shared" ca="1" si="62"/>
        <v>0.63583883165950972</v>
      </c>
      <c r="G2024" s="3">
        <f t="shared" ca="1" si="63"/>
        <v>10.209368699330399</v>
      </c>
      <c r="H2024" s="2"/>
      <c r="I2024" s="2"/>
      <c r="J2024" s="2"/>
      <c r="K2024" s="2"/>
    </row>
    <row r="2025" spans="5:11" x14ac:dyDescent="0.25">
      <c r="E2025" s="3">
        <f t="shared" ca="1" si="62"/>
        <v>0.5727937656508203</v>
      </c>
      <c r="F2025" s="3">
        <f t="shared" ca="1" si="62"/>
        <v>6.1359717127736357E-2</v>
      </c>
      <c r="G2025" s="3">
        <f t="shared" ca="1" si="63"/>
        <v>3.5064410405564566</v>
      </c>
      <c r="H2025" s="2"/>
      <c r="I2025" s="2"/>
      <c r="J2025" s="2"/>
      <c r="K2025" s="2"/>
    </row>
    <row r="2026" spans="5:11" x14ac:dyDescent="0.25">
      <c r="E2026" s="3">
        <f t="shared" ca="1" si="62"/>
        <v>9.085094791719095E-2</v>
      </c>
      <c r="F2026" s="3">
        <f t="shared" ca="1" si="62"/>
        <v>0.36271660732598865</v>
      </c>
      <c r="G2026" s="3">
        <f t="shared" ca="1" si="63"/>
        <v>9.3218481644718327</v>
      </c>
      <c r="H2026" s="2"/>
      <c r="I2026" s="2"/>
      <c r="J2026" s="2"/>
      <c r="K2026" s="2"/>
    </row>
    <row r="2027" spans="5:11" x14ac:dyDescent="0.25">
      <c r="E2027" s="3">
        <f t="shared" ca="1" si="62"/>
        <v>0.65307987206777296</v>
      </c>
      <c r="F2027" s="3">
        <f t="shared" ca="1" si="62"/>
        <v>0.52754032541813312</v>
      </c>
      <c r="G2027" s="3">
        <f t="shared" ca="1" si="63"/>
        <v>4.8231075502448064</v>
      </c>
      <c r="H2027" s="2"/>
      <c r="I2027" s="2"/>
      <c r="J2027" s="2"/>
      <c r="K2027" s="2"/>
    </row>
    <row r="2028" spans="5:11" x14ac:dyDescent="0.25">
      <c r="E2028" s="3">
        <f t="shared" ca="1" si="62"/>
        <v>0.74408903754477773</v>
      </c>
      <c r="F2028" s="3">
        <f t="shared" ca="1" si="62"/>
        <v>3.9898383287602868E-2</v>
      </c>
      <c r="G2028" s="3">
        <f t="shared" ca="1" si="63"/>
        <v>4.4135457803363991</v>
      </c>
      <c r="H2028" s="2"/>
      <c r="I2028" s="2"/>
      <c r="J2028" s="2"/>
      <c r="K2028" s="2"/>
    </row>
    <row r="2029" spans="5:11" x14ac:dyDescent="0.25">
      <c r="E2029" s="3">
        <f t="shared" ca="1" si="62"/>
        <v>0.27627667894402996</v>
      </c>
      <c r="F2029" s="3">
        <f t="shared" ca="1" si="62"/>
        <v>0.79198033826265279</v>
      </c>
      <c r="G2029" s="3">
        <f t="shared" ca="1" si="63"/>
        <v>10.000863756934788</v>
      </c>
      <c r="H2029" s="2"/>
      <c r="I2029" s="2"/>
      <c r="J2029" s="2"/>
      <c r="K2029" s="2"/>
    </row>
    <row r="2030" spans="5:11" x14ac:dyDescent="0.25">
      <c r="E2030" s="3">
        <f t="shared" ca="1" si="62"/>
        <v>0.26555210137890706</v>
      </c>
      <c r="F2030" s="3">
        <f t="shared" ca="1" si="62"/>
        <v>0.25118137382556482</v>
      </c>
      <c r="G2030" s="3">
        <f t="shared" ca="1" si="63"/>
        <v>5.4866920971593229</v>
      </c>
      <c r="H2030" s="2"/>
      <c r="I2030" s="2"/>
      <c r="J2030" s="2"/>
      <c r="K2030" s="2"/>
    </row>
    <row r="2031" spans="5:11" x14ac:dyDescent="0.25">
      <c r="E2031" s="3">
        <f t="shared" ca="1" si="62"/>
        <v>7.9016492022647045E-2</v>
      </c>
      <c r="F2031" s="3">
        <f t="shared" ca="1" si="62"/>
        <v>0.53117841217353157</v>
      </c>
      <c r="G2031" s="3">
        <f t="shared" ca="1" si="63"/>
        <v>10.492919736731968</v>
      </c>
      <c r="H2031" s="2"/>
      <c r="I2031" s="2"/>
      <c r="J2031" s="2"/>
      <c r="K2031" s="2"/>
    </row>
    <row r="2032" spans="5:11" x14ac:dyDescent="0.25">
      <c r="E2032" s="3">
        <f t="shared" ca="1" si="62"/>
        <v>0.20133399515921058</v>
      </c>
      <c r="F2032" s="3">
        <f t="shared" ca="1" si="62"/>
        <v>0.15740413617081106</v>
      </c>
      <c r="G2032" s="3">
        <f t="shared" ca="1" si="63"/>
        <v>6.4487052814878334</v>
      </c>
      <c r="H2032" s="2"/>
      <c r="I2032" s="2"/>
      <c r="J2032" s="2"/>
      <c r="K2032" s="2"/>
    </row>
    <row r="2033" spans="5:11" x14ac:dyDescent="0.25">
      <c r="E2033" s="3">
        <f t="shared" ca="1" si="62"/>
        <v>0.39169109504651611</v>
      </c>
      <c r="F2033" s="3">
        <f t="shared" ca="1" si="62"/>
        <v>0.88271122428108428</v>
      </c>
      <c r="G2033" s="3">
        <f t="shared" ca="1" si="63"/>
        <v>11.022847969251842</v>
      </c>
      <c r="H2033" s="2"/>
      <c r="I2033" s="2"/>
      <c r="J2033" s="2"/>
      <c r="K2033" s="2"/>
    </row>
    <row r="2034" spans="5:11" x14ac:dyDescent="0.25">
      <c r="E2034" s="3">
        <f t="shared" ca="1" si="62"/>
        <v>0.88592809735525668</v>
      </c>
      <c r="F2034" s="3">
        <f t="shared" ca="1" si="62"/>
        <v>0.20118410430056366</v>
      </c>
      <c r="G2034" s="3">
        <f t="shared" ca="1" si="63"/>
        <v>3.7959655576568201</v>
      </c>
      <c r="H2034" s="2"/>
      <c r="I2034" s="2"/>
      <c r="J2034" s="2"/>
      <c r="K2034" s="2"/>
    </row>
    <row r="2035" spans="5:11" x14ac:dyDescent="0.25">
      <c r="E2035" s="3">
        <f t="shared" ca="1" si="62"/>
        <v>0.46915759992162753</v>
      </c>
      <c r="F2035" s="3">
        <f t="shared" ca="1" si="62"/>
        <v>0.43620235232215776</v>
      </c>
      <c r="G2035" s="3">
        <f t="shared" ca="1" si="63"/>
        <v>4.5110231069280449</v>
      </c>
      <c r="H2035" s="2"/>
      <c r="I2035" s="2"/>
      <c r="J2035" s="2"/>
      <c r="K2035" s="2"/>
    </row>
    <row r="2036" spans="5:11" x14ac:dyDescent="0.25">
      <c r="E2036" s="3">
        <f t="shared" ca="1" si="62"/>
        <v>0.3560526538744202</v>
      </c>
      <c r="F2036" s="3">
        <f t="shared" ca="1" si="62"/>
        <v>0.85248160478102142</v>
      </c>
      <c r="G2036" s="3">
        <f t="shared" ca="1" si="63"/>
        <v>10.53049740800269</v>
      </c>
      <c r="H2036" s="2"/>
      <c r="I2036" s="2"/>
      <c r="J2036" s="2"/>
      <c r="K2036" s="2"/>
    </row>
    <row r="2037" spans="5:11" x14ac:dyDescent="0.25">
      <c r="E2037" s="3">
        <f t="shared" ca="1" si="62"/>
        <v>0.3110770422661745</v>
      </c>
      <c r="F2037" s="3">
        <f t="shared" ca="1" si="62"/>
        <v>0.68838204411475212</v>
      </c>
      <c r="G2037" s="3">
        <f t="shared" ca="1" si="63"/>
        <v>8.3728800243471753</v>
      </c>
      <c r="H2037" s="2"/>
      <c r="I2037" s="2"/>
      <c r="J2037" s="2"/>
      <c r="K2037" s="2"/>
    </row>
    <row r="2038" spans="5:11" x14ac:dyDescent="0.25">
      <c r="E2038" s="3">
        <f t="shared" ca="1" si="62"/>
        <v>7.057105318230672E-2</v>
      </c>
      <c r="F2038" s="3">
        <f t="shared" ca="1" si="62"/>
        <v>0.33292647604975967</v>
      </c>
      <c r="G2038" s="3">
        <f t="shared" ca="1" si="63"/>
        <v>9.8723632543633624</v>
      </c>
      <c r="H2038" s="2"/>
      <c r="I2038" s="2"/>
      <c r="J2038" s="2"/>
      <c r="K2038" s="2"/>
    </row>
    <row r="2039" spans="5:11" x14ac:dyDescent="0.25">
      <c r="E2039" s="3">
        <f t="shared" ca="1" si="62"/>
        <v>0.21464547277343715</v>
      </c>
      <c r="F2039" s="3">
        <f t="shared" ca="1" si="62"/>
        <v>9.1311768267998583E-2</v>
      </c>
      <c r="G2039" s="3">
        <f t="shared" ca="1" si="63"/>
        <v>6.5694545766548362</v>
      </c>
      <c r="H2039" s="2"/>
      <c r="I2039" s="2"/>
      <c r="J2039" s="2"/>
      <c r="K2039" s="2"/>
    </row>
    <row r="2040" spans="5:11" x14ac:dyDescent="0.25">
      <c r="E2040" s="3">
        <f t="shared" ca="1" si="62"/>
        <v>0.17443015354113445</v>
      </c>
      <c r="F2040" s="3">
        <f t="shared" ca="1" si="62"/>
        <v>8.1060563298752775E-2</v>
      </c>
      <c r="G2040" s="3">
        <f t="shared" ca="1" si="63"/>
        <v>7.3686385639538301</v>
      </c>
      <c r="H2040" s="2"/>
      <c r="I2040" s="2"/>
      <c r="J2040" s="2"/>
      <c r="K2040" s="2"/>
    </row>
    <row r="2041" spans="5:11" x14ac:dyDescent="0.25">
      <c r="E2041" s="3">
        <f t="shared" ca="1" si="62"/>
        <v>0.26641817767950726</v>
      </c>
      <c r="F2041" s="3">
        <f t="shared" ca="1" si="62"/>
        <v>0.19585173337429307</v>
      </c>
      <c r="G2041" s="3">
        <f t="shared" ca="1" si="63"/>
        <v>5.3620518084749804</v>
      </c>
      <c r="H2041" s="2"/>
      <c r="I2041" s="2"/>
      <c r="J2041" s="2"/>
      <c r="K2041" s="2"/>
    </row>
    <row r="2042" spans="5:11" x14ac:dyDescent="0.25">
      <c r="E2042" s="3">
        <f t="shared" ca="1" si="62"/>
        <v>0.66118349429830081</v>
      </c>
      <c r="F2042" s="3">
        <f t="shared" ca="1" si="62"/>
        <v>0.54057641583469995</v>
      </c>
      <c r="G2042" s="3">
        <f t="shared" ca="1" si="63"/>
        <v>4.9820443171262587</v>
      </c>
      <c r="H2042" s="2"/>
      <c r="I2042" s="2"/>
      <c r="J2042" s="2"/>
      <c r="K2042" s="2"/>
    </row>
    <row r="2043" spans="5:11" x14ac:dyDescent="0.25">
      <c r="E2043" s="3">
        <f t="shared" ca="1" si="62"/>
        <v>0.67301913097059252</v>
      </c>
      <c r="F2043" s="3">
        <f t="shared" ca="1" si="62"/>
        <v>0.5585316986040112</v>
      </c>
      <c r="G2043" s="3">
        <f t="shared" ca="1" si="63"/>
        <v>5.2062213294218083</v>
      </c>
      <c r="H2043" s="2"/>
      <c r="I2043" s="2"/>
      <c r="J2043" s="2"/>
      <c r="K2043" s="2"/>
    </row>
    <row r="2044" spans="5:11" x14ac:dyDescent="0.25">
      <c r="E2044" s="3">
        <f t="shared" ca="1" si="62"/>
        <v>0.43677808604278667</v>
      </c>
      <c r="F2044" s="3">
        <f t="shared" ca="1" si="62"/>
        <v>0.99794632349666934</v>
      </c>
      <c r="G2044" s="3">
        <f t="shared" ca="1" si="63"/>
        <v>19.062302707398917</v>
      </c>
      <c r="H2044" s="2"/>
      <c r="I2044" s="2"/>
      <c r="J2044" s="2"/>
      <c r="K2044" s="2"/>
    </row>
    <row r="2045" spans="5:11" x14ac:dyDescent="0.25">
      <c r="E2045" s="3">
        <f t="shared" ca="1" si="62"/>
        <v>0.30698291590273152</v>
      </c>
      <c r="F2045" s="3">
        <f t="shared" ca="1" si="62"/>
        <v>0.84581446867835863</v>
      </c>
      <c r="G2045" s="3">
        <f t="shared" ca="1" si="63"/>
        <v>10.683453543878649</v>
      </c>
      <c r="H2045" s="2"/>
      <c r="I2045" s="2"/>
      <c r="J2045" s="2"/>
      <c r="K2045" s="2"/>
    </row>
    <row r="2046" spans="5:11" x14ac:dyDescent="0.25">
      <c r="E2046" s="3">
        <f t="shared" ca="1" si="62"/>
        <v>0.94070658838060361</v>
      </c>
      <c r="F2046" s="3">
        <f t="shared" ca="1" si="62"/>
        <v>0.70782767445385619</v>
      </c>
      <c r="G2046" s="3">
        <f t="shared" ca="1" si="63"/>
        <v>9.1030553663858722</v>
      </c>
      <c r="H2046" s="2"/>
      <c r="I2046" s="2"/>
      <c r="J2046" s="2"/>
      <c r="K2046" s="2"/>
    </row>
    <row r="2047" spans="5:11" x14ac:dyDescent="0.25">
      <c r="E2047" s="3">
        <f t="shared" ca="1" si="62"/>
        <v>0.50624851963997863</v>
      </c>
      <c r="F2047" s="3">
        <f t="shared" ca="1" si="62"/>
        <v>0.97195218181974685</v>
      </c>
      <c r="G2047" s="3">
        <f t="shared" ca="1" si="63"/>
        <v>14.187153647079711</v>
      </c>
      <c r="H2047" s="2"/>
      <c r="I2047" s="2"/>
      <c r="J2047" s="2"/>
      <c r="K2047" s="2"/>
    </row>
    <row r="2048" spans="5:11" x14ac:dyDescent="0.25">
      <c r="E2048" s="3">
        <f t="shared" ca="1" si="62"/>
        <v>0.56428695310618693</v>
      </c>
      <c r="F2048" s="3">
        <f t="shared" ca="1" si="62"/>
        <v>0.9004550283288294</v>
      </c>
      <c r="G2048" s="3">
        <f t="shared" ca="1" si="63"/>
        <v>10.984355427227515</v>
      </c>
      <c r="H2048" s="2"/>
      <c r="I2048" s="2"/>
      <c r="J2048" s="2"/>
      <c r="K2048" s="2"/>
    </row>
    <row r="2049" spans="5:11" x14ac:dyDescent="0.25">
      <c r="E2049" s="3">
        <f t="shared" ca="1" si="62"/>
        <v>0.77909733872570408</v>
      </c>
      <c r="F2049" s="3">
        <f t="shared" ca="1" si="62"/>
        <v>0.3673918545444198</v>
      </c>
      <c r="G2049" s="3">
        <f t="shared" ca="1" si="63"/>
        <v>3.2068933300489388</v>
      </c>
      <c r="H2049" s="2"/>
      <c r="I2049" s="2"/>
      <c r="J2049" s="2"/>
      <c r="K2049" s="2"/>
    </row>
    <row r="2050" spans="5:11" x14ac:dyDescent="0.25">
      <c r="E2050" s="3">
        <f t="shared" ca="1" si="62"/>
        <v>0.9695369393829939</v>
      </c>
      <c r="F2050" s="3">
        <f t="shared" ca="1" si="62"/>
        <v>0.52993267861777882</v>
      </c>
      <c r="G2050" s="3">
        <f t="shared" ca="1" si="63"/>
        <v>8.6204766125140111</v>
      </c>
      <c r="H2050" s="2"/>
      <c r="I2050" s="2"/>
      <c r="J2050" s="2"/>
      <c r="K2050" s="2"/>
    </row>
    <row r="2051" spans="5:11" x14ac:dyDescent="0.25">
      <c r="E2051" s="3">
        <f t="shared" ca="1" si="62"/>
        <v>3.4029317061778586E-2</v>
      </c>
      <c r="F2051" s="3">
        <f t="shared" ca="1" si="62"/>
        <v>9.7079384088875287E-2</v>
      </c>
      <c r="G2051" s="3">
        <f t="shared" ca="1" si="63"/>
        <v>11.541934674191575</v>
      </c>
      <c r="H2051" s="2"/>
      <c r="I2051" s="2"/>
      <c r="J2051" s="2"/>
      <c r="K2051" s="2"/>
    </row>
    <row r="2052" spans="5:11" x14ac:dyDescent="0.25">
      <c r="E2052" s="3">
        <f t="shared" ref="E2052:F2115" ca="1" si="64">RAND()</f>
        <v>0.37681229043779507</v>
      </c>
      <c r="F2052" s="3">
        <f t="shared" ca="1" si="64"/>
        <v>0.56236549826111759</v>
      </c>
      <c r="G2052" s="3">
        <f t="shared" ref="G2052:G2115" ca="1" si="65">SQRT(_xlfn.NORM.INV(E2052,$C$3*COS($C$6),$C$4)^2+_xlfn.NORM.INV(F2052,$C$3*SIN($C$6),$C$4)^2)</f>
        <v>6.4905277081090436</v>
      </c>
      <c r="H2052" s="2"/>
      <c r="I2052" s="2"/>
      <c r="J2052" s="2"/>
      <c r="K2052" s="2"/>
    </row>
    <row r="2053" spans="5:11" x14ac:dyDescent="0.25">
      <c r="E2053" s="3">
        <f t="shared" ca="1" si="64"/>
        <v>0.67442747317814045</v>
      </c>
      <c r="F2053" s="3">
        <f t="shared" ca="1" si="64"/>
        <v>0.92896883178005119</v>
      </c>
      <c r="G2053" s="3">
        <f t="shared" ca="1" si="65"/>
        <v>11.810772194620258</v>
      </c>
      <c r="H2053" s="2"/>
      <c r="I2053" s="2"/>
      <c r="J2053" s="2"/>
      <c r="K2053" s="2"/>
    </row>
    <row r="2054" spans="5:11" x14ac:dyDescent="0.25">
      <c r="E2054" s="3">
        <f t="shared" ca="1" si="64"/>
        <v>0.96228772827274878</v>
      </c>
      <c r="F2054" s="3">
        <f t="shared" ca="1" si="64"/>
        <v>0.4325710901756803</v>
      </c>
      <c r="G2054" s="3">
        <f t="shared" ca="1" si="65"/>
        <v>7.5709700519989456</v>
      </c>
      <c r="H2054" s="2"/>
      <c r="I2054" s="2"/>
      <c r="J2054" s="2"/>
      <c r="K2054" s="2"/>
    </row>
    <row r="2055" spans="5:11" x14ac:dyDescent="0.25">
      <c r="E2055" s="3">
        <f t="shared" ca="1" si="64"/>
        <v>0.59567412098807171</v>
      </c>
      <c r="F2055" s="3">
        <f t="shared" ca="1" si="64"/>
        <v>0.40018109714383587</v>
      </c>
      <c r="G2055" s="3">
        <f t="shared" ca="1" si="65"/>
        <v>3.3668631989982134</v>
      </c>
      <c r="H2055" s="2"/>
      <c r="I2055" s="2"/>
      <c r="J2055" s="2"/>
      <c r="K2055" s="2"/>
    </row>
    <row r="2056" spans="5:11" x14ac:dyDescent="0.25">
      <c r="E2056" s="3">
        <f t="shared" ca="1" si="64"/>
        <v>0.57107440574625901</v>
      </c>
      <c r="F2056" s="3">
        <f t="shared" ca="1" si="64"/>
        <v>0.58304294764705111</v>
      </c>
      <c r="G2056" s="3">
        <f t="shared" ca="1" si="65"/>
        <v>5.6799052129141305</v>
      </c>
      <c r="H2056" s="2"/>
      <c r="I2056" s="2"/>
      <c r="J2056" s="2"/>
      <c r="K2056" s="2"/>
    </row>
    <row r="2057" spans="5:11" x14ac:dyDescent="0.25">
      <c r="E2057" s="3">
        <f t="shared" ca="1" si="64"/>
        <v>0.67532621559531758</v>
      </c>
      <c r="F2057" s="3">
        <f t="shared" ca="1" si="64"/>
        <v>0.9855291358035787</v>
      </c>
      <c r="G2057" s="3">
        <f t="shared" ca="1" si="65"/>
        <v>15.391415312724892</v>
      </c>
      <c r="H2057" s="2"/>
      <c r="I2057" s="2"/>
      <c r="J2057" s="2"/>
      <c r="K2057" s="2"/>
    </row>
    <row r="2058" spans="5:11" x14ac:dyDescent="0.25">
      <c r="E2058" s="3">
        <f t="shared" ca="1" si="64"/>
        <v>0.9311163357057225</v>
      </c>
      <c r="F2058" s="3">
        <f t="shared" ca="1" si="64"/>
        <v>0.27342195589015783</v>
      </c>
      <c r="G2058" s="3">
        <f t="shared" ca="1" si="65"/>
        <v>5.3815446032345635</v>
      </c>
      <c r="H2058" s="2"/>
      <c r="I2058" s="2"/>
      <c r="J2058" s="2"/>
      <c r="K2058" s="2"/>
    </row>
    <row r="2059" spans="5:11" x14ac:dyDescent="0.25">
      <c r="E2059" s="3">
        <f t="shared" ca="1" si="64"/>
        <v>0.43126649801062922</v>
      </c>
      <c r="F2059" s="3">
        <f t="shared" ca="1" si="64"/>
        <v>0.85689484351289336</v>
      </c>
      <c r="G2059" s="3">
        <f t="shared" ca="1" si="65"/>
        <v>10.282700447758913</v>
      </c>
      <c r="H2059" s="2"/>
      <c r="I2059" s="2"/>
      <c r="J2059" s="2"/>
      <c r="K2059" s="2"/>
    </row>
    <row r="2060" spans="5:11" x14ac:dyDescent="0.25">
      <c r="E2060" s="3">
        <f t="shared" ca="1" si="64"/>
        <v>0.1649161913451237</v>
      </c>
      <c r="F2060" s="3">
        <f t="shared" ca="1" si="64"/>
        <v>0.41780524165435973</v>
      </c>
      <c r="G2060" s="3">
        <f t="shared" ca="1" si="65"/>
        <v>7.8975310425827141</v>
      </c>
      <c r="H2060" s="2"/>
      <c r="I2060" s="2"/>
      <c r="J2060" s="2"/>
      <c r="K2060" s="2"/>
    </row>
    <row r="2061" spans="5:11" x14ac:dyDescent="0.25">
      <c r="E2061" s="3">
        <f t="shared" ca="1" si="64"/>
        <v>0.5394596510818026</v>
      </c>
      <c r="F2061" s="3">
        <f t="shared" ca="1" si="64"/>
        <v>0.65644330416782681</v>
      </c>
      <c r="G2061" s="3">
        <f t="shared" ca="1" si="65"/>
        <v>6.7145733232306508</v>
      </c>
      <c r="H2061" s="2"/>
      <c r="I2061" s="2"/>
      <c r="J2061" s="2"/>
      <c r="K2061" s="2"/>
    </row>
    <row r="2062" spans="5:11" x14ac:dyDescent="0.25">
      <c r="E2062" s="3">
        <f t="shared" ca="1" si="64"/>
        <v>0.67365084219195392</v>
      </c>
      <c r="F2062" s="3">
        <f t="shared" ca="1" si="64"/>
        <v>0.59985201028201318</v>
      </c>
      <c r="G2062" s="3">
        <f t="shared" ca="1" si="65"/>
        <v>5.7348118913910895</v>
      </c>
      <c r="H2062" s="2"/>
      <c r="I2062" s="2"/>
      <c r="J2062" s="2"/>
      <c r="K2062" s="2"/>
    </row>
    <row r="2063" spans="5:11" x14ac:dyDescent="0.25">
      <c r="E2063" s="3">
        <f t="shared" ca="1" si="64"/>
        <v>0.81984868162630931</v>
      </c>
      <c r="F2063" s="3">
        <f t="shared" ca="1" si="64"/>
        <v>0.81976532290026494</v>
      </c>
      <c r="G2063" s="3">
        <f t="shared" ca="1" si="65"/>
        <v>9.3386006948383429</v>
      </c>
      <c r="H2063" s="2"/>
      <c r="I2063" s="2"/>
      <c r="J2063" s="2"/>
      <c r="K2063" s="2"/>
    </row>
    <row r="2064" spans="5:11" x14ac:dyDescent="0.25">
      <c r="E2064" s="3">
        <f t="shared" ca="1" si="64"/>
        <v>9.595260111431303E-3</v>
      </c>
      <c r="F2064" s="3">
        <f t="shared" ca="1" si="64"/>
        <v>0.39041092801986799</v>
      </c>
      <c r="G2064" s="3">
        <f t="shared" ca="1" si="65"/>
        <v>14.285125654023309</v>
      </c>
      <c r="H2064" s="2"/>
      <c r="I2064" s="2"/>
      <c r="J2064" s="2"/>
      <c r="K2064" s="2"/>
    </row>
    <row r="2065" spans="5:11" x14ac:dyDescent="0.25">
      <c r="E2065" s="3">
        <f t="shared" ca="1" si="64"/>
        <v>9.8636013916671317E-2</v>
      </c>
      <c r="F2065" s="3">
        <f t="shared" ca="1" si="64"/>
        <v>0.91897643798458029</v>
      </c>
      <c r="G2065" s="3">
        <f t="shared" ca="1" si="65"/>
        <v>14.381359837869924</v>
      </c>
      <c r="H2065" s="2"/>
      <c r="I2065" s="2"/>
      <c r="J2065" s="2"/>
      <c r="K2065" s="2"/>
    </row>
    <row r="2066" spans="5:11" x14ac:dyDescent="0.25">
      <c r="E2066" s="3">
        <f t="shared" ca="1" si="64"/>
        <v>0.49390154137669395</v>
      </c>
      <c r="F2066" s="3">
        <f t="shared" ca="1" si="64"/>
        <v>0.6400470693495508</v>
      </c>
      <c r="G2066" s="3">
        <f t="shared" ca="1" si="65"/>
        <v>6.677692454528759</v>
      </c>
      <c r="H2066" s="2"/>
      <c r="I2066" s="2"/>
      <c r="J2066" s="2"/>
      <c r="K2066" s="2"/>
    </row>
    <row r="2067" spans="5:11" x14ac:dyDescent="0.25">
      <c r="E2067" s="3">
        <f t="shared" ca="1" si="64"/>
        <v>0.82422360756923507</v>
      </c>
      <c r="F2067" s="3">
        <f t="shared" ca="1" si="64"/>
        <v>8.1394165140599939E-2</v>
      </c>
      <c r="G2067" s="3">
        <f t="shared" ca="1" si="65"/>
        <v>3.4840395750896285</v>
      </c>
      <c r="H2067" s="2"/>
      <c r="I2067" s="2"/>
      <c r="J2067" s="2"/>
      <c r="K2067" s="2"/>
    </row>
    <row r="2068" spans="5:11" x14ac:dyDescent="0.25">
      <c r="E2068" s="3">
        <f t="shared" ca="1" si="64"/>
        <v>8.8200288431263929E-2</v>
      </c>
      <c r="F2068" s="3">
        <f t="shared" ca="1" si="64"/>
        <v>0.74728479427490713</v>
      </c>
      <c r="G2068" s="3">
        <f t="shared" ca="1" si="65"/>
        <v>11.909529884726524</v>
      </c>
      <c r="H2068" s="2"/>
      <c r="I2068" s="2"/>
      <c r="J2068" s="2"/>
      <c r="K2068" s="2"/>
    </row>
    <row r="2069" spans="5:11" x14ac:dyDescent="0.25">
      <c r="E2069" s="3">
        <f t="shared" ca="1" si="64"/>
        <v>0.1830549919316482</v>
      </c>
      <c r="F2069" s="3">
        <f t="shared" ca="1" si="64"/>
        <v>0.74872657791636765</v>
      </c>
      <c r="G2069" s="3">
        <f t="shared" ca="1" si="65"/>
        <v>10.338194531019061</v>
      </c>
      <c r="H2069" s="2"/>
      <c r="I2069" s="2"/>
      <c r="J2069" s="2"/>
      <c r="K2069" s="2"/>
    </row>
    <row r="2070" spans="5:11" x14ac:dyDescent="0.25">
      <c r="E2070" s="3">
        <f t="shared" ca="1" si="64"/>
        <v>0.98743038789365734</v>
      </c>
      <c r="F2070" s="3">
        <f t="shared" ca="1" si="64"/>
        <v>0.41755180026229854</v>
      </c>
      <c r="G2070" s="3">
        <f t="shared" ca="1" si="65"/>
        <v>9.5899787307435282</v>
      </c>
      <c r="H2070" s="2"/>
      <c r="I2070" s="2"/>
      <c r="J2070" s="2"/>
      <c r="K2070" s="2"/>
    </row>
    <row r="2071" spans="5:11" x14ac:dyDescent="0.25">
      <c r="E2071" s="3">
        <f t="shared" ca="1" si="64"/>
        <v>0.52136010690112178</v>
      </c>
      <c r="F2071" s="3">
        <f t="shared" ca="1" si="64"/>
        <v>2.7612301527746297E-4</v>
      </c>
      <c r="G2071" s="3">
        <f t="shared" ca="1" si="65"/>
        <v>12.951332524240122</v>
      </c>
      <c r="H2071" s="2"/>
      <c r="I2071" s="2"/>
      <c r="J2071" s="2"/>
      <c r="K2071" s="2"/>
    </row>
    <row r="2072" spans="5:11" x14ac:dyDescent="0.25">
      <c r="E2072" s="3">
        <f t="shared" ca="1" si="64"/>
        <v>0.63183140970199547</v>
      </c>
      <c r="F2072" s="3">
        <f t="shared" ca="1" si="64"/>
        <v>0.38739613184112465</v>
      </c>
      <c r="G2072" s="3">
        <f t="shared" ca="1" si="65"/>
        <v>3.0900080339901512</v>
      </c>
      <c r="H2072" s="2"/>
      <c r="I2072" s="2"/>
      <c r="J2072" s="2"/>
      <c r="K2072" s="2"/>
    </row>
    <row r="2073" spans="5:11" x14ac:dyDescent="0.25">
      <c r="E2073" s="3">
        <f t="shared" ca="1" si="64"/>
        <v>5.0678779334464852E-2</v>
      </c>
      <c r="F2073" s="3">
        <f t="shared" ca="1" si="64"/>
        <v>0.56067777679002939</v>
      </c>
      <c r="G2073" s="3">
        <f t="shared" ca="1" si="65"/>
        <v>11.671048290851797</v>
      </c>
      <c r="H2073" s="2"/>
      <c r="I2073" s="2"/>
      <c r="J2073" s="2"/>
      <c r="K2073" s="2"/>
    </row>
    <row r="2074" spans="5:11" x14ac:dyDescent="0.25">
      <c r="E2074" s="3">
        <f t="shared" ca="1" si="64"/>
        <v>0.91349471754422573</v>
      </c>
      <c r="F2074" s="3">
        <f t="shared" ca="1" si="64"/>
        <v>0.7059355608672836</v>
      </c>
      <c r="G2074" s="3">
        <f t="shared" ca="1" si="65"/>
        <v>8.5104935119604814</v>
      </c>
      <c r="H2074" s="2"/>
      <c r="I2074" s="2"/>
      <c r="J2074" s="2"/>
      <c r="K2074" s="2"/>
    </row>
    <row r="2075" spans="5:11" x14ac:dyDescent="0.25">
      <c r="E2075" s="3">
        <f t="shared" ca="1" si="64"/>
        <v>0.26814709536245396</v>
      </c>
      <c r="F2075" s="3">
        <f t="shared" ca="1" si="64"/>
        <v>0.193072623532898</v>
      </c>
      <c r="G2075" s="3">
        <f t="shared" ca="1" si="65"/>
        <v>5.3342563196667081</v>
      </c>
      <c r="H2075" s="2"/>
      <c r="I2075" s="2"/>
      <c r="J2075" s="2"/>
      <c r="K2075" s="2"/>
    </row>
    <row r="2076" spans="5:11" x14ac:dyDescent="0.25">
      <c r="E2076" s="3">
        <f t="shared" ca="1" si="64"/>
        <v>0.55847356711867013</v>
      </c>
      <c r="F2076" s="3">
        <f t="shared" ca="1" si="64"/>
        <v>0.65142803757928636</v>
      </c>
      <c r="G2076" s="3">
        <f t="shared" ca="1" si="65"/>
        <v>6.5900001486213906</v>
      </c>
      <c r="H2076" s="2"/>
      <c r="I2076" s="2"/>
      <c r="J2076" s="2"/>
      <c r="K2076" s="2"/>
    </row>
    <row r="2077" spans="5:11" x14ac:dyDescent="0.25">
      <c r="E2077" s="3">
        <f t="shared" ca="1" si="64"/>
        <v>0.40471922448071396</v>
      </c>
      <c r="F2077" s="3">
        <f t="shared" ca="1" si="64"/>
        <v>0.70803008024360425</v>
      </c>
      <c r="G2077" s="3">
        <f t="shared" ca="1" si="65"/>
        <v>7.9895919293888404</v>
      </c>
      <c r="H2077" s="2"/>
      <c r="I2077" s="2"/>
      <c r="J2077" s="2"/>
      <c r="K2077" s="2"/>
    </row>
    <row r="2078" spans="5:11" x14ac:dyDescent="0.25">
      <c r="E2078" s="3">
        <f t="shared" ca="1" si="64"/>
        <v>0.73611377354277607</v>
      </c>
      <c r="F2078" s="3">
        <f t="shared" ca="1" si="64"/>
        <v>0.27336441942414247</v>
      </c>
      <c r="G2078" s="3">
        <f t="shared" ca="1" si="65"/>
        <v>1.7210751817464305</v>
      </c>
      <c r="H2078" s="2"/>
      <c r="I2078" s="2"/>
      <c r="J2078" s="2"/>
      <c r="K2078" s="2"/>
    </row>
    <row r="2079" spans="5:11" x14ac:dyDescent="0.25">
      <c r="E2079" s="3">
        <f t="shared" ca="1" si="64"/>
        <v>0.2807272428691332</v>
      </c>
      <c r="F2079" s="3">
        <f t="shared" ca="1" si="64"/>
        <v>0.71872782117505163</v>
      </c>
      <c r="G2079" s="3">
        <f t="shared" ca="1" si="65"/>
        <v>8.9836711712388464</v>
      </c>
      <c r="H2079" s="2"/>
      <c r="I2079" s="2"/>
      <c r="J2079" s="2"/>
      <c r="K2079" s="2"/>
    </row>
    <row r="2080" spans="5:11" x14ac:dyDescent="0.25">
      <c r="E2080" s="3">
        <f t="shared" ca="1" si="64"/>
        <v>0.95487876764173218</v>
      </c>
      <c r="F2080" s="3">
        <f t="shared" ca="1" si="64"/>
        <v>0.25745494376776779</v>
      </c>
      <c r="G2080" s="3">
        <f t="shared" ca="1" si="65"/>
        <v>6.3473939542229427</v>
      </c>
      <c r="H2080" s="2"/>
      <c r="I2080" s="2"/>
      <c r="J2080" s="2"/>
      <c r="K2080" s="2"/>
    </row>
    <row r="2081" spans="5:11" x14ac:dyDescent="0.25">
      <c r="E2081" s="3">
        <f t="shared" ca="1" si="64"/>
        <v>9.5952759367599838E-2</v>
      </c>
      <c r="F2081" s="3">
        <f t="shared" ca="1" si="64"/>
        <v>0.56554479215778575</v>
      </c>
      <c r="G2081" s="3">
        <f t="shared" ca="1" si="65"/>
        <v>10.240484483863447</v>
      </c>
      <c r="H2081" s="2"/>
      <c r="I2081" s="2"/>
      <c r="J2081" s="2"/>
      <c r="K2081" s="2"/>
    </row>
    <row r="2082" spans="5:11" x14ac:dyDescent="0.25">
      <c r="E2082" s="3">
        <f t="shared" ca="1" si="64"/>
        <v>0.47820486394050021</v>
      </c>
      <c r="F2082" s="3">
        <f t="shared" ca="1" si="64"/>
        <v>0.12961176837269017</v>
      </c>
      <c r="G2082" s="3">
        <f t="shared" ca="1" si="65"/>
        <v>2.773107602510815</v>
      </c>
      <c r="H2082" s="2"/>
      <c r="I2082" s="2"/>
      <c r="J2082" s="2"/>
      <c r="K2082" s="2"/>
    </row>
    <row r="2083" spans="5:11" x14ac:dyDescent="0.25">
      <c r="E2083" s="3">
        <f t="shared" ca="1" si="64"/>
        <v>0.8906671373993208</v>
      </c>
      <c r="F2083" s="3">
        <f t="shared" ca="1" si="64"/>
        <v>0.62676135839711888</v>
      </c>
      <c r="G2083" s="3">
        <f t="shared" ca="1" si="65"/>
        <v>7.2341575625557839</v>
      </c>
      <c r="H2083" s="2"/>
      <c r="I2083" s="2"/>
      <c r="J2083" s="2"/>
      <c r="K2083" s="2"/>
    </row>
    <row r="2084" spans="5:11" x14ac:dyDescent="0.25">
      <c r="E2084" s="3">
        <f t="shared" ca="1" si="64"/>
        <v>0.14754514745134606</v>
      </c>
      <c r="F2084" s="3">
        <f t="shared" ca="1" si="64"/>
        <v>0.73944647743195391</v>
      </c>
      <c r="G2084" s="3">
        <f t="shared" ca="1" si="65"/>
        <v>10.716208332030952</v>
      </c>
      <c r="H2084" s="2"/>
      <c r="I2084" s="2"/>
      <c r="J2084" s="2"/>
      <c r="K2084" s="2"/>
    </row>
    <row r="2085" spans="5:11" x14ac:dyDescent="0.25">
      <c r="E2085" s="3">
        <f t="shared" ca="1" si="64"/>
        <v>0.89904471101240879</v>
      </c>
      <c r="F2085" s="3">
        <f t="shared" ca="1" si="64"/>
        <v>0.14419763445867162</v>
      </c>
      <c r="G2085" s="3">
        <f t="shared" ca="1" si="65"/>
        <v>4.2242744801179901</v>
      </c>
      <c r="H2085" s="2"/>
      <c r="I2085" s="2"/>
      <c r="J2085" s="2"/>
      <c r="K2085" s="2"/>
    </row>
    <row r="2086" spans="5:11" x14ac:dyDescent="0.25">
      <c r="E2086" s="3">
        <f t="shared" ca="1" si="64"/>
        <v>0.21069138121568753</v>
      </c>
      <c r="F2086" s="3">
        <f t="shared" ca="1" si="64"/>
        <v>0.83636428923337491</v>
      </c>
      <c r="G2086" s="3">
        <f t="shared" ca="1" si="65"/>
        <v>11.267438570678753</v>
      </c>
      <c r="H2086" s="2"/>
      <c r="I2086" s="2"/>
      <c r="J2086" s="2"/>
      <c r="K2086" s="2"/>
    </row>
    <row r="2087" spans="5:11" x14ac:dyDescent="0.25">
      <c r="E2087" s="3">
        <f t="shared" ca="1" si="64"/>
        <v>0.79612703495705017</v>
      </c>
      <c r="F2087" s="3">
        <f t="shared" ca="1" si="64"/>
        <v>0.4685646038773682</v>
      </c>
      <c r="G2087" s="3">
        <f t="shared" ca="1" si="65"/>
        <v>4.496277289734766</v>
      </c>
      <c r="H2087" s="2"/>
      <c r="I2087" s="2"/>
      <c r="J2087" s="2"/>
      <c r="K2087" s="2"/>
    </row>
    <row r="2088" spans="5:11" x14ac:dyDescent="0.25">
      <c r="E2088" s="3">
        <f t="shared" ca="1" si="64"/>
        <v>0.52924365718559874</v>
      </c>
      <c r="F2088" s="3">
        <f t="shared" ca="1" si="64"/>
        <v>0.94592641391527621</v>
      </c>
      <c r="G2088" s="3">
        <f t="shared" ca="1" si="65"/>
        <v>12.642461014437499</v>
      </c>
      <c r="H2088" s="2"/>
      <c r="I2088" s="2"/>
      <c r="J2088" s="2"/>
      <c r="K2088" s="2"/>
    </row>
    <row r="2089" spans="5:11" x14ac:dyDescent="0.25">
      <c r="E2089" s="3">
        <f t="shared" ca="1" si="64"/>
        <v>0.89532968248374123</v>
      </c>
      <c r="F2089" s="3">
        <f t="shared" ca="1" si="64"/>
        <v>0.83399450837125155</v>
      </c>
      <c r="G2089" s="3">
        <f t="shared" ca="1" si="65"/>
        <v>10.156886441215944</v>
      </c>
      <c r="H2089" s="2"/>
      <c r="I2089" s="2"/>
      <c r="J2089" s="2"/>
      <c r="K2089" s="2"/>
    </row>
    <row r="2090" spans="5:11" x14ac:dyDescent="0.25">
      <c r="E2090" s="3">
        <f t="shared" ca="1" si="64"/>
        <v>7.4523811628074643E-2</v>
      </c>
      <c r="F2090" s="3">
        <f t="shared" ca="1" si="64"/>
        <v>0.65435851053991945</v>
      </c>
      <c r="G2090" s="3">
        <f t="shared" ca="1" si="65"/>
        <v>11.44854042630498</v>
      </c>
      <c r="H2090" s="2"/>
      <c r="I2090" s="2"/>
      <c r="J2090" s="2"/>
      <c r="K2090" s="2"/>
    </row>
    <row r="2091" spans="5:11" x14ac:dyDescent="0.25">
      <c r="E2091" s="3">
        <f t="shared" ca="1" si="64"/>
        <v>0.77504071872077274</v>
      </c>
      <c r="F2091" s="3">
        <f t="shared" ca="1" si="64"/>
        <v>0.93342278721864169</v>
      </c>
      <c r="G2091" s="3">
        <f t="shared" ca="1" si="65"/>
        <v>12.077126050614961</v>
      </c>
      <c r="H2091" s="2"/>
      <c r="I2091" s="2"/>
      <c r="J2091" s="2"/>
      <c r="K2091" s="2"/>
    </row>
    <row r="2092" spans="5:11" x14ac:dyDescent="0.25">
      <c r="E2092" s="3">
        <f t="shared" ca="1" si="64"/>
        <v>0.63205441179868938</v>
      </c>
      <c r="F2092" s="3">
        <f t="shared" ca="1" si="64"/>
        <v>0.48321516986453572</v>
      </c>
      <c r="G2092" s="3">
        <f t="shared" ca="1" si="65"/>
        <v>4.2954136026940182</v>
      </c>
      <c r="H2092" s="2"/>
      <c r="I2092" s="2"/>
      <c r="J2092" s="2"/>
      <c r="K2092" s="2"/>
    </row>
    <row r="2093" spans="5:11" x14ac:dyDescent="0.25">
      <c r="E2093" s="3">
        <f t="shared" ca="1" si="64"/>
        <v>0.3123469716356565</v>
      </c>
      <c r="F2093" s="3">
        <f t="shared" ca="1" si="64"/>
        <v>0.95863398852728643</v>
      </c>
      <c r="G2093" s="3">
        <f t="shared" ca="1" si="65"/>
        <v>13.955628197509698</v>
      </c>
      <c r="H2093" s="2"/>
      <c r="I2093" s="2"/>
      <c r="J2093" s="2"/>
      <c r="K2093" s="2"/>
    </row>
    <row r="2094" spans="5:11" x14ac:dyDescent="0.25">
      <c r="E2094" s="3">
        <f t="shared" ca="1" si="64"/>
        <v>0.99213750488034624</v>
      </c>
      <c r="F2094" s="3">
        <f t="shared" ca="1" si="64"/>
        <v>0.80788167796177623</v>
      </c>
      <c r="G2094" s="3">
        <f t="shared" ca="1" si="65"/>
        <v>13.211572760013587</v>
      </c>
      <c r="H2094" s="2"/>
      <c r="I2094" s="2"/>
      <c r="J2094" s="2"/>
      <c r="K2094" s="2"/>
    </row>
    <row r="2095" spans="5:11" x14ac:dyDescent="0.25">
      <c r="E2095" s="3">
        <f t="shared" ca="1" si="64"/>
        <v>0.53464187493794135</v>
      </c>
      <c r="F2095" s="3">
        <f t="shared" ca="1" si="64"/>
        <v>0.50851994160687641</v>
      </c>
      <c r="G2095" s="3">
        <f t="shared" ca="1" si="65"/>
        <v>4.9200835186826852</v>
      </c>
      <c r="H2095" s="2"/>
      <c r="I2095" s="2"/>
      <c r="J2095" s="2"/>
      <c r="K2095" s="2"/>
    </row>
    <row r="2096" spans="5:11" x14ac:dyDescent="0.25">
      <c r="E2096" s="3">
        <f t="shared" ca="1" si="64"/>
        <v>0.6204827532970173</v>
      </c>
      <c r="F2096" s="3">
        <f t="shared" ca="1" si="64"/>
        <v>0.89926914379814959</v>
      </c>
      <c r="G2096" s="3">
        <f t="shared" ca="1" si="65"/>
        <v>10.879945049157547</v>
      </c>
      <c r="H2096" s="2"/>
      <c r="I2096" s="2"/>
      <c r="J2096" s="2"/>
      <c r="K2096" s="2"/>
    </row>
    <row r="2097" spans="5:11" x14ac:dyDescent="0.25">
      <c r="E2097" s="3">
        <f t="shared" ca="1" si="64"/>
        <v>0.22962288541925369</v>
      </c>
      <c r="F2097" s="3">
        <f t="shared" ca="1" si="64"/>
        <v>0.2405567184922518</v>
      </c>
      <c r="G2097" s="3">
        <f t="shared" ca="1" si="65"/>
        <v>6.0158860094439213</v>
      </c>
      <c r="H2097" s="2"/>
      <c r="I2097" s="2"/>
      <c r="J2097" s="2"/>
      <c r="K2097" s="2"/>
    </row>
    <row r="2098" spans="5:11" x14ac:dyDescent="0.25">
      <c r="E2098" s="3">
        <f t="shared" ca="1" si="64"/>
        <v>0.56695107276100598</v>
      </c>
      <c r="F2098" s="3">
        <f t="shared" ca="1" si="64"/>
        <v>1.156613839962406E-2</v>
      </c>
      <c r="G2098" s="3">
        <f t="shared" ca="1" si="65"/>
        <v>7.0265624605084396</v>
      </c>
      <c r="H2098" s="2"/>
      <c r="I2098" s="2"/>
      <c r="J2098" s="2"/>
      <c r="K2098" s="2"/>
    </row>
    <row r="2099" spans="5:11" x14ac:dyDescent="0.25">
      <c r="E2099" s="3">
        <f t="shared" ca="1" si="64"/>
        <v>0.41859164784181513</v>
      </c>
      <c r="F2099" s="3">
        <f t="shared" ca="1" si="64"/>
        <v>0.84528204171031818</v>
      </c>
      <c r="G2099" s="3">
        <f t="shared" ca="1" si="65"/>
        <v>10.095537615630876</v>
      </c>
      <c r="H2099" s="2"/>
      <c r="I2099" s="2"/>
      <c r="J2099" s="2"/>
      <c r="K2099" s="2"/>
    </row>
    <row r="2100" spans="5:11" x14ac:dyDescent="0.25">
      <c r="E2100" s="3">
        <f t="shared" ca="1" si="64"/>
        <v>0.51086891617852725</v>
      </c>
      <c r="F2100" s="3">
        <f t="shared" ca="1" si="64"/>
        <v>0.51523930859944111</v>
      </c>
      <c r="G2100" s="3">
        <f t="shared" ca="1" si="65"/>
        <v>5.1139540919649278</v>
      </c>
      <c r="H2100" s="2"/>
      <c r="I2100" s="2"/>
      <c r="J2100" s="2"/>
      <c r="K2100" s="2"/>
    </row>
    <row r="2101" spans="5:11" x14ac:dyDescent="0.25">
      <c r="E2101" s="3">
        <f t="shared" ca="1" si="64"/>
        <v>0.66541480835799705</v>
      </c>
      <c r="F2101" s="3">
        <f t="shared" ca="1" si="64"/>
        <v>0.32934276213336855</v>
      </c>
      <c r="G2101" s="3">
        <f t="shared" ca="1" si="65"/>
        <v>2.2637269094073078</v>
      </c>
      <c r="H2101" s="2"/>
      <c r="I2101" s="2"/>
      <c r="J2101" s="2"/>
      <c r="K2101" s="2"/>
    </row>
    <row r="2102" spans="5:11" x14ac:dyDescent="0.25">
      <c r="E2102" s="3">
        <f t="shared" ca="1" si="64"/>
        <v>1.5580389237443537E-2</v>
      </c>
      <c r="F2102" s="3">
        <f t="shared" ca="1" si="64"/>
        <v>0.51409467082800731</v>
      </c>
      <c r="G2102" s="3">
        <f t="shared" ca="1" si="65"/>
        <v>13.820025679710914</v>
      </c>
      <c r="H2102" s="2"/>
      <c r="I2102" s="2"/>
      <c r="J2102" s="2"/>
      <c r="K2102" s="2"/>
    </row>
    <row r="2103" spans="5:11" x14ac:dyDescent="0.25">
      <c r="E2103" s="3">
        <f t="shared" ca="1" si="64"/>
        <v>5.8640256612369046E-2</v>
      </c>
      <c r="F2103" s="3">
        <f t="shared" ca="1" si="64"/>
        <v>0.88257163074698308</v>
      </c>
      <c r="G2103" s="3">
        <f t="shared" ca="1" si="65"/>
        <v>14.484585128647943</v>
      </c>
      <c r="H2103" s="2"/>
      <c r="I2103" s="2"/>
      <c r="J2103" s="2"/>
      <c r="K2103" s="2"/>
    </row>
    <row r="2104" spans="5:11" x14ac:dyDescent="0.25">
      <c r="E2104" s="3">
        <f t="shared" ca="1" si="64"/>
        <v>0.54028111786669919</v>
      </c>
      <c r="F2104" s="3">
        <f t="shared" ca="1" si="64"/>
        <v>0.97479595370575189</v>
      </c>
      <c r="G2104" s="3">
        <f t="shared" ca="1" si="65"/>
        <v>14.357580848127682</v>
      </c>
      <c r="H2104" s="2"/>
      <c r="I2104" s="2"/>
      <c r="J2104" s="2"/>
      <c r="K2104" s="2"/>
    </row>
    <row r="2105" spans="5:11" x14ac:dyDescent="0.25">
      <c r="E2105" s="3">
        <f t="shared" ca="1" si="64"/>
        <v>0.95303424576445461</v>
      </c>
      <c r="F2105" s="3">
        <f t="shared" ca="1" si="64"/>
        <v>0.93040809901048471</v>
      </c>
      <c r="G2105" s="3">
        <f t="shared" ca="1" si="65"/>
        <v>13.356387486870874</v>
      </c>
      <c r="H2105" s="2"/>
      <c r="I2105" s="2"/>
      <c r="J2105" s="2"/>
      <c r="K2105" s="2"/>
    </row>
    <row r="2106" spans="5:11" x14ac:dyDescent="0.25">
      <c r="E2106" s="3">
        <f t="shared" ca="1" si="64"/>
        <v>0.14169338966807465</v>
      </c>
      <c r="F2106" s="3">
        <f t="shared" ca="1" si="64"/>
        <v>9.5628030341268544E-2</v>
      </c>
      <c r="G2106" s="3">
        <f t="shared" ca="1" si="65"/>
        <v>7.879319833129478</v>
      </c>
      <c r="H2106" s="2"/>
      <c r="I2106" s="2"/>
      <c r="J2106" s="2"/>
      <c r="K2106" s="2"/>
    </row>
    <row r="2107" spans="5:11" x14ac:dyDescent="0.25">
      <c r="E2107" s="3">
        <f t="shared" ca="1" si="64"/>
        <v>0.55764356591743092</v>
      </c>
      <c r="F2107" s="3">
        <f t="shared" ca="1" si="64"/>
        <v>0.81977225728757619</v>
      </c>
      <c r="G2107" s="3">
        <f t="shared" ca="1" si="65"/>
        <v>9.1685690364533983</v>
      </c>
      <c r="H2107" s="2"/>
      <c r="I2107" s="2"/>
      <c r="J2107" s="2"/>
      <c r="K2107" s="2"/>
    </row>
    <row r="2108" spans="5:11" x14ac:dyDescent="0.25">
      <c r="E2108" s="3">
        <f t="shared" ca="1" si="64"/>
        <v>0.17899806254732598</v>
      </c>
      <c r="F2108" s="3">
        <f t="shared" ca="1" si="64"/>
        <v>0.91921029168735879</v>
      </c>
      <c r="G2108" s="3">
        <f t="shared" ca="1" si="65"/>
        <v>13.351796124165045</v>
      </c>
      <c r="H2108" s="2"/>
      <c r="I2108" s="2"/>
      <c r="J2108" s="2"/>
      <c r="K2108" s="2"/>
    </row>
    <row r="2109" spans="5:11" x14ac:dyDescent="0.25">
      <c r="E2109" s="3">
        <f t="shared" ca="1" si="64"/>
        <v>0.38876866642578622</v>
      </c>
      <c r="F2109" s="3">
        <f t="shared" ca="1" si="64"/>
        <v>0.24574023916881238</v>
      </c>
      <c r="G2109" s="3">
        <f t="shared" ca="1" si="65"/>
        <v>3.7955040381912601</v>
      </c>
      <c r="H2109" s="2"/>
      <c r="I2109" s="2"/>
      <c r="J2109" s="2"/>
      <c r="K2109" s="2"/>
    </row>
    <row r="2110" spans="5:11" x14ac:dyDescent="0.25">
      <c r="E2110" s="3">
        <f t="shared" ca="1" si="64"/>
        <v>0.96307356905592212</v>
      </c>
      <c r="F2110" s="3">
        <f t="shared" ca="1" si="64"/>
        <v>0.33890360701186972</v>
      </c>
      <c r="G2110" s="3">
        <f t="shared" ca="1" si="65"/>
        <v>7.1118332651329439</v>
      </c>
      <c r="H2110" s="2"/>
      <c r="I2110" s="2"/>
      <c r="J2110" s="2"/>
      <c r="K2110" s="2"/>
    </row>
    <row r="2111" spans="5:11" x14ac:dyDescent="0.25">
      <c r="E2111" s="3">
        <f t="shared" ca="1" si="64"/>
        <v>0.95585312523057397</v>
      </c>
      <c r="F2111" s="3">
        <f t="shared" ca="1" si="64"/>
        <v>0.78580857646760771</v>
      </c>
      <c r="G2111" s="3">
        <f t="shared" ca="1" si="65"/>
        <v>10.513066366730801</v>
      </c>
      <c r="H2111" s="2"/>
      <c r="I2111" s="2"/>
      <c r="J2111" s="2"/>
      <c r="K2111" s="2"/>
    </row>
    <row r="2112" spans="5:11" x14ac:dyDescent="0.25">
      <c r="E2112" s="3">
        <f t="shared" ca="1" si="64"/>
        <v>0.82531005698182447</v>
      </c>
      <c r="F2112" s="3">
        <f t="shared" ca="1" si="64"/>
        <v>0.55256431307740672</v>
      </c>
      <c r="G2112" s="3">
        <f t="shared" ca="1" si="65"/>
        <v>5.6807396278974682</v>
      </c>
      <c r="H2112" s="2"/>
      <c r="I2112" s="2"/>
      <c r="J2112" s="2"/>
      <c r="K2112" s="2"/>
    </row>
    <row r="2113" spans="5:11" x14ac:dyDescent="0.25">
      <c r="E2113" s="3">
        <f t="shared" ca="1" si="64"/>
        <v>0.71009996464131786</v>
      </c>
      <c r="F2113" s="3">
        <f t="shared" ca="1" si="64"/>
        <v>0.69226481704716525</v>
      </c>
      <c r="G2113" s="3">
        <f t="shared" ca="1" si="65"/>
        <v>7.0013237713033121</v>
      </c>
      <c r="H2113" s="2"/>
      <c r="I2113" s="2"/>
      <c r="J2113" s="2"/>
      <c r="K2113" s="2"/>
    </row>
    <row r="2114" spans="5:11" x14ac:dyDescent="0.25">
      <c r="E2114" s="3">
        <f t="shared" ca="1" si="64"/>
        <v>0.78737291532165887</v>
      </c>
      <c r="F2114" s="3">
        <f t="shared" ca="1" si="64"/>
        <v>0.4347711432359247</v>
      </c>
      <c r="G2114" s="3">
        <f t="shared" ca="1" si="65"/>
        <v>4.045155251296797</v>
      </c>
      <c r="H2114" s="2"/>
      <c r="I2114" s="2"/>
      <c r="J2114" s="2"/>
      <c r="K2114" s="2"/>
    </row>
    <row r="2115" spans="5:11" x14ac:dyDescent="0.25">
      <c r="E2115" s="3">
        <f t="shared" ca="1" si="64"/>
        <v>3.1393323176867383E-2</v>
      </c>
      <c r="F2115" s="3">
        <f t="shared" ca="1" si="64"/>
        <v>0.69958441754512946</v>
      </c>
      <c r="G2115" s="3">
        <f t="shared" ca="1" si="65"/>
        <v>13.545197419291757</v>
      </c>
      <c r="H2115" s="2"/>
      <c r="I2115" s="2"/>
      <c r="J2115" s="2"/>
      <c r="K2115" s="2"/>
    </row>
    <row r="2116" spans="5:11" x14ac:dyDescent="0.25">
      <c r="E2116" s="3">
        <f t="shared" ref="E2116:F2160" ca="1" si="66">RAND()</f>
        <v>0.30220973231824966</v>
      </c>
      <c r="F2116" s="3">
        <f t="shared" ca="1" si="66"/>
        <v>0.29218693220910796</v>
      </c>
      <c r="G2116" s="3">
        <f t="shared" ref="G2116:G2160" ca="1" si="67">SQRT(_xlfn.NORM.INV(E2116,$C$3*COS($C$6),$C$4)^2+_xlfn.NORM.INV(F2116,$C$3*SIN($C$6),$C$4)^2)</f>
        <v>5.1327562398841389</v>
      </c>
      <c r="H2116" s="2"/>
      <c r="I2116" s="2"/>
      <c r="J2116" s="2"/>
      <c r="K2116" s="2"/>
    </row>
    <row r="2117" spans="5:11" x14ac:dyDescent="0.25">
      <c r="E2117" s="3">
        <f t="shared" ca="1" si="66"/>
        <v>0.34723995071347091</v>
      </c>
      <c r="F2117" s="3">
        <f t="shared" ca="1" si="66"/>
        <v>0.48557777656058865</v>
      </c>
      <c r="G2117" s="3">
        <f t="shared" ca="1" si="67"/>
        <v>6.0060905225433157</v>
      </c>
      <c r="H2117" s="2"/>
      <c r="I2117" s="2"/>
      <c r="J2117" s="2"/>
      <c r="K2117" s="2"/>
    </row>
    <row r="2118" spans="5:11" x14ac:dyDescent="0.25">
      <c r="E2118" s="3">
        <f t="shared" ca="1" si="66"/>
        <v>0.25837911451507334</v>
      </c>
      <c r="F2118" s="3">
        <f t="shared" ca="1" si="66"/>
        <v>0.75049021144290728</v>
      </c>
      <c r="G2118" s="3">
        <f t="shared" ca="1" si="67"/>
        <v>9.5748886800771711</v>
      </c>
      <c r="H2118" s="2"/>
      <c r="I2118" s="2"/>
      <c r="J2118" s="2"/>
      <c r="K2118" s="2"/>
    </row>
    <row r="2119" spans="5:11" x14ac:dyDescent="0.25">
      <c r="E2119" s="3">
        <f t="shared" ca="1" si="66"/>
        <v>0.86359052691953941</v>
      </c>
      <c r="F2119" s="3">
        <f t="shared" ca="1" si="66"/>
        <v>0.77439163336649286</v>
      </c>
      <c r="G2119" s="3">
        <f t="shared" ca="1" si="67"/>
        <v>8.8521962469395277</v>
      </c>
      <c r="H2119" s="2"/>
      <c r="I2119" s="2"/>
      <c r="J2119" s="2"/>
      <c r="K2119" s="2"/>
    </row>
    <row r="2120" spans="5:11" x14ac:dyDescent="0.25">
      <c r="E2120" s="3">
        <f t="shared" ca="1" si="66"/>
        <v>0.26077185219396326</v>
      </c>
      <c r="F2120" s="3">
        <f t="shared" ca="1" si="66"/>
        <v>0.11613765827250655</v>
      </c>
      <c r="G2120" s="3">
        <f t="shared" ca="1" si="67"/>
        <v>5.648725689767585</v>
      </c>
      <c r="H2120" s="2"/>
      <c r="I2120" s="2"/>
      <c r="J2120" s="2"/>
      <c r="K2120" s="2"/>
    </row>
    <row r="2121" spans="5:11" x14ac:dyDescent="0.25">
      <c r="E2121" s="3">
        <f t="shared" ca="1" si="66"/>
        <v>0.11329782499302632</v>
      </c>
      <c r="F2121" s="3">
        <f t="shared" ca="1" si="66"/>
        <v>0.22247416896009198</v>
      </c>
      <c r="G2121" s="3">
        <f t="shared" ca="1" si="67"/>
        <v>8.3117495875361058</v>
      </c>
      <c r="H2121" s="2"/>
      <c r="I2121" s="2"/>
      <c r="J2121" s="2"/>
      <c r="K2121" s="2"/>
    </row>
    <row r="2122" spans="5:11" x14ac:dyDescent="0.25">
      <c r="E2122" s="3">
        <f t="shared" ca="1" si="66"/>
        <v>0.55253197495646023</v>
      </c>
      <c r="F2122" s="3">
        <f t="shared" ca="1" si="66"/>
        <v>0.56224808323525088</v>
      </c>
      <c r="G2122" s="3">
        <f t="shared" ca="1" si="67"/>
        <v>5.4858165861708645</v>
      </c>
      <c r="H2122" s="2"/>
      <c r="I2122" s="2"/>
      <c r="J2122" s="2"/>
      <c r="K2122" s="2"/>
    </row>
    <row r="2123" spans="5:11" x14ac:dyDescent="0.25">
      <c r="E2123" s="3">
        <f t="shared" ca="1" si="66"/>
        <v>0.34493274229245607</v>
      </c>
      <c r="F2123" s="3">
        <f t="shared" ca="1" si="66"/>
        <v>0.74968442849068906</v>
      </c>
      <c r="G2123" s="3">
        <f t="shared" ca="1" si="67"/>
        <v>8.908751174556647</v>
      </c>
      <c r="H2123" s="2"/>
      <c r="I2123" s="2"/>
      <c r="J2123" s="2"/>
      <c r="K2123" s="2"/>
    </row>
    <row r="2124" spans="5:11" x14ac:dyDescent="0.25">
      <c r="E2124" s="3">
        <f t="shared" ca="1" si="66"/>
        <v>0.42797963250174309</v>
      </c>
      <c r="F2124" s="3">
        <f t="shared" ca="1" si="66"/>
        <v>5.0447540587885698E-3</v>
      </c>
      <c r="G2124" s="3">
        <f t="shared" ca="1" si="67"/>
        <v>8.9646380016501919</v>
      </c>
      <c r="H2124" s="2"/>
      <c r="I2124" s="2"/>
      <c r="J2124" s="2"/>
      <c r="K2124" s="2"/>
    </row>
    <row r="2125" spans="5:11" x14ac:dyDescent="0.25">
      <c r="E2125" s="3">
        <f t="shared" ca="1" si="66"/>
        <v>0.12133636876723386</v>
      </c>
      <c r="F2125" s="3">
        <f t="shared" ca="1" si="66"/>
        <v>0.19424188644392193</v>
      </c>
      <c r="G2125" s="3">
        <f t="shared" ca="1" si="67"/>
        <v>8.0835765951270684</v>
      </c>
      <c r="H2125" s="2"/>
      <c r="I2125" s="2"/>
      <c r="J2125" s="2"/>
      <c r="K2125" s="2"/>
    </row>
    <row r="2126" spans="5:11" x14ac:dyDescent="0.25">
      <c r="E2126" s="3">
        <f t="shared" ca="1" si="66"/>
        <v>0.49022179939558319</v>
      </c>
      <c r="F2126" s="3">
        <f t="shared" ca="1" si="66"/>
        <v>0.27134798993102716</v>
      </c>
      <c r="G2126" s="3">
        <f t="shared" ca="1" si="67"/>
        <v>2.760020646709537</v>
      </c>
      <c r="H2126" s="2"/>
      <c r="I2126" s="2"/>
      <c r="J2126" s="2"/>
      <c r="K2126" s="2"/>
    </row>
    <row r="2127" spans="5:11" x14ac:dyDescent="0.25">
      <c r="E2127" s="3">
        <f t="shared" ca="1" si="66"/>
        <v>0.40308950972362612</v>
      </c>
      <c r="F2127" s="3">
        <f t="shared" ca="1" si="66"/>
        <v>0.41224433612132316</v>
      </c>
      <c r="G2127" s="3">
        <f t="shared" ca="1" si="67"/>
        <v>4.8288951613850024</v>
      </c>
      <c r="H2127" s="2"/>
      <c r="I2127" s="2"/>
      <c r="J2127" s="2"/>
      <c r="K2127" s="2"/>
    </row>
    <row r="2128" spans="5:11" x14ac:dyDescent="0.25">
      <c r="E2128" s="3">
        <f t="shared" ca="1" si="66"/>
        <v>0.76512090580476333</v>
      </c>
      <c r="F2128" s="3">
        <f t="shared" ca="1" si="66"/>
        <v>0.2717420593922022</v>
      </c>
      <c r="G2128" s="3">
        <f t="shared" ca="1" si="67"/>
        <v>1.9847200457828476</v>
      </c>
      <c r="H2128" s="2"/>
      <c r="I2128" s="2"/>
      <c r="J2128" s="2"/>
      <c r="K2128" s="2"/>
    </row>
    <row r="2129" spans="5:11" x14ac:dyDescent="0.25">
      <c r="E2129" s="3">
        <f t="shared" ca="1" si="66"/>
        <v>1.8759196996458338E-2</v>
      </c>
      <c r="F2129" s="3">
        <f t="shared" ca="1" si="66"/>
        <v>0.16922649626856401</v>
      </c>
      <c r="G2129" s="3">
        <f t="shared" ca="1" si="67"/>
        <v>12.644710133442842</v>
      </c>
      <c r="H2129" s="2"/>
      <c r="I2129" s="2"/>
      <c r="J2129" s="2"/>
      <c r="K2129" s="2"/>
    </row>
    <row r="2130" spans="5:11" x14ac:dyDescent="0.25">
      <c r="E2130" s="3">
        <f t="shared" ca="1" si="66"/>
        <v>0.76888341165437057</v>
      </c>
      <c r="F2130" s="3">
        <f t="shared" ca="1" si="66"/>
        <v>0.39585601955068073</v>
      </c>
      <c r="G2130" s="3">
        <f t="shared" ca="1" si="67"/>
        <v>3.4612561767258274</v>
      </c>
      <c r="H2130" s="2"/>
      <c r="I2130" s="2"/>
      <c r="J2130" s="2"/>
      <c r="K2130" s="2"/>
    </row>
    <row r="2131" spans="5:11" x14ac:dyDescent="0.25">
      <c r="E2131" s="3">
        <f t="shared" ca="1" si="66"/>
        <v>0.65400992630851928</v>
      </c>
      <c r="F2131" s="3">
        <f t="shared" ca="1" si="66"/>
        <v>0.52446454440373025</v>
      </c>
      <c r="G2131" s="3">
        <f t="shared" ca="1" si="67"/>
        <v>4.7838380106064573</v>
      </c>
      <c r="H2131" s="2"/>
      <c r="I2131" s="2"/>
      <c r="J2131" s="2"/>
      <c r="K2131" s="2"/>
    </row>
    <row r="2132" spans="5:11" x14ac:dyDescent="0.25">
      <c r="E2132" s="3">
        <f t="shared" ca="1" si="66"/>
        <v>0.14667171105202481</v>
      </c>
      <c r="F2132" s="3">
        <f t="shared" ca="1" si="66"/>
        <v>0.82622533264445064</v>
      </c>
      <c r="G2132" s="3">
        <f t="shared" ca="1" si="67"/>
        <v>11.840439645968713</v>
      </c>
      <c r="H2132" s="2"/>
      <c r="I2132" s="2"/>
      <c r="J2132" s="2"/>
      <c r="K2132" s="2"/>
    </row>
    <row r="2133" spans="5:11" x14ac:dyDescent="0.25">
      <c r="E2133" s="3">
        <f t="shared" ca="1" si="66"/>
        <v>0.55599594078605252</v>
      </c>
      <c r="F2133" s="3">
        <f t="shared" ca="1" si="66"/>
        <v>0.72166739380690581</v>
      </c>
      <c r="G2133" s="3">
        <f t="shared" ca="1" si="67"/>
        <v>7.5665858970481565</v>
      </c>
      <c r="H2133" s="2"/>
      <c r="I2133" s="2"/>
      <c r="J2133" s="2"/>
      <c r="K2133" s="2"/>
    </row>
    <row r="2134" spans="5:11" x14ac:dyDescent="0.25">
      <c r="E2134" s="3">
        <f t="shared" ca="1" si="66"/>
        <v>0.64750367469227976</v>
      </c>
      <c r="F2134" s="3">
        <f t="shared" ca="1" si="66"/>
        <v>0.8318963264683098</v>
      </c>
      <c r="G2134" s="3">
        <f t="shared" ca="1" si="67"/>
        <v>9.2849155224655551</v>
      </c>
      <c r="H2134" s="2"/>
      <c r="I2134" s="2"/>
      <c r="J2134" s="2"/>
      <c r="K2134" s="2"/>
    </row>
    <row r="2135" spans="5:11" x14ac:dyDescent="0.25">
      <c r="E2135" s="3">
        <f t="shared" ca="1" si="66"/>
        <v>0.54715761788330342</v>
      </c>
      <c r="F2135" s="3">
        <f t="shared" ca="1" si="66"/>
        <v>0.63798458862541596</v>
      </c>
      <c r="G2135" s="3">
        <f t="shared" ca="1" si="67"/>
        <v>6.4494615521365759</v>
      </c>
      <c r="H2135" s="2"/>
      <c r="I2135" s="2"/>
      <c r="J2135" s="2"/>
      <c r="K2135" s="2"/>
    </row>
    <row r="2136" spans="5:11" x14ac:dyDescent="0.25">
      <c r="E2136" s="3">
        <f t="shared" ca="1" si="66"/>
        <v>0.95248403477426491</v>
      </c>
      <c r="F2136" s="3">
        <f t="shared" ca="1" si="66"/>
        <v>0.59787336835460003</v>
      </c>
      <c r="G2136" s="3">
        <f t="shared" ca="1" si="67"/>
        <v>8.3599046004196111</v>
      </c>
      <c r="H2136" s="2"/>
      <c r="I2136" s="2"/>
      <c r="J2136" s="2"/>
      <c r="K2136" s="2"/>
    </row>
    <row r="2137" spans="5:11" x14ac:dyDescent="0.25">
      <c r="E2137" s="3">
        <f t="shared" ca="1" si="66"/>
        <v>0.27413647155909637</v>
      </c>
      <c r="F2137" s="3">
        <f t="shared" ca="1" si="66"/>
        <v>0.8785602177467936</v>
      </c>
      <c r="G2137" s="3">
        <f t="shared" ca="1" si="67"/>
        <v>11.565334327618313</v>
      </c>
      <c r="H2137" s="2"/>
      <c r="I2137" s="2"/>
      <c r="J2137" s="2"/>
      <c r="K2137" s="2"/>
    </row>
    <row r="2138" spans="5:11" x14ac:dyDescent="0.25">
      <c r="E2138" s="3">
        <f t="shared" ca="1" si="66"/>
        <v>0.74920207732963595</v>
      </c>
      <c r="F2138" s="3">
        <f t="shared" ca="1" si="66"/>
        <v>0.73010470532224603</v>
      </c>
      <c r="G2138" s="3">
        <f t="shared" ca="1" si="67"/>
        <v>7.6183402529232191</v>
      </c>
      <c r="H2138" s="2"/>
      <c r="I2138" s="2"/>
      <c r="J2138" s="2"/>
      <c r="K2138" s="2"/>
    </row>
    <row r="2139" spans="5:11" x14ac:dyDescent="0.25">
      <c r="E2139" s="3">
        <f t="shared" ca="1" si="66"/>
        <v>0.30225621586903939</v>
      </c>
      <c r="F2139" s="3">
        <f t="shared" ca="1" si="66"/>
        <v>0.62649541179736568</v>
      </c>
      <c r="G2139" s="3">
        <f t="shared" ca="1" si="67"/>
        <v>7.767271739853487</v>
      </c>
      <c r="H2139" s="2"/>
      <c r="I2139" s="2"/>
      <c r="J2139" s="2"/>
      <c r="K2139" s="2"/>
    </row>
    <row r="2140" spans="5:11" x14ac:dyDescent="0.25">
      <c r="E2140" s="3">
        <f t="shared" ca="1" si="66"/>
        <v>1.493840377615463E-3</v>
      </c>
      <c r="F2140" s="3">
        <f t="shared" ca="1" si="66"/>
        <v>0.38780738336129439</v>
      </c>
      <c r="G2140" s="3">
        <f t="shared" ca="1" si="67"/>
        <v>17.354567161400425</v>
      </c>
      <c r="H2140" s="2"/>
      <c r="I2140" s="2"/>
      <c r="J2140" s="2"/>
      <c r="K2140" s="2"/>
    </row>
    <row r="2141" spans="5:11" x14ac:dyDescent="0.25">
      <c r="E2141" s="3">
        <f t="shared" ca="1" si="66"/>
        <v>0.74317026250277352</v>
      </c>
      <c r="F2141" s="3">
        <f t="shared" ca="1" si="66"/>
        <v>0.58100294380447171</v>
      </c>
      <c r="G2141" s="3">
        <f t="shared" ca="1" si="67"/>
        <v>5.5871800773682194</v>
      </c>
      <c r="H2141" s="2"/>
      <c r="I2141" s="2"/>
      <c r="J2141" s="2"/>
      <c r="K2141" s="2"/>
    </row>
    <row r="2142" spans="5:11" x14ac:dyDescent="0.25">
      <c r="E2142" s="3">
        <f t="shared" ca="1" si="66"/>
        <v>0.75861292902081967</v>
      </c>
      <c r="F2142" s="3">
        <f t="shared" ca="1" si="66"/>
        <v>0.44728480402798909</v>
      </c>
      <c r="G2142" s="3">
        <f t="shared" ca="1" si="67"/>
        <v>4.0132326711793436</v>
      </c>
      <c r="H2142" s="2"/>
      <c r="I2142" s="2"/>
      <c r="J2142" s="2"/>
      <c r="K2142" s="2"/>
    </row>
    <row r="2143" spans="5:11" x14ac:dyDescent="0.25">
      <c r="E2143" s="3">
        <f t="shared" ca="1" si="66"/>
        <v>0.6224098488864036</v>
      </c>
      <c r="F2143" s="3">
        <f t="shared" ca="1" si="66"/>
        <v>0.87400105269425399</v>
      </c>
      <c r="G2143" s="3">
        <f t="shared" ca="1" si="67"/>
        <v>10.220266808909859</v>
      </c>
      <c r="H2143" s="2"/>
      <c r="I2143" s="2"/>
      <c r="J2143" s="2"/>
      <c r="K2143" s="2"/>
    </row>
    <row r="2144" spans="5:11" x14ac:dyDescent="0.25">
      <c r="E2144" s="3">
        <f t="shared" ca="1" si="66"/>
        <v>0.20415667841630769</v>
      </c>
      <c r="F2144" s="3">
        <f t="shared" ca="1" si="66"/>
        <v>3.3734386375332437E-2</v>
      </c>
      <c r="G2144" s="3">
        <f t="shared" ca="1" si="67"/>
        <v>7.9038565602526374</v>
      </c>
      <c r="H2144" s="2"/>
      <c r="I2144" s="2"/>
      <c r="J2144" s="2"/>
      <c r="K2144" s="2"/>
    </row>
    <row r="2145" spans="5:11" x14ac:dyDescent="0.25">
      <c r="E2145" s="3">
        <f t="shared" ca="1" si="66"/>
        <v>0.46239098104081822</v>
      </c>
      <c r="F2145" s="3">
        <f t="shared" ca="1" si="66"/>
        <v>0.88762768484465471</v>
      </c>
      <c r="G2145" s="3">
        <f t="shared" ca="1" si="67"/>
        <v>10.883444570148074</v>
      </c>
      <c r="H2145" s="2"/>
      <c r="I2145" s="2"/>
      <c r="J2145" s="2"/>
      <c r="K2145" s="2"/>
    </row>
    <row r="2146" spans="5:11" x14ac:dyDescent="0.25">
      <c r="E2146" s="3">
        <f t="shared" ca="1" si="66"/>
        <v>0.81333425646778335</v>
      </c>
      <c r="F2146" s="3">
        <f t="shared" ca="1" si="66"/>
        <v>0.97326343546317062</v>
      </c>
      <c r="G2146" s="3">
        <f t="shared" ca="1" si="67"/>
        <v>14.297359727823714</v>
      </c>
      <c r="H2146" s="2"/>
      <c r="I2146" s="2"/>
      <c r="J2146" s="2"/>
      <c r="K2146" s="2"/>
    </row>
    <row r="2147" spans="5:11" x14ac:dyDescent="0.25">
      <c r="E2147" s="3">
        <f t="shared" ca="1" si="66"/>
        <v>3.2273126872752966E-2</v>
      </c>
      <c r="F2147" s="3">
        <f t="shared" ca="1" si="66"/>
        <v>0.15414883438567117</v>
      </c>
      <c r="G2147" s="3">
        <f t="shared" ca="1" si="67"/>
        <v>11.499251406807465</v>
      </c>
      <c r="H2147" s="2"/>
      <c r="I2147" s="2"/>
      <c r="J2147" s="2"/>
      <c r="K2147" s="2"/>
    </row>
    <row r="2148" spans="5:11" x14ac:dyDescent="0.25">
      <c r="E2148" s="3">
        <f t="shared" ca="1" si="66"/>
        <v>0.49224157861929552</v>
      </c>
      <c r="F2148" s="3">
        <f t="shared" ca="1" si="66"/>
        <v>0.51998297405572003</v>
      </c>
      <c r="G2148" s="3">
        <f t="shared" ca="1" si="67"/>
        <v>5.2676278375257244</v>
      </c>
      <c r="H2148" s="2"/>
      <c r="I2148" s="2"/>
      <c r="J2148" s="2"/>
      <c r="K2148" s="2"/>
    </row>
    <row r="2149" spans="5:11" x14ac:dyDescent="0.25">
      <c r="E2149" s="3">
        <f t="shared" ca="1" si="66"/>
        <v>0.10969469309117563</v>
      </c>
      <c r="F2149" s="3">
        <f t="shared" ca="1" si="66"/>
        <v>0.1612616087930302</v>
      </c>
      <c r="G2149" s="3">
        <f t="shared" ca="1" si="67"/>
        <v>8.3946665967593113</v>
      </c>
      <c r="H2149" s="2"/>
      <c r="I2149" s="2"/>
      <c r="J2149" s="2"/>
      <c r="K2149" s="2"/>
    </row>
    <row r="2150" spans="5:11" x14ac:dyDescent="0.25">
      <c r="E2150" s="3">
        <f t="shared" ca="1" si="66"/>
        <v>0.39589990240050998</v>
      </c>
      <c r="F2150" s="3">
        <f t="shared" ca="1" si="66"/>
        <v>0.54897949048239802</v>
      </c>
      <c r="G2150" s="3">
        <f t="shared" ca="1" si="67"/>
        <v>6.2077855017310775</v>
      </c>
      <c r="H2150" s="2"/>
      <c r="I2150" s="2"/>
      <c r="J2150" s="2"/>
      <c r="K2150" s="2"/>
    </row>
    <row r="2151" spans="5:11" x14ac:dyDescent="0.25">
      <c r="E2151" s="3">
        <f t="shared" ca="1" si="66"/>
        <v>1.2262820478415315E-2</v>
      </c>
      <c r="F2151" s="3">
        <f t="shared" ca="1" si="66"/>
        <v>0.93382656539128284</v>
      </c>
      <c r="G2151" s="3">
        <f t="shared" ca="1" si="67"/>
        <v>18.047057645623461</v>
      </c>
      <c r="H2151" s="2"/>
      <c r="I2151" s="2"/>
      <c r="J2151" s="2"/>
      <c r="K2151" s="2"/>
    </row>
    <row r="2152" spans="5:11" x14ac:dyDescent="0.25">
      <c r="E2152" s="3">
        <f t="shared" ca="1" si="66"/>
        <v>0.74774345562435751</v>
      </c>
      <c r="F2152" s="3">
        <f t="shared" ca="1" si="66"/>
        <v>0.3719051526069288</v>
      </c>
      <c r="G2152" s="3">
        <f t="shared" ca="1" si="67"/>
        <v>3.040580932271991</v>
      </c>
      <c r="H2152" s="2"/>
      <c r="I2152" s="2"/>
      <c r="J2152" s="2"/>
      <c r="K2152" s="2"/>
    </row>
    <row r="2153" spans="5:11" x14ac:dyDescent="0.25">
      <c r="E2153" s="3">
        <f t="shared" ca="1" si="66"/>
        <v>1.5264597063185947E-3</v>
      </c>
      <c r="F2153" s="3">
        <f t="shared" ca="1" si="66"/>
        <v>0.73242099923620052</v>
      </c>
      <c r="G2153" s="3">
        <f t="shared" ca="1" si="67"/>
        <v>18.657232619157401</v>
      </c>
      <c r="H2153" s="2"/>
      <c r="I2153" s="2"/>
      <c r="J2153" s="2"/>
      <c r="K2153" s="2"/>
    </row>
    <row r="2154" spans="5:11" x14ac:dyDescent="0.25">
      <c r="E2154" s="3">
        <f t="shared" ca="1" si="66"/>
        <v>0.73333479779730715</v>
      </c>
      <c r="F2154" s="3">
        <f t="shared" ca="1" si="66"/>
        <v>3.994253248585633E-2</v>
      </c>
      <c r="G2154" s="3">
        <f t="shared" ca="1" si="67"/>
        <v>4.3750293970963821</v>
      </c>
      <c r="H2154" s="2"/>
      <c r="I2154" s="2"/>
      <c r="J2154" s="2"/>
      <c r="K2154" s="2"/>
    </row>
    <row r="2155" spans="5:11" x14ac:dyDescent="0.25">
      <c r="E2155" s="3">
        <f t="shared" ca="1" si="66"/>
        <v>0.95918488016153924</v>
      </c>
      <c r="F2155" s="3">
        <f t="shared" ca="1" si="66"/>
        <v>0.54078322747499974</v>
      </c>
      <c r="G2155" s="3">
        <f t="shared" ca="1" si="67"/>
        <v>8.1628216092084127</v>
      </c>
      <c r="H2155" s="2"/>
      <c r="I2155" s="2"/>
      <c r="J2155" s="2"/>
      <c r="K2155" s="2"/>
    </row>
    <row r="2156" spans="5:11" x14ac:dyDescent="0.25">
      <c r="E2156" s="3">
        <f t="shared" ca="1" si="66"/>
        <v>9.7865865406644881E-2</v>
      </c>
      <c r="F2156" s="3">
        <f t="shared" ca="1" si="66"/>
        <v>0.24065946913568592</v>
      </c>
      <c r="G2156" s="3">
        <f t="shared" ca="1" si="67"/>
        <v>8.7609660510902927</v>
      </c>
      <c r="H2156" s="2"/>
      <c r="I2156" s="2"/>
      <c r="J2156" s="2"/>
      <c r="K2156" s="2"/>
    </row>
    <row r="2157" spans="5:11" x14ac:dyDescent="0.25">
      <c r="E2157" s="3">
        <f t="shared" ca="1" si="66"/>
        <v>0.70645405043573528</v>
      </c>
      <c r="F2157" s="3">
        <f t="shared" ca="1" si="66"/>
        <v>0.11733541886276388</v>
      </c>
      <c r="G2157" s="3">
        <f t="shared" ca="1" si="67"/>
        <v>1.5467894321794704</v>
      </c>
      <c r="H2157" s="2"/>
      <c r="I2157" s="2"/>
      <c r="J2157" s="2"/>
      <c r="K2157" s="2"/>
    </row>
    <row r="2158" spans="5:11" x14ac:dyDescent="0.25">
      <c r="E2158" s="3">
        <f t="shared" ca="1" si="66"/>
        <v>0.77502751465840902</v>
      </c>
      <c r="F2158" s="3">
        <f t="shared" ca="1" si="66"/>
        <v>0.78527192200261453</v>
      </c>
      <c r="G2158" s="3">
        <f t="shared" ca="1" si="67"/>
        <v>8.5597501924222463</v>
      </c>
      <c r="H2158" s="2"/>
      <c r="I2158" s="2"/>
      <c r="J2158" s="2"/>
      <c r="K2158" s="2"/>
    </row>
    <row r="2159" spans="5:11" x14ac:dyDescent="0.25">
      <c r="E2159" s="3">
        <f t="shared" ca="1" si="66"/>
        <v>0.73126114209743753</v>
      </c>
      <c r="F2159" s="3">
        <f t="shared" ca="1" si="66"/>
        <v>0.12058875076812769</v>
      </c>
      <c r="G2159" s="3">
        <f t="shared" ca="1" si="67"/>
        <v>1.6257671149341766</v>
      </c>
      <c r="H2159" s="2"/>
      <c r="I2159" s="2"/>
      <c r="J2159" s="2"/>
      <c r="K2159" s="2"/>
    </row>
    <row r="2160" spans="5:11" x14ac:dyDescent="0.25">
      <c r="E2160" s="3">
        <f t="shared" ca="1" si="66"/>
        <v>0.17392211129721247</v>
      </c>
      <c r="F2160" s="3">
        <f t="shared" ca="1" si="66"/>
        <v>0.44543670347201736</v>
      </c>
      <c r="G2160" s="3">
        <f t="shared" ca="1" si="67"/>
        <v>7.8995295806651304</v>
      </c>
      <c r="H2160" s="2"/>
      <c r="I2160" s="2"/>
      <c r="J2160" s="2"/>
      <c r="K2160" s="2"/>
    </row>
  </sheetData>
  <mergeCells count="2">
    <mergeCell ref="I10:J10"/>
    <mergeCell ref="I16:J1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8" tint="-0.249977111117893"/>
  </sheetPr>
  <dimension ref="B2:V2160"/>
  <sheetViews>
    <sheetView zoomScale="90" zoomScaleNormal="90" workbookViewId="0">
      <selection activeCell="G3" sqref="G3"/>
    </sheetView>
  </sheetViews>
  <sheetFormatPr baseColWidth="10" defaultRowHeight="15" x14ac:dyDescent="0.25"/>
  <cols>
    <col min="1" max="1" width="4.28515625" style="2" customWidth="1"/>
    <col min="2" max="2" width="13.28515625" style="2" bestFit="1" customWidth="1"/>
    <col min="3" max="3" width="11.42578125" style="2"/>
    <col min="4" max="4" width="13" style="2" bestFit="1" customWidth="1"/>
    <col min="5" max="5" width="11.42578125" style="2"/>
    <col min="6" max="6" width="9.85546875" style="2" customWidth="1"/>
    <col min="7" max="7" width="22.5703125" style="2" bestFit="1" customWidth="1"/>
    <col min="8" max="8" width="13.5703125" style="2" bestFit="1" customWidth="1"/>
    <col min="9" max="9" width="19" style="2" bestFit="1" customWidth="1"/>
    <col min="10" max="10" width="11.85546875" style="2" customWidth="1"/>
    <col min="11" max="11" width="17.7109375" style="2" bestFit="1" customWidth="1"/>
    <col min="12" max="13" width="18.7109375" style="2" bestFit="1" customWidth="1"/>
    <col min="14" max="14" width="13.5703125" style="2" bestFit="1" customWidth="1"/>
    <col min="15" max="16" width="16.42578125" style="2" bestFit="1" customWidth="1"/>
    <col min="17" max="18" width="11.42578125" style="2"/>
    <col min="19" max="19" width="22.85546875" style="2" bestFit="1" customWidth="1"/>
    <col min="20" max="20" width="17.7109375" style="2" bestFit="1" customWidth="1"/>
    <col min="21" max="21" width="18.7109375" style="2" bestFit="1" customWidth="1"/>
    <col min="22" max="16384" width="11.42578125" style="2"/>
  </cols>
  <sheetData>
    <row r="2" spans="2:22" x14ac:dyDescent="0.25">
      <c r="B2" s="1" t="s">
        <v>0</v>
      </c>
      <c r="C2" s="1" t="s">
        <v>1</v>
      </c>
      <c r="D2"/>
      <c r="E2"/>
      <c r="G2" s="1" t="s">
        <v>20</v>
      </c>
      <c r="H2" s="4" t="s">
        <v>21</v>
      </c>
      <c r="I2" s="4" t="s">
        <v>22</v>
      </c>
      <c r="K2" s="1" t="s">
        <v>2</v>
      </c>
      <c r="L2" s="1" t="s">
        <v>3</v>
      </c>
      <c r="M2" s="1" t="s">
        <v>4</v>
      </c>
      <c r="N2" s="2">
        <f>PI()</f>
        <v>3.1415926535897931</v>
      </c>
      <c r="O2" s="4" t="s">
        <v>23</v>
      </c>
      <c r="P2" s="4" t="s">
        <v>24</v>
      </c>
      <c r="Q2" s="4" t="s">
        <v>25</v>
      </c>
      <c r="S2" s="4" t="s">
        <v>2</v>
      </c>
      <c r="T2" s="4" t="s">
        <v>3</v>
      </c>
      <c r="U2" s="4" t="s">
        <v>4</v>
      </c>
    </row>
    <row r="3" spans="2:22" x14ac:dyDescent="0.25">
      <c r="B3" s="3" t="s">
        <v>13</v>
      </c>
      <c r="C3" s="3">
        <v>5</v>
      </c>
      <c r="D3" s="5"/>
      <c r="E3" s="5"/>
      <c r="G3" s="3">
        <f ca="1">VLOOKUP(RAND(),$B$9:$C$169,2,TRUE)</f>
        <v>1</v>
      </c>
      <c r="H3" s="3">
        <f ca="1">_xlfn.CHISQ.INV(RAND(),2*G3+2)</f>
        <v>4.4017543394140262</v>
      </c>
      <c r="I3" s="3">
        <f ca="1">$C$4*SQRT(H3)</f>
        <v>10.490179144578544</v>
      </c>
      <c r="K3" s="3" t="s">
        <v>5</v>
      </c>
      <c r="L3" s="3">
        <f ca="1">AVERAGE(I3:I2160)</f>
        <v>7.7398710799031765</v>
      </c>
      <c r="M3" s="3"/>
      <c r="O3" s="3">
        <f ca="1">_xlfn.NORM.INV(RAND(),$C$3*COS($N$2),$C$4)</f>
        <v>-11.400078296483244</v>
      </c>
      <c r="P3" s="3">
        <f ca="1">_xlfn.NORM.INV(RAND(),$C$3*SIN($N$2),$C$4)</f>
        <v>-1.5968997171320678</v>
      </c>
      <c r="Q3" s="3">
        <f ca="1">SQRT(O3^2+P3^2)</f>
        <v>11.511380189730716</v>
      </c>
      <c r="S3" s="3" t="s">
        <v>5</v>
      </c>
      <c r="T3" s="3">
        <f ca="1">AVERAGE(Q3:Q2160)</f>
        <v>7.7717047481825166</v>
      </c>
      <c r="U3" s="3"/>
      <c r="V3"/>
    </row>
    <row r="4" spans="2:22" x14ac:dyDescent="0.25">
      <c r="B4" s="3" t="s">
        <v>14</v>
      </c>
      <c r="C4" s="3">
        <v>5</v>
      </c>
      <c r="D4" s="5"/>
      <c r="E4" s="5"/>
      <c r="G4" s="3">
        <f t="shared" ref="G4:G67" ca="1" si="0">VLOOKUP(RAND(),$B$9:$C$169,2,TRUE)</f>
        <v>0</v>
      </c>
      <c r="H4" s="3">
        <f t="shared" ref="H4:H67" ca="1" si="1">_xlfn.CHISQ.INV(RAND(),2*G4+2)</f>
        <v>2.2436653483905546</v>
      </c>
      <c r="I4" s="3">
        <f t="shared" ref="I4:I67" ca="1" si="2">$C$4*SQRT(H4)</f>
        <v>7.4894348057623059</v>
      </c>
      <c r="K4" s="3" t="s">
        <v>6</v>
      </c>
      <c r="L4" s="3">
        <f ca="1">_xlfn.VAR.S(I3:I2160)</f>
        <v>14.837108561202069</v>
      </c>
      <c r="M4" s="3"/>
      <c r="O4" s="3">
        <f t="shared" ref="O4:O67" ca="1" si="3">_xlfn.NORM.INV(RAND(),$C$3*COS($N$2),$C$4)</f>
        <v>-2.0840503799254328</v>
      </c>
      <c r="P4" s="3">
        <f t="shared" ref="P4:P67" ca="1" si="4">_xlfn.NORM.INV(RAND(),$C$3*SIN($N$2),$C$4)</f>
        <v>9.852414133426441</v>
      </c>
      <c r="Q4" s="3">
        <f ca="1">SQRT(O4^2+P4^2)</f>
        <v>10.070418573356742</v>
      </c>
      <c r="S4" s="3" t="s">
        <v>6</v>
      </c>
      <c r="T4" s="3">
        <f ca="1">_xlfn.VAR.S(Q3:Q2160)</f>
        <v>15.154117474886382</v>
      </c>
      <c r="U4" s="3"/>
      <c r="V4"/>
    </row>
    <row r="5" spans="2:22" x14ac:dyDescent="0.25">
      <c r="G5" s="3">
        <f t="shared" ca="1" si="0"/>
        <v>0</v>
      </c>
      <c r="H5" s="3">
        <f t="shared" ca="1" si="1"/>
        <v>6.7289323792284899</v>
      </c>
      <c r="I5" s="3">
        <f t="shared" ca="1" si="2"/>
        <v>12.970092886356374</v>
      </c>
      <c r="K5" s="3" t="s">
        <v>7</v>
      </c>
      <c r="L5" s="3">
        <f ca="1">_xlfn.STDEV.S(I3:I2160)</f>
        <v>3.8518967485126168</v>
      </c>
      <c r="M5" s="3"/>
      <c r="O5" s="3">
        <f t="shared" ca="1" si="3"/>
        <v>-10.134805777979039</v>
      </c>
      <c r="P5" s="3">
        <f t="shared" ca="1" si="4"/>
        <v>1.1228079969664131</v>
      </c>
      <c r="Q5" s="3">
        <f t="shared" ref="Q5:Q67" ca="1" si="5">SQRT(O5^2+P5^2)</f>
        <v>10.196812538995166</v>
      </c>
      <c r="S5" s="3" t="s">
        <v>7</v>
      </c>
      <c r="T5" s="3">
        <f ca="1">_xlfn.STDEV.S(Q3:Q2160)</f>
        <v>3.8928289809451408</v>
      </c>
      <c r="U5" s="3"/>
      <c r="V5"/>
    </row>
    <row r="6" spans="2:22" x14ac:dyDescent="0.25">
      <c r="B6" s="6" t="s">
        <v>15</v>
      </c>
      <c r="C6" s="7">
        <f>(C3*C3)/(2*C4*C4)</f>
        <v>0.5</v>
      </c>
      <c r="D6" s="8"/>
      <c r="E6" s="8"/>
      <c r="G6" s="3">
        <f t="shared" ca="1" si="0"/>
        <v>0</v>
      </c>
      <c r="H6" s="3">
        <f t="shared" ca="1" si="1"/>
        <v>1.2322330383963802</v>
      </c>
      <c r="I6" s="3">
        <f t="shared" ca="1" si="2"/>
        <v>5.5502996279398742</v>
      </c>
      <c r="K6" s="3" t="s">
        <v>8</v>
      </c>
      <c r="L6" s="3">
        <f ca="1">SKEW(I3:I2160)</f>
        <v>0.52175565696702819</v>
      </c>
      <c r="M6" s="3"/>
      <c r="O6" s="3">
        <f t="shared" ca="1" si="3"/>
        <v>-5.842621614198948</v>
      </c>
      <c r="P6" s="3">
        <f t="shared" ca="1" si="4"/>
        <v>1.3186941901279599</v>
      </c>
      <c r="Q6" s="3">
        <f t="shared" ca="1" si="5"/>
        <v>5.9895894428401313</v>
      </c>
      <c r="S6" s="3" t="s">
        <v>8</v>
      </c>
      <c r="T6" s="3">
        <f ca="1">SKEW(Q3:Q2160)</f>
        <v>0.49053552144995111</v>
      </c>
      <c r="U6" s="3"/>
      <c r="V6"/>
    </row>
    <row r="7" spans="2:22" x14ac:dyDescent="0.25">
      <c r="B7" s="8"/>
      <c r="C7" s="8"/>
      <c r="D7" s="8"/>
      <c r="E7" s="8"/>
      <c r="G7" s="3">
        <f t="shared" ca="1" si="0"/>
        <v>0</v>
      </c>
      <c r="H7" s="3">
        <f t="shared" ca="1" si="1"/>
        <v>1.2822480295526164</v>
      </c>
      <c r="I7" s="3">
        <f t="shared" ca="1" si="2"/>
        <v>5.6618195607786204</v>
      </c>
      <c r="K7" s="3" t="s">
        <v>9</v>
      </c>
      <c r="L7" s="3">
        <f ca="1">L20/(L5^4)</f>
        <v>2.9031897748520219</v>
      </c>
      <c r="M7" s="3"/>
      <c r="O7" s="3">
        <f t="shared" ca="1" si="3"/>
        <v>4.1255241187375642</v>
      </c>
      <c r="P7" s="3">
        <f t="shared" ca="1" si="4"/>
        <v>3.0320818229317319</v>
      </c>
      <c r="Q7" s="3">
        <f t="shared" ca="1" si="5"/>
        <v>5.1199091237285028</v>
      </c>
      <c r="S7" s="3" t="s">
        <v>9</v>
      </c>
      <c r="T7" s="3">
        <f ca="1">T20/(T5^4)</f>
        <v>2.8908283103502965</v>
      </c>
      <c r="U7" s="3"/>
      <c r="V7"/>
    </row>
    <row r="8" spans="2:22" x14ac:dyDescent="0.25">
      <c r="B8" s="6" t="s">
        <v>16</v>
      </c>
      <c r="C8" s="6" t="s">
        <v>17</v>
      </c>
      <c r="D8" s="6" t="s">
        <v>18</v>
      </c>
      <c r="E8" s="6" t="s">
        <v>19</v>
      </c>
      <c r="G8" s="3">
        <f t="shared" ca="1" si="0"/>
        <v>0</v>
      </c>
      <c r="H8" s="3">
        <f t="shared" ca="1" si="1"/>
        <v>0.18925691690593074</v>
      </c>
      <c r="I8" s="3">
        <f t="shared" ca="1" si="2"/>
        <v>2.175183422759623</v>
      </c>
      <c r="K8" s="3" t="s">
        <v>10</v>
      </c>
      <c r="L8" s="3">
        <f ca="1">MEDIAN(I3:I2160)</f>
        <v>7.3242541015061811</v>
      </c>
      <c r="M8" s="3"/>
      <c r="O8" s="3">
        <f t="shared" ca="1" si="3"/>
        <v>-7.8324953899265459</v>
      </c>
      <c r="P8" s="3">
        <f t="shared" ca="1" si="4"/>
        <v>3.5228402603411877</v>
      </c>
      <c r="Q8" s="3">
        <f t="shared" ca="1" si="5"/>
        <v>8.5882703458322371</v>
      </c>
      <c r="S8" s="3" t="s">
        <v>10</v>
      </c>
      <c r="T8" s="3">
        <f ca="1">MEDIAN(Q3:Q2160)</f>
        <v>7.3512547573850933</v>
      </c>
      <c r="U8" s="3"/>
      <c r="V8"/>
    </row>
    <row r="9" spans="2:22" x14ac:dyDescent="0.25">
      <c r="B9" s="7">
        <f>0</f>
        <v>0</v>
      </c>
      <c r="C9" s="7">
        <v>0</v>
      </c>
      <c r="D9" s="7">
        <f>(EXP(-$C$6)*POWER($C$6,C9))/(FACT(C9))</f>
        <v>0.60653065971263342</v>
      </c>
      <c r="E9" s="7">
        <f>D9</f>
        <v>0.60653065971263342</v>
      </c>
      <c r="G9" s="3">
        <f t="shared" ca="1" si="0"/>
        <v>0</v>
      </c>
      <c r="H9" s="3">
        <f t="shared" ca="1" si="1"/>
        <v>5.7406323984504954</v>
      </c>
      <c r="I9" s="3">
        <f t="shared" ca="1" si="2"/>
        <v>11.979808427569383</v>
      </c>
      <c r="O9" s="3">
        <f t="shared" ca="1" si="3"/>
        <v>-9.6463628994040036</v>
      </c>
      <c r="P9" s="3">
        <f t="shared" ca="1" si="4"/>
        <v>3.8467965316783497</v>
      </c>
      <c r="Q9" s="3">
        <f t="shared" ca="1" si="5"/>
        <v>10.385093198577016</v>
      </c>
      <c r="V9"/>
    </row>
    <row r="10" spans="2:22" x14ac:dyDescent="0.25">
      <c r="B10" s="7">
        <f t="shared" ref="B10:B73" si="6">E9</f>
        <v>0.60653065971263342</v>
      </c>
      <c r="C10" s="7">
        <v>1</v>
      </c>
      <c r="D10" s="7">
        <f t="shared" ref="D10:D73" si="7">(EXP(-$C$6)*POWER($C$6,C10))/(FACT(C10))</f>
        <v>0.30326532985631671</v>
      </c>
      <c r="E10" s="7">
        <f t="shared" ref="E10:E73" si="8">E9+D10</f>
        <v>0.90979598956895014</v>
      </c>
      <c r="G10" s="3">
        <f t="shared" ca="1" si="0"/>
        <v>1</v>
      </c>
      <c r="H10" s="3">
        <f t="shared" ca="1" si="1"/>
        <v>1.45760018497914</v>
      </c>
      <c r="I10" s="3">
        <f t="shared" ca="1" si="2"/>
        <v>6.0365556921541366</v>
      </c>
      <c r="K10" s="9" t="s">
        <v>11</v>
      </c>
      <c r="L10" s="9"/>
      <c r="O10" s="3">
        <f t="shared" ca="1" si="3"/>
        <v>-0.65526237893244677</v>
      </c>
      <c r="P10" s="3">
        <f t="shared" ca="1" si="4"/>
        <v>-6.5255894081192087</v>
      </c>
      <c r="Q10" s="3">
        <f t="shared" ca="1" si="5"/>
        <v>6.5584057444322408</v>
      </c>
      <c r="S10" s="4" t="s">
        <v>11</v>
      </c>
      <c r="T10" s="4"/>
    </row>
    <row r="11" spans="2:22" x14ac:dyDescent="0.25">
      <c r="B11" s="7">
        <f t="shared" si="6"/>
        <v>0.90979598956895014</v>
      </c>
      <c r="C11" s="7">
        <v>2</v>
      </c>
      <c r="D11" s="7">
        <f t="shared" si="7"/>
        <v>7.5816332464079178E-2</v>
      </c>
      <c r="E11" s="7">
        <f t="shared" si="8"/>
        <v>0.98561232203302929</v>
      </c>
      <c r="G11" s="3">
        <f t="shared" ca="1" si="0"/>
        <v>0</v>
      </c>
      <c r="H11" s="3">
        <f t="shared" ca="1" si="1"/>
        <v>0.82699306652559679</v>
      </c>
      <c r="I11" s="3">
        <f t="shared" ca="1" si="2"/>
        <v>4.5469579570455583</v>
      </c>
      <c r="K11" s="3"/>
      <c r="L11" s="3">
        <f ca="1">SUMPRODUCT(I3:I2160)/COUNT(I3:I2160)</f>
        <v>7.7398710799031765</v>
      </c>
      <c r="O11" s="3">
        <f t="shared" ca="1" si="3"/>
        <v>-6.1997007531819941</v>
      </c>
      <c r="P11" s="3">
        <f t="shared" ca="1" si="4"/>
        <v>-0.96918080318241595</v>
      </c>
      <c r="Q11" s="3">
        <f t="shared" ca="1" si="5"/>
        <v>6.274998076355299</v>
      </c>
      <c r="S11" s="3"/>
      <c r="T11" s="3">
        <f ca="1">SUMPRODUCT(Q3:Q2160)/COUNT(Q3:Q2160)</f>
        <v>7.7717047481825166</v>
      </c>
    </row>
    <row r="12" spans="2:22" x14ac:dyDescent="0.25">
      <c r="B12" s="7">
        <f t="shared" si="6"/>
        <v>0.98561232203302929</v>
      </c>
      <c r="C12" s="7">
        <v>3</v>
      </c>
      <c r="D12" s="7">
        <f t="shared" si="7"/>
        <v>1.2636055410679864E-2</v>
      </c>
      <c r="E12" s="7">
        <f t="shared" si="8"/>
        <v>0.9982483774437092</v>
      </c>
      <c r="G12" s="3">
        <f t="shared" ca="1" si="0"/>
        <v>0</v>
      </c>
      <c r="H12" s="3">
        <f t="shared" ca="1" si="1"/>
        <v>1.0104159795563177</v>
      </c>
      <c r="I12" s="3">
        <f t="shared" ca="1" si="2"/>
        <v>5.0259724918574653</v>
      </c>
      <c r="K12" s="3"/>
      <c r="L12" s="3">
        <f ca="1">SUMPRODUCT(I3:I2160,I3:I2160)/COUNT(I3:I2160)</f>
        <v>74.735837496873216</v>
      </c>
      <c r="O12" s="3">
        <f t="shared" ca="1" si="3"/>
        <v>5.7566260329881906</v>
      </c>
      <c r="P12" s="3">
        <f t="shared" ca="1" si="4"/>
        <v>-0.64216904196771818</v>
      </c>
      <c r="Q12" s="3">
        <f t="shared" ca="1" si="5"/>
        <v>5.792333239907653</v>
      </c>
      <c r="S12" s="3"/>
      <c r="T12" s="3">
        <f ca="1">SUMPRODUCT(Q3:Q2160,Q3:Q2160)/COUNT(Q3:Q2160)</f>
        <v>75.546489870554709</v>
      </c>
    </row>
    <row r="13" spans="2:22" x14ac:dyDescent="0.25">
      <c r="B13" s="7">
        <f t="shared" si="6"/>
        <v>0.9982483774437092</v>
      </c>
      <c r="C13" s="7">
        <v>4</v>
      </c>
      <c r="D13" s="7">
        <f t="shared" si="7"/>
        <v>1.5795069263349829E-3</v>
      </c>
      <c r="E13" s="7">
        <f t="shared" si="8"/>
        <v>0.99982788437004422</v>
      </c>
      <c r="G13" s="3">
        <f t="shared" ca="1" si="0"/>
        <v>0</v>
      </c>
      <c r="H13" s="3">
        <f t="shared" ca="1" si="1"/>
        <v>0.3478868282868583</v>
      </c>
      <c r="I13" s="3">
        <f t="shared" ca="1" si="2"/>
        <v>2.9490965916991358</v>
      </c>
      <c r="K13" s="3"/>
      <c r="L13" s="3">
        <f ca="1">SUMPRODUCT(I3:I2160,I3:I2160,I3:I2160)/COUNT(I3:I2160)</f>
        <v>837.79135503470775</v>
      </c>
      <c r="O13" s="3">
        <f t="shared" ca="1" si="3"/>
        <v>-7.759905870513613</v>
      </c>
      <c r="P13" s="3">
        <f t="shared" ca="1" si="4"/>
        <v>2.1385235264273716</v>
      </c>
      <c r="Q13" s="3">
        <f t="shared" ca="1" si="5"/>
        <v>8.0491876603987187</v>
      </c>
      <c r="S13" s="3"/>
      <c r="T13" s="3">
        <f ca="1">SUMPRODUCT(Q3:Q2160,Q3:Q2160,Q3:Q2160)/COUNT(Q3:Q2160)</f>
        <v>851.4601624218609</v>
      </c>
    </row>
    <row r="14" spans="2:22" x14ac:dyDescent="0.25">
      <c r="B14" s="7">
        <f t="shared" si="6"/>
        <v>0.99982788437004422</v>
      </c>
      <c r="C14" s="7">
        <v>5</v>
      </c>
      <c r="D14" s="7">
        <f t="shared" si="7"/>
        <v>1.5795069263349829E-4</v>
      </c>
      <c r="E14" s="7">
        <f t="shared" si="8"/>
        <v>0.99998583506267769</v>
      </c>
      <c r="G14" s="3">
        <f t="shared" ca="1" si="0"/>
        <v>0</v>
      </c>
      <c r="H14" s="3">
        <f t="shared" ca="1" si="1"/>
        <v>1.3539620975875377</v>
      </c>
      <c r="I14" s="3">
        <f t="shared" ca="1" si="2"/>
        <v>5.817993850090291</v>
      </c>
      <c r="K14" s="3"/>
      <c r="L14" s="3">
        <f ca="1">SUMPRODUCT(I3:I2160,I3:I2160,I3:I2160,I3:I2160)/COUNT(I3:I2160)</f>
        <v>10480.167135957648</v>
      </c>
      <c r="O14" s="3">
        <f t="shared" ca="1" si="3"/>
        <v>-4.6121331545651367</v>
      </c>
      <c r="P14" s="3">
        <f t="shared" ca="1" si="4"/>
        <v>-3.1496683737426148</v>
      </c>
      <c r="Q14" s="3">
        <f t="shared" ca="1" si="5"/>
        <v>5.5849962488790812</v>
      </c>
      <c r="S14" s="3"/>
      <c r="T14" s="3">
        <f ca="1">SUMPRODUCT(Q3:Q2160,Q3:Q2160,Q3:Q2160,Q3:Q2160)/COUNT(Q3:Q2160)</f>
        <v>10699.545878539462</v>
      </c>
    </row>
    <row r="15" spans="2:22" x14ac:dyDescent="0.25">
      <c r="B15" s="7">
        <f t="shared" si="6"/>
        <v>0.99998583506267769</v>
      </c>
      <c r="C15" s="7">
        <v>6</v>
      </c>
      <c r="D15" s="7">
        <f t="shared" si="7"/>
        <v>1.316255771945819E-5</v>
      </c>
      <c r="E15" s="7">
        <f t="shared" si="8"/>
        <v>0.99999899762039712</v>
      </c>
      <c r="G15" s="3">
        <f t="shared" ca="1" si="0"/>
        <v>1</v>
      </c>
      <c r="H15" s="3">
        <f t="shared" ca="1" si="1"/>
        <v>7.9088736465968941</v>
      </c>
      <c r="I15" s="3">
        <f t="shared" ca="1" si="2"/>
        <v>14.061359861866929</v>
      </c>
      <c r="O15" s="3">
        <f t="shared" ca="1" si="3"/>
        <v>-5.1182655468822853</v>
      </c>
      <c r="P15" s="3">
        <f t="shared" ca="1" si="4"/>
        <v>6.1574105236950798</v>
      </c>
      <c r="Q15" s="3">
        <f t="shared" ca="1" si="5"/>
        <v>8.0068936901718093</v>
      </c>
    </row>
    <row r="16" spans="2:22" x14ac:dyDescent="0.25">
      <c r="B16" s="7">
        <f t="shared" si="6"/>
        <v>0.99999899762039712</v>
      </c>
      <c r="C16" s="7">
        <v>7</v>
      </c>
      <c r="D16" s="7">
        <f t="shared" si="7"/>
        <v>9.4018269424701357E-7</v>
      </c>
      <c r="E16" s="7">
        <f t="shared" si="8"/>
        <v>0.99999993780309138</v>
      </c>
      <c r="G16" s="3">
        <f t="shared" ca="1" si="0"/>
        <v>0</v>
      </c>
      <c r="H16" s="3">
        <f t="shared" ca="1" si="1"/>
        <v>4.2134384178032791</v>
      </c>
      <c r="I16" s="3">
        <f t="shared" ca="1" si="2"/>
        <v>10.26333086503022</v>
      </c>
      <c r="K16" s="9" t="s">
        <v>12</v>
      </c>
      <c r="L16" s="9"/>
      <c r="O16" s="3">
        <f t="shared" ca="1" si="3"/>
        <v>-4.8601740214944593</v>
      </c>
      <c r="P16" s="3">
        <f t="shared" ca="1" si="4"/>
        <v>2.0851439623928587</v>
      </c>
      <c r="Q16" s="3">
        <f t="shared" ca="1" si="5"/>
        <v>5.288583634879287</v>
      </c>
      <c r="S16" s="4" t="s">
        <v>12</v>
      </c>
      <c r="T16" s="4"/>
    </row>
    <row r="17" spans="2:20" x14ac:dyDescent="0.25">
      <c r="B17" s="7">
        <f t="shared" si="6"/>
        <v>0.99999993780309138</v>
      </c>
      <c r="C17" s="7">
        <v>8</v>
      </c>
      <c r="D17" s="7">
        <f t="shared" si="7"/>
        <v>5.8761418390438348E-8</v>
      </c>
      <c r="E17" s="7">
        <f t="shared" si="8"/>
        <v>0.99999999656450977</v>
      </c>
      <c r="G17" s="3">
        <f t="shared" ca="1" si="0"/>
        <v>0</v>
      </c>
      <c r="H17" s="3">
        <f t="shared" ca="1" si="1"/>
        <v>0.6929179717906635</v>
      </c>
      <c r="I17" s="3">
        <f t="shared" ca="1" si="2"/>
        <v>4.1620847294074377</v>
      </c>
      <c r="K17" s="3"/>
      <c r="L17" s="3">
        <v>0</v>
      </c>
      <c r="N17"/>
      <c r="O17" s="3">
        <f t="shared" ca="1" si="3"/>
        <v>-0.12172762434577677</v>
      </c>
      <c r="P17" s="3">
        <f t="shared" ca="1" si="4"/>
        <v>5.8480820185358455</v>
      </c>
      <c r="Q17" s="3">
        <f t="shared" ca="1" si="5"/>
        <v>5.8493487594817903</v>
      </c>
      <c r="S17" s="3"/>
      <c r="T17" s="3">
        <v>0</v>
      </c>
    </row>
    <row r="18" spans="2:20" x14ac:dyDescent="0.25">
      <c r="B18" s="7">
        <f t="shared" si="6"/>
        <v>0.99999999656450977</v>
      </c>
      <c r="C18" s="7">
        <v>9</v>
      </c>
      <c r="D18" s="7">
        <f t="shared" si="7"/>
        <v>3.2645232439132415E-9</v>
      </c>
      <c r="E18" s="7">
        <f t="shared" si="8"/>
        <v>0.99999999982903298</v>
      </c>
      <c r="G18" s="3">
        <f t="shared" ca="1" si="0"/>
        <v>0</v>
      </c>
      <c r="H18" s="3">
        <f t="shared" ca="1" si="1"/>
        <v>2.180384895223292</v>
      </c>
      <c r="I18" s="3">
        <f t="shared" ca="1" si="2"/>
        <v>7.3830632112005041</v>
      </c>
      <c r="K18" s="3"/>
      <c r="L18" s="3">
        <f ca="1">L12-L11^2</f>
        <v>14.83023316335165</v>
      </c>
      <c r="N18"/>
      <c r="O18" s="3">
        <f t="shared" ca="1" si="3"/>
        <v>-5.7698368959407906</v>
      </c>
      <c r="P18" s="3">
        <f t="shared" ca="1" si="4"/>
        <v>4.4086878168386479</v>
      </c>
      <c r="Q18" s="3">
        <f t="shared" ca="1" si="5"/>
        <v>7.2613735664887242</v>
      </c>
      <c r="S18" s="3"/>
      <c r="T18" s="3">
        <f ca="1">T12-T11^2</f>
        <v>15.147095177632039</v>
      </c>
    </row>
    <row r="19" spans="2:20" x14ac:dyDescent="0.25">
      <c r="B19" s="7">
        <f t="shared" si="6"/>
        <v>0.99999999982903298</v>
      </c>
      <c r="C19" s="7">
        <v>10</v>
      </c>
      <c r="D19" s="7">
        <f t="shared" si="7"/>
        <v>1.6322616219566209E-10</v>
      </c>
      <c r="E19" s="7">
        <f t="shared" si="8"/>
        <v>0.99999999999225919</v>
      </c>
      <c r="G19" s="3">
        <f t="shared" ca="1" si="0"/>
        <v>0</v>
      </c>
      <c r="H19" s="3">
        <f t="shared" ca="1" si="1"/>
        <v>3.488969971184789</v>
      </c>
      <c r="I19" s="3">
        <f t="shared" ca="1" si="2"/>
        <v>9.3393923399555128</v>
      </c>
      <c r="K19" s="3"/>
      <c r="L19" s="3">
        <f ca="1">L13-3*L11*L12+2*L11^3</f>
        <v>29.777422221822235</v>
      </c>
      <c r="N19"/>
      <c r="O19" s="3">
        <f t="shared" ca="1" si="3"/>
        <v>-0.77341050587411342</v>
      </c>
      <c r="P19" s="3">
        <f t="shared" ca="1" si="4"/>
        <v>0.58088305242300575</v>
      </c>
      <c r="Q19" s="3">
        <f t="shared" ca="1" si="5"/>
        <v>0.96725846142006966</v>
      </c>
      <c r="S19" s="3"/>
      <c r="T19" s="3">
        <f ca="1">T13-3*T11*T12+2*T11^3</f>
        <v>28.897645359997455</v>
      </c>
    </row>
    <row r="20" spans="2:20" x14ac:dyDescent="0.25">
      <c r="B20" s="7">
        <f t="shared" si="6"/>
        <v>0.99999999999225919</v>
      </c>
      <c r="C20" s="7">
        <v>11</v>
      </c>
      <c r="D20" s="7">
        <f t="shared" si="7"/>
        <v>7.4193710088937319E-12</v>
      </c>
      <c r="E20" s="7">
        <f t="shared" si="8"/>
        <v>0.99999999999967859</v>
      </c>
      <c r="G20" s="3">
        <f t="shared" ca="1" si="0"/>
        <v>0</v>
      </c>
      <c r="H20" s="3">
        <f t="shared" ca="1" si="1"/>
        <v>1.223062057674037</v>
      </c>
      <c r="I20" s="3">
        <f t="shared" ca="1" si="2"/>
        <v>5.5296068071654902</v>
      </c>
      <c r="K20" s="3"/>
      <c r="L20" s="3">
        <f ca="1">L14-4*L11*L13+6*(L11^2)*L12-3*(L11^4)</f>
        <v>639.10758869252641</v>
      </c>
      <c r="N20"/>
      <c r="O20" s="3">
        <f t="shared" ca="1" si="3"/>
        <v>-3.8728184187662293</v>
      </c>
      <c r="P20" s="3">
        <f t="shared" ca="1" si="4"/>
        <v>-1.8104928569105605</v>
      </c>
      <c r="Q20" s="3">
        <f t="shared" ca="1" si="5"/>
        <v>4.2751148393533382</v>
      </c>
      <c r="S20" s="3"/>
      <c r="T20" s="3">
        <f ca="1">T14-4*T11*T13+6*(T11^2)*T12-3*(T11^4)</f>
        <v>663.87084813527326</v>
      </c>
    </row>
    <row r="21" spans="2:20" x14ac:dyDescent="0.25">
      <c r="B21" s="7">
        <f t="shared" si="6"/>
        <v>0.99999999999967859</v>
      </c>
      <c r="C21" s="7">
        <v>12</v>
      </c>
      <c r="D21" s="7">
        <f t="shared" si="7"/>
        <v>3.0914045870390545E-13</v>
      </c>
      <c r="E21" s="7">
        <f t="shared" si="8"/>
        <v>0.99999999999998768</v>
      </c>
      <c r="G21" s="3">
        <f t="shared" ca="1" si="0"/>
        <v>1</v>
      </c>
      <c r="H21" s="3">
        <f t="shared" ca="1" si="1"/>
        <v>6.5590880813048997</v>
      </c>
      <c r="I21" s="3">
        <f t="shared" ca="1" si="2"/>
        <v>12.805358332847327</v>
      </c>
      <c r="N21"/>
      <c r="O21" s="3">
        <f t="shared" ca="1" si="3"/>
        <v>-6.3642830637184371</v>
      </c>
      <c r="P21" s="3">
        <f t="shared" ca="1" si="4"/>
        <v>11.995381868826948</v>
      </c>
      <c r="Q21" s="3">
        <f t="shared" ca="1" si="5"/>
        <v>13.579148909048595</v>
      </c>
    </row>
    <row r="22" spans="2:20" x14ac:dyDescent="0.25">
      <c r="B22" s="7">
        <f t="shared" si="6"/>
        <v>0.99999999999998768</v>
      </c>
      <c r="C22" s="7">
        <v>13</v>
      </c>
      <c r="D22" s="7">
        <f t="shared" si="7"/>
        <v>1.1890017642457903E-14</v>
      </c>
      <c r="E22" s="7">
        <f t="shared" si="8"/>
        <v>0.99999999999999956</v>
      </c>
      <c r="G22" s="3">
        <f t="shared" ca="1" si="0"/>
        <v>0</v>
      </c>
      <c r="H22" s="3">
        <f t="shared" ca="1" si="1"/>
        <v>2.9433574233331887</v>
      </c>
      <c r="I22" s="3">
        <f t="shared" ca="1" si="2"/>
        <v>8.5781079256051402</v>
      </c>
      <c r="N22"/>
      <c r="O22" s="3">
        <f t="shared" ca="1" si="3"/>
        <v>-4.4256016617349179</v>
      </c>
      <c r="P22" s="3">
        <f t="shared" ca="1" si="4"/>
        <v>-3.1679582941972653</v>
      </c>
      <c r="Q22" s="3">
        <f t="shared" ca="1" si="5"/>
        <v>5.4426013837248917</v>
      </c>
    </row>
    <row r="23" spans="2:20" x14ac:dyDescent="0.25">
      <c r="B23" s="7">
        <f t="shared" si="6"/>
        <v>0.99999999999999956</v>
      </c>
      <c r="C23" s="7">
        <v>14</v>
      </c>
      <c r="D23" s="7">
        <f t="shared" si="7"/>
        <v>4.246434872306394E-16</v>
      </c>
      <c r="E23" s="7">
        <f t="shared" si="8"/>
        <v>1</v>
      </c>
      <c r="G23" s="3">
        <f t="shared" ca="1" si="0"/>
        <v>1</v>
      </c>
      <c r="H23" s="3">
        <f t="shared" ca="1" si="1"/>
        <v>2.0536113990067606</v>
      </c>
      <c r="I23" s="3">
        <f t="shared" ca="1" si="2"/>
        <v>7.1652135331174192</v>
      </c>
      <c r="N23"/>
      <c r="O23" s="3">
        <f t="shared" ca="1" si="3"/>
        <v>-7.3461513870081108</v>
      </c>
      <c r="P23" s="3">
        <f t="shared" ca="1" si="4"/>
        <v>6.7691769343098303</v>
      </c>
      <c r="Q23" s="3">
        <f t="shared" ca="1" si="5"/>
        <v>9.9893791883596759</v>
      </c>
    </row>
    <row r="24" spans="2:20" x14ac:dyDescent="0.25">
      <c r="B24" s="7">
        <f t="shared" si="6"/>
        <v>1</v>
      </c>
      <c r="C24" s="7">
        <v>15</v>
      </c>
      <c r="D24" s="7">
        <f t="shared" si="7"/>
        <v>1.4154782907687979E-17</v>
      </c>
      <c r="E24" s="7">
        <f t="shared" si="8"/>
        <v>1</v>
      </c>
      <c r="G24" s="3">
        <f t="shared" ca="1" si="0"/>
        <v>0</v>
      </c>
      <c r="H24" s="3">
        <f t="shared" ca="1" si="1"/>
        <v>5.3947091771869555</v>
      </c>
      <c r="I24" s="3">
        <f t="shared" ca="1" si="2"/>
        <v>11.613256624636945</v>
      </c>
      <c r="N24"/>
      <c r="O24" s="3">
        <f t="shared" ca="1" si="3"/>
        <v>-4.3664410517550003</v>
      </c>
      <c r="P24" s="3">
        <f t="shared" ca="1" si="4"/>
        <v>0.56145868058795079</v>
      </c>
      <c r="Q24" s="3">
        <f t="shared" ca="1" si="5"/>
        <v>4.4023906356045774</v>
      </c>
    </row>
    <row r="25" spans="2:20" x14ac:dyDescent="0.25">
      <c r="B25" s="7">
        <f t="shared" si="6"/>
        <v>1</v>
      </c>
      <c r="C25" s="7">
        <v>16</v>
      </c>
      <c r="D25" s="7">
        <f t="shared" si="7"/>
        <v>4.4233696586524935E-19</v>
      </c>
      <c r="E25" s="7">
        <f t="shared" si="8"/>
        <v>1</v>
      </c>
      <c r="G25" s="3">
        <f t="shared" ca="1" si="0"/>
        <v>0</v>
      </c>
      <c r="H25" s="3">
        <f t="shared" ca="1" si="1"/>
        <v>1.7480806127194752</v>
      </c>
      <c r="I25" s="3">
        <f t="shared" ca="1" si="2"/>
        <v>6.6107499815064008</v>
      </c>
      <c r="N25"/>
      <c r="O25" s="3">
        <f t="shared" ca="1" si="3"/>
        <v>-12.720236880158421</v>
      </c>
      <c r="P25" s="3">
        <f t="shared" ca="1" si="4"/>
        <v>3.9062472712573419</v>
      </c>
      <c r="Q25" s="3">
        <f t="shared" ca="1" si="5"/>
        <v>13.306509460844639</v>
      </c>
    </row>
    <row r="26" spans="2:20" x14ac:dyDescent="0.25">
      <c r="B26" s="7">
        <f t="shared" si="6"/>
        <v>1</v>
      </c>
      <c r="C26" s="7">
        <v>17</v>
      </c>
      <c r="D26" s="7">
        <f t="shared" si="7"/>
        <v>1.3009910760742628E-20</v>
      </c>
      <c r="E26" s="7">
        <f t="shared" si="8"/>
        <v>1</v>
      </c>
      <c r="G26" s="3">
        <f t="shared" ca="1" si="0"/>
        <v>0</v>
      </c>
      <c r="H26" s="3">
        <f t="shared" ca="1" si="1"/>
        <v>0.86691434458364924</v>
      </c>
      <c r="I26" s="3">
        <f t="shared" ca="1" si="2"/>
        <v>4.6554117556443089</v>
      </c>
      <c r="N26"/>
      <c r="O26" s="3">
        <f t="shared" ca="1" si="3"/>
        <v>-3.719003697431738</v>
      </c>
      <c r="P26" s="3">
        <f t="shared" ca="1" si="4"/>
        <v>4.1232282437022763</v>
      </c>
      <c r="Q26" s="3">
        <f t="shared" ca="1" si="5"/>
        <v>5.5526569902322525</v>
      </c>
    </row>
    <row r="27" spans="2:20" x14ac:dyDescent="0.25">
      <c r="B27" s="7">
        <f t="shared" si="6"/>
        <v>1</v>
      </c>
      <c r="C27" s="7">
        <v>18</v>
      </c>
      <c r="D27" s="7">
        <f t="shared" si="7"/>
        <v>3.6138641002062856E-22</v>
      </c>
      <c r="E27" s="7">
        <f t="shared" si="8"/>
        <v>1</v>
      </c>
      <c r="G27" s="3">
        <f t="shared" ca="1" si="0"/>
        <v>0</v>
      </c>
      <c r="H27" s="3">
        <f t="shared" ca="1" si="1"/>
        <v>0.88090343206204325</v>
      </c>
      <c r="I27" s="3">
        <f t="shared" ca="1" si="2"/>
        <v>4.6928227967345073</v>
      </c>
      <c r="N27"/>
      <c r="O27" s="3">
        <f t="shared" ca="1" si="3"/>
        <v>-15.410936371975808</v>
      </c>
      <c r="P27" s="3">
        <f t="shared" ca="1" si="4"/>
        <v>9.63462992081568</v>
      </c>
      <c r="Q27" s="3">
        <f t="shared" ca="1" si="5"/>
        <v>18.174791706431289</v>
      </c>
    </row>
    <row r="28" spans="2:20" x14ac:dyDescent="0.25">
      <c r="B28" s="7">
        <f t="shared" si="6"/>
        <v>1</v>
      </c>
      <c r="C28" s="7">
        <v>19</v>
      </c>
      <c r="D28" s="7">
        <f t="shared" si="7"/>
        <v>9.5101686847533832E-24</v>
      </c>
      <c r="E28" s="7">
        <f t="shared" si="8"/>
        <v>1</v>
      </c>
      <c r="G28" s="3">
        <f t="shared" ca="1" si="0"/>
        <v>0</v>
      </c>
      <c r="H28" s="3">
        <f t="shared" ca="1" si="1"/>
        <v>3.9621164219884957</v>
      </c>
      <c r="I28" s="3">
        <f t="shared" ca="1" si="2"/>
        <v>9.9525328710691738</v>
      </c>
      <c r="N28"/>
      <c r="O28" s="3">
        <f t="shared" ca="1" si="3"/>
        <v>1.9040271306018761</v>
      </c>
      <c r="P28" s="3">
        <f t="shared" ca="1" si="4"/>
        <v>2.1377760410795079</v>
      </c>
      <c r="Q28" s="3">
        <f t="shared" ca="1" si="5"/>
        <v>2.8627619034564487</v>
      </c>
    </row>
    <row r="29" spans="2:20" x14ac:dyDescent="0.25">
      <c r="B29" s="7">
        <f t="shared" si="6"/>
        <v>1</v>
      </c>
      <c r="C29" s="7">
        <v>20</v>
      </c>
      <c r="D29" s="7">
        <f t="shared" si="7"/>
        <v>2.3775421711883457E-25</v>
      </c>
      <c r="E29" s="7">
        <f t="shared" si="8"/>
        <v>1</v>
      </c>
      <c r="G29" s="3">
        <f t="shared" ca="1" si="0"/>
        <v>1</v>
      </c>
      <c r="H29" s="3">
        <f t="shared" ca="1" si="1"/>
        <v>4.6895970496404367</v>
      </c>
      <c r="I29" s="3">
        <f t="shared" ca="1" si="2"/>
        <v>10.827738740891881</v>
      </c>
      <c r="N29"/>
      <c r="O29" s="3">
        <f t="shared" ca="1" si="3"/>
        <v>-6.7021944485445104</v>
      </c>
      <c r="P29" s="3">
        <f t="shared" ca="1" si="4"/>
        <v>2.7288633772631328</v>
      </c>
      <c r="Q29" s="3">
        <f t="shared" ca="1" si="5"/>
        <v>7.2364428939824297</v>
      </c>
    </row>
    <row r="30" spans="2:20" x14ac:dyDescent="0.25">
      <c r="B30" s="7">
        <f t="shared" si="6"/>
        <v>1</v>
      </c>
      <c r="C30" s="7">
        <v>21</v>
      </c>
      <c r="D30" s="7">
        <f t="shared" si="7"/>
        <v>5.6608146933055851E-27</v>
      </c>
      <c r="E30" s="7">
        <f t="shared" si="8"/>
        <v>1</v>
      </c>
      <c r="G30" s="3">
        <f t="shared" ca="1" si="0"/>
        <v>0</v>
      </c>
      <c r="H30" s="3">
        <f t="shared" ca="1" si="1"/>
        <v>1.135449627895655</v>
      </c>
      <c r="I30" s="3">
        <f t="shared" ca="1" si="2"/>
        <v>5.3278739378284259</v>
      </c>
      <c r="N30"/>
      <c r="O30" s="3">
        <f t="shared" ca="1" si="3"/>
        <v>-7.6966284584454101</v>
      </c>
      <c r="P30" s="3">
        <f t="shared" ca="1" si="4"/>
        <v>13.664077723719</v>
      </c>
      <c r="Q30" s="3">
        <f t="shared" ca="1" si="5"/>
        <v>15.682637203837421</v>
      </c>
    </row>
    <row r="31" spans="2:20" x14ac:dyDescent="0.25">
      <c r="B31" s="7">
        <f t="shared" si="6"/>
        <v>1</v>
      </c>
      <c r="C31" s="7">
        <v>22</v>
      </c>
      <c r="D31" s="7">
        <f t="shared" si="7"/>
        <v>1.2865487939330875E-28</v>
      </c>
      <c r="E31" s="7">
        <f t="shared" si="8"/>
        <v>1</v>
      </c>
      <c r="G31" s="3">
        <f t="shared" ca="1" si="0"/>
        <v>0</v>
      </c>
      <c r="H31" s="3">
        <f t="shared" ca="1" si="1"/>
        <v>1.8247212458110929</v>
      </c>
      <c r="I31" s="3">
        <f t="shared" ca="1" si="2"/>
        <v>6.7541121655830771</v>
      </c>
      <c r="N31"/>
      <c r="O31" s="3">
        <f t="shared" ca="1" si="3"/>
        <v>-11.325420599377114</v>
      </c>
      <c r="P31" s="3">
        <f t="shared" ca="1" si="4"/>
        <v>-3.9551844207494491</v>
      </c>
      <c r="Q31" s="3">
        <f t="shared" ca="1" si="5"/>
        <v>11.996192544092255</v>
      </c>
    </row>
    <row r="32" spans="2:20" x14ac:dyDescent="0.25">
      <c r="B32" s="7">
        <f t="shared" si="6"/>
        <v>1</v>
      </c>
      <c r="C32" s="7">
        <v>23</v>
      </c>
      <c r="D32" s="7">
        <f t="shared" si="7"/>
        <v>2.7968452042023642E-30</v>
      </c>
      <c r="E32" s="7">
        <f t="shared" si="8"/>
        <v>1</v>
      </c>
      <c r="G32" s="3">
        <f t="shared" ca="1" si="0"/>
        <v>2</v>
      </c>
      <c r="H32" s="3">
        <f t="shared" ca="1" si="1"/>
        <v>6.236171597583736</v>
      </c>
      <c r="I32" s="3">
        <f t="shared" ca="1" si="2"/>
        <v>12.486163940121617</v>
      </c>
      <c r="O32" s="3">
        <f t="shared" ca="1" si="3"/>
        <v>-4.2997094959251818</v>
      </c>
      <c r="P32" s="3">
        <f t="shared" ca="1" si="4"/>
        <v>-6.4671295536938045</v>
      </c>
      <c r="Q32" s="3">
        <f t="shared" ca="1" si="5"/>
        <v>7.7660328619964654</v>
      </c>
    </row>
    <row r="33" spans="2:17" x14ac:dyDescent="0.25">
      <c r="B33" s="7">
        <f t="shared" si="6"/>
        <v>1</v>
      </c>
      <c r="C33" s="7">
        <v>24</v>
      </c>
      <c r="D33" s="7">
        <f t="shared" si="7"/>
        <v>5.8267608420882587E-32</v>
      </c>
      <c r="E33" s="7">
        <f t="shared" si="8"/>
        <v>1</v>
      </c>
      <c r="G33" s="3">
        <f t="shared" ca="1" si="0"/>
        <v>0</v>
      </c>
      <c r="H33" s="3">
        <f t="shared" ca="1" si="1"/>
        <v>1.3082211833060551</v>
      </c>
      <c r="I33" s="3">
        <f t="shared" ca="1" si="2"/>
        <v>5.7188748528579794</v>
      </c>
      <c r="O33" s="3">
        <f t="shared" ca="1" si="3"/>
        <v>-1.6785685766097975</v>
      </c>
      <c r="P33" s="3">
        <f t="shared" ca="1" si="4"/>
        <v>0.25698542376109595</v>
      </c>
      <c r="Q33" s="3">
        <f t="shared" ca="1" si="5"/>
        <v>1.6981266072962617</v>
      </c>
    </row>
    <row r="34" spans="2:17" x14ac:dyDescent="0.25">
      <c r="B34" s="7">
        <f t="shared" si="6"/>
        <v>1</v>
      </c>
      <c r="C34" s="7">
        <v>25</v>
      </c>
      <c r="D34" s="7">
        <f t="shared" si="7"/>
        <v>1.165352168417652E-33</v>
      </c>
      <c r="E34" s="7">
        <f t="shared" si="8"/>
        <v>1</v>
      </c>
      <c r="G34" s="3">
        <f t="shared" ca="1" si="0"/>
        <v>1</v>
      </c>
      <c r="H34" s="3">
        <f t="shared" ca="1" si="1"/>
        <v>4.6110390449188152</v>
      </c>
      <c r="I34" s="3">
        <f t="shared" ca="1" si="2"/>
        <v>10.736665037290226</v>
      </c>
      <c r="O34" s="3">
        <f t="shared" ca="1" si="3"/>
        <v>-2.8605047100961793</v>
      </c>
      <c r="P34" s="3">
        <f t="shared" ca="1" si="4"/>
        <v>-2.1094647486193683</v>
      </c>
      <c r="Q34" s="3">
        <f t="shared" ca="1" si="5"/>
        <v>3.5541987454488533</v>
      </c>
    </row>
    <row r="35" spans="2:17" x14ac:dyDescent="0.25">
      <c r="B35" s="7">
        <f t="shared" si="6"/>
        <v>1</v>
      </c>
      <c r="C35" s="7">
        <v>26</v>
      </c>
      <c r="D35" s="7">
        <f t="shared" si="7"/>
        <v>2.2410618623416375E-35</v>
      </c>
      <c r="E35" s="7">
        <f t="shared" si="8"/>
        <v>1</v>
      </c>
      <c r="G35" s="3">
        <f t="shared" ca="1" si="0"/>
        <v>0</v>
      </c>
      <c r="H35" s="3">
        <f t="shared" ca="1" si="1"/>
        <v>0.52876123118353313</v>
      </c>
      <c r="I35" s="3">
        <f t="shared" ca="1" si="2"/>
        <v>3.6357985064615899</v>
      </c>
      <c r="O35" s="3">
        <f t="shared" ca="1" si="3"/>
        <v>2.434969216081118</v>
      </c>
      <c r="P35" s="3">
        <f t="shared" ca="1" si="4"/>
        <v>-4.1949512964327331</v>
      </c>
      <c r="Q35" s="3">
        <f t="shared" ca="1" si="5"/>
        <v>4.8504320903096216</v>
      </c>
    </row>
    <row r="36" spans="2:17" x14ac:dyDescent="0.25">
      <c r="B36" s="7">
        <f t="shared" si="6"/>
        <v>1</v>
      </c>
      <c r="C36" s="7">
        <v>27</v>
      </c>
      <c r="D36" s="7">
        <f t="shared" si="7"/>
        <v>4.1501145598919221E-37</v>
      </c>
      <c r="E36" s="7">
        <f t="shared" si="8"/>
        <v>1</v>
      </c>
      <c r="G36" s="3">
        <f t="shared" ca="1" si="0"/>
        <v>0</v>
      </c>
      <c r="H36" s="3">
        <f t="shared" ca="1" si="1"/>
        <v>0.9927298570381573</v>
      </c>
      <c r="I36" s="3">
        <f t="shared" ca="1" si="2"/>
        <v>4.9817914876030223</v>
      </c>
      <c r="O36" s="3">
        <f t="shared" ca="1" si="3"/>
        <v>0.57807809788056197</v>
      </c>
      <c r="P36" s="3">
        <f t="shared" ca="1" si="4"/>
        <v>-3.1522460518526443</v>
      </c>
      <c r="Q36" s="3">
        <f t="shared" ca="1" si="5"/>
        <v>3.2048134826647545</v>
      </c>
    </row>
    <row r="37" spans="2:17" x14ac:dyDescent="0.25">
      <c r="B37" s="7">
        <f t="shared" si="6"/>
        <v>1</v>
      </c>
      <c r="C37" s="7">
        <v>28</v>
      </c>
      <c r="D37" s="7">
        <f t="shared" si="7"/>
        <v>7.4109188569498623E-39</v>
      </c>
      <c r="E37" s="7">
        <f t="shared" si="8"/>
        <v>1</v>
      </c>
      <c r="G37" s="3">
        <f t="shared" ca="1" si="0"/>
        <v>1</v>
      </c>
      <c r="H37" s="3">
        <f t="shared" ca="1" si="1"/>
        <v>11.493740863386511</v>
      </c>
      <c r="I37" s="3">
        <f t="shared" ca="1" si="2"/>
        <v>16.95121003305259</v>
      </c>
      <c r="O37" s="3">
        <f t="shared" ca="1" si="3"/>
        <v>-17.365143878111848</v>
      </c>
      <c r="P37" s="3">
        <f t="shared" ca="1" si="4"/>
        <v>0.23465737990583194</v>
      </c>
      <c r="Q37" s="3">
        <f t="shared" ca="1" si="5"/>
        <v>17.366729283128404</v>
      </c>
    </row>
    <row r="38" spans="2:17" x14ac:dyDescent="0.25">
      <c r="B38" s="7">
        <f t="shared" si="6"/>
        <v>1</v>
      </c>
      <c r="C38" s="7">
        <v>29</v>
      </c>
      <c r="D38" s="7">
        <f t="shared" si="7"/>
        <v>1.2777446305085969E-40</v>
      </c>
      <c r="E38" s="7">
        <f t="shared" si="8"/>
        <v>1</v>
      </c>
      <c r="G38" s="3">
        <f t="shared" ca="1" si="0"/>
        <v>0</v>
      </c>
      <c r="H38" s="3">
        <f t="shared" ca="1" si="1"/>
        <v>0.30837737017623318</v>
      </c>
      <c r="I38" s="3">
        <f t="shared" ca="1" si="2"/>
        <v>2.7765867993646136</v>
      </c>
      <c r="O38" s="3">
        <f t="shared" ca="1" si="3"/>
        <v>-7.9070108947267208</v>
      </c>
      <c r="P38" s="3">
        <f t="shared" ca="1" si="4"/>
        <v>9.4997837322309184</v>
      </c>
      <c r="Q38" s="3">
        <f t="shared" ca="1" si="5"/>
        <v>12.359883181021019</v>
      </c>
    </row>
    <row r="39" spans="2:17" x14ac:dyDescent="0.25">
      <c r="B39" s="7">
        <f t="shared" si="6"/>
        <v>1</v>
      </c>
      <c r="C39" s="7">
        <v>30</v>
      </c>
      <c r="D39" s="7">
        <f t="shared" si="7"/>
        <v>2.1295743841809941E-42</v>
      </c>
      <c r="E39" s="7">
        <f t="shared" si="8"/>
        <v>1</v>
      </c>
      <c r="G39" s="3">
        <f t="shared" ca="1" si="0"/>
        <v>0</v>
      </c>
      <c r="H39" s="3">
        <f t="shared" ca="1" si="1"/>
        <v>1.3782506955018212</v>
      </c>
      <c r="I39" s="3">
        <f t="shared" ca="1" si="2"/>
        <v>5.8699461145350842</v>
      </c>
      <c r="O39" s="3">
        <f t="shared" ca="1" si="3"/>
        <v>4.0680412934305856</v>
      </c>
      <c r="P39" s="3">
        <f t="shared" ca="1" si="4"/>
        <v>-2.2453914037859044</v>
      </c>
      <c r="Q39" s="3">
        <f t="shared" ca="1" si="5"/>
        <v>4.6465839625742289</v>
      </c>
    </row>
    <row r="40" spans="2:17" x14ac:dyDescent="0.25">
      <c r="B40" s="7">
        <f t="shared" si="6"/>
        <v>1</v>
      </c>
      <c r="C40" s="7">
        <v>31</v>
      </c>
      <c r="D40" s="7">
        <f t="shared" si="7"/>
        <v>3.4347973938403137E-44</v>
      </c>
      <c r="E40" s="7">
        <f t="shared" si="8"/>
        <v>1</v>
      </c>
      <c r="G40" s="3">
        <f t="shared" ca="1" si="0"/>
        <v>3</v>
      </c>
      <c r="H40" s="3">
        <f t="shared" ca="1" si="1"/>
        <v>9.3340667387709395</v>
      </c>
      <c r="I40" s="3">
        <f t="shared" ca="1" si="2"/>
        <v>15.275852462932257</v>
      </c>
      <c r="O40" s="3">
        <f t="shared" ca="1" si="3"/>
        <v>-7.0745065745977413</v>
      </c>
      <c r="P40" s="3">
        <f t="shared" ca="1" si="4"/>
        <v>-4.0548521623145994</v>
      </c>
      <c r="Q40" s="3">
        <f t="shared" ca="1" si="5"/>
        <v>8.1541688314784153</v>
      </c>
    </row>
    <row r="41" spans="2:17" x14ac:dyDescent="0.25">
      <c r="B41" s="7">
        <f t="shared" si="6"/>
        <v>1</v>
      </c>
      <c r="C41" s="7">
        <v>32</v>
      </c>
      <c r="D41" s="7">
        <f t="shared" si="7"/>
        <v>5.3668709278754901E-46</v>
      </c>
      <c r="E41" s="7">
        <f t="shared" si="8"/>
        <v>1</v>
      </c>
      <c r="G41" s="3">
        <f t="shared" ca="1" si="0"/>
        <v>2</v>
      </c>
      <c r="H41" s="3">
        <f t="shared" ca="1" si="1"/>
        <v>4.2591681900599765</v>
      </c>
      <c r="I41" s="3">
        <f t="shared" ca="1" si="2"/>
        <v>10.318876138005507</v>
      </c>
      <c r="O41" s="3">
        <f t="shared" ca="1" si="3"/>
        <v>-5.2627329674093311</v>
      </c>
      <c r="P41" s="3">
        <f t="shared" ca="1" si="4"/>
        <v>-0.97939403088171428</v>
      </c>
      <c r="Q41" s="3">
        <f t="shared" ca="1" si="5"/>
        <v>5.3530898511031699</v>
      </c>
    </row>
    <row r="42" spans="2:17" x14ac:dyDescent="0.25">
      <c r="B42" s="7">
        <f t="shared" si="6"/>
        <v>1</v>
      </c>
      <c r="C42" s="7">
        <v>33</v>
      </c>
      <c r="D42" s="7">
        <f t="shared" si="7"/>
        <v>8.1316226179931641E-48</v>
      </c>
      <c r="E42" s="7">
        <f t="shared" si="8"/>
        <v>1</v>
      </c>
      <c r="G42" s="3">
        <f t="shared" ca="1" si="0"/>
        <v>0</v>
      </c>
      <c r="H42" s="3">
        <f t="shared" ca="1" si="1"/>
        <v>1.0895605300924625</v>
      </c>
      <c r="I42" s="3">
        <f t="shared" ca="1" si="2"/>
        <v>5.2191008087899169</v>
      </c>
      <c r="O42" s="3">
        <f t="shared" ca="1" si="3"/>
        <v>-11.56489032811397</v>
      </c>
      <c r="P42" s="3">
        <f t="shared" ca="1" si="4"/>
        <v>-2.79854801916902</v>
      </c>
      <c r="Q42" s="3">
        <f t="shared" ca="1" si="5"/>
        <v>11.898678889561602</v>
      </c>
    </row>
    <row r="43" spans="2:17" x14ac:dyDescent="0.25">
      <c r="B43" s="7">
        <f t="shared" si="6"/>
        <v>1</v>
      </c>
      <c r="C43" s="7">
        <v>34</v>
      </c>
      <c r="D43" s="7">
        <f t="shared" si="7"/>
        <v>1.1958268555872308E-49</v>
      </c>
      <c r="E43" s="7">
        <f t="shared" si="8"/>
        <v>1</v>
      </c>
      <c r="G43" s="3">
        <f t="shared" ca="1" si="0"/>
        <v>1</v>
      </c>
      <c r="H43" s="3">
        <f t="shared" ca="1" si="1"/>
        <v>1.4939643399959268</v>
      </c>
      <c r="I43" s="3">
        <f t="shared" ca="1" si="2"/>
        <v>6.1113916991057096</v>
      </c>
      <c r="O43" s="3">
        <f t="shared" ca="1" si="3"/>
        <v>-2.1523361768399312</v>
      </c>
      <c r="P43" s="3">
        <f t="shared" ca="1" si="4"/>
        <v>2.298945420203101</v>
      </c>
      <c r="Q43" s="3">
        <f t="shared" ca="1" si="5"/>
        <v>3.1492381718769296</v>
      </c>
    </row>
    <row r="44" spans="2:17" x14ac:dyDescent="0.25">
      <c r="B44" s="7">
        <f t="shared" si="6"/>
        <v>1</v>
      </c>
      <c r="C44" s="7">
        <v>35</v>
      </c>
      <c r="D44" s="7">
        <f t="shared" si="7"/>
        <v>1.7083240794103294E-51</v>
      </c>
      <c r="E44" s="7">
        <f t="shared" si="8"/>
        <v>1</v>
      </c>
      <c r="G44" s="3">
        <f t="shared" ca="1" si="0"/>
        <v>0</v>
      </c>
      <c r="H44" s="3">
        <f t="shared" ca="1" si="1"/>
        <v>0.33057660611256201</v>
      </c>
      <c r="I44" s="3">
        <f t="shared" ca="1" si="2"/>
        <v>2.8747895840937732</v>
      </c>
      <c r="O44" s="3">
        <f t="shared" ca="1" si="3"/>
        <v>2.1663204127672708</v>
      </c>
      <c r="P44" s="3">
        <f t="shared" ca="1" si="4"/>
        <v>3.0904601975293615</v>
      </c>
      <c r="Q44" s="3">
        <f t="shared" ca="1" si="5"/>
        <v>3.7741076247618297</v>
      </c>
    </row>
    <row r="45" spans="2:17" x14ac:dyDescent="0.25">
      <c r="B45" s="7">
        <f t="shared" si="6"/>
        <v>1</v>
      </c>
      <c r="C45" s="7">
        <v>36</v>
      </c>
      <c r="D45" s="7">
        <f t="shared" si="7"/>
        <v>2.3726723325143455E-53</v>
      </c>
      <c r="E45" s="7">
        <f t="shared" si="8"/>
        <v>1</v>
      </c>
      <c r="G45" s="3">
        <f t="shared" ca="1" si="0"/>
        <v>0</v>
      </c>
      <c r="H45" s="3">
        <f t="shared" ca="1" si="1"/>
        <v>0.91710268508834514</v>
      </c>
      <c r="I45" s="3">
        <f t="shared" ca="1" si="2"/>
        <v>4.7882739194002495</v>
      </c>
      <c r="O45" s="3">
        <f t="shared" ca="1" si="3"/>
        <v>-6.5501036440777014</v>
      </c>
      <c r="P45" s="3">
        <f t="shared" ca="1" si="4"/>
        <v>0.59760766702438317</v>
      </c>
      <c r="Q45" s="3">
        <f t="shared" ca="1" si="5"/>
        <v>6.5773089232486495</v>
      </c>
    </row>
    <row r="46" spans="2:17" x14ac:dyDescent="0.25">
      <c r="B46" s="7">
        <f t="shared" si="6"/>
        <v>1</v>
      </c>
      <c r="C46" s="7">
        <v>37</v>
      </c>
      <c r="D46" s="7">
        <f t="shared" si="7"/>
        <v>3.2063139628572246E-55</v>
      </c>
      <c r="E46" s="7">
        <f t="shared" si="8"/>
        <v>1</v>
      </c>
      <c r="G46" s="3">
        <f t="shared" ca="1" si="0"/>
        <v>1</v>
      </c>
      <c r="H46" s="3">
        <f t="shared" ca="1" si="1"/>
        <v>1.2655776409396162</v>
      </c>
      <c r="I46" s="3">
        <f t="shared" ca="1" si="2"/>
        <v>5.6248947566590433</v>
      </c>
      <c r="O46" s="3">
        <f t="shared" ca="1" si="3"/>
        <v>-0.89327097905005459</v>
      </c>
      <c r="P46" s="3">
        <f t="shared" ca="1" si="4"/>
        <v>2.6033988598828377</v>
      </c>
      <c r="Q46" s="3">
        <f t="shared" ca="1" si="5"/>
        <v>2.7523841784264604</v>
      </c>
    </row>
    <row r="47" spans="2:17" x14ac:dyDescent="0.25">
      <c r="B47" s="7">
        <f t="shared" si="6"/>
        <v>1</v>
      </c>
      <c r="C47" s="7">
        <v>38</v>
      </c>
      <c r="D47" s="7">
        <f t="shared" si="7"/>
        <v>4.2188341616542435E-57</v>
      </c>
      <c r="E47" s="7">
        <f t="shared" si="8"/>
        <v>1</v>
      </c>
      <c r="G47" s="3">
        <f t="shared" ca="1" si="0"/>
        <v>0</v>
      </c>
      <c r="H47" s="3">
        <f t="shared" ca="1" si="1"/>
        <v>2.3763427897929237</v>
      </c>
      <c r="I47" s="3">
        <f t="shared" ca="1" si="2"/>
        <v>7.7076954885895095</v>
      </c>
      <c r="O47" s="3">
        <f t="shared" ca="1" si="3"/>
        <v>-1.8605466143455347</v>
      </c>
      <c r="P47" s="3">
        <f t="shared" ca="1" si="4"/>
        <v>-0.63132987476094726</v>
      </c>
      <c r="Q47" s="3">
        <f t="shared" ca="1" si="5"/>
        <v>1.9647419970363298</v>
      </c>
    </row>
    <row r="48" spans="2:17" x14ac:dyDescent="0.25">
      <c r="B48" s="7">
        <f t="shared" si="6"/>
        <v>1</v>
      </c>
      <c r="C48" s="7">
        <v>39</v>
      </c>
      <c r="D48" s="7">
        <f t="shared" si="7"/>
        <v>5.4087617457105668E-59</v>
      </c>
      <c r="E48" s="7">
        <f t="shared" si="8"/>
        <v>1</v>
      </c>
      <c r="G48" s="3">
        <f t="shared" ca="1" si="0"/>
        <v>1</v>
      </c>
      <c r="H48" s="3">
        <f t="shared" ca="1" si="1"/>
        <v>3.5742411503772717</v>
      </c>
      <c r="I48" s="3">
        <f t="shared" ca="1" si="2"/>
        <v>9.4528317852076373</v>
      </c>
      <c r="O48" s="3">
        <f t="shared" ca="1" si="3"/>
        <v>-8.5953481856480956</v>
      </c>
      <c r="P48" s="3">
        <f t="shared" ca="1" si="4"/>
        <v>-1.2864679175943212</v>
      </c>
      <c r="Q48" s="3">
        <f t="shared" ca="1" si="5"/>
        <v>8.6910879719125766</v>
      </c>
    </row>
    <row r="49" spans="2:17" x14ac:dyDescent="0.25">
      <c r="B49" s="7">
        <f t="shared" si="6"/>
        <v>1</v>
      </c>
      <c r="C49" s="7">
        <v>40</v>
      </c>
      <c r="D49" s="7">
        <f t="shared" si="7"/>
        <v>6.760952182138208E-61</v>
      </c>
      <c r="E49" s="7">
        <f t="shared" si="8"/>
        <v>1</v>
      </c>
      <c r="G49" s="3">
        <f t="shared" ca="1" si="0"/>
        <v>0</v>
      </c>
      <c r="H49" s="3">
        <f t="shared" ca="1" si="1"/>
        <v>1.8219408460917919</v>
      </c>
      <c r="I49" s="3">
        <f t="shared" ca="1" si="2"/>
        <v>6.7489644503653148</v>
      </c>
      <c r="O49" s="3">
        <f t="shared" ca="1" si="3"/>
        <v>-8.7801068828491307</v>
      </c>
      <c r="P49" s="3">
        <f t="shared" ca="1" si="4"/>
        <v>-9.3393928484651703</v>
      </c>
      <c r="Q49" s="3">
        <f t="shared" ca="1" si="5"/>
        <v>12.81852314629954</v>
      </c>
    </row>
    <row r="50" spans="2:17" x14ac:dyDescent="0.25">
      <c r="B50" s="7">
        <f t="shared" si="6"/>
        <v>1</v>
      </c>
      <c r="C50" s="7">
        <v>41</v>
      </c>
      <c r="D50" s="7">
        <f t="shared" si="7"/>
        <v>8.245063636753916E-63</v>
      </c>
      <c r="E50" s="7">
        <f t="shared" si="8"/>
        <v>1</v>
      </c>
      <c r="G50" s="3">
        <f t="shared" ca="1" si="0"/>
        <v>1</v>
      </c>
      <c r="H50" s="3">
        <f t="shared" ca="1" si="1"/>
        <v>2.2383789493741357</v>
      </c>
      <c r="I50" s="3">
        <f t="shared" ca="1" si="2"/>
        <v>7.4806065084559412</v>
      </c>
      <c r="O50" s="3">
        <f t="shared" ca="1" si="3"/>
        <v>-10.651718309812843</v>
      </c>
      <c r="P50" s="3">
        <f t="shared" ca="1" si="4"/>
        <v>-2.0590886318078194</v>
      </c>
      <c r="Q50" s="3">
        <f t="shared" ca="1" si="5"/>
        <v>10.848914643651796</v>
      </c>
    </row>
    <row r="51" spans="2:17" x14ac:dyDescent="0.25">
      <c r="B51" s="7">
        <f t="shared" si="6"/>
        <v>1</v>
      </c>
      <c r="C51" s="7">
        <v>42</v>
      </c>
      <c r="D51" s="7">
        <f t="shared" si="7"/>
        <v>9.8155519485165634E-65</v>
      </c>
      <c r="E51" s="7">
        <f t="shared" si="8"/>
        <v>1</v>
      </c>
      <c r="G51" s="3">
        <f t="shared" ca="1" si="0"/>
        <v>1</v>
      </c>
      <c r="H51" s="3">
        <f t="shared" ca="1" si="1"/>
        <v>0.59166253184967488</v>
      </c>
      <c r="I51" s="3">
        <f t="shared" ca="1" si="2"/>
        <v>3.8459801476661148</v>
      </c>
      <c r="O51" s="3">
        <f t="shared" ca="1" si="3"/>
        <v>-0.73548530862055994</v>
      </c>
      <c r="P51" s="3">
        <f t="shared" ca="1" si="4"/>
        <v>4.9886444306368611</v>
      </c>
      <c r="Q51" s="3">
        <f t="shared" ca="1" si="5"/>
        <v>5.042569969224111</v>
      </c>
    </row>
    <row r="52" spans="2:17" x14ac:dyDescent="0.25">
      <c r="B52" s="7">
        <f t="shared" si="6"/>
        <v>1</v>
      </c>
      <c r="C52" s="7">
        <v>43</v>
      </c>
      <c r="D52" s="7">
        <f t="shared" si="7"/>
        <v>1.1413432498275073E-66</v>
      </c>
      <c r="E52" s="7">
        <f t="shared" si="8"/>
        <v>1</v>
      </c>
      <c r="G52" s="3">
        <f t="shared" ca="1" si="0"/>
        <v>0</v>
      </c>
      <c r="H52" s="3">
        <f t="shared" ca="1" si="1"/>
        <v>5.0500063681964491</v>
      </c>
      <c r="I52" s="3">
        <f t="shared" ca="1" si="2"/>
        <v>11.236109611645448</v>
      </c>
      <c r="O52" s="3">
        <f t="shared" ca="1" si="3"/>
        <v>-5.2800517482358682</v>
      </c>
      <c r="P52" s="3">
        <f t="shared" ca="1" si="4"/>
        <v>-0.94686205764328879</v>
      </c>
      <c r="Q52" s="3">
        <f t="shared" ca="1" si="5"/>
        <v>5.3642794688805253</v>
      </c>
    </row>
    <row r="53" spans="2:17" x14ac:dyDescent="0.25">
      <c r="B53" s="7">
        <f t="shared" si="6"/>
        <v>1</v>
      </c>
      <c r="C53" s="7">
        <v>44</v>
      </c>
      <c r="D53" s="7">
        <f t="shared" si="7"/>
        <v>1.2969809657130764E-68</v>
      </c>
      <c r="E53" s="7">
        <f t="shared" si="8"/>
        <v>1</v>
      </c>
      <c r="G53" s="3">
        <f t="shared" ca="1" si="0"/>
        <v>0</v>
      </c>
      <c r="H53" s="3">
        <f t="shared" ca="1" si="1"/>
        <v>4.6869752479330353</v>
      </c>
      <c r="I53" s="3">
        <f t="shared" ca="1" si="2"/>
        <v>10.824711598852224</v>
      </c>
      <c r="O53" s="3">
        <f t="shared" ca="1" si="3"/>
        <v>0.54708942359855328</v>
      </c>
      <c r="P53" s="3">
        <f t="shared" ca="1" si="4"/>
        <v>4.7289753674114854</v>
      </c>
      <c r="Q53" s="3">
        <f t="shared" ca="1" si="5"/>
        <v>4.7605162391276421</v>
      </c>
    </row>
    <row r="54" spans="2:17" x14ac:dyDescent="0.25">
      <c r="B54" s="7">
        <f t="shared" si="6"/>
        <v>1</v>
      </c>
      <c r="C54" s="7">
        <v>45</v>
      </c>
      <c r="D54" s="7">
        <f t="shared" si="7"/>
        <v>1.4410899619034184E-70</v>
      </c>
      <c r="E54" s="7">
        <f t="shared" si="8"/>
        <v>1</v>
      </c>
      <c r="G54" s="3">
        <f t="shared" ca="1" si="0"/>
        <v>0</v>
      </c>
      <c r="H54" s="3">
        <f t="shared" ca="1" si="1"/>
        <v>1.2310908536429932</v>
      </c>
      <c r="I54" s="3">
        <f t="shared" ca="1" si="2"/>
        <v>5.5477266822613771</v>
      </c>
      <c r="O54" s="3">
        <f t="shared" ca="1" si="3"/>
        <v>-0.93945820238765965</v>
      </c>
      <c r="P54" s="3">
        <f t="shared" ca="1" si="4"/>
        <v>-4.2548767787850128</v>
      </c>
      <c r="Q54" s="3">
        <f t="shared" ca="1" si="5"/>
        <v>4.3573567809713927</v>
      </c>
    </row>
    <row r="55" spans="2:17" x14ac:dyDescent="0.25">
      <c r="B55" s="7">
        <f t="shared" si="6"/>
        <v>1</v>
      </c>
      <c r="C55" s="7">
        <v>46</v>
      </c>
      <c r="D55" s="7">
        <f t="shared" si="7"/>
        <v>1.5664021325037158E-72</v>
      </c>
      <c r="E55" s="7">
        <f t="shared" si="8"/>
        <v>1</v>
      </c>
      <c r="G55" s="3">
        <f t="shared" ca="1" si="0"/>
        <v>1</v>
      </c>
      <c r="H55" s="3">
        <f t="shared" ca="1" si="1"/>
        <v>0.61162951015054556</v>
      </c>
      <c r="I55" s="3">
        <f t="shared" ca="1" si="2"/>
        <v>3.9103372941171761</v>
      </c>
      <c r="O55" s="3">
        <f t="shared" ca="1" si="3"/>
        <v>-5.4037701755606582</v>
      </c>
      <c r="P55" s="3">
        <f t="shared" ca="1" si="4"/>
        <v>5.402358165763177</v>
      </c>
      <c r="Q55" s="3">
        <f t="shared" ca="1" si="5"/>
        <v>7.6410866937541648</v>
      </c>
    </row>
    <row r="56" spans="2:17" x14ac:dyDescent="0.25">
      <c r="B56" s="7">
        <f t="shared" si="6"/>
        <v>1</v>
      </c>
      <c r="C56" s="7">
        <v>47</v>
      </c>
      <c r="D56" s="7">
        <f t="shared" si="7"/>
        <v>1.666385247344378E-74</v>
      </c>
      <c r="E56" s="7">
        <f t="shared" si="8"/>
        <v>1</v>
      </c>
      <c r="G56" s="3">
        <f t="shared" ca="1" si="0"/>
        <v>1</v>
      </c>
      <c r="H56" s="3">
        <f t="shared" ca="1" si="1"/>
        <v>5.9273074146372133</v>
      </c>
      <c r="I56" s="3">
        <f t="shared" ca="1" si="2"/>
        <v>12.173031067319688</v>
      </c>
      <c r="O56" s="3">
        <f t="shared" ca="1" si="3"/>
        <v>-7.1804211724576792</v>
      </c>
      <c r="P56" s="3">
        <f t="shared" ca="1" si="4"/>
        <v>1.5524019924667642</v>
      </c>
      <c r="Q56" s="3">
        <f t="shared" ca="1" si="5"/>
        <v>7.3463188169377247</v>
      </c>
    </row>
    <row r="57" spans="2:17" x14ac:dyDescent="0.25">
      <c r="B57" s="7">
        <f t="shared" si="6"/>
        <v>1</v>
      </c>
      <c r="C57" s="7">
        <v>48</v>
      </c>
      <c r="D57" s="7">
        <f t="shared" si="7"/>
        <v>1.7358179659837282E-76</v>
      </c>
      <c r="E57" s="7">
        <f t="shared" si="8"/>
        <v>1</v>
      </c>
      <c r="G57" s="3">
        <f t="shared" ca="1" si="0"/>
        <v>0</v>
      </c>
      <c r="H57" s="3">
        <f t="shared" ca="1" si="1"/>
        <v>5.4004035777370625</v>
      </c>
      <c r="I57" s="3">
        <f t="shared" ca="1" si="2"/>
        <v>11.619384211025409</v>
      </c>
      <c r="O57" s="3">
        <f t="shared" ca="1" si="3"/>
        <v>5.8669176823188973</v>
      </c>
      <c r="P57" s="3">
        <f t="shared" ca="1" si="4"/>
        <v>2.4834618997639715</v>
      </c>
      <c r="Q57" s="3">
        <f t="shared" ca="1" si="5"/>
        <v>6.3708952352621067</v>
      </c>
    </row>
    <row r="58" spans="2:17" x14ac:dyDescent="0.25">
      <c r="B58" s="7">
        <f t="shared" si="6"/>
        <v>1</v>
      </c>
      <c r="C58" s="7">
        <v>49</v>
      </c>
      <c r="D58" s="7">
        <f t="shared" si="7"/>
        <v>1.7712428224323741E-78</v>
      </c>
      <c r="E58" s="7">
        <f t="shared" si="8"/>
        <v>1</v>
      </c>
      <c r="G58" s="3">
        <f t="shared" ca="1" si="0"/>
        <v>0</v>
      </c>
      <c r="H58" s="3">
        <f t="shared" ca="1" si="1"/>
        <v>1.6852002457226292</v>
      </c>
      <c r="I58" s="3">
        <f t="shared" ca="1" si="2"/>
        <v>6.4907631402683101</v>
      </c>
      <c r="O58" s="3">
        <f t="shared" ca="1" si="3"/>
        <v>-7.0080534150199512</v>
      </c>
      <c r="P58" s="3">
        <f t="shared" ca="1" si="4"/>
        <v>6.4413180576920785</v>
      </c>
      <c r="Q58" s="3">
        <f t="shared" ca="1" si="5"/>
        <v>9.5185813537587034</v>
      </c>
    </row>
    <row r="59" spans="2:17" x14ac:dyDescent="0.25">
      <c r="B59" s="7">
        <f t="shared" si="6"/>
        <v>1</v>
      </c>
      <c r="C59" s="7">
        <v>50</v>
      </c>
      <c r="D59" s="7">
        <f t="shared" si="7"/>
        <v>1.7712428224323752E-80</v>
      </c>
      <c r="E59" s="7">
        <f t="shared" si="8"/>
        <v>1</v>
      </c>
      <c r="G59" s="3">
        <f t="shared" ca="1" si="0"/>
        <v>0</v>
      </c>
      <c r="H59" s="3">
        <f t="shared" ca="1" si="1"/>
        <v>5.6880238496237938</v>
      </c>
      <c r="I59" s="3">
        <f t="shared" ca="1" si="2"/>
        <v>11.924789148684971</v>
      </c>
      <c r="O59" s="3">
        <f t="shared" ca="1" si="3"/>
        <v>-3.0240213407038019</v>
      </c>
      <c r="P59" s="3">
        <f t="shared" ca="1" si="4"/>
        <v>-2.7584651990185689</v>
      </c>
      <c r="Q59" s="3">
        <f t="shared" ca="1" si="5"/>
        <v>4.093144918425021</v>
      </c>
    </row>
    <row r="60" spans="2:17" x14ac:dyDescent="0.25">
      <c r="B60" s="7">
        <f t="shared" si="6"/>
        <v>1</v>
      </c>
      <c r="C60" s="7">
        <v>51</v>
      </c>
      <c r="D60" s="7">
        <f t="shared" si="7"/>
        <v>1.7365125710121334E-82</v>
      </c>
      <c r="E60" s="7">
        <f t="shared" si="8"/>
        <v>1</v>
      </c>
      <c r="G60" s="3">
        <f t="shared" ca="1" si="0"/>
        <v>0</v>
      </c>
      <c r="H60" s="3">
        <f t="shared" ca="1" si="1"/>
        <v>7.8742315559571799E-2</v>
      </c>
      <c r="I60" s="3">
        <f t="shared" ca="1" si="2"/>
        <v>1.4030530599336917</v>
      </c>
      <c r="O60" s="3">
        <f t="shared" ca="1" si="3"/>
        <v>-7.2266204545447064</v>
      </c>
      <c r="P60" s="3">
        <f t="shared" ca="1" si="4"/>
        <v>-1.3311502326201097</v>
      </c>
      <c r="Q60" s="3">
        <f t="shared" ca="1" si="5"/>
        <v>7.3481973392015343</v>
      </c>
    </row>
    <row r="61" spans="2:17" x14ac:dyDescent="0.25">
      <c r="B61" s="7">
        <f t="shared" si="6"/>
        <v>1</v>
      </c>
      <c r="C61" s="7">
        <v>52</v>
      </c>
      <c r="D61" s="7">
        <f t="shared" si="7"/>
        <v>1.6697236259732039E-84</v>
      </c>
      <c r="E61" s="7">
        <f t="shared" si="8"/>
        <v>1</v>
      </c>
      <c r="G61" s="3">
        <f t="shared" ca="1" si="0"/>
        <v>1</v>
      </c>
      <c r="H61" s="3">
        <f t="shared" ca="1" si="1"/>
        <v>1.785930311595983</v>
      </c>
      <c r="I61" s="3">
        <f t="shared" ca="1" si="2"/>
        <v>6.6819351830064599</v>
      </c>
      <c r="O61" s="3">
        <f t="shared" ca="1" si="3"/>
        <v>1.0259953974744693</v>
      </c>
      <c r="P61" s="3">
        <f t="shared" ca="1" si="4"/>
        <v>-3.0076905249514527</v>
      </c>
      <c r="Q61" s="3">
        <f t="shared" ca="1" si="5"/>
        <v>3.1778717484381804</v>
      </c>
    </row>
    <row r="62" spans="2:17" x14ac:dyDescent="0.25">
      <c r="B62" s="7">
        <f t="shared" si="6"/>
        <v>1</v>
      </c>
      <c r="C62" s="7">
        <v>53</v>
      </c>
      <c r="D62" s="7">
        <f t="shared" si="7"/>
        <v>1.57521096789925E-86</v>
      </c>
      <c r="E62" s="7">
        <f t="shared" si="8"/>
        <v>1</v>
      </c>
      <c r="G62" s="3">
        <f t="shared" ca="1" si="0"/>
        <v>0</v>
      </c>
      <c r="H62" s="3">
        <f t="shared" ca="1" si="1"/>
        <v>4.6390929962086398</v>
      </c>
      <c r="I62" s="3">
        <f t="shared" ca="1" si="2"/>
        <v>10.769276897973048</v>
      </c>
      <c r="O62" s="3">
        <f t="shared" ca="1" si="3"/>
        <v>-2.328150388883266</v>
      </c>
      <c r="P62" s="3">
        <f t="shared" ca="1" si="4"/>
        <v>7.2547129519204416</v>
      </c>
      <c r="Q62" s="3">
        <f t="shared" ca="1" si="5"/>
        <v>7.619130150353091</v>
      </c>
    </row>
    <row r="63" spans="2:17" x14ac:dyDescent="0.25">
      <c r="B63" s="7">
        <f t="shared" si="6"/>
        <v>1</v>
      </c>
      <c r="C63" s="7">
        <v>54</v>
      </c>
      <c r="D63" s="7">
        <f t="shared" si="7"/>
        <v>1.458528673980787E-88</v>
      </c>
      <c r="E63" s="7">
        <f t="shared" si="8"/>
        <v>1</v>
      </c>
      <c r="G63" s="3">
        <f t="shared" ca="1" si="0"/>
        <v>0</v>
      </c>
      <c r="H63" s="3">
        <f t="shared" ca="1" si="1"/>
        <v>1.0914573996497017</v>
      </c>
      <c r="I63" s="3">
        <f t="shared" ca="1" si="2"/>
        <v>5.2236419279313679</v>
      </c>
      <c r="O63" s="3">
        <f t="shared" ca="1" si="3"/>
        <v>-6.9137141439941487</v>
      </c>
      <c r="P63" s="3">
        <f t="shared" ca="1" si="4"/>
        <v>-3.3335929523284338</v>
      </c>
      <c r="Q63" s="3">
        <f t="shared" ca="1" si="5"/>
        <v>7.6754338793763663</v>
      </c>
    </row>
    <row r="64" spans="2:17" x14ac:dyDescent="0.25">
      <c r="B64" s="7">
        <f t="shared" si="6"/>
        <v>1</v>
      </c>
      <c r="C64" s="7">
        <v>55</v>
      </c>
      <c r="D64" s="7">
        <f t="shared" si="7"/>
        <v>1.3259351581643525E-90</v>
      </c>
      <c r="E64" s="7">
        <f t="shared" si="8"/>
        <v>1</v>
      </c>
      <c r="G64" s="3">
        <f t="shared" ca="1" si="0"/>
        <v>0</v>
      </c>
      <c r="H64" s="3">
        <f t="shared" ca="1" si="1"/>
        <v>0.39577855296075704</v>
      </c>
      <c r="I64" s="3">
        <f t="shared" ca="1" si="2"/>
        <v>3.1455466653697775</v>
      </c>
      <c r="O64" s="3">
        <f t="shared" ca="1" si="3"/>
        <v>1.0512440910979119</v>
      </c>
      <c r="P64" s="3">
        <f t="shared" ca="1" si="4"/>
        <v>0.16625959367130788</v>
      </c>
      <c r="Q64" s="3">
        <f t="shared" ca="1" si="5"/>
        <v>1.0643102891337768</v>
      </c>
    </row>
    <row r="65" spans="2:17" x14ac:dyDescent="0.25">
      <c r="B65" s="7">
        <f t="shared" si="6"/>
        <v>1</v>
      </c>
      <c r="C65" s="7">
        <v>56</v>
      </c>
      <c r="D65" s="7">
        <f t="shared" si="7"/>
        <v>1.183870676932457E-92</v>
      </c>
      <c r="E65" s="7">
        <f t="shared" si="8"/>
        <v>1</v>
      </c>
      <c r="G65" s="3">
        <f t="shared" ca="1" si="0"/>
        <v>1</v>
      </c>
      <c r="H65" s="3">
        <f t="shared" ca="1" si="1"/>
        <v>8.4651713245153548</v>
      </c>
      <c r="I65" s="3">
        <f t="shared" ca="1" si="2"/>
        <v>14.54748373818936</v>
      </c>
      <c r="O65" s="3">
        <f t="shared" ca="1" si="3"/>
        <v>-4.5205130288229807</v>
      </c>
      <c r="P65" s="3">
        <f t="shared" ca="1" si="4"/>
        <v>-9.6331697121810169</v>
      </c>
      <c r="Q65" s="3">
        <f t="shared" ca="1" si="5"/>
        <v>10.641099414413908</v>
      </c>
    </row>
    <row r="66" spans="2:17" x14ac:dyDescent="0.25">
      <c r="B66" s="7">
        <f t="shared" si="6"/>
        <v>1</v>
      </c>
      <c r="C66" s="7">
        <v>57</v>
      </c>
      <c r="D66" s="7">
        <f t="shared" si="7"/>
        <v>1.038483049940751E-94</v>
      </c>
      <c r="E66" s="7">
        <f t="shared" si="8"/>
        <v>1</v>
      </c>
      <c r="G66" s="3">
        <f t="shared" ca="1" si="0"/>
        <v>0</v>
      </c>
      <c r="H66" s="3">
        <f t="shared" ca="1" si="1"/>
        <v>0.99083475513665187</v>
      </c>
      <c r="I66" s="3">
        <f t="shared" ca="1" si="2"/>
        <v>4.977034144791082</v>
      </c>
      <c r="O66" s="3">
        <f t="shared" ca="1" si="3"/>
        <v>-9.1640495996222455</v>
      </c>
      <c r="P66" s="3">
        <f t="shared" ca="1" si="4"/>
        <v>-8.3636830791990864</v>
      </c>
      <c r="Q66" s="3">
        <f t="shared" ca="1" si="5"/>
        <v>12.406893233747832</v>
      </c>
    </row>
    <row r="67" spans="2:17" x14ac:dyDescent="0.25">
      <c r="B67" s="7">
        <f t="shared" si="6"/>
        <v>1</v>
      </c>
      <c r="C67" s="7">
        <v>58</v>
      </c>
      <c r="D67" s="7">
        <f t="shared" si="7"/>
        <v>8.9524400856961313E-97</v>
      </c>
      <c r="E67" s="7">
        <f t="shared" si="8"/>
        <v>1</v>
      </c>
      <c r="G67" s="3">
        <f t="shared" ca="1" si="0"/>
        <v>0</v>
      </c>
      <c r="H67" s="3">
        <f t="shared" ca="1" si="1"/>
        <v>1.3288202503752637</v>
      </c>
      <c r="I67" s="3">
        <f t="shared" ca="1" si="2"/>
        <v>5.7637232983013327</v>
      </c>
      <c r="O67" s="3">
        <f t="shared" ca="1" si="3"/>
        <v>-2.5188006537478911</v>
      </c>
      <c r="P67" s="3">
        <f t="shared" ca="1" si="4"/>
        <v>4.5544468242191316</v>
      </c>
      <c r="Q67" s="3">
        <f t="shared" ca="1" si="5"/>
        <v>5.2045501830571812</v>
      </c>
    </row>
    <row r="68" spans="2:17" x14ac:dyDescent="0.25">
      <c r="B68" s="7">
        <f t="shared" si="6"/>
        <v>1</v>
      </c>
      <c r="C68" s="7">
        <v>59</v>
      </c>
      <c r="D68" s="7">
        <f t="shared" si="7"/>
        <v>7.5868136319458758E-99</v>
      </c>
      <c r="E68" s="7">
        <f t="shared" si="8"/>
        <v>1</v>
      </c>
      <c r="G68" s="3">
        <f t="shared" ref="G68:G131" ca="1" si="9">VLOOKUP(RAND(),$B$9:$C$169,2,TRUE)</f>
        <v>0</v>
      </c>
      <c r="H68" s="3">
        <f t="shared" ref="H68:H131" ca="1" si="10">_xlfn.CHISQ.INV(RAND(),2*G68+2)</f>
        <v>1.4990802904910849</v>
      </c>
      <c r="I68" s="3">
        <f t="shared" ref="I68:I131" ca="1" si="11">$C$4*SQRT(H68)</f>
        <v>6.1218467199266859</v>
      </c>
      <c r="O68" s="3">
        <f t="shared" ref="O68:O131" ca="1" si="12">_xlfn.NORM.INV(RAND(),$C$3*COS($N$2),$C$4)</f>
        <v>-10.167764961312272</v>
      </c>
      <c r="P68" s="3">
        <f t="shared" ref="P68:P131" ca="1" si="13">_xlfn.NORM.INV(RAND(),$C$3*SIN($N$2),$C$4)</f>
        <v>-1.8860299719813538</v>
      </c>
      <c r="Q68" s="3">
        <f t="shared" ref="Q68:Q131" ca="1" si="14">SQRT(O68^2+P68^2)</f>
        <v>10.341206571948049</v>
      </c>
    </row>
    <row r="69" spans="2:17" x14ac:dyDescent="0.25">
      <c r="B69" s="7">
        <f t="shared" si="6"/>
        <v>1</v>
      </c>
      <c r="C69" s="7">
        <v>60</v>
      </c>
      <c r="D69" s="7">
        <f t="shared" si="7"/>
        <v>6.3223446932882289E-101</v>
      </c>
      <c r="E69" s="7">
        <f t="shared" si="8"/>
        <v>1</v>
      </c>
      <c r="G69" s="3">
        <f t="shared" ca="1" si="9"/>
        <v>0</v>
      </c>
      <c r="H69" s="3">
        <f t="shared" ca="1" si="10"/>
        <v>5.1882972831631742</v>
      </c>
      <c r="I69" s="3">
        <f t="shared" ca="1" si="11"/>
        <v>11.388917072271594</v>
      </c>
      <c r="O69" s="3">
        <f t="shared" ca="1" si="12"/>
        <v>-4.7145346665468146</v>
      </c>
      <c r="P69" s="3">
        <f t="shared" ca="1" si="13"/>
        <v>4.3904949343065338</v>
      </c>
      <c r="Q69" s="3">
        <f t="shared" ca="1" si="14"/>
        <v>6.4423041600224851</v>
      </c>
    </row>
    <row r="70" spans="2:17" x14ac:dyDescent="0.25">
      <c r="B70" s="7">
        <f t="shared" si="6"/>
        <v>1</v>
      </c>
      <c r="C70" s="7">
        <v>61</v>
      </c>
      <c r="D70" s="7">
        <f t="shared" si="7"/>
        <v>5.182249748596911E-103</v>
      </c>
      <c r="E70" s="7">
        <f t="shared" si="8"/>
        <v>1</v>
      </c>
      <c r="G70" s="3">
        <f t="shared" ca="1" si="9"/>
        <v>0</v>
      </c>
      <c r="H70" s="3">
        <f t="shared" ca="1" si="10"/>
        <v>1.0545125102708002</v>
      </c>
      <c r="I70" s="3">
        <f t="shared" ca="1" si="11"/>
        <v>5.1344729775089872</v>
      </c>
      <c r="O70" s="3">
        <f t="shared" ca="1" si="12"/>
        <v>-3.4683580233731504</v>
      </c>
      <c r="P70" s="3">
        <f t="shared" ca="1" si="13"/>
        <v>-1.1711965613621376</v>
      </c>
      <c r="Q70" s="3">
        <f t="shared" ca="1" si="14"/>
        <v>3.6607661443533104</v>
      </c>
    </row>
    <row r="71" spans="2:17" x14ac:dyDescent="0.25">
      <c r="B71" s="7">
        <f t="shared" si="6"/>
        <v>1</v>
      </c>
      <c r="C71" s="7">
        <v>62</v>
      </c>
      <c r="D71" s="7">
        <f t="shared" si="7"/>
        <v>4.1792336682233131E-105</v>
      </c>
      <c r="E71" s="7">
        <f t="shared" si="8"/>
        <v>1</v>
      </c>
      <c r="G71" s="3">
        <f t="shared" ca="1" si="9"/>
        <v>0</v>
      </c>
      <c r="H71" s="3">
        <f t="shared" ca="1" si="10"/>
        <v>2.3012918252347667</v>
      </c>
      <c r="I71" s="3">
        <f t="shared" ca="1" si="11"/>
        <v>7.5850046559556681</v>
      </c>
      <c r="O71" s="3">
        <f t="shared" ca="1" si="12"/>
        <v>-12.094680498404632</v>
      </c>
      <c r="P71" s="3">
        <f t="shared" ca="1" si="13"/>
        <v>1.9299716374257565</v>
      </c>
      <c r="Q71" s="3">
        <f t="shared" ca="1" si="14"/>
        <v>12.247697207220513</v>
      </c>
    </row>
    <row r="72" spans="2:17" x14ac:dyDescent="0.25">
      <c r="B72" s="7">
        <f t="shared" si="6"/>
        <v>1</v>
      </c>
      <c r="C72" s="7">
        <v>63</v>
      </c>
      <c r="D72" s="7">
        <f t="shared" si="7"/>
        <v>3.3168521176375515E-107</v>
      </c>
      <c r="E72" s="7">
        <f t="shared" si="8"/>
        <v>1</v>
      </c>
      <c r="G72" s="3">
        <f t="shared" ca="1" si="9"/>
        <v>0</v>
      </c>
      <c r="H72" s="3">
        <f t="shared" ca="1" si="10"/>
        <v>1.7692237158345323</v>
      </c>
      <c r="I72" s="3">
        <f t="shared" ca="1" si="11"/>
        <v>6.6506084605743627</v>
      </c>
      <c r="O72" s="3">
        <f t="shared" ca="1" si="12"/>
        <v>-8.3800625377600717</v>
      </c>
      <c r="P72" s="3">
        <f t="shared" ca="1" si="13"/>
        <v>-1.047173219109379</v>
      </c>
      <c r="Q72" s="3">
        <f t="shared" ca="1" si="14"/>
        <v>8.445236520523844</v>
      </c>
    </row>
    <row r="73" spans="2:17" x14ac:dyDescent="0.25">
      <c r="B73" s="7">
        <f t="shared" si="6"/>
        <v>1</v>
      </c>
      <c r="C73" s="7">
        <v>64</v>
      </c>
      <c r="D73" s="7">
        <f t="shared" si="7"/>
        <v>2.5912907169043371E-109</v>
      </c>
      <c r="E73" s="7">
        <f t="shared" si="8"/>
        <v>1</v>
      </c>
      <c r="G73" s="3">
        <f t="shared" ca="1" si="9"/>
        <v>0</v>
      </c>
      <c r="H73" s="3">
        <f t="shared" ca="1" si="10"/>
        <v>1.6323889753952263</v>
      </c>
      <c r="I73" s="3">
        <f t="shared" ca="1" si="11"/>
        <v>6.3882489294704738</v>
      </c>
      <c r="O73" s="3">
        <f t="shared" ca="1" si="12"/>
        <v>-10.316023180835508</v>
      </c>
      <c r="P73" s="3">
        <f t="shared" ca="1" si="13"/>
        <v>-0.52784034669636137</v>
      </c>
      <c r="Q73" s="3">
        <f t="shared" ca="1" si="14"/>
        <v>10.329518367239398</v>
      </c>
    </row>
    <row r="74" spans="2:17" x14ac:dyDescent="0.25">
      <c r="B74" s="7">
        <f t="shared" ref="B74:B137" si="15">E73</f>
        <v>1</v>
      </c>
      <c r="C74" s="7">
        <v>65</v>
      </c>
      <c r="D74" s="7">
        <f t="shared" ref="D74:D137" si="16">(EXP(-$C$6)*POWER($C$6,C74))/(FACT(C74))</f>
        <v>1.9933005514648739E-111</v>
      </c>
      <c r="E74" s="7">
        <f t="shared" ref="E74:E137" si="17">E73+D74</f>
        <v>1</v>
      </c>
      <c r="G74" s="3">
        <f t="shared" ca="1" si="9"/>
        <v>0</v>
      </c>
      <c r="H74" s="3">
        <f t="shared" ca="1" si="10"/>
        <v>0.41704009494475835</v>
      </c>
      <c r="I74" s="3">
        <f t="shared" ca="1" si="11"/>
        <v>3.2289320794372496</v>
      </c>
      <c r="O74" s="3">
        <f t="shared" ca="1" si="12"/>
        <v>-11.963975944229741</v>
      </c>
      <c r="P74" s="3">
        <f t="shared" ca="1" si="13"/>
        <v>-6.4608844854180258</v>
      </c>
      <c r="Q74" s="3">
        <f t="shared" ca="1" si="14"/>
        <v>13.597049265484893</v>
      </c>
    </row>
    <row r="75" spans="2:17" x14ac:dyDescent="0.25">
      <c r="B75" s="7">
        <f t="shared" si="15"/>
        <v>1</v>
      </c>
      <c r="C75" s="7">
        <v>66</v>
      </c>
      <c r="D75" s="7">
        <f t="shared" si="16"/>
        <v>1.5100761753521769E-113</v>
      </c>
      <c r="E75" s="7">
        <f t="shared" si="17"/>
        <v>1</v>
      </c>
      <c r="G75" s="3">
        <f t="shared" ca="1" si="9"/>
        <v>0</v>
      </c>
      <c r="H75" s="3">
        <f t="shared" ca="1" si="10"/>
        <v>0.51733197990363256</v>
      </c>
      <c r="I75" s="3">
        <f t="shared" ca="1" si="11"/>
        <v>3.5962896848822972</v>
      </c>
      <c r="O75" s="3">
        <f t="shared" ca="1" si="12"/>
        <v>-8.5606083218603946</v>
      </c>
      <c r="P75" s="3">
        <f t="shared" ca="1" si="13"/>
        <v>-4.051039198307838</v>
      </c>
      <c r="Q75" s="3">
        <f t="shared" ca="1" si="14"/>
        <v>9.4707409122270931</v>
      </c>
    </row>
    <row r="76" spans="2:17" x14ac:dyDescent="0.25">
      <c r="B76" s="7">
        <f t="shared" si="15"/>
        <v>1</v>
      </c>
      <c r="C76" s="7">
        <v>67</v>
      </c>
      <c r="D76" s="7">
        <f t="shared" si="16"/>
        <v>1.1269225189195347E-115</v>
      </c>
      <c r="E76" s="7">
        <f t="shared" si="17"/>
        <v>1</v>
      </c>
      <c r="G76" s="3">
        <f t="shared" ca="1" si="9"/>
        <v>0</v>
      </c>
      <c r="H76" s="3">
        <f t="shared" ca="1" si="10"/>
        <v>0.32827383436327162</v>
      </c>
      <c r="I76" s="3">
        <f t="shared" ca="1" si="11"/>
        <v>2.864759302119777</v>
      </c>
      <c r="O76" s="3">
        <f t="shared" ca="1" si="12"/>
        <v>-4.502852364005947</v>
      </c>
      <c r="P76" s="3">
        <f t="shared" ca="1" si="13"/>
        <v>1.1770511576555829</v>
      </c>
      <c r="Q76" s="3">
        <f t="shared" ca="1" si="14"/>
        <v>4.6541517852098782</v>
      </c>
    </row>
    <row r="77" spans="2:17" x14ac:dyDescent="0.25">
      <c r="B77" s="7">
        <f t="shared" si="15"/>
        <v>1</v>
      </c>
      <c r="C77" s="7">
        <v>68</v>
      </c>
      <c r="D77" s="7">
        <f t="shared" si="16"/>
        <v>8.2861949920554095E-118</v>
      </c>
      <c r="E77" s="7">
        <f t="shared" si="17"/>
        <v>1</v>
      </c>
      <c r="G77" s="3">
        <f t="shared" ca="1" si="9"/>
        <v>0</v>
      </c>
      <c r="H77" s="3">
        <f t="shared" ca="1" si="10"/>
        <v>4.6176929777916547</v>
      </c>
      <c r="I77" s="3">
        <f t="shared" ca="1" si="11"/>
        <v>10.744408985364963</v>
      </c>
      <c r="O77" s="3">
        <f t="shared" ca="1" si="12"/>
        <v>-7.4271131042977476</v>
      </c>
      <c r="P77" s="3">
        <f t="shared" ca="1" si="13"/>
        <v>3.3685899598675162</v>
      </c>
      <c r="Q77" s="3">
        <f t="shared" ca="1" si="14"/>
        <v>8.1553299983355405</v>
      </c>
    </row>
    <row r="78" spans="2:17" x14ac:dyDescent="0.25">
      <c r="B78" s="7">
        <f t="shared" si="15"/>
        <v>1</v>
      </c>
      <c r="C78" s="7">
        <v>69</v>
      </c>
      <c r="D78" s="7">
        <f t="shared" si="16"/>
        <v>6.0044891246778324E-120</v>
      </c>
      <c r="E78" s="7">
        <f t="shared" si="17"/>
        <v>1</v>
      </c>
      <c r="G78" s="3">
        <f t="shared" ca="1" si="9"/>
        <v>2</v>
      </c>
      <c r="H78" s="3">
        <f t="shared" ca="1" si="10"/>
        <v>8.7158370052867618</v>
      </c>
      <c r="I78" s="3">
        <f t="shared" ca="1" si="11"/>
        <v>14.761298219742363</v>
      </c>
      <c r="O78" s="3">
        <f t="shared" ca="1" si="12"/>
        <v>-10.994891239454848</v>
      </c>
      <c r="P78" s="3">
        <f t="shared" ca="1" si="13"/>
        <v>5.8096138183206607</v>
      </c>
      <c r="Q78" s="3">
        <f t="shared" ca="1" si="14"/>
        <v>12.435402932171652</v>
      </c>
    </row>
    <row r="79" spans="2:17" x14ac:dyDescent="0.25">
      <c r="B79" s="7">
        <f t="shared" si="15"/>
        <v>1</v>
      </c>
      <c r="C79" s="7">
        <v>70</v>
      </c>
      <c r="D79" s="7">
        <f t="shared" si="16"/>
        <v>4.2889208033413077E-122</v>
      </c>
      <c r="E79" s="7">
        <f t="shared" si="17"/>
        <v>1</v>
      </c>
      <c r="G79" s="3">
        <f t="shared" ca="1" si="9"/>
        <v>0</v>
      </c>
      <c r="H79" s="3">
        <f t="shared" ca="1" si="10"/>
        <v>0.49545659770110073</v>
      </c>
      <c r="I79" s="3">
        <f t="shared" ca="1" si="11"/>
        <v>3.5194338951779613</v>
      </c>
      <c r="O79" s="3">
        <f t="shared" ca="1" si="12"/>
        <v>-10.344825800132883</v>
      </c>
      <c r="P79" s="3">
        <f t="shared" ca="1" si="13"/>
        <v>6.7197989502361128</v>
      </c>
      <c r="Q79" s="3">
        <f t="shared" ca="1" si="14"/>
        <v>12.335765836245811</v>
      </c>
    </row>
    <row r="80" spans="2:17" x14ac:dyDescent="0.25">
      <c r="B80" s="7">
        <f t="shared" si="15"/>
        <v>1</v>
      </c>
      <c r="C80" s="7">
        <v>71</v>
      </c>
      <c r="D80" s="7">
        <f t="shared" si="16"/>
        <v>3.0203667629164137E-124</v>
      </c>
      <c r="E80" s="7">
        <f t="shared" si="17"/>
        <v>1</v>
      </c>
      <c r="G80" s="3">
        <f t="shared" ca="1" si="9"/>
        <v>0</v>
      </c>
      <c r="H80" s="3">
        <f t="shared" ca="1" si="10"/>
        <v>0.4245298303409385</v>
      </c>
      <c r="I80" s="3">
        <f t="shared" ca="1" si="11"/>
        <v>3.2577976853272306</v>
      </c>
      <c r="O80" s="3">
        <f t="shared" ca="1" si="12"/>
        <v>0.64402269706709614</v>
      </c>
      <c r="P80" s="3">
        <f t="shared" ca="1" si="13"/>
        <v>-6.4108008057260948</v>
      </c>
      <c r="Q80" s="3">
        <f t="shared" ca="1" si="14"/>
        <v>6.4430685395264824</v>
      </c>
    </row>
    <row r="81" spans="2:17" x14ac:dyDescent="0.25">
      <c r="B81" s="7">
        <f t="shared" si="15"/>
        <v>1</v>
      </c>
      <c r="C81" s="7">
        <v>72</v>
      </c>
      <c r="D81" s="7">
        <f t="shared" si="16"/>
        <v>2.0974769186919532E-126</v>
      </c>
      <c r="E81" s="7">
        <f t="shared" si="17"/>
        <v>1</v>
      </c>
      <c r="G81" s="3">
        <f t="shared" ca="1" si="9"/>
        <v>0</v>
      </c>
      <c r="H81" s="3">
        <f t="shared" ca="1" si="10"/>
        <v>4.1407787704506589</v>
      </c>
      <c r="I81" s="3">
        <f t="shared" ca="1" si="11"/>
        <v>10.174451791682266</v>
      </c>
      <c r="O81" s="3">
        <f t="shared" ca="1" si="12"/>
        <v>-14.44873788621396</v>
      </c>
      <c r="P81" s="3">
        <f t="shared" ca="1" si="13"/>
        <v>3.0733502719242298</v>
      </c>
      <c r="Q81" s="3">
        <f t="shared" ca="1" si="14"/>
        <v>14.771983901915524</v>
      </c>
    </row>
    <row r="82" spans="2:17" x14ac:dyDescent="0.25">
      <c r="B82" s="7">
        <f t="shared" si="15"/>
        <v>1</v>
      </c>
      <c r="C82" s="7">
        <v>73</v>
      </c>
      <c r="D82" s="7">
        <f t="shared" si="16"/>
        <v>1.436628026501338E-128</v>
      </c>
      <c r="E82" s="7">
        <f t="shared" si="17"/>
        <v>1</v>
      </c>
      <c r="G82" s="3">
        <f t="shared" ca="1" si="9"/>
        <v>1</v>
      </c>
      <c r="H82" s="3">
        <f t="shared" ca="1" si="10"/>
        <v>0.26823909504276244</v>
      </c>
      <c r="I82" s="3">
        <f t="shared" ca="1" si="11"/>
        <v>2.5895901946194226</v>
      </c>
      <c r="O82" s="3">
        <f t="shared" ca="1" si="12"/>
        <v>0.34468031603093063</v>
      </c>
      <c r="P82" s="3">
        <f t="shared" ca="1" si="13"/>
        <v>-0.79836499007618289</v>
      </c>
      <c r="Q82" s="3">
        <f t="shared" ca="1" si="14"/>
        <v>0.86959253540869696</v>
      </c>
    </row>
    <row r="83" spans="2:17" x14ac:dyDescent="0.25">
      <c r="B83" s="7">
        <f t="shared" si="15"/>
        <v>1</v>
      </c>
      <c r="C83" s="7">
        <v>74</v>
      </c>
      <c r="D83" s="7">
        <f t="shared" si="16"/>
        <v>9.7069461250090431E-131</v>
      </c>
      <c r="E83" s="7">
        <f t="shared" si="17"/>
        <v>1</v>
      </c>
      <c r="G83" s="3">
        <f t="shared" ca="1" si="9"/>
        <v>1</v>
      </c>
      <c r="H83" s="3">
        <f t="shared" ca="1" si="10"/>
        <v>0.73340769484509416</v>
      </c>
      <c r="I83" s="3">
        <f t="shared" ca="1" si="11"/>
        <v>4.2819612762293113</v>
      </c>
      <c r="O83" s="3">
        <f t="shared" ca="1" si="12"/>
        <v>-17.123680466669683</v>
      </c>
      <c r="P83" s="3">
        <f t="shared" ca="1" si="13"/>
        <v>-6.0055936264248855</v>
      </c>
      <c r="Q83" s="3">
        <f t="shared" ca="1" si="14"/>
        <v>18.146283022436304</v>
      </c>
    </row>
    <row r="84" spans="2:17" x14ac:dyDescent="0.25">
      <c r="B84" s="7">
        <f t="shared" si="15"/>
        <v>1</v>
      </c>
      <c r="C84" s="7">
        <v>75</v>
      </c>
      <c r="D84" s="7">
        <f t="shared" si="16"/>
        <v>6.4712974166726943E-133</v>
      </c>
      <c r="E84" s="7">
        <f t="shared" si="17"/>
        <v>1</v>
      </c>
      <c r="G84" s="3">
        <f t="shared" ca="1" si="9"/>
        <v>1</v>
      </c>
      <c r="H84" s="3">
        <f t="shared" ca="1" si="10"/>
        <v>6.5693195639733961</v>
      </c>
      <c r="I84" s="3">
        <f t="shared" ca="1" si="11"/>
        <v>12.815341942349212</v>
      </c>
      <c r="O84" s="3">
        <f t="shared" ca="1" si="12"/>
        <v>-3.9440824217504158</v>
      </c>
      <c r="P84" s="3">
        <f t="shared" ca="1" si="13"/>
        <v>-0.59814440314906292</v>
      </c>
      <c r="Q84" s="3">
        <f t="shared" ca="1" si="14"/>
        <v>3.9891807274901914</v>
      </c>
    </row>
    <row r="85" spans="2:17" x14ac:dyDescent="0.25">
      <c r="B85" s="7">
        <f t="shared" si="15"/>
        <v>1</v>
      </c>
      <c r="C85" s="7">
        <v>76</v>
      </c>
      <c r="D85" s="7">
        <f t="shared" si="16"/>
        <v>4.2574325109688782E-135</v>
      </c>
      <c r="E85" s="7">
        <f t="shared" si="17"/>
        <v>1</v>
      </c>
      <c r="G85" s="3">
        <f t="shared" ca="1" si="9"/>
        <v>1</v>
      </c>
      <c r="H85" s="3">
        <f t="shared" ca="1" si="10"/>
        <v>2.1035748147054738</v>
      </c>
      <c r="I85" s="3">
        <f t="shared" ca="1" si="11"/>
        <v>7.2518528920295156</v>
      </c>
      <c r="O85" s="3">
        <f t="shared" ca="1" si="12"/>
        <v>-8.4208616848538576</v>
      </c>
      <c r="P85" s="3">
        <f t="shared" ca="1" si="13"/>
        <v>5.947955933006452</v>
      </c>
      <c r="Q85" s="3">
        <f t="shared" ca="1" si="14"/>
        <v>10.309660096066525</v>
      </c>
    </row>
    <row r="86" spans="2:17" x14ac:dyDescent="0.25">
      <c r="B86" s="7">
        <f t="shared" si="15"/>
        <v>1</v>
      </c>
      <c r="C86" s="7">
        <v>77</v>
      </c>
      <c r="D86" s="7">
        <f t="shared" si="16"/>
        <v>2.7645665655642065E-137</v>
      </c>
      <c r="E86" s="7">
        <f t="shared" si="17"/>
        <v>1</v>
      </c>
      <c r="G86" s="3">
        <f t="shared" ca="1" si="9"/>
        <v>2</v>
      </c>
      <c r="H86" s="3">
        <f t="shared" ca="1" si="10"/>
        <v>3.9515198814021972</v>
      </c>
      <c r="I86" s="3">
        <f t="shared" ca="1" si="11"/>
        <v>9.9392151116199781</v>
      </c>
      <c r="O86" s="3">
        <f t="shared" ca="1" si="12"/>
        <v>-5.9077966205418111</v>
      </c>
      <c r="P86" s="3">
        <f t="shared" ca="1" si="13"/>
        <v>0.77178944789195492</v>
      </c>
      <c r="Q86" s="3">
        <f t="shared" ca="1" si="14"/>
        <v>5.9579962958668089</v>
      </c>
    </row>
    <row r="87" spans="2:17" x14ac:dyDescent="0.25">
      <c r="B87" s="7">
        <f t="shared" si="15"/>
        <v>1</v>
      </c>
      <c r="C87" s="7">
        <v>78</v>
      </c>
      <c r="D87" s="7">
        <f t="shared" si="16"/>
        <v>1.7721580548488512E-139</v>
      </c>
      <c r="E87" s="7">
        <f t="shared" si="17"/>
        <v>1</v>
      </c>
      <c r="G87" s="3">
        <f t="shared" ca="1" si="9"/>
        <v>1</v>
      </c>
      <c r="H87" s="3">
        <f t="shared" ca="1" si="10"/>
        <v>4.325314122841819</v>
      </c>
      <c r="I87" s="3">
        <f t="shared" ca="1" si="11"/>
        <v>10.398694777280728</v>
      </c>
      <c r="O87" s="3">
        <f t="shared" ca="1" si="12"/>
        <v>-7.7349850062438623</v>
      </c>
      <c r="P87" s="3">
        <f t="shared" ca="1" si="13"/>
        <v>-1.7889754648459135</v>
      </c>
      <c r="Q87" s="3">
        <f t="shared" ca="1" si="14"/>
        <v>7.9391703760933368</v>
      </c>
    </row>
    <row r="88" spans="2:17" x14ac:dyDescent="0.25">
      <c r="B88" s="7">
        <f t="shared" si="15"/>
        <v>1</v>
      </c>
      <c r="C88" s="7">
        <v>79</v>
      </c>
      <c r="D88" s="7">
        <f t="shared" si="16"/>
        <v>1.121619022056234E-141</v>
      </c>
      <c r="E88" s="7">
        <f t="shared" si="17"/>
        <v>1</v>
      </c>
      <c r="G88" s="3">
        <f t="shared" ca="1" si="9"/>
        <v>0</v>
      </c>
      <c r="H88" s="3">
        <f t="shared" ca="1" si="10"/>
        <v>2.9101373693100943</v>
      </c>
      <c r="I88" s="3">
        <f t="shared" ca="1" si="11"/>
        <v>8.5295623705294723</v>
      </c>
      <c r="O88" s="3">
        <f t="shared" ca="1" si="12"/>
        <v>-7.6428295642966768</v>
      </c>
      <c r="P88" s="3">
        <f t="shared" ca="1" si="13"/>
        <v>0.26065591019316781</v>
      </c>
      <c r="Q88" s="3">
        <f t="shared" ca="1" si="14"/>
        <v>7.6472730598825853</v>
      </c>
    </row>
    <row r="89" spans="2:17" x14ac:dyDescent="0.25">
      <c r="B89" s="7">
        <f t="shared" si="15"/>
        <v>1</v>
      </c>
      <c r="C89" s="7">
        <v>80</v>
      </c>
      <c r="D89" s="7">
        <f t="shared" si="16"/>
        <v>7.0101188878514667E-144</v>
      </c>
      <c r="E89" s="7">
        <f t="shared" si="17"/>
        <v>1</v>
      </c>
      <c r="G89" s="3">
        <f t="shared" ca="1" si="9"/>
        <v>0</v>
      </c>
      <c r="H89" s="3">
        <f t="shared" ca="1" si="10"/>
        <v>0.40927693568517587</v>
      </c>
      <c r="I89" s="3">
        <f t="shared" ca="1" si="11"/>
        <v>3.1987377810832509</v>
      </c>
      <c r="O89" s="3">
        <f t="shared" ca="1" si="12"/>
        <v>-0.28376976174522106</v>
      </c>
      <c r="P89" s="3">
        <f t="shared" ca="1" si="13"/>
        <v>5.4266614742004133</v>
      </c>
      <c r="Q89" s="3">
        <f t="shared" ca="1" si="14"/>
        <v>5.4340758214485696</v>
      </c>
    </row>
    <row r="90" spans="2:17" x14ac:dyDescent="0.25">
      <c r="B90" s="7">
        <f t="shared" si="15"/>
        <v>1</v>
      </c>
      <c r="C90" s="7">
        <v>81</v>
      </c>
      <c r="D90" s="7">
        <f t="shared" si="16"/>
        <v>4.3272338813897936E-146</v>
      </c>
      <c r="E90" s="7">
        <f t="shared" si="17"/>
        <v>1</v>
      </c>
      <c r="G90" s="3">
        <f t="shared" ca="1" si="9"/>
        <v>0</v>
      </c>
      <c r="H90" s="3">
        <f t="shared" ca="1" si="10"/>
        <v>4.429775397809312</v>
      </c>
      <c r="I90" s="3">
        <f t="shared" ca="1" si="11"/>
        <v>10.523515807240127</v>
      </c>
      <c r="O90" s="3">
        <f t="shared" ca="1" si="12"/>
        <v>-13.766589770171372</v>
      </c>
      <c r="P90" s="3">
        <f t="shared" ca="1" si="13"/>
        <v>2.864553952630029</v>
      </c>
      <c r="Q90" s="3">
        <f t="shared" ca="1" si="14"/>
        <v>14.061460210366326</v>
      </c>
    </row>
    <row r="91" spans="2:17" x14ac:dyDescent="0.25">
      <c r="B91" s="7">
        <f t="shared" si="15"/>
        <v>1</v>
      </c>
      <c r="C91" s="7">
        <v>82</v>
      </c>
      <c r="D91" s="7">
        <f t="shared" si="16"/>
        <v>2.6385572447498736E-148</v>
      </c>
      <c r="E91" s="7">
        <f t="shared" si="17"/>
        <v>1</v>
      </c>
      <c r="G91" s="3">
        <f t="shared" ca="1" si="9"/>
        <v>1</v>
      </c>
      <c r="H91" s="3">
        <f t="shared" ca="1" si="10"/>
        <v>3.7057260598344466</v>
      </c>
      <c r="I91" s="3">
        <f t="shared" ca="1" si="11"/>
        <v>9.6251312456434164</v>
      </c>
      <c r="O91" s="3">
        <f t="shared" ca="1" si="12"/>
        <v>-3.9947319197508726</v>
      </c>
      <c r="P91" s="3">
        <f t="shared" ca="1" si="13"/>
        <v>-7.579543820537002</v>
      </c>
      <c r="Q91" s="3">
        <f t="shared" ca="1" si="14"/>
        <v>8.5678099674372543</v>
      </c>
    </row>
    <row r="92" spans="2:17" x14ac:dyDescent="0.25">
      <c r="B92" s="7">
        <f t="shared" si="15"/>
        <v>1</v>
      </c>
      <c r="C92" s="7">
        <v>83</v>
      </c>
      <c r="D92" s="7">
        <f t="shared" si="16"/>
        <v>1.5894923161143815E-150</v>
      </c>
      <c r="E92" s="7">
        <f t="shared" si="17"/>
        <v>1</v>
      </c>
      <c r="G92" s="3">
        <f t="shared" ca="1" si="9"/>
        <v>1</v>
      </c>
      <c r="H92" s="3">
        <f t="shared" ca="1" si="10"/>
        <v>7.9233547875011423</v>
      </c>
      <c r="I92" s="3">
        <f t="shared" ca="1" si="11"/>
        <v>14.074227143524741</v>
      </c>
      <c r="O92" s="3">
        <f t="shared" ca="1" si="12"/>
        <v>6.0033652646084246</v>
      </c>
      <c r="P92" s="3">
        <f t="shared" ca="1" si="13"/>
        <v>7.9428948836858554E-2</v>
      </c>
      <c r="Q92" s="3">
        <f t="shared" ca="1" si="14"/>
        <v>6.0038906933937684</v>
      </c>
    </row>
    <row r="93" spans="2:17" x14ac:dyDescent="0.25">
      <c r="B93" s="7">
        <f t="shared" si="15"/>
        <v>1</v>
      </c>
      <c r="C93" s="7">
        <v>84</v>
      </c>
      <c r="D93" s="7">
        <f t="shared" si="16"/>
        <v>9.4612637863951304E-153</v>
      </c>
      <c r="E93" s="7">
        <f t="shared" si="17"/>
        <v>1</v>
      </c>
      <c r="G93" s="3">
        <f t="shared" ca="1" si="9"/>
        <v>0</v>
      </c>
      <c r="H93" s="3">
        <f t="shared" ca="1" si="10"/>
        <v>5.3573874775233348</v>
      </c>
      <c r="I93" s="3">
        <f t="shared" ca="1" si="11"/>
        <v>11.573015464349963</v>
      </c>
      <c r="O93" s="3">
        <f t="shared" ca="1" si="12"/>
        <v>-9.62361817794892</v>
      </c>
      <c r="P93" s="3">
        <f t="shared" ca="1" si="13"/>
        <v>5.6438585285728502</v>
      </c>
      <c r="Q93" s="3">
        <f t="shared" ca="1" si="14"/>
        <v>11.15648537513017</v>
      </c>
    </row>
    <row r="94" spans="2:17" x14ac:dyDescent="0.25">
      <c r="B94" s="7">
        <f t="shared" si="15"/>
        <v>1</v>
      </c>
      <c r="C94" s="7">
        <v>85</v>
      </c>
      <c r="D94" s="7">
        <f t="shared" si="16"/>
        <v>5.5654492861147854E-155</v>
      </c>
      <c r="E94" s="7">
        <f t="shared" si="17"/>
        <v>1</v>
      </c>
      <c r="G94" s="3">
        <f t="shared" ca="1" si="9"/>
        <v>0</v>
      </c>
      <c r="H94" s="3">
        <f t="shared" ca="1" si="10"/>
        <v>9.4332070118932627</v>
      </c>
      <c r="I94" s="3">
        <f t="shared" ca="1" si="11"/>
        <v>15.356763177744572</v>
      </c>
      <c r="O94" s="3">
        <f t="shared" ca="1" si="12"/>
        <v>-6.8419979804948001</v>
      </c>
      <c r="P94" s="3">
        <f t="shared" ca="1" si="13"/>
        <v>10.738026080738585</v>
      </c>
      <c r="Q94" s="3">
        <f t="shared" ca="1" si="14"/>
        <v>12.732562211735585</v>
      </c>
    </row>
    <row r="95" spans="2:17" x14ac:dyDescent="0.25">
      <c r="B95" s="7">
        <f t="shared" si="15"/>
        <v>1</v>
      </c>
      <c r="C95" s="7">
        <v>86</v>
      </c>
      <c r="D95" s="7">
        <f t="shared" si="16"/>
        <v>3.2357263291365005E-157</v>
      </c>
      <c r="E95" s="7">
        <f t="shared" si="17"/>
        <v>1</v>
      </c>
      <c r="G95" s="3">
        <f t="shared" ca="1" si="9"/>
        <v>0</v>
      </c>
      <c r="H95" s="3">
        <f t="shared" ca="1" si="10"/>
        <v>0.69140343156504647</v>
      </c>
      <c r="I95" s="3">
        <f t="shared" ca="1" si="11"/>
        <v>4.1575336185202598</v>
      </c>
      <c r="O95" s="3">
        <f t="shared" ca="1" si="12"/>
        <v>-9.6967395534389347</v>
      </c>
      <c r="P95" s="3">
        <f t="shared" ca="1" si="13"/>
        <v>-2.2448980462838573</v>
      </c>
      <c r="Q95" s="3">
        <f t="shared" ca="1" si="14"/>
        <v>9.9532067799999098</v>
      </c>
    </row>
    <row r="96" spans="2:17" x14ac:dyDescent="0.25">
      <c r="B96" s="7">
        <f t="shared" si="15"/>
        <v>1</v>
      </c>
      <c r="C96" s="7">
        <v>87</v>
      </c>
      <c r="D96" s="7">
        <f t="shared" si="16"/>
        <v>1.859612832837071E-159</v>
      </c>
      <c r="E96" s="7">
        <f t="shared" si="17"/>
        <v>1</v>
      </c>
      <c r="G96" s="3">
        <f t="shared" ca="1" si="9"/>
        <v>0</v>
      </c>
      <c r="H96" s="3">
        <f t="shared" ca="1" si="10"/>
        <v>0.2452308816583017</v>
      </c>
      <c r="I96" s="3">
        <f t="shared" ca="1" si="11"/>
        <v>2.4760395880230881</v>
      </c>
      <c r="O96" s="3">
        <f t="shared" ca="1" si="12"/>
        <v>-9.2758696371643747</v>
      </c>
      <c r="P96" s="3">
        <f t="shared" ca="1" si="13"/>
        <v>-0.32551825549342334</v>
      </c>
      <c r="Q96" s="3">
        <f t="shared" ca="1" si="14"/>
        <v>9.2815795886437034</v>
      </c>
    </row>
    <row r="97" spans="2:17" x14ac:dyDescent="0.25">
      <c r="B97" s="7">
        <f t="shared" si="15"/>
        <v>1</v>
      </c>
      <c r="C97" s="7">
        <v>88</v>
      </c>
      <c r="D97" s="7">
        <f t="shared" si="16"/>
        <v>1.0565982004756083E-161</v>
      </c>
      <c r="E97" s="7">
        <f t="shared" si="17"/>
        <v>1</v>
      </c>
      <c r="G97" s="3">
        <f t="shared" ca="1" si="9"/>
        <v>1</v>
      </c>
      <c r="H97" s="3">
        <f t="shared" ca="1" si="10"/>
        <v>3.7882540061507251</v>
      </c>
      <c r="I97" s="3">
        <f t="shared" ca="1" si="11"/>
        <v>9.731718766680844</v>
      </c>
      <c r="O97" s="3">
        <f t="shared" ca="1" si="12"/>
        <v>-6.752425032825716</v>
      </c>
      <c r="P97" s="3">
        <f t="shared" ca="1" si="13"/>
        <v>-2.649094360577283</v>
      </c>
      <c r="Q97" s="3">
        <f t="shared" ca="1" si="14"/>
        <v>7.2534781143375442</v>
      </c>
    </row>
    <row r="98" spans="2:17" x14ac:dyDescent="0.25">
      <c r="B98" s="7">
        <f t="shared" si="15"/>
        <v>1</v>
      </c>
      <c r="C98" s="7">
        <v>89</v>
      </c>
      <c r="D98" s="7">
        <f t="shared" si="16"/>
        <v>5.9359449464921785E-164</v>
      </c>
      <c r="E98" s="7">
        <f t="shared" si="17"/>
        <v>1</v>
      </c>
      <c r="G98" s="3">
        <f t="shared" ca="1" si="9"/>
        <v>0</v>
      </c>
      <c r="H98" s="3">
        <f t="shared" ca="1" si="10"/>
        <v>5.365887969405196</v>
      </c>
      <c r="I98" s="3">
        <f t="shared" ca="1" si="11"/>
        <v>11.582193196244393</v>
      </c>
      <c r="O98" s="3">
        <f t="shared" ca="1" si="12"/>
        <v>0.96241400085586104</v>
      </c>
      <c r="P98" s="3">
        <f t="shared" ca="1" si="13"/>
        <v>4.8989613516453883</v>
      </c>
      <c r="Q98" s="3">
        <f t="shared" ca="1" si="14"/>
        <v>4.9926008286221517</v>
      </c>
    </row>
    <row r="99" spans="2:17" x14ac:dyDescent="0.25">
      <c r="B99" s="7">
        <f t="shared" si="15"/>
        <v>1</v>
      </c>
      <c r="C99" s="7">
        <v>90</v>
      </c>
      <c r="D99" s="7">
        <f t="shared" si="16"/>
        <v>3.297747192495658E-166</v>
      </c>
      <c r="E99" s="7">
        <f t="shared" si="17"/>
        <v>1</v>
      </c>
      <c r="G99" s="3">
        <f t="shared" ca="1" si="9"/>
        <v>0</v>
      </c>
      <c r="H99" s="3">
        <f t="shared" ca="1" si="10"/>
        <v>0.81499072672727391</v>
      </c>
      <c r="I99" s="3">
        <f t="shared" ca="1" si="11"/>
        <v>4.5138418412901711</v>
      </c>
      <c r="O99" s="3">
        <f t="shared" ca="1" si="12"/>
        <v>-3.0727524670443227</v>
      </c>
      <c r="P99" s="3">
        <f t="shared" ca="1" si="13"/>
        <v>4.5092872134841606</v>
      </c>
      <c r="Q99" s="3">
        <f t="shared" ca="1" si="14"/>
        <v>5.4566912041473188</v>
      </c>
    </row>
    <row r="100" spans="2:17" x14ac:dyDescent="0.25">
      <c r="B100" s="7">
        <f t="shared" si="15"/>
        <v>1</v>
      </c>
      <c r="C100" s="7">
        <v>91</v>
      </c>
      <c r="D100" s="7">
        <f t="shared" si="16"/>
        <v>1.8119490068657443E-168</v>
      </c>
      <c r="E100" s="7">
        <f t="shared" si="17"/>
        <v>1</v>
      </c>
      <c r="G100" s="3">
        <f t="shared" ca="1" si="9"/>
        <v>0</v>
      </c>
      <c r="H100" s="3">
        <f t="shared" ca="1" si="10"/>
        <v>2.2455756990078646</v>
      </c>
      <c r="I100" s="3">
        <f t="shared" ca="1" si="11"/>
        <v>7.4926225365486419</v>
      </c>
      <c r="O100" s="3">
        <f t="shared" ca="1" si="12"/>
        <v>-3.2448988917460251</v>
      </c>
      <c r="P100" s="3">
        <f t="shared" ca="1" si="13"/>
        <v>-1.6637008393101023</v>
      </c>
      <c r="Q100" s="3">
        <f t="shared" ca="1" si="14"/>
        <v>3.6465421018240995</v>
      </c>
    </row>
    <row r="101" spans="2:17" x14ac:dyDescent="0.25">
      <c r="B101" s="7">
        <f t="shared" si="15"/>
        <v>1</v>
      </c>
      <c r="C101" s="7">
        <v>92</v>
      </c>
      <c r="D101" s="7">
        <f t="shared" si="16"/>
        <v>9.8475489503573105E-171</v>
      </c>
      <c r="E101" s="7">
        <f t="shared" si="17"/>
        <v>1</v>
      </c>
      <c r="G101" s="3">
        <f t="shared" ca="1" si="9"/>
        <v>0</v>
      </c>
      <c r="H101" s="3">
        <f t="shared" ca="1" si="10"/>
        <v>0.16995636488437871</v>
      </c>
      <c r="I101" s="3">
        <f t="shared" ca="1" si="11"/>
        <v>2.0612882190779307</v>
      </c>
      <c r="O101" s="3">
        <f t="shared" ca="1" si="12"/>
        <v>-8.9558390207985781</v>
      </c>
      <c r="P101" s="3">
        <f t="shared" ca="1" si="13"/>
        <v>0.40882497683486546</v>
      </c>
      <c r="Q101" s="3">
        <f t="shared" ca="1" si="14"/>
        <v>8.9651653876625428</v>
      </c>
    </row>
    <row r="102" spans="2:17" x14ac:dyDescent="0.25">
      <c r="B102" s="7">
        <f t="shared" si="15"/>
        <v>1</v>
      </c>
      <c r="C102" s="7">
        <v>93</v>
      </c>
      <c r="D102" s="7">
        <f t="shared" si="16"/>
        <v>5.2943811561060827E-173</v>
      </c>
      <c r="E102" s="7">
        <f t="shared" si="17"/>
        <v>1</v>
      </c>
      <c r="G102" s="3">
        <f t="shared" ca="1" si="9"/>
        <v>0</v>
      </c>
      <c r="H102" s="3">
        <f t="shared" ca="1" si="10"/>
        <v>8.9431538869535583</v>
      </c>
      <c r="I102" s="3">
        <f t="shared" ca="1" si="11"/>
        <v>14.952553199164313</v>
      </c>
      <c r="O102" s="3">
        <f t="shared" ca="1" si="12"/>
        <v>-6.1225727530142278</v>
      </c>
      <c r="P102" s="3">
        <f t="shared" ca="1" si="13"/>
        <v>-5.8576120807129213</v>
      </c>
      <c r="Q102" s="3">
        <f t="shared" ca="1" si="14"/>
        <v>8.4733415134801557</v>
      </c>
    </row>
    <row r="103" spans="2:17" x14ac:dyDescent="0.25">
      <c r="B103" s="7">
        <f t="shared" si="15"/>
        <v>1</v>
      </c>
      <c r="C103" s="7">
        <v>94</v>
      </c>
      <c r="D103" s="7">
        <f t="shared" si="16"/>
        <v>2.8161601894181289E-175</v>
      </c>
      <c r="E103" s="7">
        <f t="shared" si="17"/>
        <v>1</v>
      </c>
      <c r="G103" s="3">
        <f t="shared" ca="1" si="9"/>
        <v>1</v>
      </c>
      <c r="H103" s="3">
        <f t="shared" ca="1" si="10"/>
        <v>3.852862539493966</v>
      </c>
      <c r="I103" s="3">
        <f t="shared" ca="1" si="11"/>
        <v>9.8143549705189059</v>
      </c>
      <c r="O103" s="3">
        <f t="shared" ca="1" si="12"/>
        <v>-0.14515827111642388</v>
      </c>
      <c r="P103" s="3">
        <f t="shared" ca="1" si="13"/>
        <v>2.7130520384980494</v>
      </c>
      <c r="Q103" s="3">
        <f t="shared" ca="1" si="14"/>
        <v>2.7169325143020999</v>
      </c>
    </row>
    <row r="104" spans="2:17" x14ac:dyDescent="0.25">
      <c r="B104" s="7">
        <f t="shared" si="15"/>
        <v>1</v>
      </c>
      <c r="C104" s="7">
        <v>95</v>
      </c>
      <c r="D104" s="7">
        <f t="shared" si="16"/>
        <v>1.4821895733779618E-177</v>
      </c>
      <c r="E104" s="7">
        <f t="shared" si="17"/>
        <v>1</v>
      </c>
      <c r="G104" s="3">
        <f t="shared" ca="1" si="9"/>
        <v>0</v>
      </c>
      <c r="H104" s="3">
        <f t="shared" ca="1" si="10"/>
        <v>0.29600256201741731</v>
      </c>
      <c r="I104" s="3">
        <f t="shared" ca="1" si="11"/>
        <v>2.7203058744257849</v>
      </c>
      <c r="O104" s="3">
        <f t="shared" ca="1" si="12"/>
        <v>-10.360228513008867</v>
      </c>
      <c r="P104" s="3">
        <f t="shared" ca="1" si="13"/>
        <v>-10.79850492045715</v>
      </c>
      <c r="Q104" s="3">
        <f t="shared" ca="1" si="14"/>
        <v>14.964693226354465</v>
      </c>
    </row>
    <row r="105" spans="2:17" x14ac:dyDescent="0.25">
      <c r="B105" s="7">
        <f t="shared" si="15"/>
        <v>1</v>
      </c>
      <c r="C105" s="7">
        <v>96</v>
      </c>
      <c r="D105" s="7">
        <f t="shared" si="16"/>
        <v>7.7197373613435561E-180</v>
      </c>
      <c r="E105" s="7">
        <f t="shared" si="17"/>
        <v>1</v>
      </c>
      <c r="G105" s="3">
        <f t="shared" ca="1" si="9"/>
        <v>1</v>
      </c>
      <c r="H105" s="3">
        <f t="shared" ca="1" si="10"/>
        <v>5.2095987224646043</v>
      </c>
      <c r="I105" s="3">
        <f t="shared" ca="1" si="11"/>
        <v>11.412272694849834</v>
      </c>
      <c r="O105" s="3">
        <f t="shared" ca="1" si="12"/>
        <v>-10.962656557704813</v>
      </c>
      <c r="P105" s="3">
        <f t="shared" ca="1" si="13"/>
        <v>-6.6588292455873903</v>
      </c>
      <c r="Q105" s="3">
        <f t="shared" ca="1" si="14"/>
        <v>12.826528981921737</v>
      </c>
    </row>
    <row r="106" spans="2:17" x14ac:dyDescent="0.25">
      <c r="B106" s="7">
        <f t="shared" si="15"/>
        <v>1</v>
      </c>
      <c r="C106" s="7">
        <v>97</v>
      </c>
      <c r="D106" s="7">
        <f t="shared" si="16"/>
        <v>3.979246062548221E-182</v>
      </c>
      <c r="E106" s="7">
        <f t="shared" si="17"/>
        <v>1</v>
      </c>
      <c r="G106" s="3">
        <f t="shared" ca="1" si="9"/>
        <v>1</v>
      </c>
      <c r="H106" s="3">
        <f t="shared" ca="1" si="10"/>
        <v>3.644853710121009</v>
      </c>
      <c r="I106" s="3">
        <f t="shared" ca="1" si="11"/>
        <v>9.5457499837899178</v>
      </c>
      <c r="O106" s="3">
        <f t="shared" ca="1" si="12"/>
        <v>-10.796521426140524</v>
      </c>
      <c r="P106" s="3">
        <f t="shared" ca="1" si="13"/>
        <v>3.1973339046112823</v>
      </c>
      <c r="Q106" s="3">
        <f t="shared" ca="1" si="14"/>
        <v>11.260009724804338</v>
      </c>
    </row>
    <row r="107" spans="2:17" x14ac:dyDescent="0.25">
      <c r="B107" s="7">
        <f t="shared" si="15"/>
        <v>1</v>
      </c>
      <c r="C107" s="7">
        <v>98</v>
      </c>
      <c r="D107" s="7">
        <f t="shared" si="16"/>
        <v>2.0302275829327666E-184</v>
      </c>
      <c r="E107" s="7">
        <f t="shared" si="17"/>
        <v>1</v>
      </c>
      <c r="G107" s="3">
        <f t="shared" ca="1" si="9"/>
        <v>0</v>
      </c>
      <c r="H107" s="3">
        <f t="shared" ca="1" si="10"/>
        <v>0.56899779663417638</v>
      </c>
      <c r="I107" s="3">
        <f t="shared" ca="1" si="11"/>
        <v>3.7715971306403349</v>
      </c>
      <c r="O107" s="3">
        <f t="shared" ca="1" si="12"/>
        <v>-1.8367474513736912</v>
      </c>
      <c r="P107" s="3">
        <f t="shared" ca="1" si="13"/>
        <v>9.995738474696104</v>
      </c>
      <c r="Q107" s="3">
        <f t="shared" ca="1" si="14"/>
        <v>10.163091500849914</v>
      </c>
    </row>
    <row r="108" spans="2:17" x14ac:dyDescent="0.25">
      <c r="B108" s="7">
        <f t="shared" si="15"/>
        <v>1</v>
      </c>
      <c r="C108" s="7">
        <v>99</v>
      </c>
      <c r="D108" s="7">
        <f t="shared" si="16"/>
        <v>1.0253674661276599E-186</v>
      </c>
      <c r="E108" s="7">
        <f t="shared" si="17"/>
        <v>1</v>
      </c>
      <c r="G108" s="3">
        <f t="shared" ca="1" si="9"/>
        <v>1</v>
      </c>
      <c r="H108" s="3">
        <f t="shared" ca="1" si="10"/>
        <v>7.1575028277964403</v>
      </c>
      <c r="I108" s="3">
        <f t="shared" ca="1" si="11"/>
        <v>13.376754864125717</v>
      </c>
      <c r="O108" s="3">
        <f t="shared" ca="1" si="12"/>
        <v>-6.6789450914267325</v>
      </c>
      <c r="P108" s="3">
        <f t="shared" ca="1" si="13"/>
        <v>-5.1067760725304305</v>
      </c>
      <c r="Q108" s="3">
        <f t="shared" ca="1" si="14"/>
        <v>8.4075840399762036</v>
      </c>
    </row>
    <row r="109" spans="2:17" x14ac:dyDescent="0.25">
      <c r="B109" s="7">
        <f t="shared" si="15"/>
        <v>1</v>
      </c>
      <c r="C109" s="7">
        <v>100</v>
      </c>
      <c r="D109" s="7">
        <f t="shared" si="16"/>
        <v>5.1268373306382985E-189</v>
      </c>
      <c r="E109" s="7">
        <f t="shared" si="17"/>
        <v>1</v>
      </c>
      <c r="G109" s="3">
        <f t="shared" ca="1" si="9"/>
        <v>1</v>
      </c>
      <c r="H109" s="3">
        <f t="shared" ca="1" si="10"/>
        <v>3.0174576998663363</v>
      </c>
      <c r="I109" s="3">
        <f t="shared" ca="1" si="11"/>
        <v>8.6854155051245758</v>
      </c>
      <c r="O109" s="3">
        <f t="shared" ca="1" si="12"/>
        <v>-1.0947740563144137</v>
      </c>
      <c r="P109" s="3">
        <f t="shared" ca="1" si="13"/>
        <v>12.911084696644027</v>
      </c>
      <c r="Q109" s="3">
        <f t="shared" ca="1" si="14"/>
        <v>12.957416342708708</v>
      </c>
    </row>
    <row r="110" spans="2:17" x14ac:dyDescent="0.25">
      <c r="B110" s="7">
        <f t="shared" si="15"/>
        <v>1</v>
      </c>
      <c r="C110" s="7">
        <v>101</v>
      </c>
      <c r="D110" s="7">
        <f t="shared" si="16"/>
        <v>2.5380382824942075E-191</v>
      </c>
      <c r="E110" s="7">
        <f t="shared" si="17"/>
        <v>1</v>
      </c>
      <c r="G110" s="3">
        <f t="shared" ca="1" si="9"/>
        <v>0</v>
      </c>
      <c r="H110" s="3">
        <f t="shared" ca="1" si="10"/>
        <v>0.62995860801893588</v>
      </c>
      <c r="I110" s="3">
        <f t="shared" ca="1" si="11"/>
        <v>3.9684965919694823</v>
      </c>
      <c r="O110" s="3">
        <f t="shared" ca="1" si="12"/>
        <v>-8.3908235456549818</v>
      </c>
      <c r="P110" s="3">
        <f t="shared" ca="1" si="13"/>
        <v>-1.5448072854940647</v>
      </c>
      <c r="Q110" s="3">
        <f t="shared" ca="1" si="14"/>
        <v>8.5318432547506156</v>
      </c>
    </row>
    <row r="111" spans="2:17" x14ac:dyDescent="0.25">
      <c r="B111" s="7">
        <f t="shared" si="15"/>
        <v>1</v>
      </c>
      <c r="C111" s="7">
        <v>102</v>
      </c>
      <c r="D111" s="7">
        <f t="shared" si="16"/>
        <v>1.2441364129873569E-193</v>
      </c>
      <c r="E111" s="7">
        <f t="shared" si="17"/>
        <v>1</v>
      </c>
      <c r="G111" s="3">
        <f t="shared" ca="1" si="9"/>
        <v>0</v>
      </c>
      <c r="H111" s="3">
        <f t="shared" ca="1" si="10"/>
        <v>1.4173062287148719</v>
      </c>
      <c r="I111" s="3">
        <f t="shared" ca="1" si="11"/>
        <v>5.952533554535564</v>
      </c>
      <c r="O111" s="3">
        <f t="shared" ca="1" si="12"/>
        <v>-3.4904886579874224</v>
      </c>
      <c r="P111" s="3">
        <f t="shared" ca="1" si="13"/>
        <v>-3.665196688774508</v>
      </c>
      <c r="Q111" s="3">
        <f t="shared" ca="1" si="14"/>
        <v>5.0613415058601268</v>
      </c>
    </row>
    <row r="112" spans="2:17" x14ac:dyDescent="0.25">
      <c r="B112" s="7">
        <f t="shared" si="15"/>
        <v>1</v>
      </c>
      <c r="C112" s="7">
        <v>103</v>
      </c>
      <c r="D112" s="7">
        <f t="shared" si="16"/>
        <v>6.0394971504240627E-196</v>
      </c>
      <c r="E112" s="7">
        <f t="shared" si="17"/>
        <v>1</v>
      </c>
      <c r="G112" s="3">
        <f t="shared" ca="1" si="9"/>
        <v>1</v>
      </c>
      <c r="H112" s="3">
        <f t="shared" ca="1" si="10"/>
        <v>0.60774881701121231</v>
      </c>
      <c r="I112" s="3">
        <f t="shared" ca="1" si="11"/>
        <v>3.8979123162637079</v>
      </c>
      <c r="O112" s="3">
        <f t="shared" ca="1" si="12"/>
        <v>-8.2098178821318619</v>
      </c>
      <c r="P112" s="3">
        <f t="shared" ca="1" si="13"/>
        <v>4.9386831282870052</v>
      </c>
      <c r="Q112" s="3">
        <f t="shared" ca="1" si="14"/>
        <v>9.580798541843933</v>
      </c>
    </row>
    <row r="113" spans="2:17" x14ac:dyDescent="0.25">
      <c r="B113" s="7">
        <f t="shared" si="15"/>
        <v>1</v>
      </c>
      <c r="C113" s="7">
        <v>104</v>
      </c>
      <c r="D113" s="7">
        <f t="shared" si="16"/>
        <v>2.9036043992423363E-198</v>
      </c>
      <c r="E113" s="7">
        <f t="shared" si="17"/>
        <v>1</v>
      </c>
      <c r="G113" s="3">
        <f t="shared" ca="1" si="9"/>
        <v>0</v>
      </c>
      <c r="H113" s="3">
        <f t="shared" ca="1" si="10"/>
        <v>0.2932465219253928</v>
      </c>
      <c r="I113" s="3">
        <f t="shared" ca="1" si="11"/>
        <v>2.7076120564317963</v>
      </c>
      <c r="O113" s="3">
        <f t="shared" ca="1" si="12"/>
        <v>-6.6865824778076144</v>
      </c>
      <c r="P113" s="3">
        <f t="shared" ca="1" si="13"/>
        <v>-5.3122454632817115</v>
      </c>
      <c r="Q113" s="3">
        <f t="shared" ca="1" si="14"/>
        <v>8.5399260590874526</v>
      </c>
    </row>
    <row r="114" spans="2:17" x14ac:dyDescent="0.25">
      <c r="B114" s="7">
        <f t="shared" si="15"/>
        <v>1</v>
      </c>
      <c r="C114" s="7">
        <v>105</v>
      </c>
      <c r="D114" s="7">
        <f t="shared" si="16"/>
        <v>1.3826687615439698E-200</v>
      </c>
      <c r="E114" s="7">
        <f t="shared" si="17"/>
        <v>1</v>
      </c>
      <c r="G114" s="3">
        <f t="shared" ca="1" si="9"/>
        <v>1</v>
      </c>
      <c r="H114" s="3">
        <f t="shared" ca="1" si="10"/>
        <v>1.8867025765851428</v>
      </c>
      <c r="I114" s="3">
        <f t="shared" ca="1" si="11"/>
        <v>6.8678646182513354</v>
      </c>
      <c r="O114" s="3">
        <f t="shared" ca="1" si="12"/>
        <v>-10.524458445031733</v>
      </c>
      <c r="P114" s="3">
        <f t="shared" ca="1" si="13"/>
        <v>4.2832793592061957</v>
      </c>
      <c r="Q114" s="3">
        <f t="shared" ca="1" si="14"/>
        <v>11.362689278080326</v>
      </c>
    </row>
    <row r="115" spans="2:17" x14ac:dyDescent="0.25">
      <c r="B115" s="7">
        <f t="shared" si="15"/>
        <v>1</v>
      </c>
      <c r="C115" s="7">
        <v>106</v>
      </c>
      <c r="D115" s="7">
        <f t="shared" si="16"/>
        <v>6.5220224601130652E-203</v>
      </c>
      <c r="E115" s="7">
        <f t="shared" si="17"/>
        <v>1</v>
      </c>
      <c r="G115" s="3">
        <f t="shared" ca="1" si="9"/>
        <v>1</v>
      </c>
      <c r="H115" s="3">
        <f t="shared" ca="1" si="10"/>
        <v>0.87653439599561134</v>
      </c>
      <c r="I115" s="3">
        <f t="shared" ca="1" si="11"/>
        <v>4.6811707830296347</v>
      </c>
      <c r="O115" s="3">
        <f t="shared" ca="1" si="12"/>
        <v>-6.1971777151016223</v>
      </c>
      <c r="P115" s="3">
        <f t="shared" ca="1" si="13"/>
        <v>4.9395797307757201</v>
      </c>
      <c r="Q115" s="3">
        <f t="shared" ca="1" si="14"/>
        <v>7.9249264696426369</v>
      </c>
    </row>
    <row r="116" spans="2:17" x14ac:dyDescent="0.25">
      <c r="B116" s="7">
        <f t="shared" si="15"/>
        <v>1</v>
      </c>
      <c r="C116" s="7">
        <v>107</v>
      </c>
      <c r="D116" s="7">
        <f t="shared" si="16"/>
        <v>3.0476740467818082E-205</v>
      </c>
      <c r="E116" s="7">
        <f t="shared" si="17"/>
        <v>1</v>
      </c>
      <c r="G116" s="3">
        <f t="shared" ca="1" si="9"/>
        <v>0</v>
      </c>
      <c r="H116" s="3">
        <f t="shared" ca="1" si="10"/>
        <v>1.121050309532807</v>
      </c>
      <c r="I116" s="3">
        <f t="shared" ca="1" si="11"/>
        <v>5.2939831637737731</v>
      </c>
      <c r="O116" s="3">
        <f t="shared" ca="1" si="12"/>
        <v>3.3825778606379071</v>
      </c>
      <c r="P116" s="3">
        <f t="shared" ca="1" si="13"/>
        <v>-4.2579152942170913</v>
      </c>
      <c r="Q116" s="3">
        <f t="shared" ca="1" si="14"/>
        <v>5.4379845196548269</v>
      </c>
    </row>
    <row r="117" spans="2:17" x14ac:dyDescent="0.25">
      <c r="B117" s="7">
        <f t="shared" si="15"/>
        <v>1</v>
      </c>
      <c r="C117" s="7">
        <v>108</v>
      </c>
      <c r="D117" s="7">
        <f t="shared" si="16"/>
        <v>1.4109602068434291E-207</v>
      </c>
      <c r="E117" s="7">
        <f t="shared" si="17"/>
        <v>1</v>
      </c>
      <c r="G117" s="3">
        <f t="shared" ca="1" si="9"/>
        <v>1</v>
      </c>
      <c r="H117" s="3">
        <f t="shared" ca="1" si="10"/>
        <v>1.4725222298075984</v>
      </c>
      <c r="I117" s="3">
        <f t="shared" ca="1" si="11"/>
        <v>6.0673763477461948</v>
      </c>
      <c r="O117" s="3">
        <f t="shared" ca="1" si="12"/>
        <v>-3.5414617197621912</v>
      </c>
      <c r="P117" s="3">
        <f t="shared" ca="1" si="13"/>
        <v>-1.3364687095010623</v>
      </c>
      <c r="Q117" s="3">
        <f t="shared" ca="1" si="14"/>
        <v>3.78524764368415</v>
      </c>
    </row>
    <row r="118" spans="2:17" x14ac:dyDescent="0.25">
      <c r="B118" s="7">
        <f t="shared" si="15"/>
        <v>1</v>
      </c>
      <c r="C118" s="7">
        <v>109</v>
      </c>
      <c r="D118" s="7">
        <f t="shared" si="16"/>
        <v>6.4722945268047183E-210</v>
      </c>
      <c r="E118" s="7">
        <f t="shared" si="17"/>
        <v>1</v>
      </c>
      <c r="G118" s="3">
        <f t="shared" ca="1" si="9"/>
        <v>0</v>
      </c>
      <c r="H118" s="3">
        <f t="shared" ca="1" si="10"/>
        <v>0.40501324544508177</v>
      </c>
      <c r="I118" s="3">
        <f t="shared" ca="1" si="11"/>
        <v>3.1820325479364668</v>
      </c>
      <c r="O118" s="3">
        <f t="shared" ca="1" si="12"/>
        <v>-12.932454582339286</v>
      </c>
      <c r="P118" s="3">
        <f t="shared" ca="1" si="13"/>
        <v>-3.2201773540880549</v>
      </c>
      <c r="Q118" s="3">
        <f t="shared" ca="1" si="14"/>
        <v>13.327337457873945</v>
      </c>
    </row>
    <row r="119" spans="2:17" x14ac:dyDescent="0.25">
      <c r="B119" s="7">
        <f t="shared" si="15"/>
        <v>1</v>
      </c>
      <c r="C119" s="7">
        <v>110</v>
      </c>
      <c r="D119" s="7">
        <f t="shared" si="16"/>
        <v>2.9419520576385105E-212</v>
      </c>
      <c r="E119" s="7">
        <f t="shared" si="17"/>
        <v>1</v>
      </c>
      <c r="G119" s="3">
        <f t="shared" ca="1" si="9"/>
        <v>0</v>
      </c>
      <c r="H119" s="3">
        <f t="shared" ca="1" si="10"/>
        <v>1.2302314150685134</v>
      </c>
      <c r="I119" s="3">
        <f t="shared" ca="1" si="11"/>
        <v>5.5457898785216191</v>
      </c>
      <c r="O119" s="3">
        <f t="shared" ca="1" si="12"/>
        <v>-6.4068048110211917</v>
      </c>
      <c r="P119" s="3">
        <f t="shared" ca="1" si="13"/>
        <v>-0.71214813806693866</v>
      </c>
      <c r="Q119" s="3">
        <f t="shared" ca="1" si="14"/>
        <v>6.4462627046278911</v>
      </c>
    </row>
    <row r="120" spans="2:17" x14ac:dyDescent="0.25">
      <c r="B120" s="7">
        <f t="shared" si="15"/>
        <v>1</v>
      </c>
      <c r="C120" s="7">
        <v>111</v>
      </c>
      <c r="D120" s="7">
        <f t="shared" si="16"/>
        <v>1.3252036295668954E-214</v>
      </c>
      <c r="E120" s="7">
        <f t="shared" si="17"/>
        <v>1</v>
      </c>
      <c r="G120" s="3">
        <f t="shared" ca="1" si="9"/>
        <v>0</v>
      </c>
      <c r="H120" s="3">
        <f t="shared" ca="1" si="10"/>
        <v>2.1746368539311405</v>
      </c>
      <c r="I120" s="3">
        <f t="shared" ca="1" si="11"/>
        <v>7.3733249859394174</v>
      </c>
      <c r="O120" s="3">
        <f t="shared" ca="1" si="12"/>
        <v>-0.82867101181668712</v>
      </c>
      <c r="P120" s="3">
        <f t="shared" ca="1" si="13"/>
        <v>-0.89793860734238817</v>
      </c>
      <c r="Q120" s="3">
        <f t="shared" ca="1" si="14"/>
        <v>1.2218794492016303</v>
      </c>
    </row>
    <row r="121" spans="2:17" x14ac:dyDescent="0.25">
      <c r="B121" s="7">
        <f t="shared" si="15"/>
        <v>1</v>
      </c>
      <c r="C121" s="7">
        <v>112</v>
      </c>
      <c r="D121" s="7">
        <f t="shared" si="16"/>
        <v>5.9160876319950694E-217</v>
      </c>
      <c r="E121" s="7">
        <f t="shared" si="17"/>
        <v>1</v>
      </c>
      <c r="G121" s="3">
        <f t="shared" ca="1" si="9"/>
        <v>1</v>
      </c>
      <c r="H121" s="3">
        <f t="shared" ca="1" si="10"/>
        <v>2.4820683792893936</v>
      </c>
      <c r="I121" s="3">
        <f t="shared" ca="1" si="11"/>
        <v>7.8772907450617078</v>
      </c>
      <c r="O121" s="3">
        <f t="shared" ca="1" si="12"/>
        <v>-9.9616453247584129</v>
      </c>
      <c r="P121" s="3">
        <f t="shared" ca="1" si="13"/>
        <v>-0.67866024833819472</v>
      </c>
      <c r="Q121" s="3">
        <f t="shared" ca="1" si="14"/>
        <v>9.9847362162931272</v>
      </c>
    </row>
    <row r="122" spans="2:17" x14ac:dyDescent="0.25">
      <c r="B122" s="7">
        <f t="shared" si="15"/>
        <v>1</v>
      </c>
      <c r="C122" s="7">
        <v>113</v>
      </c>
      <c r="D122" s="7">
        <f t="shared" si="16"/>
        <v>2.6177378902633061E-219</v>
      </c>
      <c r="E122" s="7">
        <f t="shared" si="17"/>
        <v>1</v>
      </c>
      <c r="G122" s="3">
        <f t="shared" ca="1" si="9"/>
        <v>0</v>
      </c>
      <c r="H122" s="3">
        <f t="shared" ca="1" si="10"/>
        <v>4.4440912131733707</v>
      </c>
      <c r="I122" s="3">
        <f t="shared" ca="1" si="11"/>
        <v>10.540506644812396</v>
      </c>
      <c r="O122" s="3">
        <f t="shared" ca="1" si="12"/>
        <v>-7.2127340572792296</v>
      </c>
      <c r="P122" s="3">
        <f t="shared" ca="1" si="13"/>
        <v>6.076063434759142</v>
      </c>
      <c r="Q122" s="3">
        <f t="shared" ca="1" si="14"/>
        <v>9.430910849130786</v>
      </c>
    </row>
    <row r="123" spans="2:17" x14ac:dyDescent="0.25">
      <c r="B123" s="7">
        <f t="shared" si="15"/>
        <v>1</v>
      </c>
      <c r="C123" s="7">
        <v>114</v>
      </c>
      <c r="D123" s="7">
        <f t="shared" si="16"/>
        <v>1.1481306536242578E-221</v>
      </c>
      <c r="E123" s="7">
        <f t="shared" si="17"/>
        <v>1</v>
      </c>
      <c r="G123" s="3">
        <f t="shared" ca="1" si="9"/>
        <v>2</v>
      </c>
      <c r="H123" s="3">
        <f t="shared" ca="1" si="10"/>
        <v>15.904786189804231</v>
      </c>
      <c r="I123" s="3">
        <f t="shared" ca="1" si="11"/>
        <v>19.940402572292911</v>
      </c>
      <c r="O123" s="3">
        <f t="shared" ca="1" si="12"/>
        <v>-9.7666402199681794</v>
      </c>
      <c r="P123" s="3">
        <f t="shared" ca="1" si="13"/>
        <v>-9.2803921232414019</v>
      </c>
      <c r="Q123" s="3">
        <f t="shared" ca="1" si="14"/>
        <v>13.472673793550452</v>
      </c>
    </row>
    <row r="124" spans="2:17" x14ac:dyDescent="0.25">
      <c r="B124" s="7">
        <f t="shared" si="15"/>
        <v>1</v>
      </c>
      <c r="C124" s="7">
        <v>115</v>
      </c>
      <c r="D124" s="7">
        <f t="shared" si="16"/>
        <v>4.9918724070619904E-224</v>
      </c>
      <c r="E124" s="7">
        <f t="shared" si="17"/>
        <v>1</v>
      </c>
      <c r="G124" s="3">
        <f t="shared" ca="1" si="9"/>
        <v>0</v>
      </c>
      <c r="H124" s="3">
        <f t="shared" ca="1" si="10"/>
        <v>1.2008423074513486</v>
      </c>
      <c r="I124" s="3">
        <f t="shared" ca="1" si="11"/>
        <v>5.4791475328087049</v>
      </c>
      <c r="O124" s="3">
        <f t="shared" ca="1" si="12"/>
        <v>-7.0363030624146106</v>
      </c>
      <c r="P124" s="3">
        <f t="shared" ca="1" si="13"/>
        <v>-1.3303665347013138</v>
      </c>
      <c r="Q124" s="3">
        <f t="shared" ca="1" si="14"/>
        <v>7.1609661291475479</v>
      </c>
    </row>
    <row r="125" spans="2:17" x14ac:dyDescent="0.25">
      <c r="B125" s="7">
        <f t="shared" si="15"/>
        <v>1</v>
      </c>
      <c r="C125" s="7">
        <v>116</v>
      </c>
      <c r="D125" s="7">
        <f t="shared" si="16"/>
        <v>2.1516691409749943E-226</v>
      </c>
      <c r="E125" s="7">
        <f t="shared" si="17"/>
        <v>1</v>
      </c>
      <c r="G125" s="3">
        <f t="shared" ca="1" si="9"/>
        <v>0</v>
      </c>
      <c r="H125" s="3">
        <f t="shared" ca="1" si="10"/>
        <v>0.85685732482176902</v>
      </c>
      <c r="I125" s="3">
        <f t="shared" ca="1" si="11"/>
        <v>4.6283294092517036</v>
      </c>
      <c r="O125" s="3">
        <f t="shared" ca="1" si="12"/>
        <v>-2.5806515497401867</v>
      </c>
      <c r="P125" s="3">
        <f t="shared" ca="1" si="13"/>
        <v>1.5129126115309661</v>
      </c>
      <c r="Q125" s="3">
        <f t="shared" ca="1" si="14"/>
        <v>2.9914322642015274</v>
      </c>
    </row>
    <row r="126" spans="2:17" x14ac:dyDescent="0.25">
      <c r="B126" s="7">
        <f t="shared" si="15"/>
        <v>1</v>
      </c>
      <c r="C126" s="7">
        <v>117</v>
      </c>
      <c r="D126" s="7">
        <f t="shared" si="16"/>
        <v>9.1951672691239098E-229</v>
      </c>
      <c r="E126" s="7">
        <f t="shared" si="17"/>
        <v>1</v>
      </c>
      <c r="G126" s="3">
        <f t="shared" ca="1" si="9"/>
        <v>0</v>
      </c>
      <c r="H126" s="3">
        <f t="shared" ca="1" si="10"/>
        <v>0.89558432125035892</v>
      </c>
      <c r="I126" s="3">
        <f t="shared" ca="1" si="11"/>
        <v>4.7317658470447341</v>
      </c>
      <c r="O126" s="3">
        <f t="shared" ca="1" si="12"/>
        <v>-2.6974153044212552</v>
      </c>
      <c r="P126" s="3">
        <f t="shared" ca="1" si="13"/>
        <v>1.0442287447118077</v>
      </c>
      <c r="Q126" s="3">
        <f t="shared" ca="1" si="14"/>
        <v>2.8924838799565351</v>
      </c>
    </row>
    <row r="127" spans="2:17" x14ac:dyDescent="0.25">
      <c r="B127" s="7">
        <f t="shared" si="15"/>
        <v>1</v>
      </c>
      <c r="C127" s="7">
        <v>118</v>
      </c>
      <c r="D127" s="7">
        <f t="shared" si="16"/>
        <v>3.8962573174253859E-231</v>
      </c>
      <c r="E127" s="7">
        <f t="shared" si="17"/>
        <v>1</v>
      </c>
      <c r="G127" s="3">
        <f t="shared" ca="1" si="9"/>
        <v>1</v>
      </c>
      <c r="H127" s="3">
        <f t="shared" ca="1" si="10"/>
        <v>1.8014661538815175</v>
      </c>
      <c r="I127" s="3">
        <f t="shared" ca="1" si="11"/>
        <v>6.7109353928523205</v>
      </c>
      <c r="O127" s="3">
        <f t="shared" ca="1" si="12"/>
        <v>-3.6186776422642617</v>
      </c>
      <c r="P127" s="3">
        <f t="shared" ca="1" si="13"/>
        <v>1.7329036882245372</v>
      </c>
      <c r="Q127" s="3">
        <f t="shared" ca="1" si="14"/>
        <v>4.0122042658974184</v>
      </c>
    </row>
    <row r="128" spans="2:17" x14ac:dyDescent="0.25">
      <c r="B128" s="7">
        <f t="shared" si="15"/>
        <v>1</v>
      </c>
      <c r="C128" s="7">
        <v>119</v>
      </c>
      <c r="D128" s="7">
        <f t="shared" si="16"/>
        <v>1.6370829064812542E-233</v>
      </c>
      <c r="E128" s="7">
        <f t="shared" si="17"/>
        <v>1</v>
      </c>
      <c r="G128" s="3">
        <f t="shared" ca="1" si="9"/>
        <v>0</v>
      </c>
      <c r="H128" s="3">
        <f t="shared" ca="1" si="10"/>
        <v>2.8239941533119102</v>
      </c>
      <c r="I128" s="3">
        <f t="shared" ca="1" si="11"/>
        <v>8.4023719170718554</v>
      </c>
      <c r="O128" s="3">
        <f t="shared" ca="1" si="12"/>
        <v>-2.2170138543262508</v>
      </c>
      <c r="P128" s="3">
        <f t="shared" ca="1" si="13"/>
        <v>-1.8845436422019441</v>
      </c>
      <c r="Q128" s="3">
        <f t="shared" ca="1" si="14"/>
        <v>2.9097517367703913</v>
      </c>
    </row>
    <row r="129" spans="2:17" x14ac:dyDescent="0.25">
      <c r="B129" s="7">
        <f t="shared" si="15"/>
        <v>1</v>
      </c>
      <c r="C129" s="7">
        <v>120</v>
      </c>
      <c r="D129" s="7">
        <f t="shared" si="16"/>
        <v>6.8211787770052178E-236</v>
      </c>
      <c r="E129" s="7">
        <f t="shared" si="17"/>
        <v>1</v>
      </c>
      <c r="G129" s="3">
        <f t="shared" ca="1" si="9"/>
        <v>1</v>
      </c>
      <c r="H129" s="3">
        <f t="shared" ca="1" si="10"/>
        <v>6.4734049207026576</v>
      </c>
      <c r="I129" s="3">
        <f t="shared" ca="1" si="11"/>
        <v>12.721443432942916</v>
      </c>
      <c r="O129" s="3">
        <f t="shared" ca="1" si="12"/>
        <v>-2.5603309431657721</v>
      </c>
      <c r="P129" s="3">
        <f t="shared" ca="1" si="13"/>
        <v>9.8754318215423975</v>
      </c>
      <c r="Q129" s="3">
        <f t="shared" ca="1" si="14"/>
        <v>10.201933552051019</v>
      </c>
    </row>
    <row r="130" spans="2:17" x14ac:dyDescent="0.25">
      <c r="B130" s="7">
        <f t="shared" si="15"/>
        <v>1</v>
      </c>
      <c r="C130" s="7">
        <v>121</v>
      </c>
      <c r="D130" s="7">
        <f t="shared" si="16"/>
        <v>2.8186689161178619E-238</v>
      </c>
      <c r="E130" s="7">
        <f t="shared" si="17"/>
        <v>1</v>
      </c>
      <c r="G130" s="3">
        <f t="shared" ca="1" si="9"/>
        <v>0</v>
      </c>
      <c r="H130" s="3">
        <f t="shared" ca="1" si="10"/>
        <v>0.52439244741426516</v>
      </c>
      <c r="I130" s="3">
        <f t="shared" ca="1" si="11"/>
        <v>3.6207473241523811</v>
      </c>
      <c r="O130" s="3">
        <f t="shared" ca="1" si="12"/>
        <v>-4.3832483877399273</v>
      </c>
      <c r="P130" s="3">
        <f t="shared" ca="1" si="13"/>
        <v>-1.6566959299001682</v>
      </c>
      <c r="Q130" s="3">
        <f t="shared" ca="1" si="14"/>
        <v>4.685883890235913</v>
      </c>
    </row>
    <row r="131" spans="2:17" x14ac:dyDescent="0.25">
      <c r="B131" s="7">
        <f t="shared" si="15"/>
        <v>1</v>
      </c>
      <c r="C131" s="7">
        <v>122</v>
      </c>
      <c r="D131" s="7">
        <f t="shared" si="16"/>
        <v>1.1551921787368286E-240</v>
      </c>
      <c r="E131" s="7">
        <f t="shared" si="17"/>
        <v>1</v>
      </c>
      <c r="G131" s="3">
        <f t="shared" ca="1" si="9"/>
        <v>3</v>
      </c>
      <c r="H131" s="3">
        <f t="shared" ca="1" si="10"/>
        <v>16.978355863465048</v>
      </c>
      <c r="I131" s="3">
        <f t="shared" ca="1" si="11"/>
        <v>20.602400262751573</v>
      </c>
      <c r="O131" s="3">
        <f t="shared" ca="1" si="12"/>
        <v>-11.225930701837548</v>
      </c>
      <c r="P131" s="3">
        <f t="shared" ca="1" si="13"/>
        <v>4.0942455475336894</v>
      </c>
      <c r="Q131" s="3">
        <f t="shared" ca="1" si="14"/>
        <v>11.94924126151775</v>
      </c>
    </row>
    <row r="132" spans="2:17" x14ac:dyDescent="0.25">
      <c r="B132" s="7">
        <f t="shared" si="15"/>
        <v>1</v>
      </c>
      <c r="C132" s="7">
        <v>123</v>
      </c>
      <c r="D132" s="7">
        <f t="shared" si="16"/>
        <v>4.6959031655968636E-243</v>
      </c>
      <c r="E132" s="7">
        <f t="shared" si="17"/>
        <v>1</v>
      </c>
      <c r="G132" s="3">
        <f t="shared" ref="G132:G195" ca="1" si="18">VLOOKUP(RAND(),$B$9:$C$169,2,TRUE)</f>
        <v>0</v>
      </c>
      <c r="H132" s="3">
        <f t="shared" ref="H132:H195" ca="1" si="19">_xlfn.CHISQ.INV(RAND(),2*G132+2)</f>
        <v>0.39639565724544951</v>
      </c>
      <c r="I132" s="3">
        <f t="shared" ref="I132:I195" ca="1" si="20">$C$4*SQRT(H132)</f>
        <v>3.1479980036741191</v>
      </c>
      <c r="O132" s="3">
        <f t="shared" ref="O132:O195" ca="1" si="21">_xlfn.NORM.INV(RAND(),$C$3*COS($N$2),$C$4)</f>
        <v>-8.3766791366783089</v>
      </c>
      <c r="P132" s="3">
        <f t="shared" ref="P132:P195" ca="1" si="22">_xlfn.NORM.INV(RAND(),$C$3*SIN($N$2),$C$4)</f>
        <v>-0.29358863179034578</v>
      </c>
      <c r="Q132" s="3">
        <f t="shared" ref="Q132:Q195" ca="1" si="23">SQRT(O132^2+P132^2)</f>
        <v>8.3818224535943369</v>
      </c>
    </row>
    <row r="133" spans="2:17" x14ac:dyDescent="0.25">
      <c r="B133" s="7">
        <f t="shared" si="15"/>
        <v>1</v>
      </c>
      <c r="C133" s="7">
        <v>124</v>
      </c>
      <c r="D133" s="7">
        <f t="shared" si="16"/>
        <v>1.8935093409664775E-245</v>
      </c>
      <c r="E133" s="7">
        <f t="shared" si="17"/>
        <v>1</v>
      </c>
      <c r="G133" s="3">
        <f t="shared" ca="1" si="18"/>
        <v>0</v>
      </c>
      <c r="H133" s="3">
        <f t="shared" ca="1" si="19"/>
        <v>0.66747665381330867</v>
      </c>
      <c r="I133" s="3">
        <f t="shared" ca="1" si="20"/>
        <v>4.0849622207962604</v>
      </c>
      <c r="O133" s="3">
        <f t="shared" ca="1" si="21"/>
        <v>1.3859892489105361</v>
      </c>
      <c r="P133" s="3">
        <f t="shared" ca="1" si="22"/>
        <v>-2.6119950254868414</v>
      </c>
      <c r="Q133" s="3">
        <f t="shared" ca="1" si="23"/>
        <v>2.9569383171218835</v>
      </c>
    </row>
    <row r="134" spans="2:17" x14ac:dyDescent="0.25">
      <c r="B134" s="7">
        <f t="shared" si="15"/>
        <v>1</v>
      </c>
      <c r="C134" s="7">
        <v>125</v>
      </c>
      <c r="D134" s="7">
        <f t="shared" si="16"/>
        <v>7.57403736386591E-248</v>
      </c>
      <c r="E134" s="7">
        <f t="shared" si="17"/>
        <v>1</v>
      </c>
      <c r="G134" s="3">
        <f t="shared" ca="1" si="18"/>
        <v>0</v>
      </c>
      <c r="H134" s="3">
        <f t="shared" ca="1" si="19"/>
        <v>0.75559638023221265</v>
      </c>
      <c r="I134" s="3">
        <f t="shared" ca="1" si="20"/>
        <v>4.3462523518320149</v>
      </c>
      <c r="O134" s="3">
        <f t="shared" ca="1" si="21"/>
        <v>-0.45159978231915066</v>
      </c>
      <c r="P134" s="3">
        <f t="shared" ca="1" si="22"/>
        <v>1.5247501483867194</v>
      </c>
      <c r="Q134" s="3">
        <f t="shared" ca="1" si="23"/>
        <v>1.5902218016352396</v>
      </c>
    </row>
    <row r="135" spans="2:17" x14ac:dyDescent="0.25">
      <c r="B135" s="7">
        <f t="shared" si="15"/>
        <v>1</v>
      </c>
      <c r="C135" s="7">
        <v>126</v>
      </c>
      <c r="D135" s="7">
        <f t="shared" si="16"/>
        <v>3.0055703824864708E-250</v>
      </c>
      <c r="E135" s="7">
        <f t="shared" si="17"/>
        <v>1</v>
      </c>
      <c r="G135" s="3">
        <f t="shared" ca="1" si="18"/>
        <v>1</v>
      </c>
      <c r="H135" s="3">
        <f t="shared" ca="1" si="19"/>
        <v>0.54146345779627669</v>
      </c>
      <c r="I135" s="3">
        <f t="shared" ca="1" si="20"/>
        <v>3.6792100300073818</v>
      </c>
      <c r="O135" s="3">
        <f t="shared" ca="1" si="21"/>
        <v>-1.9715553810482738</v>
      </c>
      <c r="P135" s="3">
        <f t="shared" ca="1" si="22"/>
        <v>1.1906213219646791</v>
      </c>
      <c r="Q135" s="3">
        <f t="shared" ca="1" si="23"/>
        <v>2.303173843385975</v>
      </c>
    </row>
    <row r="136" spans="2:17" x14ac:dyDescent="0.25">
      <c r="B136" s="7">
        <f t="shared" si="15"/>
        <v>1</v>
      </c>
      <c r="C136" s="7">
        <v>127</v>
      </c>
      <c r="D136" s="7">
        <f t="shared" si="16"/>
        <v>1.1832954261757753E-252</v>
      </c>
      <c r="E136" s="7">
        <f t="shared" si="17"/>
        <v>1</v>
      </c>
      <c r="G136" s="3">
        <f t="shared" ca="1" si="18"/>
        <v>0</v>
      </c>
      <c r="H136" s="3">
        <f t="shared" ca="1" si="19"/>
        <v>4.7776699059801917</v>
      </c>
      <c r="I136" s="3">
        <f t="shared" ca="1" si="20"/>
        <v>10.928940829261764</v>
      </c>
      <c r="O136" s="3">
        <f t="shared" ca="1" si="21"/>
        <v>-6.1004421917054241</v>
      </c>
      <c r="P136" s="3">
        <f t="shared" ca="1" si="22"/>
        <v>8.2150295546263603</v>
      </c>
      <c r="Q136" s="3">
        <f t="shared" ca="1" si="23"/>
        <v>10.232404679141862</v>
      </c>
    </row>
    <row r="137" spans="2:17" x14ac:dyDescent="0.25">
      <c r="B137" s="7">
        <f t="shared" si="15"/>
        <v>1</v>
      </c>
      <c r="C137" s="7">
        <v>128</v>
      </c>
      <c r="D137" s="7">
        <f t="shared" si="16"/>
        <v>4.6222477584991224E-255</v>
      </c>
      <c r="E137" s="7">
        <f t="shared" si="17"/>
        <v>1</v>
      </c>
      <c r="G137" s="3">
        <f t="shared" ca="1" si="18"/>
        <v>0</v>
      </c>
      <c r="H137" s="3">
        <f t="shared" ca="1" si="19"/>
        <v>5.3718612303314774</v>
      </c>
      <c r="I137" s="3">
        <f t="shared" ca="1" si="20"/>
        <v>11.588638002728661</v>
      </c>
      <c r="O137" s="3">
        <f t="shared" ca="1" si="21"/>
        <v>-11.139077231227057</v>
      </c>
      <c r="P137" s="3">
        <f t="shared" ca="1" si="22"/>
        <v>-9.5981360020022226</v>
      </c>
      <c r="Q137" s="3">
        <f t="shared" ca="1" si="23"/>
        <v>14.703851749666557</v>
      </c>
    </row>
    <row r="138" spans="2:17" x14ac:dyDescent="0.25">
      <c r="B138" s="7">
        <f t="shared" ref="B138:B169" si="24">E137</f>
        <v>1</v>
      </c>
      <c r="C138" s="7">
        <v>129</v>
      </c>
      <c r="D138" s="7">
        <f t="shared" ref="D138:D169" si="25">(EXP(-$C$6)*POWER($C$6,C138))/(FACT(C138))</f>
        <v>1.7915688986430726E-257</v>
      </c>
      <c r="E138" s="7">
        <f t="shared" ref="E138:E169" si="26">E137+D138</f>
        <v>1</v>
      </c>
      <c r="G138" s="3">
        <f t="shared" ca="1" si="18"/>
        <v>0</v>
      </c>
      <c r="H138" s="3">
        <f t="shared" ca="1" si="19"/>
        <v>0.99789163519258828</v>
      </c>
      <c r="I138" s="3">
        <f t="shared" ca="1" si="20"/>
        <v>4.994726306797471</v>
      </c>
      <c r="O138" s="3">
        <f t="shared" ca="1" si="21"/>
        <v>-6.4927532120972264</v>
      </c>
      <c r="P138" s="3">
        <f t="shared" ca="1" si="22"/>
        <v>-1.2893693028296753</v>
      </c>
      <c r="Q138" s="3">
        <f t="shared" ca="1" si="23"/>
        <v>6.6195405786412653</v>
      </c>
    </row>
    <row r="139" spans="2:17" x14ac:dyDescent="0.25">
      <c r="B139" s="7">
        <f t="shared" si="24"/>
        <v>1</v>
      </c>
      <c r="C139" s="7">
        <v>130</v>
      </c>
      <c r="D139" s="7">
        <f t="shared" si="25"/>
        <v>6.8906496101656644E-260</v>
      </c>
      <c r="E139" s="7">
        <f t="shared" si="26"/>
        <v>1</v>
      </c>
      <c r="G139" s="3">
        <f t="shared" ca="1" si="18"/>
        <v>3</v>
      </c>
      <c r="H139" s="3">
        <f t="shared" ca="1" si="19"/>
        <v>5.8573420708135426</v>
      </c>
      <c r="I139" s="3">
        <f t="shared" ca="1" si="20"/>
        <v>12.100973174515286</v>
      </c>
      <c r="O139" s="3">
        <f t="shared" ca="1" si="21"/>
        <v>0.21666065622223929</v>
      </c>
      <c r="P139" s="3">
        <f t="shared" ca="1" si="22"/>
        <v>2.3617806369239478</v>
      </c>
      <c r="Q139" s="3">
        <f t="shared" ca="1" si="23"/>
        <v>2.3716976234131408</v>
      </c>
    </row>
    <row r="140" spans="2:17" x14ac:dyDescent="0.25">
      <c r="B140" s="7">
        <f t="shared" si="24"/>
        <v>1</v>
      </c>
      <c r="C140" s="7">
        <v>131</v>
      </c>
      <c r="D140" s="7">
        <f t="shared" si="25"/>
        <v>2.6300189351777368E-262</v>
      </c>
      <c r="E140" s="7">
        <f t="shared" si="26"/>
        <v>1</v>
      </c>
      <c r="G140" s="3">
        <f t="shared" ca="1" si="18"/>
        <v>0</v>
      </c>
      <c r="H140" s="3">
        <f t="shared" ca="1" si="19"/>
        <v>0.47250610557568201</v>
      </c>
      <c r="I140" s="3">
        <f t="shared" ca="1" si="20"/>
        <v>3.4369539769092121</v>
      </c>
      <c r="O140" s="3">
        <f t="shared" ca="1" si="21"/>
        <v>-15.234259630827108</v>
      </c>
      <c r="P140" s="3">
        <f t="shared" ca="1" si="22"/>
        <v>2.9208437779108287</v>
      </c>
      <c r="Q140" s="3">
        <f t="shared" ca="1" si="23"/>
        <v>15.511737326115631</v>
      </c>
    </row>
    <row r="141" spans="2:17" x14ac:dyDescent="0.25">
      <c r="B141" s="7">
        <f t="shared" si="24"/>
        <v>1</v>
      </c>
      <c r="C141" s="7">
        <v>132</v>
      </c>
      <c r="D141" s="7">
        <f t="shared" si="25"/>
        <v>9.9621929362793016E-265</v>
      </c>
      <c r="E141" s="7">
        <f t="shared" si="26"/>
        <v>1</v>
      </c>
      <c r="G141" s="3">
        <f t="shared" ca="1" si="18"/>
        <v>0</v>
      </c>
      <c r="H141" s="3">
        <f t="shared" ca="1" si="19"/>
        <v>9.9319485533649499E-2</v>
      </c>
      <c r="I141" s="3">
        <f t="shared" ca="1" si="20"/>
        <v>1.5757497067558788</v>
      </c>
      <c r="O141" s="3">
        <f t="shared" ca="1" si="21"/>
        <v>-2.8221831710669871</v>
      </c>
      <c r="P141" s="3">
        <f t="shared" ca="1" si="22"/>
        <v>-0.10529613423908557</v>
      </c>
      <c r="Q141" s="3">
        <f t="shared" ca="1" si="23"/>
        <v>2.8241467962801456</v>
      </c>
    </row>
    <row r="142" spans="2:17" x14ac:dyDescent="0.25">
      <c r="B142" s="7">
        <f t="shared" si="24"/>
        <v>1</v>
      </c>
      <c r="C142" s="7">
        <v>133</v>
      </c>
      <c r="D142" s="7">
        <f t="shared" si="25"/>
        <v>3.7451853143907153E-267</v>
      </c>
      <c r="E142" s="7">
        <f t="shared" si="26"/>
        <v>1</v>
      </c>
      <c r="G142" s="3">
        <f t="shared" ca="1" si="18"/>
        <v>0</v>
      </c>
      <c r="H142" s="3">
        <f t="shared" ca="1" si="19"/>
        <v>0.50762850184396191</v>
      </c>
      <c r="I142" s="3">
        <f t="shared" ca="1" si="20"/>
        <v>3.562402636718518</v>
      </c>
      <c r="O142" s="3">
        <f t="shared" ca="1" si="21"/>
        <v>-4.2181567682211467</v>
      </c>
      <c r="P142" s="3">
        <f t="shared" ca="1" si="22"/>
        <v>-3.8722703668782903</v>
      </c>
      <c r="Q142" s="3">
        <f t="shared" ca="1" si="23"/>
        <v>5.7260216831141664</v>
      </c>
    </row>
    <row r="143" spans="2:17" x14ac:dyDescent="0.25">
      <c r="B143" s="7">
        <f t="shared" si="24"/>
        <v>1</v>
      </c>
      <c r="C143" s="7">
        <v>134</v>
      </c>
      <c r="D143" s="7">
        <f t="shared" si="25"/>
        <v>1.3974572068622054E-269</v>
      </c>
      <c r="E143" s="7">
        <f t="shared" si="26"/>
        <v>1</v>
      </c>
      <c r="G143" s="3">
        <f t="shared" ca="1" si="18"/>
        <v>0</v>
      </c>
      <c r="H143" s="3">
        <f t="shared" ca="1" si="19"/>
        <v>0.30462547503764048</v>
      </c>
      <c r="I143" s="3">
        <f t="shared" ca="1" si="20"/>
        <v>2.7596443386677589</v>
      </c>
      <c r="O143" s="3">
        <f t="shared" ca="1" si="21"/>
        <v>-4.7686022136674087</v>
      </c>
      <c r="P143" s="3">
        <f t="shared" ca="1" si="22"/>
        <v>-7.7821920967529516</v>
      </c>
      <c r="Q143" s="3">
        <f t="shared" ca="1" si="23"/>
        <v>9.1269973651227598</v>
      </c>
    </row>
    <row r="144" spans="2:17" x14ac:dyDescent="0.25">
      <c r="B144" s="7">
        <f t="shared" si="24"/>
        <v>1</v>
      </c>
      <c r="C144" s="7">
        <v>135</v>
      </c>
      <c r="D144" s="7">
        <f t="shared" si="25"/>
        <v>5.1757674328229889E-272</v>
      </c>
      <c r="E144" s="7">
        <f t="shared" si="26"/>
        <v>1</v>
      </c>
      <c r="G144" s="3">
        <f t="shared" ca="1" si="18"/>
        <v>0</v>
      </c>
      <c r="H144" s="3">
        <f t="shared" ca="1" si="19"/>
        <v>5.8099990276820019</v>
      </c>
      <c r="I144" s="3">
        <f t="shared" ca="1" si="20"/>
        <v>12.051969784730215</v>
      </c>
      <c r="O144" s="3">
        <f t="shared" ca="1" si="21"/>
        <v>-7.0146675715920281</v>
      </c>
      <c r="P144" s="3">
        <f t="shared" ca="1" si="22"/>
        <v>2.1165923945314393</v>
      </c>
      <c r="Q144" s="3">
        <f t="shared" ca="1" si="23"/>
        <v>7.327040637565287</v>
      </c>
    </row>
    <row r="145" spans="2:17" x14ac:dyDescent="0.25">
      <c r="B145" s="7">
        <f t="shared" si="24"/>
        <v>1</v>
      </c>
      <c r="C145" s="7">
        <v>136</v>
      </c>
      <c r="D145" s="7">
        <f t="shared" si="25"/>
        <v>1.9028556738319804E-274</v>
      </c>
      <c r="E145" s="7">
        <f t="shared" si="26"/>
        <v>1</v>
      </c>
      <c r="G145" s="3">
        <f t="shared" ca="1" si="18"/>
        <v>1</v>
      </c>
      <c r="H145" s="3">
        <f t="shared" ca="1" si="19"/>
        <v>6.3300614433923519</v>
      </c>
      <c r="I145" s="3">
        <f t="shared" ca="1" si="20"/>
        <v>12.579806679150868</v>
      </c>
      <c r="O145" s="3">
        <f t="shared" ca="1" si="21"/>
        <v>-6.473905905914747</v>
      </c>
      <c r="P145" s="3">
        <f t="shared" ca="1" si="22"/>
        <v>-3.2844061444988073</v>
      </c>
      <c r="Q145" s="3">
        <f t="shared" ca="1" si="23"/>
        <v>7.2593926330416485</v>
      </c>
    </row>
    <row r="146" spans="2:17" x14ac:dyDescent="0.25">
      <c r="B146" s="7">
        <f t="shared" si="24"/>
        <v>1</v>
      </c>
      <c r="C146" s="7">
        <v>137</v>
      </c>
      <c r="D146" s="7">
        <f t="shared" si="25"/>
        <v>6.9447287366130714E-277</v>
      </c>
      <c r="E146" s="7">
        <f t="shared" si="26"/>
        <v>1</v>
      </c>
      <c r="G146" s="3">
        <f t="shared" ca="1" si="18"/>
        <v>0</v>
      </c>
      <c r="H146" s="3">
        <f t="shared" ca="1" si="19"/>
        <v>1.8239718562828156</v>
      </c>
      <c r="I146" s="3">
        <f t="shared" ca="1" si="20"/>
        <v>6.7527251096924115</v>
      </c>
      <c r="O146" s="3">
        <f t="shared" ca="1" si="21"/>
        <v>-11.141844819764906</v>
      </c>
      <c r="P146" s="3">
        <f t="shared" ca="1" si="22"/>
        <v>1.5130840700836394</v>
      </c>
      <c r="Q146" s="3">
        <f t="shared" ca="1" si="23"/>
        <v>11.244115322730504</v>
      </c>
    </row>
    <row r="147" spans="2:17" x14ac:dyDescent="0.25">
      <c r="B147" s="7">
        <f t="shared" si="24"/>
        <v>1</v>
      </c>
      <c r="C147" s="7">
        <v>138</v>
      </c>
      <c r="D147" s="7">
        <f t="shared" si="25"/>
        <v>2.5162060639902439E-279</v>
      </c>
      <c r="E147" s="7">
        <f t="shared" si="26"/>
        <v>1</v>
      </c>
      <c r="G147" s="3">
        <f t="shared" ca="1" si="18"/>
        <v>0</v>
      </c>
      <c r="H147" s="3">
        <f t="shared" ca="1" si="19"/>
        <v>2.1635692222154281</v>
      </c>
      <c r="I147" s="3">
        <f t="shared" ca="1" si="20"/>
        <v>7.3545380925919268</v>
      </c>
      <c r="O147" s="3">
        <f t="shared" ca="1" si="21"/>
        <v>-8.2366664120309743</v>
      </c>
      <c r="P147" s="3">
        <f t="shared" ca="1" si="22"/>
        <v>0.86031795614096662</v>
      </c>
      <c r="Q147" s="3">
        <f t="shared" ca="1" si="23"/>
        <v>8.2814745407287091</v>
      </c>
    </row>
    <row r="148" spans="2:17" x14ac:dyDescent="0.25">
      <c r="B148" s="7">
        <f t="shared" si="24"/>
        <v>1</v>
      </c>
      <c r="C148" s="7">
        <v>139</v>
      </c>
      <c r="D148" s="7">
        <f t="shared" si="25"/>
        <v>9.0511009496051848E-282</v>
      </c>
      <c r="E148" s="7">
        <f t="shared" si="26"/>
        <v>1</v>
      </c>
      <c r="G148" s="3">
        <f t="shared" ca="1" si="18"/>
        <v>0</v>
      </c>
      <c r="H148" s="3">
        <f t="shared" ca="1" si="19"/>
        <v>2.6576632535637263</v>
      </c>
      <c r="I148" s="3">
        <f t="shared" ca="1" si="20"/>
        <v>8.1511705502395877</v>
      </c>
      <c r="O148" s="3">
        <f t="shared" ca="1" si="21"/>
        <v>6.2256190596967205</v>
      </c>
      <c r="P148" s="3">
        <f t="shared" ca="1" si="22"/>
        <v>8.5128059062802901</v>
      </c>
      <c r="Q148" s="3">
        <f t="shared" ca="1" si="23"/>
        <v>10.546383127615821</v>
      </c>
    </row>
    <row r="149" spans="2:17" x14ac:dyDescent="0.25">
      <c r="B149" s="7">
        <f t="shared" si="24"/>
        <v>1</v>
      </c>
      <c r="C149" s="7">
        <v>140</v>
      </c>
      <c r="D149" s="7">
        <f t="shared" si="25"/>
        <v>3.2325360534304236E-284</v>
      </c>
      <c r="E149" s="7">
        <f t="shared" si="26"/>
        <v>1</v>
      </c>
      <c r="G149" s="3">
        <f t="shared" ca="1" si="18"/>
        <v>1</v>
      </c>
      <c r="H149" s="3">
        <f t="shared" ca="1" si="19"/>
        <v>2.2373863833655681</v>
      </c>
      <c r="I149" s="3">
        <f t="shared" ca="1" si="20"/>
        <v>7.4789477591529687</v>
      </c>
      <c r="O149" s="3">
        <f t="shared" ca="1" si="21"/>
        <v>2.6408252983446703</v>
      </c>
      <c r="P149" s="3">
        <f t="shared" ca="1" si="22"/>
        <v>2.5302560038359592</v>
      </c>
      <c r="Q149" s="3">
        <f t="shared" ca="1" si="23"/>
        <v>3.6573424369786776</v>
      </c>
    </row>
    <row r="150" spans="2:17" x14ac:dyDescent="0.25">
      <c r="B150" s="7">
        <f t="shared" si="24"/>
        <v>1</v>
      </c>
      <c r="C150" s="7">
        <v>141</v>
      </c>
      <c r="D150" s="7">
        <f t="shared" si="25"/>
        <v>1.1462893806490861E-286</v>
      </c>
      <c r="E150" s="7">
        <f t="shared" si="26"/>
        <v>1</v>
      </c>
      <c r="G150" s="3">
        <f t="shared" ca="1" si="18"/>
        <v>0</v>
      </c>
      <c r="H150" s="3">
        <f t="shared" ca="1" si="19"/>
        <v>4.941819922643691</v>
      </c>
      <c r="I150" s="3">
        <f t="shared" ca="1" si="20"/>
        <v>11.115102251715559</v>
      </c>
      <c r="O150" s="3">
        <f t="shared" ca="1" si="21"/>
        <v>-4.2366414567489734</v>
      </c>
      <c r="P150" s="3">
        <f t="shared" ca="1" si="22"/>
        <v>-3.8644338586776801</v>
      </c>
      <c r="Q150" s="3">
        <f t="shared" ca="1" si="23"/>
        <v>5.7343683070708424</v>
      </c>
    </row>
    <row r="151" spans="2:17" x14ac:dyDescent="0.25">
      <c r="B151" s="7">
        <f t="shared" si="24"/>
        <v>1</v>
      </c>
      <c r="C151" s="7">
        <v>142</v>
      </c>
      <c r="D151" s="7">
        <f t="shared" si="25"/>
        <v>4.0362302135531197E-289</v>
      </c>
      <c r="E151" s="7">
        <f t="shared" si="26"/>
        <v>1</v>
      </c>
      <c r="G151" s="3">
        <f t="shared" ca="1" si="18"/>
        <v>0</v>
      </c>
      <c r="H151" s="3">
        <f t="shared" ca="1" si="19"/>
        <v>1.2724356406848274</v>
      </c>
      <c r="I151" s="3">
        <f t="shared" ca="1" si="20"/>
        <v>5.6401144507111454</v>
      </c>
      <c r="O151" s="3">
        <f t="shared" ca="1" si="21"/>
        <v>-9.3154452128788936</v>
      </c>
      <c r="P151" s="3">
        <f t="shared" ca="1" si="22"/>
        <v>-6.9565441331037539</v>
      </c>
      <c r="Q151" s="3">
        <f t="shared" ca="1" si="23"/>
        <v>11.626307487330987</v>
      </c>
    </row>
    <row r="152" spans="2:17" x14ac:dyDescent="0.25">
      <c r="B152" s="7">
        <f t="shared" si="24"/>
        <v>1</v>
      </c>
      <c r="C152" s="7">
        <v>143</v>
      </c>
      <c r="D152" s="7">
        <f t="shared" si="25"/>
        <v>1.4112693054381553E-291</v>
      </c>
      <c r="E152" s="7">
        <f t="shared" si="26"/>
        <v>1</v>
      </c>
      <c r="G152" s="3">
        <f t="shared" ca="1" si="18"/>
        <v>0</v>
      </c>
      <c r="H152" s="3">
        <f t="shared" ca="1" si="19"/>
        <v>0.34755234296705589</v>
      </c>
      <c r="I152" s="3">
        <f t="shared" ca="1" si="20"/>
        <v>2.9476785059053503</v>
      </c>
      <c r="O152" s="3">
        <f t="shared" ca="1" si="21"/>
        <v>2.6136915936458642</v>
      </c>
      <c r="P152" s="3">
        <f t="shared" ca="1" si="22"/>
        <v>-4.0305395347416946</v>
      </c>
      <c r="Q152" s="3">
        <f t="shared" ca="1" si="23"/>
        <v>4.8038143894004532</v>
      </c>
    </row>
    <row r="153" spans="2:17" x14ac:dyDescent="0.25">
      <c r="B153" s="7">
        <f t="shared" si="24"/>
        <v>1</v>
      </c>
      <c r="C153" s="7">
        <v>144</v>
      </c>
      <c r="D153" s="7">
        <f t="shared" si="25"/>
        <v>4.9002406438824772E-294</v>
      </c>
      <c r="E153" s="7">
        <f t="shared" si="26"/>
        <v>1</v>
      </c>
      <c r="G153" s="3">
        <f t="shared" ca="1" si="18"/>
        <v>0</v>
      </c>
      <c r="H153" s="3">
        <f t="shared" ca="1" si="19"/>
        <v>0.82392300432737964</v>
      </c>
      <c r="I153" s="3">
        <f t="shared" ca="1" si="20"/>
        <v>4.5385102300407443</v>
      </c>
      <c r="O153" s="3">
        <f t="shared" ca="1" si="21"/>
        <v>-5.5198254642400375</v>
      </c>
      <c r="P153" s="3">
        <f t="shared" ca="1" si="22"/>
        <v>0.63146697456171197</v>
      </c>
      <c r="Q153" s="3">
        <f t="shared" ca="1" si="23"/>
        <v>5.5558279037092992</v>
      </c>
    </row>
    <row r="154" spans="2:17" x14ac:dyDescent="0.25">
      <c r="B154" s="7">
        <f t="shared" si="24"/>
        <v>1</v>
      </c>
      <c r="C154" s="7">
        <v>145</v>
      </c>
      <c r="D154" s="7">
        <f t="shared" si="25"/>
        <v>1.6897381530629247E-296</v>
      </c>
      <c r="E154" s="7">
        <f t="shared" si="26"/>
        <v>1</v>
      </c>
      <c r="G154" s="3">
        <f t="shared" ca="1" si="18"/>
        <v>0</v>
      </c>
      <c r="H154" s="3">
        <f t="shared" ca="1" si="19"/>
        <v>3.5564067615817265</v>
      </c>
      <c r="I154" s="3">
        <f t="shared" ca="1" si="20"/>
        <v>9.4292188986969201</v>
      </c>
      <c r="O154" s="3">
        <f t="shared" ca="1" si="21"/>
        <v>-9.9675625260056258</v>
      </c>
      <c r="P154" s="3">
        <f t="shared" ca="1" si="22"/>
        <v>-0.55436830902155265</v>
      </c>
      <c r="Q154" s="3">
        <f t="shared" ca="1" si="23"/>
        <v>9.9829668401672578</v>
      </c>
    </row>
    <row r="155" spans="2:17" x14ac:dyDescent="0.25">
      <c r="B155" s="7">
        <f t="shared" si="24"/>
        <v>1</v>
      </c>
      <c r="C155" s="7">
        <v>146</v>
      </c>
      <c r="D155" s="7">
        <f t="shared" si="25"/>
        <v>5.7867744967908358E-299</v>
      </c>
      <c r="E155" s="7">
        <f t="shared" si="26"/>
        <v>1</v>
      </c>
      <c r="G155" s="3">
        <f t="shared" ca="1" si="18"/>
        <v>0</v>
      </c>
      <c r="H155" s="3">
        <f t="shared" ca="1" si="19"/>
        <v>2.8998427455020139</v>
      </c>
      <c r="I155" s="3">
        <f t="shared" ca="1" si="20"/>
        <v>8.5144623222814459</v>
      </c>
      <c r="O155" s="3">
        <f t="shared" ca="1" si="21"/>
        <v>-2.6367871524674431</v>
      </c>
      <c r="P155" s="3">
        <f t="shared" ca="1" si="22"/>
        <v>5.5227239461686981</v>
      </c>
      <c r="Q155" s="3">
        <f t="shared" ca="1" si="23"/>
        <v>6.1198959364520675</v>
      </c>
    </row>
    <row r="156" spans="2:17" x14ac:dyDescent="0.25">
      <c r="B156" s="7">
        <f t="shared" si="24"/>
        <v>1</v>
      </c>
      <c r="C156" s="7">
        <v>147</v>
      </c>
      <c r="D156" s="7">
        <f t="shared" si="25"/>
        <v>1.9682906451669497E-301</v>
      </c>
      <c r="E156" s="7">
        <f t="shared" si="26"/>
        <v>1</v>
      </c>
      <c r="G156" s="3">
        <f t="shared" ca="1" si="18"/>
        <v>0</v>
      </c>
      <c r="H156" s="3">
        <f t="shared" ca="1" si="19"/>
        <v>1.6120965077885576</v>
      </c>
      <c r="I156" s="3">
        <f t="shared" ca="1" si="20"/>
        <v>6.3484181253847751</v>
      </c>
      <c r="O156" s="3">
        <f t="shared" ca="1" si="21"/>
        <v>-4.3645484110203636</v>
      </c>
      <c r="P156" s="3">
        <f t="shared" ca="1" si="22"/>
        <v>0.88987786567716398</v>
      </c>
      <c r="Q156" s="3">
        <f t="shared" ca="1" si="23"/>
        <v>4.4543423137386426</v>
      </c>
    </row>
    <row r="157" spans="2:17" x14ac:dyDescent="0.25">
      <c r="B157" s="7">
        <f t="shared" si="24"/>
        <v>1</v>
      </c>
      <c r="C157" s="7">
        <v>148</v>
      </c>
      <c r="D157" s="7">
        <f t="shared" si="25"/>
        <v>6.6496305579964601E-304</v>
      </c>
      <c r="E157" s="7">
        <f t="shared" si="26"/>
        <v>1</v>
      </c>
      <c r="G157" s="3">
        <f t="shared" ca="1" si="18"/>
        <v>3</v>
      </c>
      <c r="H157" s="3">
        <f t="shared" ca="1" si="19"/>
        <v>13.704683141357494</v>
      </c>
      <c r="I157" s="3">
        <f t="shared" ca="1" si="20"/>
        <v>18.50991838269249</v>
      </c>
      <c r="O157" s="3">
        <f t="shared" ca="1" si="21"/>
        <v>-10.578692559491742</v>
      </c>
      <c r="P157" s="3">
        <f t="shared" ca="1" si="22"/>
        <v>4.1628594719155787</v>
      </c>
      <c r="Q157" s="3">
        <f t="shared" ca="1" si="23"/>
        <v>11.368295177869159</v>
      </c>
    </row>
    <row r="158" spans="2:17" x14ac:dyDescent="0.25">
      <c r="B158" s="7">
        <f t="shared" si="24"/>
        <v>1</v>
      </c>
      <c r="C158" s="7">
        <v>149</v>
      </c>
      <c r="D158" s="7">
        <f t="shared" si="25"/>
        <v>2.2314196503343816E-306</v>
      </c>
      <c r="E158" s="7">
        <f t="shared" si="26"/>
        <v>1</v>
      </c>
      <c r="G158" s="3">
        <f t="shared" ca="1" si="18"/>
        <v>0</v>
      </c>
      <c r="H158" s="3">
        <f t="shared" ca="1" si="19"/>
        <v>3.8492226927731128</v>
      </c>
      <c r="I158" s="3">
        <f t="shared" ca="1" si="20"/>
        <v>9.8097180040675909</v>
      </c>
      <c r="O158" s="3">
        <f t="shared" ca="1" si="21"/>
        <v>-2.7966440167045601</v>
      </c>
      <c r="P158" s="3">
        <f t="shared" ca="1" si="22"/>
        <v>-3.9185804478651103</v>
      </c>
      <c r="Q158" s="3">
        <f t="shared" ca="1" si="23"/>
        <v>4.8141967640054082</v>
      </c>
    </row>
    <row r="159" spans="2:17" x14ac:dyDescent="0.25">
      <c r="B159" s="7">
        <f t="shared" si="24"/>
        <v>1</v>
      </c>
      <c r="C159" s="7">
        <v>150</v>
      </c>
      <c r="D159" s="7">
        <f t="shared" si="25"/>
        <v>0</v>
      </c>
      <c r="E159" s="7">
        <f t="shared" si="26"/>
        <v>1</v>
      </c>
      <c r="G159" s="3">
        <f t="shared" ca="1" si="18"/>
        <v>1</v>
      </c>
      <c r="H159" s="3">
        <f t="shared" ca="1" si="19"/>
        <v>10.012260947655344</v>
      </c>
      <c r="I159" s="3">
        <f t="shared" ca="1" si="20"/>
        <v>15.821078461703664</v>
      </c>
      <c r="O159" s="3">
        <f t="shared" ca="1" si="21"/>
        <v>-11.657954074437036</v>
      </c>
      <c r="P159" s="3">
        <f t="shared" ca="1" si="22"/>
        <v>-0.83192989164554454</v>
      </c>
      <c r="Q159" s="3">
        <f t="shared" ca="1" si="23"/>
        <v>11.687600290320356</v>
      </c>
    </row>
    <row r="160" spans="2:17" x14ac:dyDescent="0.25">
      <c r="B160" s="7">
        <f t="shared" si="24"/>
        <v>1</v>
      </c>
      <c r="C160" s="7">
        <v>151</v>
      </c>
      <c r="D160" s="7">
        <f t="shared" si="25"/>
        <v>0</v>
      </c>
      <c r="E160" s="7">
        <f t="shared" si="26"/>
        <v>1</v>
      </c>
      <c r="G160" s="3">
        <f t="shared" ca="1" si="18"/>
        <v>1</v>
      </c>
      <c r="H160" s="3">
        <f t="shared" ca="1" si="19"/>
        <v>1.9494983258909258</v>
      </c>
      <c r="I160" s="3">
        <f t="shared" ca="1" si="20"/>
        <v>6.981221823382576</v>
      </c>
      <c r="O160" s="3">
        <f t="shared" ca="1" si="21"/>
        <v>-5.8365165422178418</v>
      </c>
      <c r="P160" s="3">
        <f t="shared" ca="1" si="22"/>
        <v>8.507027856015096</v>
      </c>
      <c r="Q160" s="3">
        <f t="shared" ca="1" si="23"/>
        <v>10.316707240713933</v>
      </c>
    </row>
    <row r="161" spans="2:17" x14ac:dyDescent="0.25">
      <c r="B161" s="7">
        <f t="shared" si="24"/>
        <v>1</v>
      </c>
      <c r="C161" s="7">
        <v>152</v>
      </c>
      <c r="D161" s="7">
        <f t="shared" si="25"/>
        <v>0</v>
      </c>
      <c r="E161" s="7">
        <f t="shared" si="26"/>
        <v>1</v>
      </c>
      <c r="G161" s="3">
        <f t="shared" ca="1" si="18"/>
        <v>0</v>
      </c>
      <c r="H161" s="3">
        <f t="shared" ca="1" si="19"/>
        <v>0.99904414169699918</v>
      </c>
      <c r="I161" s="3">
        <f t="shared" ca="1" si="20"/>
        <v>4.9976097829287331</v>
      </c>
      <c r="O161" s="3">
        <f t="shared" ca="1" si="21"/>
        <v>-6.8022818763755755</v>
      </c>
      <c r="P161" s="3">
        <f t="shared" ca="1" si="22"/>
        <v>-2.4532894668802316</v>
      </c>
      <c r="Q161" s="3">
        <f t="shared" ca="1" si="23"/>
        <v>7.2311595151796446</v>
      </c>
    </row>
    <row r="162" spans="2:17" x14ac:dyDescent="0.25">
      <c r="B162" s="7">
        <f t="shared" si="24"/>
        <v>1</v>
      </c>
      <c r="C162" s="7">
        <v>153</v>
      </c>
      <c r="D162" s="7">
        <f t="shared" si="25"/>
        <v>0</v>
      </c>
      <c r="E162" s="7">
        <f t="shared" si="26"/>
        <v>1</v>
      </c>
      <c r="G162" s="3">
        <f t="shared" ca="1" si="18"/>
        <v>0</v>
      </c>
      <c r="H162" s="3">
        <f t="shared" ca="1" si="19"/>
        <v>2.5858476158514132</v>
      </c>
      <c r="I162" s="3">
        <f t="shared" ca="1" si="20"/>
        <v>8.0402854673379185</v>
      </c>
      <c r="O162" s="3">
        <f t="shared" ca="1" si="21"/>
        <v>1.9632657232985231</v>
      </c>
      <c r="P162" s="3">
        <f t="shared" ca="1" si="22"/>
        <v>-2.7122767234457785</v>
      </c>
      <c r="Q162" s="3">
        <f t="shared" ca="1" si="23"/>
        <v>3.3482618363599705</v>
      </c>
    </row>
    <row r="163" spans="2:17" x14ac:dyDescent="0.25">
      <c r="B163" s="7">
        <f t="shared" si="24"/>
        <v>1</v>
      </c>
      <c r="C163" s="7">
        <v>154</v>
      </c>
      <c r="D163" s="7">
        <f t="shared" si="25"/>
        <v>0</v>
      </c>
      <c r="E163" s="7">
        <f t="shared" si="26"/>
        <v>1</v>
      </c>
      <c r="G163" s="3">
        <f t="shared" ca="1" si="18"/>
        <v>1</v>
      </c>
      <c r="H163" s="3">
        <f t="shared" ca="1" si="19"/>
        <v>2.4670826070435883</v>
      </c>
      <c r="I163" s="3">
        <f t="shared" ca="1" si="20"/>
        <v>7.8534747198988111</v>
      </c>
      <c r="O163" s="3">
        <f t="shared" ca="1" si="21"/>
        <v>-10.857980620368034</v>
      </c>
      <c r="P163" s="3">
        <f t="shared" ca="1" si="22"/>
        <v>-4.3495231097088158</v>
      </c>
      <c r="Q163" s="3">
        <f t="shared" ca="1" si="23"/>
        <v>11.696755722600129</v>
      </c>
    </row>
    <row r="164" spans="2:17" x14ac:dyDescent="0.25">
      <c r="B164" s="7">
        <f t="shared" si="24"/>
        <v>1</v>
      </c>
      <c r="C164" s="7">
        <v>155</v>
      </c>
      <c r="D164" s="7">
        <f t="shared" si="25"/>
        <v>0</v>
      </c>
      <c r="E164" s="7">
        <f t="shared" si="26"/>
        <v>1</v>
      </c>
      <c r="G164" s="3">
        <f t="shared" ca="1" si="18"/>
        <v>3</v>
      </c>
      <c r="H164" s="3">
        <f t="shared" ca="1" si="19"/>
        <v>4.6779666443115824</v>
      </c>
      <c r="I164" s="3">
        <f t="shared" ca="1" si="20"/>
        <v>10.814303773604177</v>
      </c>
      <c r="O164" s="3">
        <f t="shared" ca="1" si="21"/>
        <v>-8.0967096605359892</v>
      </c>
      <c r="P164" s="3">
        <f t="shared" ca="1" si="22"/>
        <v>-4.749273498082756</v>
      </c>
      <c r="Q164" s="3">
        <f t="shared" ca="1" si="23"/>
        <v>9.3868155455728459</v>
      </c>
    </row>
    <row r="165" spans="2:17" x14ac:dyDescent="0.25">
      <c r="B165" s="7">
        <f t="shared" si="24"/>
        <v>1</v>
      </c>
      <c r="C165" s="7">
        <v>156</v>
      </c>
      <c r="D165" s="7">
        <f t="shared" si="25"/>
        <v>0</v>
      </c>
      <c r="E165" s="7">
        <f t="shared" si="26"/>
        <v>1</v>
      </c>
      <c r="G165" s="3">
        <f t="shared" ca="1" si="18"/>
        <v>1</v>
      </c>
      <c r="H165" s="3">
        <f t="shared" ca="1" si="19"/>
        <v>1.9889456279190234</v>
      </c>
      <c r="I165" s="3">
        <f t="shared" ca="1" si="20"/>
        <v>7.0514991808817209</v>
      </c>
      <c r="O165" s="3">
        <f t="shared" ca="1" si="21"/>
        <v>-10.260564379306437</v>
      </c>
      <c r="P165" s="3">
        <f t="shared" ca="1" si="22"/>
        <v>7.6794850150647083</v>
      </c>
      <c r="Q165" s="3">
        <f t="shared" ca="1" si="23"/>
        <v>12.816148855194196</v>
      </c>
    </row>
    <row r="166" spans="2:17" x14ac:dyDescent="0.25">
      <c r="B166" s="7">
        <f t="shared" si="24"/>
        <v>1</v>
      </c>
      <c r="C166" s="7">
        <v>157</v>
      </c>
      <c r="D166" s="7">
        <f t="shared" si="25"/>
        <v>0</v>
      </c>
      <c r="E166" s="7">
        <f t="shared" si="26"/>
        <v>1</v>
      </c>
      <c r="G166" s="3">
        <f t="shared" ca="1" si="18"/>
        <v>1</v>
      </c>
      <c r="H166" s="3">
        <f t="shared" ca="1" si="19"/>
        <v>3.5121147537223316</v>
      </c>
      <c r="I166" s="3">
        <f t="shared" ca="1" si="20"/>
        <v>9.3703185027542304</v>
      </c>
      <c r="O166" s="3">
        <f t="shared" ca="1" si="21"/>
        <v>-8.3441769799056562</v>
      </c>
      <c r="P166" s="3">
        <f t="shared" ca="1" si="22"/>
        <v>5.0525177266038215</v>
      </c>
      <c r="Q166" s="3">
        <f t="shared" ca="1" si="23"/>
        <v>9.7546514468551528</v>
      </c>
    </row>
    <row r="167" spans="2:17" x14ac:dyDescent="0.25">
      <c r="B167" s="7">
        <f t="shared" si="24"/>
        <v>1</v>
      </c>
      <c r="C167" s="7">
        <v>158</v>
      </c>
      <c r="D167" s="7">
        <f t="shared" si="25"/>
        <v>0</v>
      </c>
      <c r="E167" s="7">
        <f t="shared" si="26"/>
        <v>1</v>
      </c>
      <c r="G167" s="3">
        <f t="shared" ca="1" si="18"/>
        <v>0</v>
      </c>
      <c r="H167" s="3">
        <f t="shared" ca="1" si="19"/>
        <v>0.18804314746586775</v>
      </c>
      <c r="I167" s="3">
        <f t="shared" ca="1" si="20"/>
        <v>2.1681971051190647</v>
      </c>
      <c r="O167" s="3">
        <f t="shared" ca="1" si="21"/>
        <v>-14.263121493826462</v>
      </c>
      <c r="P167" s="3">
        <f t="shared" ca="1" si="22"/>
        <v>3.2558572656701998</v>
      </c>
      <c r="Q167" s="3">
        <f t="shared" ca="1" si="23"/>
        <v>14.630011663770874</v>
      </c>
    </row>
    <row r="168" spans="2:17" x14ac:dyDescent="0.25">
      <c r="B168" s="7">
        <f t="shared" si="24"/>
        <v>1</v>
      </c>
      <c r="C168" s="7">
        <v>159</v>
      </c>
      <c r="D168" s="7">
        <f t="shared" si="25"/>
        <v>0</v>
      </c>
      <c r="E168" s="7">
        <f t="shared" si="26"/>
        <v>1</v>
      </c>
      <c r="G168" s="3">
        <f t="shared" ca="1" si="18"/>
        <v>0</v>
      </c>
      <c r="H168" s="3">
        <f t="shared" ca="1" si="19"/>
        <v>0.52680113532440354</v>
      </c>
      <c r="I168" s="3">
        <f t="shared" ca="1" si="20"/>
        <v>3.6290533728659997</v>
      </c>
      <c r="O168" s="3">
        <f t="shared" ca="1" si="21"/>
        <v>6.8091263497829839</v>
      </c>
      <c r="P168" s="3">
        <f t="shared" ca="1" si="22"/>
        <v>6.0064376860717417</v>
      </c>
      <c r="Q168" s="3">
        <f t="shared" ca="1" si="23"/>
        <v>9.0797299147040604</v>
      </c>
    </row>
    <row r="169" spans="2:17" x14ac:dyDescent="0.25">
      <c r="B169" s="7">
        <f t="shared" si="24"/>
        <v>1</v>
      </c>
      <c r="C169" s="7">
        <v>160</v>
      </c>
      <c r="D169" s="7">
        <f t="shared" si="25"/>
        <v>0</v>
      </c>
      <c r="E169" s="7">
        <f t="shared" si="26"/>
        <v>1</v>
      </c>
      <c r="G169" s="3">
        <f t="shared" ca="1" si="18"/>
        <v>1</v>
      </c>
      <c r="H169" s="3">
        <f t="shared" ca="1" si="19"/>
        <v>2.9466672860150962</v>
      </c>
      <c r="I169" s="3">
        <f t="shared" ca="1" si="20"/>
        <v>8.5829296950620186</v>
      </c>
      <c r="O169" s="3">
        <f t="shared" ca="1" si="21"/>
        <v>-13.353421243906608</v>
      </c>
      <c r="P169" s="3">
        <f t="shared" ca="1" si="22"/>
        <v>3.0579037511880212</v>
      </c>
      <c r="Q169" s="3">
        <f t="shared" ca="1" si="23"/>
        <v>13.699074212104483</v>
      </c>
    </row>
    <row r="170" spans="2:17" x14ac:dyDescent="0.25">
      <c r="G170" s="3">
        <f t="shared" ca="1" si="18"/>
        <v>0</v>
      </c>
      <c r="H170" s="3">
        <f t="shared" ca="1" si="19"/>
        <v>1.035007787523899</v>
      </c>
      <c r="I170" s="3">
        <f t="shared" ca="1" si="20"/>
        <v>5.0867666241039089</v>
      </c>
      <c r="O170" s="3">
        <f t="shared" ca="1" si="21"/>
        <v>-6.9678198055802589</v>
      </c>
      <c r="P170" s="3">
        <f t="shared" ca="1" si="22"/>
        <v>-2.3877490483781028</v>
      </c>
      <c r="Q170" s="3">
        <f t="shared" ca="1" si="23"/>
        <v>7.3655860840171474</v>
      </c>
    </row>
    <row r="171" spans="2:17" x14ac:dyDescent="0.25">
      <c r="G171" s="3">
        <f t="shared" ca="1" si="18"/>
        <v>0</v>
      </c>
      <c r="H171" s="3">
        <f t="shared" ca="1" si="19"/>
        <v>1.9276492808114385</v>
      </c>
      <c r="I171" s="3">
        <f t="shared" ca="1" si="20"/>
        <v>6.9419904941080093</v>
      </c>
      <c r="O171" s="3">
        <f t="shared" ca="1" si="21"/>
        <v>-7.0820772763796462</v>
      </c>
      <c r="P171" s="3">
        <f t="shared" ca="1" si="22"/>
        <v>-2.0614749586544288</v>
      </c>
      <c r="Q171" s="3">
        <f t="shared" ca="1" si="23"/>
        <v>7.3760082398118447</v>
      </c>
    </row>
    <row r="172" spans="2:17" x14ac:dyDescent="0.25">
      <c r="G172" s="3">
        <f t="shared" ca="1" si="18"/>
        <v>1</v>
      </c>
      <c r="H172" s="3">
        <f t="shared" ca="1" si="19"/>
        <v>2.0879052328195717</v>
      </c>
      <c r="I172" s="3">
        <f t="shared" ca="1" si="20"/>
        <v>7.2247927873738558</v>
      </c>
      <c r="O172" s="3">
        <f t="shared" ca="1" si="21"/>
        <v>-8.2628614389768806</v>
      </c>
      <c r="P172" s="3">
        <f t="shared" ca="1" si="22"/>
        <v>1.8147648940099821</v>
      </c>
      <c r="Q172" s="3">
        <f t="shared" ca="1" si="23"/>
        <v>8.4598020532552738</v>
      </c>
    </row>
    <row r="173" spans="2:17" x14ac:dyDescent="0.25">
      <c r="G173" s="3">
        <f t="shared" ca="1" si="18"/>
        <v>0</v>
      </c>
      <c r="H173" s="3">
        <f t="shared" ca="1" si="19"/>
        <v>0.84567948192672948</v>
      </c>
      <c r="I173" s="3">
        <f t="shared" ca="1" si="20"/>
        <v>4.5980416535921282</v>
      </c>
      <c r="O173" s="3">
        <f t="shared" ca="1" si="21"/>
        <v>1.9667949759301262</v>
      </c>
      <c r="P173" s="3">
        <f t="shared" ca="1" si="22"/>
        <v>1.3870906478587193</v>
      </c>
      <c r="Q173" s="3">
        <f t="shared" ca="1" si="23"/>
        <v>2.406720370695588</v>
      </c>
    </row>
    <row r="174" spans="2:17" x14ac:dyDescent="0.25">
      <c r="G174" s="3">
        <f t="shared" ca="1" si="18"/>
        <v>2</v>
      </c>
      <c r="H174" s="3">
        <f t="shared" ca="1" si="19"/>
        <v>3.3400243450812765</v>
      </c>
      <c r="I174" s="3">
        <f t="shared" ca="1" si="20"/>
        <v>9.1378667437773426</v>
      </c>
      <c r="O174" s="3">
        <f t="shared" ca="1" si="21"/>
        <v>-4.0965608298328622</v>
      </c>
      <c r="P174" s="3">
        <f t="shared" ca="1" si="22"/>
        <v>-4.6634071828090606</v>
      </c>
      <c r="Q174" s="3">
        <f t="shared" ca="1" si="23"/>
        <v>6.2071875422928899</v>
      </c>
    </row>
    <row r="175" spans="2:17" x14ac:dyDescent="0.25">
      <c r="G175" s="3">
        <f t="shared" ca="1" si="18"/>
        <v>1</v>
      </c>
      <c r="H175" s="3">
        <f t="shared" ca="1" si="19"/>
        <v>3.3184966668566367</v>
      </c>
      <c r="I175" s="3">
        <f t="shared" ca="1" si="20"/>
        <v>9.1083706924683252</v>
      </c>
      <c r="O175" s="3">
        <f t="shared" ca="1" si="21"/>
        <v>-0.18717420863176759</v>
      </c>
      <c r="P175" s="3">
        <f t="shared" ca="1" si="22"/>
        <v>2.2943392622087941</v>
      </c>
      <c r="Q175" s="3">
        <f t="shared" ca="1" si="23"/>
        <v>2.3019615188985507</v>
      </c>
    </row>
    <row r="176" spans="2:17" x14ac:dyDescent="0.25">
      <c r="G176" s="3">
        <f t="shared" ca="1" si="18"/>
        <v>2</v>
      </c>
      <c r="H176" s="3">
        <f t="shared" ca="1" si="19"/>
        <v>7.0312131000884213</v>
      </c>
      <c r="I176" s="3">
        <f t="shared" ca="1" si="20"/>
        <v>13.258217357631851</v>
      </c>
      <c r="O176" s="3">
        <f t="shared" ca="1" si="21"/>
        <v>-5.3000478627709153</v>
      </c>
      <c r="P176" s="3">
        <f t="shared" ca="1" si="22"/>
        <v>3.6709265190405147</v>
      </c>
      <c r="Q176" s="3">
        <f t="shared" ca="1" si="23"/>
        <v>6.447186119219567</v>
      </c>
    </row>
    <row r="177" spans="7:17" x14ac:dyDescent="0.25">
      <c r="G177" s="3">
        <f t="shared" ca="1" si="18"/>
        <v>0</v>
      </c>
      <c r="H177" s="3">
        <f t="shared" ca="1" si="19"/>
        <v>0.21561940557209605</v>
      </c>
      <c r="I177" s="3">
        <f t="shared" ca="1" si="20"/>
        <v>2.3217418330431143</v>
      </c>
      <c r="O177" s="3">
        <f t="shared" ca="1" si="21"/>
        <v>0.92305099750859831</v>
      </c>
      <c r="P177" s="3">
        <f t="shared" ca="1" si="22"/>
        <v>-0.2972644248201351</v>
      </c>
      <c r="Q177" s="3">
        <f t="shared" ca="1" si="23"/>
        <v>0.9697367077022836</v>
      </c>
    </row>
    <row r="178" spans="7:17" x14ac:dyDescent="0.25">
      <c r="G178" s="3">
        <f t="shared" ca="1" si="18"/>
        <v>0</v>
      </c>
      <c r="H178" s="3">
        <f t="shared" ca="1" si="19"/>
        <v>0.33528346115736823</v>
      </c>
      <c r="I178" s="3">
        <f t="shared" ca="1" si="20"/>
        <v>2.8951833325256286</v>
      </c>
      <c r="O178" s="3">
        <f t="shared" ca="1" si="21"/>
        <v>-2.4953900890950087</v>
      </c>
      <c r="P178" s="3">
        <f t="shared" ca="1" si="22"/>
        <v>2.0460222737867348</v>
      </c>
      <c r="Q178" s="3">
        <f t="shared" ca="1" si="23"/>
        <v>3.2269457450637495</v>
      </c>
    </row>
    <row r="179" spans="7:17" x14ac:dyDescent="0.25">
      <c r="G179" s="3">
        <f t="shared" ca="1" si="18"/>
        <v>0</v>
      </c>
      <c r="H179" s="3">
        <f t="shared" ca="1" si="19"/>
        <v>0.97796757552039426</v>
      </c>
      <c r="I179" s="3">
        <f t="shared" ca="1" si="20"/>
        <v>4.9446121574912079</v>
      </c>
      <c r="O179" s="3">
        <f t="shared" ca="1" si="21"/>
        <v>1.287781613972097</v>
      </c>
      <c r="P179" s="3">
        <f t="shared" ca="1" si="22"/>
        <v>5.8581152441566431</v>
      </c>
      <c r="Q179" s="3">
        <f t="shared" ca="1" si="23"/>
        <v>5.997990971909263</v>
      </c>
    </row>
    <row r="180" spans="7:17" x14ac:dyDescent="0.25">
      <c r="G180" s="3">
        <f t="shared" ca="1" si="18"/>
        <v>0</v>
      </c>
      <c r="H180" s="3">
        <f t="shared" ca="1" si="19"/>
        <v>1.2437879435948902</v>
      </c>
      <c r="I180" s="3">
        <f t="shared" ca="1" si="20"/>
        <v>5.5762620625175296</v>
      </c>
      <c r="O180" s="3">
        <f t="shared" ca="1" si="21"/>
        <v>-1.4171795389470443</v>
      </c>
      <c r="P180" s="3">
        <f t="shared" ca="1" si="22"/>
        <v>-9.6108102582159702</v>
      </c>
      <c r="Q180" s="3">
        <f t="shared" ca="1" si="23"/>
        <v>9.7147347706995841</v>
      </c>
    </row>
    <row r="181" spans="7:17" x14ac:dyDescent="0.25">
      <c r="G181" s="3">
        <f t="shared" ca="1" si="18"/>
        <v>1</v>
      </c>
      <c r="H181" s="3">
        <f t="shared" ca="1" si="19"/>
        <v>1.1106274177034199</v>
      </c>
      <c r="I181" s="3">
        <f t="shared" ca="1" si="20"/>
        <v>5.2693154624282554</v>
      </c>
      <c r="O181" s="3">
        <f t="shared" ca="1" si="21"/>
        <v>-7.6019617438553579</v>
      </c>
      <c r="P181" s="3">
        <f t="shared" ca="1" si="22"/>
        <v>1.9944419843618773</v>
      </c>
      <c r="Q181" s="3">
        <f t="shared" ca="1" si="23"/>
        <v>7.8592379518644</v>
      </c>
    </row>
    <row r="182" spans="7:17" x14ac:dyDescent="0.25">
      <c r="G182" s="3">
        <f t="shared" ca="1" si="18"/>
        <v>0</v>
      </c>
      <c r="H182" s="3">
        <f t="shared" ca="1" si="19"/>
        <v>2.8519269267433582</v>
      </c>
      <c r="I182" s="3">
        <f t="shared" ca="1" si="20"/>
        <v>8.4438245581361979</v>
      </c>
      <c r="O182" s="3">
        <f t="shared" ca="1" si="21"/>
        <v>-4.9821738341742021</v>
      </c>
      <c r="P182" s="3">
        <f t="shared" ca="1" si="22"/>
        <v>-2.7858389711937179</v>
      </c>
      <c r="Q182" s="3">
        <f t="shared" ca="1" si="23"/>
        <v>5.7081481136487469</v>
      </c>
    </row>
    <row r="183" spans="7:17" x14ac:dyDescent="0.25">
      <c r="G183" s="3">
        <f t="shared" ca="1" si="18"/>
        <v>0</v>
      </c>
      <c r="H183" s="3">
        <f t="shared" ca="1" si="19"/>
        <v>0.62012503133732599</v>
      </c>
      <c r="I183" s="3">
        <f t="shared" ca="1" si="20"/>
        <v>3.9374008918870773</v>
      </c>
      <c r="O183" s="3">
        <f t="shared" ca="1" si="21"/>
        <v>-7.389882286671579</v>
      </c>
      <c r="P183" s="3">
        <f t="shared" ca="1" si="22"/>
        <v>-3.4190570217797358</v>
      </c>
      <c r="Q183" s="3">
        <f t="shared" ca="1" si="23"/>
        <v>8.1425002996035367</v>
      </c>
    </row>
    <row r="184" spans="7:17" x14ac:dyDescent="0.25">
      <c r="G184" s="3">
        <f t="shared" ca="1" si="18"/>
        <v>0</v>
      </c>
      <c r="H184" s="3">
        <f t="shared" ca="1" si="19"/>
        <v>0.89379222128654501</v>
      </c>
      <c r="I184" s="3">
        <f t="shared" ca="1" si="20"/>
        <v>4.7270292501912472</v>
      </c>
      <c r="O184" s="3">
        <f t="shared" ca="1" si="21"/>
        <v>2.3162008599565436</v>
      </c>
      <c r="P184" s="3">
        <f t="shared" ca="1" si="22"/>
        <v>1.6774039976084683</v>
      </c>
      <c r="Q184" s="3">
        <f t="shared" ca="1" si="23"/>
        <v>2.8598025447321187</v>
      </c>
    </row>
    <row r="185" spans="7:17" x14ac:dyDescent="0.25">
      <c r="G185" s="3">
        <f t="shared" ca="1" si="18"/>
        <v>0</v>
      </c>
      <c r="H185" s="3">
        <f t="shared" ca="1" si="19"/>
        <v>0.63102246703940601</v>
      </c>
      <c r="I185" s="3">
        <f t="shared" ca="1" si="20"/>
        <v>3.9718461294447382</v>
      </c>
      <c r="O185" s="3">
        <f t="shared" ca="1" si="21"/>
        <v>-3.2011880312551968</v>
      </c>
      <c r="P185" s="3">
        <f t="shared" ca="1" si="22"/>
        <v>-0.24896213935858971</v>
      </c>
      <c r="Q185" s="3">
        <f t="shared" ca="1" si="23"/>
        <v>3.2108545526519152</v>
      </c>
    </row>
    <row r="186" spans="7:17" x14ac:dyDescent="0.25">
      <c r="G186" s="3">
        <f t="shared" ca="1" si="18"/>
        <v>0</v>
      </c>
      <c r="H186" s="3">
        <f t="shared" ca="1" si="19"/>
        <v>0.63995234570705117</v>
      </c>
      <c r="I186" s="3">
        <f t="shared" ca="1" si="20"/>
        <v>3.9998510775622984</v>
      </c>
      <c r="O186" s="3">
        <f t="shared" ca="1" si="21"/>
        <v>0.83777737001590413</v>
      </c>
      <c r="P186" s="3">
        <f t="shared" ca="1" si="22"/>
        <v>-7.832788405614072</v>
      </c>
      <c r="Q186" s="3">
        <f t="shared" ca="1" si="23"/>
        <v>7.8774643844852132</v>
      </c>
    </row>
    <row r="187" spans="7:17" x14ac:dyDescent="0.25">
      <c r="G187" s="3">
        <f t="shared" ca="1" si="18"/>
        <v>0</v>
      </c>
      <c r="H187" s="3">
        <f t="shared" ca="1" si="19"/>
        <v>0.28365436492229318</v>
      </c>
      <c r="I187" s="3">
        <f t="shared" ca="1" si="20"/>
        <v>2.6629605935982847</v>
      </c>
      <c r="O187" s="3">
        <f t="shared" ca="1" si="21"/>
        <v>-14.818820823012564</v>
      </c>
      <c r="P187" s="3">
        <f t="shared" ca="1" si="22"/>
        <v>-9.3754263313390407</v>
      </c>
      <c r="Q187" s="3">
        <f t="shared" ca="1" si="23"/>
        <v>17.535565844275347</v>
      </c>
    </row>
    <row r="188" spans="7:17" x14ac:dyDescent="0.25">
      <c r="G188" s="3">
        <f t="shared" ca="1" si="18"/>
        <v>0</v>
      </c>
      <c r="H188" s="3">
        <f t="shared" ca="1" si="19"/>
        <v>0.43987651117387</v>
      </c>
      <c r="I188" s="3">
        <f t="shared" ca="1" si="20"/>
        <v>3.3161593416702324</v>
      </c>
      <c r="O188" s="3">
        <f t="shared" ca="1" si="21"/>
        <v>3.2811166927242255</v>
      </c>
      <c r="P188" s="3">
        <f t="shared" ca="1" si="22"/>
        <v>-4.840571872360095</v>
      </c>
      <c r="Q188" s="3">
        <f t="shared" ca="1" si="23"/>
        <v>5.8478083760292003</v>
      </c>
    </row>
    <row r="189" spans="7:17" x14ac:dyDescent="0.25">
      <c r="G189" s="3">
        <f t="shared" ca="1" si="18"/>
        <v>1</v>
      </c>
      <c r="H189" s="3">
        <f t="shared" ca="1" si="19"/>
        <v>2.6007981096363726</v>
      </c>
      <c r="I189" s="3">
        <f t="shared" ca="1" si="20"/>
        <v>8.0634950698136656</v>
      </c>
      <c r="O189" s="3">
        <f t="shared" ca="1" si="21"/>
        <v>-1.2436972493122109</v>
      </c>
      <c r="P189" s="3">
        <f t="shared" ca="1" si="22"/>
        <v>4.9264519196341423</v>
      </c>
      <c r="Q189" s="3">
        <f t="shared" ca="1" si="23"/>
        <v>5.0810147967127284</v>
      </c>
    </row>
    <row r="190" spans="7:17" x14ac:dyDescent="0.25">
      <c r="G190" s="3">
        <f t="shared" ca="1" si="18"/>
        <v>0</v>
      </c>
      <c r="H190" s="3">
        <f t="shared" ca="1" si="19"/>
        <v>6.242497519893659</v>
      </c>
      <c r="I190" s="3">
        <f t="shared" ca="1" si="20"/>
        <v>12.492495267052995</v>
      </c>
      <c r="O190" s="3">
        <f t="shared" ca="1" si="21"/>
        <v>3.3212039137312495</v>
      </c>
      <c r="P190" s="3">
        <f t="shared" ca="1" si="22"/>
        <v>-4.6543763041272381</v>
      </c>
      <c r="Q190" s="3">
        <f t="shared" ca="1" si="23"/>
        <v>5.7178330000975803</v>
      </c>
    </row>
    <row r="191" spans="7:17" x14ac:dyDescent="0.25">
      <c r="G191" s="3">
        <f t="shared" ca="1" si="18"/>
        <v>0</v>
      </c>
      <c r="H191" s="3">
        <f t="shared" ca="1" si="19"/>
        <v>5.4031170181671335</v>
      </c>
      <c r="I191" s="3">
        <f t="shared" ca="1" si="20"/>
        <v>11.622302932473339</v>
      </c>
      <c r="O191" s="3">
        <f t="shared" ca="1" si="21"/>
        <v>-10.345620487817472</v>
      </c>
      <c r="P191" s="3">
        <f t="shared" ca="1" si="22"/>
        <v>-0.12413435657663681</v>
      </c>
      <c r="Q191" s="3">
        <f t="shared" ca="1" si="23"/>
        <v>10.346365188626939</v>
      </c>
    </row>
    <row r="192" spans="7:17" x14ac:dyDescent="0.25">
      <c r="G192" s="3">
        <f t="shared" ca="1" si="18"/>
        <v>0</v>
      </c>
      <c r="H192" s="3">
        <f t="shared" ca="1" si="19"/>
        <v>2.2661046334933306</v>
      </c>
      <c r="I192" s="3">
        <f t="shared" ca="1" si="20"/>
        <v>7.5267931974602087</v>
      </c>
      <c r="O192" s="3">
        <f t="shared" ca="1" si="21"/>
        <v>-10.795935896930875</v>
      </c>
      <c r="P192" s="3">
        <f t="shared" ca="1" si="22"/>
        <v>-4.4807349194644281</v>
      </c>
      <c r="Q192" s="3">
        <f t="shared" ca="1" si="23"/>
        <v>11.688850127756304</v>
      </c>
    </row>
    <row r="193" spans="7:17" x14ac:dyDescent="0.25">
      <c r="G193" s="3">
        <f t="shared" ca="1" si="18"/>
        <v>0</v>
      </c>
      <c r="H193" s="3">
        <f t="shared" ca="1" si="19"/>
        <v>1.2331400095574989</v>
      </c>
      <c r="I193" s="3">
        <f t="shared" ca="1" si="20"/>
        <v>5.5523418697822882</v>
      </c>
      <c r="O193" s="3">
        <f t="shared" ca="1" si="21"/>
        <v>-10.490886419429877</v>
      </c>
      <c r="P193" s="3">
        <f t="shared" ca="1" si="22"/>
        <v>-0.2559277605697417</v>
      </c>
      <c r="Q193" s="3">
        <f t="shared" ca="1" si="23"/>
        <v>10.49400766552076</v>
      </c>
    </row>
    <row r="194" spans="7:17" x14ac:dyDescent="0.25">
      <c r="G194" s="3">
        <f t="shared" ca="1" si="18"/>
        <v>1</v>
      </c>
      <c r="H194" s="3">
        <f t="shared" ca="1" si="19"/>
        <v>5.4744444395945626</v>
      </c>
      <c r="I194" s="3">
        <f t="shared" ca="1" si="20"/>
        <v>11.698765361774894</v>
      </c>
      <c r="O194" s="3">
        <f t="shared" ca="1" si="21"/>
        <v>-11.876541579282751</v>
      </c>
      <c r="P194" s="3">
        <f t="shared" ca="1" si="22"/>
        <v>-1.871375136593441</v>
      </c>
      <c r="Q194" s="3">
        <f t="shared" ca="1" si="23"/>
        <v>12.023073017589644</v>
      </c>
    </row>
    <row r="195" spans="7:17" x14ac:dyDescent="0.25">
      <c r="G195" s="3">
        <f t="shared" ca="1" si="18"/>
        <v>0</v>
      </c>
      <c r="H195" s="3">
        <f t="shared" ca="1" si="19"/>
        <v>0.65054896588912159</v>
      </c>
      <c r="I195" s="3">
        <f t="shared" ca="1" si="20"/>
        <v>4.0328307858411367</v>
      </c>
      <c r="O195" s="3">
        <f t="shared" ca="1" si="21"/>
        <v>-8.9758585799310726</v>
      </c>
      <c r="P195" s="3">
        <f t="shared" ca="1" si="22"/>
        <v>-6.0665678401791334</v>
      </c>
      <c r="Q195" s="3">
        <f t="shared" ca="1" si="23"/>
        <v>10.833710472705922</v>
      </c>
    </row>
    <row r="196" spans="7:17" x14ac:dyDescent="0.25">
      <c r="G196" s="3">
        <f t="shared" ref="G196:G259" ca="1" si="27">VLOOKUP(RAND(),$B$9:$C$169,2,TRUE)</f>
        <v>1</v>
      </c>
      <c r="H196" s="3">
        <f t="shared" ref="H196:H259" ca="1" si="28">_xlfn.CHISQ.INV(RAND(),2*G196+2)</f>
        <v>2.7190522227068388</v>
      </c>
      <c r="I196" s="3">
        <f t="shared" ref="I196:I259" ca="1" si="29">$C$4*SQRT(H196)</f>
        <v>8.2447744400723888</v>
      </c>
      <c r="O196" s="3">
        <f t="shared" ref="O196:O259" ca="1" si="30">_xlfn.NORM.INV(RAND(),$C$3*COS($N$2),$C$4)</f>
        <v>-15.893014590190207</v>
      </c>
      <c r="P196" s="3">
        <f t="shared" ref="P196:P259" ca="1" si="31">_xlfn.NORM.INV(RAND(),$C$3*SIN($N$2),$C$4)</f>
        <v>-5.3964223925866124</v>
      </c>
      <c r="Q196" s="3">
        <f t="shared" ref="Q196:Q259" ca="1" si="32">SQRT(O196^2+P196^2)</f>
        <v>16.784197550172276</v>
      </c>
    </row>
    <row r="197" spans="7:17" x14ac:dyDescent="0.25">
      <c r="G197" s="3">
        <f t="shared" ca="1" si="27"/>
        <v>1</v>
      </c>
      <c r="H197" s="3">
        <f t="shared" ca="1" si="28"/>
        <v>6.0341510905613527</v>
      </c>
      <c r="I197" s="3">
        <f t="shared" ca="1" si="29"/>
        <v>12.282254567628607</v>
      </c>
      <c r="O197" s="3">
        <f t="shared" ca="1" si="30"/>
        <v>1.4686078026784513</v>
      </c>
      <c r="P197" s="3">
        <f t="shared" ca="1" si="31"/>
        <v>-4.7756708696837897</v>
      </c>
      <c r="Q197" s="3">
        <f t="shared" ca="1" si="32"/>
        <v>4.9963828049534351</v>
      </c>
    </row>
    <row r="198" spans="7:17" x14ac:dyDescent="0.25">
      <c r="G198" s="3">
        <f t="shared" ca="1" si="27"/>
        <v>0</v>
      </c>
      <c r="H198" s="3">
        <f t="shared" ca="1" si="28"/>
        <v>3.3852596127358541</v>
      </c>
      <c r="I198" s="3">
        <f t="shared" ca="1" si="29"/>
        <v>9.1995375056790945</v>
      </c>
      <c r="O198" s="3">
        <f t="shared" ca="1" si="30"/>
        <v>-12.207083071106918</v>
      </c>
      <c r="P198" s="3">
        <f t="shared" ca="1" si="31"/>
        <v>-6.4232994501544836</v>
      </c>
      <c r="Q198" s="3">
        <f t="shared" ca="1" si="32"/>
        <v>13.79389911994647</v>
      </c>
    </row>
    <row r="199" spans="7:17" x14ac:dyDescent="0.25">
      <c r="G199" s="3">
        <f t="shared" ca="1" si="27"/>
        <v>0</v>
      </c>
      <c r="H199" s="3">
        <f t="shared" ca="1" si="28"/>
        <v>1.4722473793940027</v>
      </c>
      <c r="I199" s="3">
        <f t="shared" ca="1" si="29"/>
        <v>6.0668100748952138</v>
      </c>
      <c r="O199" s="3">
        <f t="shared" ca="1" si="30"/>
        <v>-8.1951357257491555</v>
      </c>
      <c r="P199" s="3">
        <f t="shared" ca="1" si="31"/>
        <v>1.4397320369425843</v>
      </c>
      <c r="Q199" s="3">
        <f t="shared" ca="1" si="32"/>
        <v>8.3206416760757698</v>
      </c>
    </row>
    <row r="200" spans="7:17" x14ac:dyDescent="0.25">
      <c r="G200" s="3">
        <f t="shared" ca="1" si="27"/>
        <v>2</v>
      </c>
      <c r="H200" s="3">
        <f t="shared" ca="1" si="28"/>
        <v>6.2183658421407859</v>
      </c>
      <c r="I200" s="3">
        <f t="shared" ca="1" si="29"/>
        <v>12.468325711719261</v>
      </c>
      <c r="O200" s="3">
        <f t="shared" ca="1" si="30"/>
        <v>-2.7541411875368467</v>
      </c>
      <c r="P200" s="3">
        <f t="shared" ca="1" si="31"/>
        <v>-3.075652929177874</v>
      </c>
      <c r="Q200" s="3">
        <f t="shared" ca="1" si="32"/>
        <v>4.1285511528437322</v>
      </c>
    </row>
    <row r="201" spans="7:17" x14ac:dyDescent="0.25">
      <c r="G201" s="3">
        <f t="shared" ca="1" si="27"/>
        <v>0</v>
      </c>
      <c r="H201" s="3">
        <f t="shared" ca="1" si="28"/>
        <v>3.0742818256486673</v>
      </c>
      <c r="I201" s="3">
        <f t="shared" ca="1" si="29"/>
        <v>8.7668150226417279</v>
      </c>
      <c r="O201" s="3">
        <f t="shared" ca="1" si="30"/>
        <v>-10.295331175032706</v>
      </c>
      <c r="P201" s="3">
        <f t="shared" ca="1" si="31"/>
        <v>0.22398595936604981</v>
      </c>
      <c r="Q201" s="3">
        <f t="shared" ca="1" si="32"/>
        <v>10.297767414036571</v>
      </c>
    </row>
    <row r="202" spans="7:17" x14ac:dyDescent="0.25">
      <c r="G202" s="3">
        <f t="shared" ca="1" si="27"/>
        <v>4</v>
      </c>
      <c r="H202" s="3">
        <f t="shared" ca="1" si="28"/>
        <v>10.555007450823259</v>
      </c>
      <c r="I202" s="3">
        <f t="shared" ca="1" si="29"/>
        <v>16.244235478180606</v>
      </c>
      <c r="O202" s="3">
        <f t="shared" ca="1" si="30"/>
        <v>1.9590699349137708E-2</v>
      </c>
      <c r="P202" s="3">
        <f t="shared" ca="1" si="31"/>
        <v>-7.0101409702884467</v>
      </c>
      <c r="Q202" s="3">
        <f t="shared" ca="1" si="32"/>
        <v>7.0101683445419223</v>
      </c>
    </row>
    <row r="203" spans="7:17" x14ac:dyDescent="0.25">
      <c r="G203" s="3">
        <f t="shared" ca="1" si="27"/>
        <v>0</v>
      </c>
      <c r="H203" s="3">
        <f t="shared" ca="1" si="28"/>
        <v>0.72485681946459546</v>
      </c>
      <c r="I203" s="3">
        <f t="shared" ca="1" si="29"/>
        <v>4.2569261781965269</v>
      </c>
      <c r="O203" s="3">
        <f t="shared" ca="1" si="30"/>
        <v>-7.7105272133736769</v>
      </c>
      <c r="P203" s="3">
        <f t="shared" ca="1" si="31"/>
        <v>-2.791852568416878</v>
      </c>
      <c r="Q203" s="3">
        <f t="shared" ca="1" si="32"/>
        <v>8.2004067382021955</v>
      </c>
    </row>
    <row r="204" spans="7:17" x14ac:dyDescent="0.25">
      <c r="G204" s="3">
        <f t="shared" ca="1" si="27"/>
        <v>0</v>
      </c>
      <c r="H204" s="3">
        <f t="shared" ca="1" si="28"/>
        <v>2.6418788734148525E-2</v>
      </c>
      <c r="I204" s="3">
        <f t="shared" ca="1" si="29"/>
        <v>0.81269288070815116</v>
      </c>
      <c r="O204" s="3">
        <f t="shared" ca="1" si="30"/>
        <v>-3.144074533095703</v>
      </c>
      <c r="P204" s="3">
        <f t="shared" ca="1" si="31"/>
        <v>3.0899957743751982</v>
      </c>
      <c r="Q204" s="3">
        <f t="shared" ca="1" si="32"/>
        <v>4.4083192438068215</v>
      </c>
    </row>
    <row r="205" spans="7:17" x14ac:dyDescent="0.25">
      <c r="G205" s="3">
        <f t="shared" ca="1" si="27"/>
        <v>0</v>
      </c>
      <c r="H205" s="3">
        <f t="shared" ca="1" si="28"/>
        <v>0.32044777869037272</v>
      </c>
      <c r="I205" s="3">
        <f t="shared" ca="1" si="29"/>
        <v>2.830405353877659</v>
      </c>
      <c r="O205" s="3">
        <f t="shared" ca="1" si="30"/>
        <v>-4.7641825092730308</v>
      </c>
      <c r="P205" s="3">
        <f t="shared" ca="1" si="31"/>
        <v>2.8246065771574784</v>
      </c>
      <c r="Q205" s="3">
        <f t="shared" ca="1" si="32"/>
        <v>5.5385771907037968</v>
      </c>
    </row>
    <row r="206" spans="7:17" x14ac:dyDescent="0.25">
      <c r="G206" s="3">
        <f t="shared" ca="1" si="27"/>
        <v>1</v>
      </c>
      <c r="H206" s="3">
        <f t="shared" ca="1" si="28"/>
        <v>5.7529377247428055</v>
      </c>
      <c r="I206" s="3">
        <f t="shared" ca="1" si="29"/>
        <v>11.99264120694729</v>
      </c>
      <c r="O206" s="3">
        <f t="shared" ca="1" si="30"/>
        <v>-2.3844380640081964</v>
      </c>
      <c r="P206" s="3">
        <f t="shared" ca="1" si="31"/>
        <v>-0.27915966004013476</v>
      </c>
      <c r="Q206" s="3">
        <f t="shared" ca="1" si="32"/>
        <v>2.400723848526706</v>
      </c>
    </row>
    <row r="207" spans="7:17" x14ac:dyDescent="0.25">
      <c r="G207" s="3">
        <f t="shared" ca="1" si="27"/>
        <v>0</v>
      </c>
      <c r="H207" s="3">
        <f t="shared" ca="1" si="28"/>
        <v>0.8726637763774383</v>
      </c>
      <c r="I207" s="3">
        <f t="shared" ca="1" si="29"/>
        <v>4.6708237399238222</v>
      </c>
      <c r="O207" s="3">
        <f t="shared" ca="1" si="30"/>
        <v>-6.5889883429378004</v>
      </c>
      <c r="P207" s="3">
        <f t="shared" ca="1" si="31"/>
        <v>-3.5429110512666697</v>
      </c>
      <c r="Q207" s="3">
        <f t="shared" ca="1" si="32"/>
        <v>7.4811086144072068</v>
      </c>
    </row>
    <row r="208" spans="7:17" x14ac:dyDescent="0.25">
      <c r="G208" s="3">
        <f t="shared" ca="1" si="27"/>
        <v>0</v>
      </c>
      <c r="H208" s="3">
        <f t="shared" ca="1" si="28"/>
        <v>2.0655417429308685</v>
      </c>
      <c r="I208" s="3">
        <f t="shared" ca="1" si="29"/>
        <v>7.1859963521610357</v>
      </c>
      <c r="O208" s="3">
        <f t="shared" ca="1" si="30"/>
        <v>-1.1485773697350385</v>
      </c>
      <c r="P208" s="3">
        <f t="shared" ca="1" si="31"/>
        <v>-1.2187397716389261</v>
      </c>
      <c r="Q208" s="3">
        <f t="shared" ca="1" si="32"/>
        <v>1.6746810458239387</v>
      </c>
    </row>
    <row r="209" spans="7:17" x14ac:dyDescent="0.25">
      <c r="G209" s="3">
        <f t="shared" ca="1" si="27"/>
        <v>1</v>
      </c>
      <c r="H209" s="3">
        <f t="shared" ca="1" si="28"/>
        <v>5.2195741689035762</v>
      </c>
      <c r="I209" s="3">
        <f t="shared" ca="1" si="29"/>
        <v>11.423193696273797</v>
      </c>
      <c r="O209" s="3">
        <f t="shared" ca="1" si="30"/>
        <v>8.4854621890429804E-2</v>
      </c>
      <c r="P209" s="3">
        <f t="shared" ca="1" si="31"/>
        <v>-5.665070027728853</v>
      </c>
      <c r="Q209" s="3">
        <f t="shared" ca="1" si="32"/>
        <v>5.6657054923396748</v>
      </c>
    </row>
    <row r="210" spans="7:17" x14ac:dyDescent="0.25">
      <c r="G210" s="3">
        <f t="shared" ca="1" si="27"/>
        <v>1</v>
      </c>
      <c r="H210" s="3">
        <f t="shared" ca="1" si="28"/>
        <v>2.3363438975282871</v>
      </c>
      <c r="I210" s="3">
        <f t="shared" ca="1" si="29"/>
        <v>7.6425517622196821</v>
      </c>
      <c r="O210" s="3">
        <f t="shared" ca="1" si="30"/>
        <v>-8.8599395482893559</v>
      </c>
      <c r="P210" s="3">
        <f t="shared" ca="1" si="31"/>
        <v>0.70463259203496575</v>
      </c>
      <c r="Q210" s="3">
        <f t="shared" ca="1" si="32"/>
        <v>8.8879151598729678</v>
      </c>
    </row>
    <row r="211" spans="7:17" x14ac:dyDescent="0.25">
      <c r="G211" s="3">
        <f t="shared" ca="1" si="27"/>
        <v>0</v>
      </c>
      <c r="H211" s="3">
        <f t="shared" ca="1" si="28"/>
        <v>2.4349745448771112E-3</v>
      </c>
      <c r="I211" s="3">
        <f t="shared" ca="1" si="29"/>
        <v>0.24672730619436467</v>
      </c>
      <c r="O211" s="3">
        <f t="shared" ca="1" si="30"/>
        <v>-13.743861338352838</v>
      </c>
      <c r="P211" s="3">
        <f t="shared" ca="1" si="31"/>
        <v>7.591742022036331</v>
      </c>
      <c r="Q211" s="3">
        <f t="shared" ca="1" si="32"/>
        <v>15.7012187876299</v>
      </c>
    </row>
    <row r="212" spans="7:17" x14ac:dyDescent="0.25">
      <c r="G212" s="3">
        <f t="shared" ca="1" si="27"/>
        <v>0</v>
      </c>
      <c r="H212" s="3">
        <f t="shared" ca="1" si="28"/>
        <v>2.6037851587837566</v>
      </c>
      <c r="I212" s="3">
        <f t="shared" ca="1" si="29"/>
        <v>8.0681242534801054</v>
      </c>
      <c r="O212" s="3">
        <f t="shared" ca="1" si="30"/>
        <v>2.8000969786649952</v>
      </c>
      <c r="P212" s="3">
        <f t="shared" ca="1" si="31"/>
        <v>0.74737823773308898</v>
      </c>
      <c r="Q212" s="3">
        <f t="shared" ca="1" si="32"/>
        <v>2.8981230684989643</v>
      </c>
    </row>
    <row r="213" spans="7:17" x14ac:dyDescent="0.25">
      <c r="G213" s="3">
        <f t="shared" ca="1" si="27"/>
        <v>0</v>
      </c>
      <c r="H213" s="3">
        <f t="shared" ca="1" si="28"/>
        <v>1.4177009995736942</v>
      </c>
      <c r="I213" s="3">
        <f t="shared" ca="1" si="29"/>
        <v>5.9533624943675614</v>
      </c>
      <c r="O213" s="3">
        <f t="shared" ca="1" si="30"/>
        <v>-3.0140835321788013</v>
      </c>
      <c r="P213" s="3">
        <f t="shared" ca="1" si="31"/>
        <v>-1.3604240593200507</v>
      </c>
      <c r="Q213" s="3">
        <f t="shared" ca="1" si="32"/>
        <v>3.3068796712502682</v>
      </c>
    </row>
    <row r="214" spans="7:17" x14ac:dyDescent="0.25">
      <c r="G214" s="3">
        <f t="shared" ca="1" si="27"/>
        <v>0</v>
      </c>
      <c r="H214" s="3">
        <f t="shared" ca="1" si="28"/>
        <v>0.24935434285748162</v>
      </c>
      <c r="I214" s="3">
        <f t="shared" ca="1" si="29"/>
        <v>2.4967696272257558</v>
      </c>
      <c r="O214" s="3">
        <f t="shared" ca="1" si="30"/>
        <v>5.1086987927050878</v>
      </c>
      <c r="P214" s="3">
        <f t="shared" ca="1" si="31"/>
        <v>4.9264023785828153</v>
      </c>
      <c r="Q214" s="3">
        <f t="shared" ca="1" si="32"/>
        <v>7.097058809837554</v>
      </c>
    </row>
    <row r="215" spans="7:17" x14ac:dyDescent="0.25">
      <c r="G215" s="3">
        <f t="shared" ca="1" si="27"/>
        <v>0</v>
      </c>
      <c r="H215" s="3">
        <f t="shared" ca="1" si="28"/>
        <v>0.50552194948102858</v>
      </c>
      <c r="I215" s="3">
        <f t="shared" ca="1" si="29"/>
        <v>3.5550033385393203</v>
      </c>
      <c r="O215" s="3">
        <f t="shared" ca="1" si="30"/>
        <v>1.1708097180316077</v>
      </c>
      <c r="P215" s="3">
        <f t="shared" ca="1" si="31"/>
        <v>6.6161133925165805</v>
      </c>
      <c r="Q215" s="3">
        <f t="shared" ca="1" si="32"/>
        <v>6.7189100171437417</v>
      </c>
    </row>
    <row r="216" spans="7:17" x14ac:dyDescent="0.25">
      <c r="G216" s="3">
        <f t="shared" ca="1" si="27"/>
        <v>0</v>
      </c>
      <c r="H216" s="3">
        <f t="shared" ca="1" si="28"/>
        <v>3.0044445006642055</v>
      </c>
      <c r="I216" s="3">
        <f t="shared" ca="1" si="29"/>
        <v>8.6666667477528598</v>
      </c>
      <c r="O216" s="3">
        <f t="shared" ca="1" si="30"/>
        <v>0.69721113865971684</v>
      </c>
      <c r="P216" s="3">
        <f t="shared" ca="1" si="31"/>
        <v>-13.343084010992319</v>
      </c>
      <c r="Q216" s="3">
        <f t="shared" ca="1" si="32"/>
        <v>13.361287149682475</v>
      </c>
    </row>
    <row r="217" spans="7:17" x14ac:dyDescent="0.25">
      <c r="G217" s="3">
        <f t="shared" ca="1" si="27"/>
        <v>2</v>
      </c>
      <c r="H217" s="3">
        <f t="shared" ca="1" si="28"/>
        <v>5.4629397148527135</v>
      </c>
      <c r="I217" s="3">
        <f t="shared" ca="1" si="29"/>
        <v>11.68646622685052</v>
      </c>
      <c r="O217" s="3">
        <f t="shared" ca="1" si="30"/>
        <v>-5.6558133203111414</v>
      </c>
      <c r="P217" s="3">
        <f t="shared" ca="1" si="31"/>
        <v>-1.4244244091233864</v>
      </c>
      <c r="Q217" s="3">
        <f t="shared" ca="1" si="32"/>
        <v>5.8324273858759224</v>
      </c>
    </row>
    <row r="218" spans="7:17" x14ac:dyDescent="0.25">
      <c r="G218" s="3">
        <f t="shared" ca="1" si="27"/>
        <v>0</v>
      </c>
      <c r="H218" s="3">
        <f t="shared" ca="1" si="28"/>
        <v>4.2090640625272737</v>
      </c>
      <c r="I218" s="3">
        <f t="shared" ca="1" si="29"/>
        <v>10.25800183092116</v>
      </c>
      <c r="O218" s="3">
        <f t="shared" ca="1" si="30"/>
        <v>-11.680494203744763</v>
      </c>
      <c r="P218" s="3">
        <f t="shared" ca="1" si="31"/>
        <v>8.4002182483890522</v>
      </c>
      <c r="Q218" s="3">
        <f t="shared" ca="1" si="32"/>
        <v>14.387411562344473</v>
      </c>
    </row>
    <row r="219" spans="7:17" x14ac:dyDescent="0.25">
      <c r="G219" s="3">
        <f t="shared" ca="1" si="27"/>
        <v>0</v>
      </c>
      <c r="H219" s="3">
        <f t="shared" ca="1" si="28"/>
        <v>4.7274104843476765</v>
      </c>
      <c r="I219" s="3">
        <f t="shared" ca="1" si="29"/>
        <v>10.871304526536449</v>
      </c>
      <c r="O219" s="3">
        <f t="shared" ca="1" si="30"/>
        <v>-7.1310738856313964</v>
      </c>
      <c r="P219" s="3">
        <f t="shared" ca="1" si="31"/>
        <v>-3.1845332167804635E-2</v>
      </c>
      <c r="Q219" s="3">
        <f t="shared" ca="1" si="32"/>
        <v>7.1311449913400962</v>
      </c>
    </row>
    <row r="220" spans="7:17" x14ac:dyDescent="0.25">
      <c r="G220" s="3">
        <f t="shared" ca="1" si="27"/>
        <v>0</v>
      </c>
      <c r="H220" s="3">
        <f t="shared" ca="1" si="28"/>
        <v>1.1632769583219595</v>
      </c>
      <c r="I220" s="3">
        <f t="shared" ca="1" si="29"/>
        <v>5.3927658912703595</v>
      </c>
      <c r="O220" s="3">
        <f t="shared" ca="1" si="30"/>
        <v>-4.9334799803471476</v>
      </c>
      <c r="P220" s="3">
        <f t="shared" ca="1" si="31"/>
        <v>-2.9257878111065527</v>
      </c>
      <c r="Q220" s="3">
        <f t="shared" ca="1" si="32"/>
        <v>5.7358050029708796</v>
      </c>
    </row>
    <row r="221" spans="7:17" x14ac:dyDescent="0.25">
      <c r="G221" s="3">
        <f t="shared" ca="1" si="27"/>
        <v>0</v>
      </c>
      <c r="H221" s="3">
        <f t="shared" ca="1" si="28"/>
        <v>9.1166869474260626</v>
      </c>
      <c r="I221" s="3">
        <f t="shared" ca="1" si="29"/>
        <v>15.096925968078786</v>
      </c>
      <c r="O221" s="3">
        <f t="shared" ca="1" si="30"/>
        <v>-8.3215166844075199</v>
      </c>
      <c r="P221" s="3">
        <f t="shared" ca="1" si="31"/>
        <v>3.3504471018605324</v>
      </c>
      <c r="Q221" s="3">
        <f t="shared" ca="1" si="32"/>
        <v>8.9706820092587378</v>
      </c>
    </row>
    <row r="222" spans="7:17" x14ac:dyDescent="0.25">
      <c r="G222" s="3">
        <f t="shared" ca="1" si="27"/>
        <v>0</v>
      </c>
      <c r="H222" s="3">
        <f t="shared" ca="1" si="28"/>
        <v>0.48086086294210223</v>
      </c>
      <c r="I222" s="3">
        <f t="shared" ca="1" si="29"/>
        <v>3.4672065951645505</v>
      </c>
      <c r="O222" s="3">
        <f t="shared" ca="1" si="30"/>
        <v>-2.2526956347619858</v>
      </c>
      <c r="P222" s="3">
        <f t="shared" ca="1" si="31"/>
        <v>8.1291488605856263E-2</v>
      </c>
      <c r="Q222" s="3">
        <f t="shared" ca="1" si="32"/>
        <v>2.2541619127727852</v>
      </c>
    </row>
    <row r="223" spans="7:17" x14ac:dyDescent="0.25">
      <c r="G223" s="3">
        <f t="shared" ca="1" si="27"/>
        <v>0</v>
      </c>
      <c r="H223" s="3">
        <f t="shared" ca="1" si="28"/>
        <v>2.4515059564787998</v>
      </c>
      <c r="I223" s="3">
        <f t="shared" ca="1" si="29"/>
        <v>7.8286428524981257</v>
      </c>
      <c r="O223" s="3">
        <f t="shared" ca="1" si="30"/>
        <v>0.99891475063496671</v>
      </c>
      <c r="P223" s="3">
        <f t="shared" ca="1" si="31"/>
        <v>0.20072517865760559</v>
      </c>
      <c r="Q223" s="3">
        <f t="shared" ca="1" si="32"/>
        <v>1.0188823663128366</v>
      </c>
    </row>
    <row r="224" spans="7:17" x14ac:dyDescent="0.25">
      <c r="G224" s="3">
        <f t="shared" ca="1" si="27"/>
        <v>3</v>
      </c>
      <c r="H224" s="3">
        <f t="shared" ca="1" si="28"/>
        <v>2.8207238618878803</v>
      </c>
      <c r="I224" s="3">
        <f t="shared" ca="1" si="29"/>
        <v>8.3975053764315639</v>
      </c>
      <c r="O224" s="3">
        <f t="shared" ca="1" si="30"/>
        <v>-2.1514136884921573</v>
      </c>
      <c r="P224" s="3">
        <f t="shared" ca="1" si="31"/>
        <v>-2.6105187540960437</v>
      </c>
      <c r="Q224" s="3">
        <f t="shared" ca="1" si="32"/>
        <v>3.3828078610111141</v>
      </c>
    </row>
    <row r="225" spans="7:17" x14ac:dyDescent="0.25">
      <c r="G225" s="3">
        <f t="shared" ca="1" si="27"/>
        <v>0</v>
      </c>
      <c r="H225" s="3">
        <f t="shared" ca="1" si="28"/>
        <v>0.78242664846719201</v>
      </c>
      <c r="I225" s="3">
        <f t="shared" ca="1" si="29"/>
        <v>4.4227441946917754</v>
      </c>
      <c r="O225" s="3">
        <f t="shared" ca="1" si="30"/>
        <v>-13.037019877042002</v>
      </c>
      <c r="P225" s="3">
        <f t="shared" ca="1" si="31"/>
        <v>3.9691384562898651</v>
      </c>
      <c r="Q225" s="3">
        <f t="shared" ca="1" si="32"/>
        <v>13.627837222376387</v>
      </c>
    </row>
    <row r="226" spans="7:17" x14ac:dyDescent="0.25">
      <c r="G226" s="3">
        <f t="shared" ca="1" si="27"/>
        <v>0</v>
      </c>
      <c r="H226" s="3">
        <f t="shared" ca="1" si="28"/>
        <v>2.2232819642390638</v>
      </c>
      <c r="I226" s="3">
        <f t="shared" ca="1" si="29"/>
        <v>7.4553369545565538</v>
      </c>
      <c r="O226" s="3">
        <f t="shared" ca="1" si="30"/>
        <v>-6.6451015397418622</v>
      </c>
      <c r="P226" s="3">
        <f t="shared" ca="1" si="31"/>
        <v>-4.8313260543695957</v>
      </c>
      <c r="Q226" s="3">
        <f t="shared" ca="1" si="32"/>
        <v>8.2157827330760256</v>
      </c>
    </row>
    <row r="227" spans="7:17" x14ac:dyDescent="0.25">
      <c r="G227" s="3">
        <f t="shared" ca="1" si="27"/>
        <v>0</v>
      </c>
      <c r="H227" s="3">
        <f t="shared" ca="1" si="28"/>
        <v>2.9661727294017592</v>
      </c>
      <c r="I227" s="3">
        <f t="shared" ca="1" si="29"/>
        <v>8.611290160890178</v>
      </c>
      <c r="O227" s="3">
        <f t="shared" ca="1" si="30"/>
        <v>5.1611989501224684</v>
      </c>
      <c r="P227" s="3">
        <f t="shared" ca="1" si="31"/>
        <v>-1.050062296429241</v>
      </c>
      <c r="Q227" s="3">
        <f t="shared" ca="1" si="32"/>
        <v>5.2669351077384201</v>
      </c>
    </row>
    <row r="228" spans="7:17" x14ac:dyDescent="0.25">
      <c r="G228" s="3">
        <f t="shared" ca="1" si="27"/>
        <v>0</v>
      </c>
      <c r="H228" s="3">
        <f t="shared" ca="1" si="28"/>
        <v>5.1652625007276597E-2</v>
      </c>
      <c r="I228" s="3">
        <f t="shared" ca="1" si="29"/>
        <v>1.1363606932580497</v>
      </c>
      <c r="O228" s="3">
        <f t="shared" ca="1" si="30"/>
        <v>1.2383543022520467</v>
      </c>
      <c r="P228" s="3">
        <f t="shared" ca="1" si="31"/>
        <v>4.0665442931654514</v>
      </c>
      <c r="Q228" s="3">
        <f t="shared" ca="1" si="32"/>
        <v>4.2509180027592457</v>
      </c>
    </row>
    <row r="229" spans="7:17" x14ac:dyDescent="0.25">
      <c r="G229" s="3">
        <f t="shared" ca="1" si="27"/>
        <v>2</v>
      </c>
      <c r="H229" s="3">
        <f t="shared" ca="1" si="28"/>
        <v>5.0459410977476438</v>
      </c>
      <c r="I229" s="3">
        <f t="shared" ca="1" si="29"/>
        <v>11.231586149947436</v>
      </c>
      <c r="O229" s="3">
        <f t="shared" ca="1" si="30"/>
        <v>-6.5258708240354526</v>
      </c>
      <c r="P229" s="3">
        <f t="shared" ca="1" si="31"/>
        <v>2.6815224889551117</v>
      </c>
      <c r="Q229" s="3">
        <f t="shared" ca="1" si="32"/>
        <v>7.0553208907015117</v>
      </c>
    </row>
    <row r="230" spans="7:17" x14ac:dyDescent="0.25">
      <c r="G230" s="3">
        <f t="shared" ca="1" si="27"/>
        <v>1</v>
      </c>
      <c r="H230" s="3">
        <f t="shared" ca="1" si="28"/>
        <v>10.838722459918436</v>
      </c>
      <c r="I230" s="3">
        <f t="shared" ca="1" si="29"/>
        <v>16.461107541655903</v>
      </c>
      <c r="O230" s="3">
        <f t="shared" ca="1" si="30"/>
        <v>6.2920828325198563</v>
      </c>
      <c r="P230" s="3">
        <f t="shared" ca="1" si="31"/>
        <v>-7.3441805998496301</v>
      </c>
      <c r="Q230" s="3">
        <f t="shared" ca="1" si="32"/>
        <v>9.6709510935842697</v>
      </c>
    </row>
    <row r="231" spans="7:17" x14ac:dyDescent="0.25">
      <c r="G231" s="3">
        <f t="shared" ca="1" si="27"/>
        <v>1</v>
      </c>
      <c r="H231" s="3">
        <f t="shared" ca="1" si="28"/>
        <v>4.8885697279385454</v>
      </c>
      <c r="I231" s="3">
        <f t="shared" ca="1" si="29"/>
        <v>11.05505509703428</v>
      </c>
      <c r="O231" s="3">
        <f t="shared" ca="1" si="30"/>
        <v>-6.5894890228849707</v>
      </c>
      <c r="P231" s="3">
        <f t="shared" ca="1" si="31"/>
        <v>2.204215428476465</v>
      </c>
      <c r="Q231" s="3">
        <f t="shared" ca="1" si="32"/>
        <v>6.948376158344856</v>
      </c>
    </row>
    <row r="232" spans="7:17" x14ac:dyDescent="0.25">
      <c r="G232" s="3">
        <f t="shared" ca="1" si="27"/>
        <v>1</v>
      </c>
      <c r="H232" s="3">
        <f t="shared" ca="1" si="28"/>
        <v>1.5120692095231056</v>
      </c>
      <c r="I232" s="3">
        <f t="shared" ca="1" si="29"/>
        <v>6.1483111695877621</v>
      </c>
      <c r="O232" s="3">
        <f t="shared" ca="1" si="30"/>
        <v>-2.826386830301705</v>
      </c>
      <c r="P232" s="3">
        <f t="shared" ca="1" si="31"/>
        <v>-1.759096660306753</v>
      </c>
      <c r="Q232" s="3">
        <f t="shared" ca="1" si="32"/>
        <v>3.3290965102870316</v>
      </c>
    </row>
    <row r="233" spans="7:17" x14ac:dyDescent="0.25">
      <c r="G233" s="3">
        <f t="shared" ca="1" si="27"/>
        <v>0</v>
      </c>
      <c r="H233" s="3">
        <f t="shared" ca="1" si="28"/>
        <v>3.6174127401861282</v>
      </c>
      <c r="I233" s="3">
        <f t="shared" ca="1" si="29"/>
        <v>9.5097486036515821</v>
      </c>
      <c r="O233" s="3">
        <f t="shared" ca="1" si="30"/>
        <v>-10.450709962657282</v>
      </c>
      <c r="P233" s="3">
        <f t="shared" ca="1" si="31"/>
        <v>3.9358096374801241</v>
      </c>
      <c r="Q233" s="3">
        <f t="shared" ca="1" si="32"/>
        <v>11.167270759951403</v>
      </c>
    </row>
    <row r="234" spans="7:17" x14ac:dyDescent="0.25">
      <c r="G234" s="3">
        <f t="shared" ca="1" si="27"/>
        <v>0</v>
      </c>
      <c r="H234" s="3">
        <f t="shared" ca="1" si="28"/>
        <v>3.7549197894119533</v>
      </c>
      <c r="I234" s="3">
        <f t="shared" ca="1" si="29"/>
        <v>9.6888077045268499</v>
      </c>
      <c r="O234" s="3">
        <f t="shared" ca="1" si="30"/>
        <v>-9.2652515692304149</v>
      </c>
      <c r="P234" s="3">
        <f t="shared" ca="1" si="31"/>
        <v>-2.5875797577059951</v>
      </c>
      <c r="Q234" s="3">
        <f t="shared" ca="1" si="32"/>
        <v>9.6197949896874864</v>
      </c>
    </row>
    <row r="235" spans="7:17" x14ac:dyDescent="0.25">
      <c r="G235" s="3">
        <f t="shared" ca="1" si="27"/>
        <v>0</v>
      </c>
      <c r="H235" s="3">
        <f t="shared" ca="1" si="28"/>
        <v>0.51501196941765071</v>
      </c>
      <c r="I235" s="3">
        <f t="shared" ca="1" si="29"/>
        <v>3.5882167208017508</v>
      </c>
      <c r="O235" s="3">
        <f t="shared" ca="1" si="30"/>
        <v>-8.551677251679747</v>
      </c>
      <c r="P235" s="3">
        <f t="shared" ca="1" si="31"/>
        <v>-2.9852866786272059</v>
      </c>
      <c r="Q235" s="3">
        <f t="shared" ca="1" si="32"/>
        <v>9.0577657493714163</v>
      </c>
    </row>
    <row r="236" spans="7:17" x14ac:dyDescent="0.25">
      <c r="G236" s="3">
        <f t="shared" ca="1" si="27"/>
        <v>0</v>
      </c>
      <c r="H236" s="3">
        <f t="shared" ca="1" si="28"/>
        <v>0.76741944159265307</v>
      </c>
      <c r="I236" s="3">
        <f t="shared" ca="1" si="29"/>
        <v>4.3801239753934276</v>
      </c>
      <c r="O236" s="3">
        <f t="shared" ca="1" si="30"/>
        <v>-1.9665377609211947</v>
      </c>
      <c r="P236" s="3">
        <f t="shared" ca="1" si="31"/>
        <v>4.6369443475689716</v>
      </c>
      <c r="Q236" s="3">
        <f t="shared" ca="1" si="32"/>
        <v>5.0367175469328025</v>
      </c>
    </row>
    <row r="237" spans="7:17" x14ac:dyDescent="0.25">
      <c r="G237" s="3">
        <f t="shared" ca="1" si="27"/>
        <v>0</v>
      </c>
      <c r="H237" s="3">
        <f t="shared" ca="1" si="28"/>
        <v>1.3739259967055504</v>
      </c>
      <c r="I237" s="3">
        <f t="shared" ca="1" si="29"/>
        <v>5.8607294697536378</v>
      </c>
      <c r="O237" s="3">
        <f t="shared" ca="1" si="30"/>
        <v>0.54525630032670414</v>
      </c>
      <c r="P237" s="3">
        <f t="shared" ca="1" si="31"/>
        <v>-2.6341668600462342</v>
      </c>
      <c r="Q237" s="3">
        <f t="shared" ca="1" si="32"/>
        <v>2.6900073382077978</v>
      </c>
    </row>
    <row r="238" spans="7:17" x14ac:dyDescent="0.25">
      <c r="G238" s="3">
        <f t="shared" ca="1" si="27"/>
        <v>0</v>
      </c>
      <c r="H238" s="3">
        <f t="shared" ca="1" si="28"/>
        <v>1.7875853768669363</v>
      </c>
      <c r="I238" s="3">
        <f t="shared" ca="1" si="29"/>
        <v>6.6850306223437306</v>
      </c>
      <c r="O238" s="3">
        <f t="shared" ca="1" si="30"/>
        <v>-5.1825007105948036</v>
      </c>
      <c r="P238" s="3">
        <f t="shared" ca="1" si="31"/>
        <v>3.0278886366539015</v>
      </c>
      <c r="Q238" s="3">
        <f t="shared" ca="1" si="32"/>
        <v>6.0022015303797884</v>
      </c>
    </row>
    <row r="239" spans="7:17" x14ac:dyDescent="0.25">
      <c r="G239" s="3">
        <f t="shared" ca="1" si="27"/>
        <v>0</v>
      </c>
      <c r="H239" s="3">
        <f t="shared" ca="1" si="28"/>
        <v>0.13792796797091134</v>
      </c>
      <c r="I239" s="3">
        <f t="shared" ca="1" si="29"/>
        <v>1.8569327395661865</v>
      </c>
      <c r="O239" s="3">
        <f t="shared" ca="1" si="30"/>
        <v>-1.2498293414419299</v>
      </c>
      <c r="P239" s="3">
        <f t="shared" ca="1" si="31"/>
        <v>1.3532735315692639</v>
      </c>
      <c r="Q239" s="3">
        <f t="shared" ca="1" si="32"/>
        <v>1.8421244892718613</v>
      </c>
    </row>
    <row r="240" spans="7:17" x14ac:dyDescent="0.25">
      <c r="G240" s="3">
        <f t="shared" ca="1" si="27"/>
        <v>0</v>
      </c>
      <c r="H240" s="3">
        <f t="shared" ca="1" si="28"/>
        <v>0.5070989542575437</v>
      </c>
      <c r="I240" s="3">
        <f t="shared" ca="1" si="29"/>
        <v>3.560544039390412</v>
      </c>
      <c r="O240" s="3">
        <f t="shared" ca="1" si="30"/>
        <v>-7.5476340101995003</v>
      </c>
      <c r="P240" s="3">
        <f t="shared" ca="1" si="31"/>
        <v>3.2602097702475095</v>
      </c>
      <c r="Q240" s="3">
        <f t="shared" ca="1" si="32"/>
        <v>8.221663268337954</v>
      </c>
    </row>
    <row r="241" spans="7:17" x14ac:dyDescent="0.25">
      <c r="G241" s="3">
        <f t="shared" ca="1" si="27"/>
        <v>0</v>
      </c>
      <c r="H241" s="3">
        <f t="shared" ca="1" si="28"/>
        <v>3.0503712750127798</v>
      </c>
      <c r="I241" s="3">
        <f t="shared" ca="1" si="29"/>
        <v>8.7326560607480417</v>
      </c>
      <c r="O241" s="3">
        <f t="shared" ca="1" si="30"/>
        <v>-2.4009341564435012</v>
      </c>
      <c r="P241" s="3">
        <f t="shared" ca="1" si="31"/>
        <v>-2.8457454234631809</v>
      </c>
      <c r="Q241" s="3">
        <f t="shared" ca="1" si="32"/>
        <v>3.72327165792918</v>
      </c>
    </row>
    <row r="242" spans="7:17" x14ac:dyDescent="0.25">
      <c r="G242" s="3">
        <f t="shared" ca="1" si="27"/>
        <v>0</v>
      </c>
      <c r="H242" s="3">
        <f t="shared" ca="1" si="28"/>
        <v>2.8501876864619597</v>
      </c>
      <c r="I242" s="3">
        <f t="shared" ca="1" si="29"/>
        <v>8.4412494431540743</v>
      </c>
      <c r="O242" s="3">
        <f t="shared" ca="1" si="30"/>
        <v>-16.287717486058636</v>
      </c>
      <c r="P242" s="3">
        <f t="shared" ca="1" si="31"/>
        <v>-2.467283275497274</v>
      </c>
      <c r="Q242" s="3">
        <f t="shared" ca="1" si="32"/>
        <v>16.473531123205152</v>
      </c>
    </row>
    <row r="243" spans="7:17" x14ac:dyDescent="0.25">
      <c r="G243" s="3">
        <f t="shared" ca="1" si="27"/>
        <v>0</v>
      </c>
      <c r="H243" s="3">
        <f t="shared" ca="1" si="28"/>
        <v>0.62348301188724442</v>
      </c>
      <c r="I243" s="3">
        <f t="shared" ca="1" si="29"/>
        <v>3.9480470231724842</v>
      </c>
      <c r="O243" s="3">
        <f t="shared" ca="1" si="30"/>
        <v>-3.0337405844050664</v>
      </c>
      <c r="P243" s="3">
        <f t="shared" ca="1" si="31"/>
        <v>4.5599390416297653E-2</v>
      </c>
      <c r="Q243" s="3">
        <f t="shared" ca="1" si="32"/>
        <v>3.0340832615260793</v>
      </c>
    </row>
    <row r="244" spans="7:17" x14ac:dyDescent="0.25">
      <c r="G244" s="3">
        <f t="shared" ca="1" si="27"/>
        <v>1</v>
      </c>
      <c r="H244" s="3">
        <f t="shared" ca="1" si="28"/>
        <v>2.9144738598375439</v>
      </c>
      <c r="I244" s="3">
        <f t="shared" ca="1" si="29"/>
        <v>8.5359150942320525</v>
      </c>
      <c r="O244" s="3">
        <f t="shared" ca="1" si="30"/>
        <v>-9.0286479865767664</v>
      </c>
      <c r="P244" s="3">
        <f t="shared" ca="1" si="31"/>
        <v>-1.1135696278673981</v>
      </c>
      <c r="Q244" s="3">
        <f t="shared" ca="1" si="32"/>
        <v>9.0970611618052466</v>
      </c>
    </row>
    <row r="245" spans="7:17" x14ac:dyDescent="0.25">
      <c r="G245" s="3">
        <f t="shared" ca="1" si="27"/>
        <v>0</v>
      </c>
      <c r="H245" s="3">
        <f t="shared" ca="1" si="28"/>
        <v>2.0981444810458716</v>
      </c>
      <c r="I245" s="3">
        <f t="shared" ca="1" si="29"/>
        <v>7.2424865913681042</v>
      </c>
      <c r="O245" s="3">
        <f t="shared" ca="1" si="30"/>
        <v>-4.0088861950474826</v>
      </c>
      <c r="P245" s="3">
        <f t="shared" ca="1" si="31"/>
        <v>13.118091522536396</v>
      </c>
      <c r="Q245" s="3">
        <f t="shared" ca="1" si="32"/>
        <v>13.716978301305414</v>
      </c>
    </row>
    <row r="246" spans="7:17" x14ac:dyDescent="0.25">
      <c r="G246" s="3">
        <f t="shared" ca="1" si="27"/>
        <v>1</v>
      </c>
      <c r="H246" s="3">
        <f t="shared" ca="1" si="28"/>
        <v>6.8391371179921281</v>
      </c>
      <c r="I246" s="3">
        <f t="shared" ca="1" si="29"/>
        <v>13.075871976652387</v>
      </c>
      <c r="O246" s="3">
        <f t="shared" ca="1" si="30"/>
        <v>-6.9522552330387288</v>
      </c>
      <c r="P246" s="3">
        <f t="shared" ca="1" si="31"/>
        <v>-1.3468943219417142</v>
      </c>
      <c r="Q246" s="3">
        <f t="shared" ca="1" si="32"/>
        <v>7.081523645360031</v>
      </c>
    </row>
    <row r="247" spans="7:17" x14ac:dyDescent="0.25">
      <c r="G247" s="3">
        <f t="shared" ca="1" si="27"/>
        <v>0</v>
      </c>
      <c r="H247" s="3">
        <f t="shared" ca="1" si="28"/>
        <v>0.93354343395481154</v>
      </c>
      <c r="I247" s="3">
        <f t="shared" ca="1" si="29"/>
        <v>4.83100257181367</v>
      </c>
      <c r="O247" s="3">
        <f t="shared" ca="1" si="30"/>
        <v>-0.9536490461910665</v>
      </c>
      <c r="P247" s="3">
        <f t="shared" ca="1" si="31"/>
        <v>-2.7831881206480631</v>
      </c>
      <c r="Q247" s="3">
        <f t="shared" ca="1" si="32"/>
        <v>2.9420371544590713</v>
      </c>
    </row>
    <row r="248" spans="7:17" x14ac:dyDescent="0.25">
      <c r="G248" s="3">
        <f t="shared" ca="1" si="27"/>
        <v>1</v>
      </c>
      <c r="H248" s="3">
        <f t="shared" ca="1" si="28"/>
        <v>2.8197022897443782</v>
      </c>
      <c r="I248" s="3">
        <f t="shared" ca="1" si="29"/>
        <v>8.3959845904818966</v>
      </c>
      <c r="O248" s="3">
        <f t="shared" ca="1" si="30"/>
        <v>-8.9152440083166269</v>
      </c>
      <c r="P248" s="3">
        <f t="shared" ca="1" si="31"/>
        <v>-2.6007009967808323</v>
      </c>
      <c r="Q248" s="3">
        <f t="shared" ca="1" si="32"/>
        <v>9.2868305358977192</v>
      </c>
    </row>
    <row r="249" spans="7:17" x14ac:dyDescent="0.25">
      <c r="G249" s="3">
        <f t="shared" ca="1" si="27"/>
        <v>3</v>
      </c>
      <c r="H249" s="3">
        <f t="shared" ca="1" si="28"/>
        <v>2.5254072059665114</v>
      </c>
      <c r="I249" s="3">
        <f t="shared" ca="1" si="29"/>
        <v>7.9457649190724737</v>
      </c>
      <c r="O249" s="3">
        <f t="shared" ca="1" si="30"/>
        <v>-10.356644848986756</v>
      </c>
      <c r="P249" s="3">
        <f t="shared" ca="1" si="31"/>
        <v>2.6140534552970305</v>
      </c>
      <c r="Q249" s="3">
        <f t="shared" ca="1" si="32"/>
        <v>10.681449714116257</v>
      </c>
    </row>
    <row r="250" spans="7:17" x14ac:dyDescent="0.25">
      <c r="G250" s="3">
        <f t="shared" ca="1" si="27"/>
        <v>1</v>
      </c>
      <c r="H250" s="3">
        <f t="shared" ca="1" si="28"/>
        <v>1.7324405272151988</v>
      </c>
      <c r="I250" s="3">
        <f t="shared" ca="1" si="29"/>
        <v>6.5811103303606728</v>
      </c>
      <c r="O250" s="3">
        <f t="shared" ca="1" si="30"/>
        <v>-2.9106288465841539</v>
      </c>
      <c r="P250" s="3">
        <f t="shared" ca="1" si="31"/>
        <v>2.6338406552233384</v>
      </c>
      <c r="Q250" s="3">
        <f t="shared" ca="1" si="32"/>
        <v>3.9254142303297246</v>
      </c>
    </row>
    <row r="251" spans="7:17" x14ac:dyDescent="0.25">
      <c r="G251" s="3">
        <f t="shared" ca="1" si="27"/>
        <v>0</v>
      </c>
      <c r="H251" s="3">
        <f t="shared" ca="1" si="28"/>
        <v>1.0128634592478687</v>
      </c>
      <c r="I251" s="3">
        <f t="shared" ca="1" si="29"/>
        <v>5.0320558901105938</v>
      </c>
      <c r="O251" s="3">
        <f t="shared" ca="1" si="30"/>
        <v>-9.0889825102652715</v>
      </c>
      <c r="P251" s="3">
        <f t="shared" ca="1" si="31"/>
        <v>6.3134701861414415</v>
      </c>
      <c r="Q251" s="3">
        <f t="shared" ca="1" si="32"/>
        <v>11.066594275711243</v>
      </c>
    </row>
    <row r="252" spans="7:17" x14ac:dyDescent="0.25">
      <c r="G252" s="3">
        <f t="shared" ca="1" si="27"/>
        <v>0</v>
      </c>
      <c r="H252" s="3">
        <f t="shared" ca="1" si="28"/>
        <v>0.24865644763648892</v>
      </c>
      <c r="I252" s="3">
        <f t="shared" ca="1" si="29"/>
        <v>2.4932731881830001</v>
      </c>
      <c r="O252" s="3">
        <f t="shared" ca="1" si="30"/>
        <v>-5.2531553195806255</v>
      </c>
      <c r="P252" s="3">
        <f t="shared" ca="1" si="31"/>
        <v>4.2401553223259691</v>
      </c>
      <c r="Q252" s="3">
        <f t="shared" ca="1" si="32"/>
        <v>6.7508931238086909</v>
      </c>
    </row>
    <row r="253" spans="7:17" x14ac:dyDescent="0.25">
      <c r="G253" s="3">
        <f t="shared" ca="1" si="27"/>
        <v>0</v>
      </c>
      <c r="H253" s="3">
        <f t="shared" ca="1" si="28"/>
        <v>0.92631725448284108</v>
      </c>
      <c r="I253" s="3">
        <f t="shared" ca="1" si="29"/>
        <v>4.8122688372607598</v>
      </c>
      <c r="O253" s="3">
        <f t="shared" ca="1" si="30"/>
        <v>-8.1053484938583242</v>
      </c>
      <c r="P253" s="3">
        <f t="shared" ca="1" si="31"/>
        <v>3.8800489139409273</v>
      </c>
      <c r="Q253" s="3">
        <f t="shared" ca="1" si="32"/>
        <v>8.9861812680062023</v>
      </c>
    </row>
    <row r="254" spans="7:17" x14ac:dyDescent="0.25">
      <c r="G254" s="3">
        <f t="shared" ca="1" si="27"/>
        <v>1</v>
      </c>
      <c r="H254" s="3">
        <f t="shared" ca="1" si="28"/>
        <v>3.891101512110807</v>
      </c>
      <c r="I254" s="3">
        <f t="shared" ca="1" si="29"/>
        <v>9.8629375848562582</v>
      </c>
      <c r="O254" s="3">
        <f t="shared" ca="1" si="30"/>
        <v>-0.98152650593886293</v>
      </c>
      <c r="P254" s="3">
        <f t="shared" ca="1" si="31"/>
        <v>-6.2850959511819591</v>
      </c>
      <c r="Q254" s="3">
        <f t="shared" ca="1" si="32"/>
        <v>6.3612754536668508</v>
      </c>
    </row>
    <row r="255" spans="7:17" x14ac:dyDescent="0.25">
      <c r="G255" s="3">
        <f t="shared" ca="1" si="27"/>
        <v>1</v>
      </c>
      <c r="H255" s="3">
        <f t="shared" ca="1" si="28"/>
        <v>9.0885380017434692</v>
      </c>
      <c r="I255" s="3">
        <f t="shared" ca="1" si="29"/>
        <v>15.073601097401601</v>
      </c>
      <c r="O255" s="3">
        <f t="shared" ca="1" si="30"/>
        <v>-4.4596835208932557</v>
      </c>
      <c r="P255" s="3">
        <f t="shared" ca="1" si="31"/>
        <v>-13.470829878088505</v>
      </c>
      <c r="Q255" s="3">
        <f t="shared" ca="1" si="32"/>
        <v>14.18985675441894</v>
      </c>
    </row>
    <row r="256" spans="7:17" x14ac:dyDescent="0.25">
      <c r="G256" s="3">
        <f t="shared" ca="1" si="27"/>
        <v>0</v>
      </c>
      <c r="H256" s="3">
        <f t="shared" ca="1" si="28"/>
        <v>0.49568559270533757</v>
      </c>
      <c r="I256" s="3">
        <f t="shared" ca="1" si="29"/>
        <v>3.5202471245117777</v>
      </c>
      <c r="O256" s="3">
        <f t="shared" ca="1" si="30"/>
        <v>-4.3455120055110408</v>
      </c>
      <c r="P256" s="3">
        <f t="shared" ca="1" si="31"/>
        <v>-1.2294355921312106</v>
      </c>
      <c r="Q256" s="3">
        <f t="shared" ca="1" si="32"/>
        <v>4.5160808745237953</v>
      </c>
    </row>
    <row r="257" spans="7:17" x14ac:dyDescent="0.25">
      <c r="G257" s="3">
        <f t="shared" ca="1" si="27"/>
        <v>0</v>
      </c>
      <c r="H257" s="3">
        <f t="shared" ca="1" si="28"/>
        <v>0.72048091060153896</v>
      </c>
      <c r="I257" s="3">
        <f t="shared" ca="1" si="29"/>
        <v>4.2440573470487504</v>
      </c>
      <c r="O257" s="3">
        <f t="shared" ca="1" si="30"/>
        <v>-3.0676995110742418</v>
      </c>
      <c r="P257" s="3">
        <f t="shared" ca="1" si="31"/>
        <v>2.3312031929385761</v>
      </c>
      <c r="Q257" s="3">
        <f t="shared" ca="1" si="32"/>
        <v>3.8529584239921606</v>
      </c>
    </row>
    <row r="258" spans="7:17" x14ac:dyDescent="0.25">
      <c r="G258" s="3">
        <f t="shared" ca="1" si="27"/>
        <v>0</v>
      </c>
      <c r="H258" s="3">
        <f t="shared" ca="1" si="28"/>
        <v>5.3591473489129084</v>
      </c>
      <c r="I258" s="3">
        <f t="shared" ca="1" si="29"/>
        <v>11.574916143230702</v>
      </c>
      <c r="O258" s="3">
        <f t="shared" ca="1" si="30"/>
        <v>-2.6446494607030679</v>
      </c>
      <c r="P258" s="3">
        <f t="shared" ca="1" si="31"/>
        <v>-8.6884879634049099</v>
      </c>
      <c r="Q258" s="3">
        <f t="shared" ca="1" si="32"/>
        <v>9.0820699105561289</v>
      </c>
    </row>
    <row r="259" spans="7:17" x14ac:dyDescent="0.25">
      <c r="G259" s="3">
        <f t="shared" ca="1" si="27"/>
        <v>0</v>
      </c>
      <c r="H259" s="3">
        <f t="shared" ca="1" si="28"/>
        <v>1.4554567219348107</v>
      </c>
      <c r="I259" s="3">
        <f t="shared" ca="1" si="29"/>
        <v>6.0321155533005388</v>
      </c>
      <c r="O259" s="3">
        <f t="shared" ca="1" si="30"/>
        <v>-5.9690981598136803</v>
      </c>
      <c r="P259" s="3">
        <f t="shared" ca="1" si="31"/>
        <v>-2.5614620229104212</v>
      </c>
      <c r="Q259" s="3">
        <f t="shared" ca="1" si="32"/>
        <v>6.4954769290871486</v>
      </c>
    </row>
    <row r="260" spans="7:17" x14ac:dyDescent="0.25">
      <c r="G260" s="3">
        <f t="shared" ref="G260:G323" ca="1" si="33">VLOOKUP(RAND(),$B$9:$C$169,2,TRUE)</f>
        <v>2</v>
      </c>
      <c r="H260" s="3">
        <f t="shared" ref="H260:H323" ca="1" si="34">_xlfn.CHISQ.INV(RAND(),2*G260+2)</f>
        <v>4.9900094578232563</v>
      </c>
      <c r="I260" s="3">
        <f t="shared" ref="I260:I323" ca="1" si="35">$C$4*SQRT(H260)</f>
        <v>11.169164536597238</v>
      </c>
      <c r="O260" s="3">
        <f t="shared" ref="O260:O323" ca="1" si="36">_xlfn.NORM.INV(RAND(),$C$3*COS($N$2),$C$4)</f>
        <v>-5.3602897484723018</v>
      </c>
      <c r="P260" s="3">
        <f t="shared" ref="P260:P323" ca="1" si="37">_xlfn.NORM.INV(RAND(),$C$3*SIN($N$2),$C$4)</f>
        <v>-7.0151462182249338</v>
      </c>
      <c r="Q260" s="3">
        <f t="shared" ref="Q260:Q323" ca="1" si="38">SQRT(O260^2+P260^2)</f>
        <v>8.8286455728301174</v>
      </c>
    </row>
    <row r="261" spans="7:17" x14ac:dyDescent="0.25">
      <c r="G261" s="3">
        <f t="shared" ca="1" si="33"/>
        <v>0</v>
      </c>
      <c r="H261" s="3">
        <f t="shared" ca="1" si="34"/>
        <v>9.4548167056665619E-2</v>
      </c>
      <c r="I261" s="3">
        <f t="shared" ca="1" si="35"/>
        <v>1.5374342836091046</v>
      </c>
      <c r="O261" s="3">
        <f t="shared" ca="1" si="36"/>
        <v>-3.114617399282158</v>
      </c>
      <c r="P261" s="3">
        <f t="shared" ca="1" si="37"/>
        <v>-2.8017038896771553</v>
      </c>
      <c r="Q261" s="3">
        <f t="shared" ca="1" si="38"/>
        <v>4.1893181103066466</v>
      </c>
    </row>
    <row r="262" spans="7:17" x14ac:dyDescent="0.25">
      <c r="G262" s="3">
        <f t="shared" ca="1" si="33"/>
        <v>0</v>
      </c>
      <c r="H262" s="3">
        <f t="shared" ca="1" si="34"/>
        <v>5.5217370138517463</v>
      </c>
      <c r="I262" s="3">
        <f t="shared" ca="1" si="35"/>
        <v>11.74918828457071</v>
      </c>
      <c r="O262" s="3">
        <f t="shared" ca="1" si="36"/>
        <v>-1.0149571857494974</v>
      </c>
      <c r="P262" s="3">
        <f t="shared" ca="1" si="37"/>
        <v>6.5748535249715374</v>
      </c>
      <c r="Q262" s="3">
        <f t="shared" ca="1" si="38"/>
        <v>6.6527315415350401</v>
      </c>
    </row>
    <row r="263" spans="7:17" x14ac:dyDescent="0.25">
      <c r="G263" s="3">
        <f t="shared" ca="1" si="33"/>
        <v>1</v>
      </c>
      <c r="H263" s="3">
        <f t="shared" ca="1" si="34"/>
        <v>3.8442406910683258</v>
      </c>
      <c r="I263" s="3">
        <f t="shared" ca="1" si="35"/>
        <v>9.8033676497777105</v>
      </c>
      <c r="O263" s="3">
        <f t="shared" ca="1" si="36"/>
        <v>-2.8088064310481884</v>
      </c>
      <c r="P263" s="3">
        <f t="shared" ca="1" si="37"/>
        <v>11.081447847206007</v>
      </c>
      <c r="Q263" s="3">
        <f t="shared" ca="1" si="38"/>
        <v>11.431879983512962</v>
      </c>
    </row>
    <row r="264" spans="7:17" x14ac:dyDescent="0.25">
      <c r="G264" s="3">
        <f t="shared" ca="1" si="33"/>
        <v>0</v>
      </c>
      <c r="H264" s="3">
        <f t="shared" ca="1" si="34"/>
        <v>9.785092138239305</v>
      </c>
      <c r="I264" s="3">
        <f t="shared" ca="1" si="35"/>
        <v>15.640565957022867</v>
      </c>
      <c r="O264" s="3">
        <f t="shared" ca="1" si="36"/>
        <v>-8.8867912997850311</v>
      </c>
      <c r="P264" s="3">
        <f t="shared" ca="1" si="37"/>
        <v>2.9212684471293815</v>
      </c>
      <c r="Q264" s="3">
        <f t="shared" ca="1" si="38"/>
        <v>9.3546175200340844</v>
      </c>
    </row>
    <row r="265" spans="7:17" x14ac:dyDescent="0.25">
      <c r="G265" s="3">
        <f t="shared" ca="1" si="33"/>
        <v>2</v>
      </c>
      <c r="H265" s="3">
        <f t="shared" ca="1" si="34"/>
        <v>2.2368778406193552</v>
      </c>
      <c r="I265" s="3">
        <f t="shared" ca="1" si="35"/>
        <v>7.4780977538063702</v>
      </c>
      <c r="O265" s="3">
        <f t="shared" ca="1" si="36"/>
        <v>-4.8625045676984033</v>
      </c>
      <c r="P265" s="3">
        <f t="shared" ca="1" si="37"/>
        <v>-7.67815185613608</v>
      </c>
      <c r="Q265" s="3">
        <f t="shared" ca="1" si="38"/>
        <v>9.088342345927213</v>
      </c>
    </row>
    <row r="266" spans="7:17" x14ac:dyDescent="0.25">
      <c r="G266" s="3">
        <f t="shared" ca="1" si="33"/>
        <v>0</v>
      </c>
      <c r="H266" s="3">
        <f t="shared" ca="1" si="34"/>
        <v>0.83366784098844338</v>
      </c>
      <c r="I266" s="3">
        <f t="shared" ca="1" si="35"/>
        <v>4.5652706409052115</v>
      </c>
      <c r="O266" s="3">
        <f t="shared" ca="1" si="36"/>
        <v>-8.7525005653742962</v>
      </c>
      <c r="P266" s="3">
        <f t="shared" ca="1" si="37"/>
        <v>10.703493927274078</v>
      </c>
      <c r="Q266" s="3">
        <f t="shared" ca="1" si="38"/>
        <v>13.826461890088529</v>
      </c>
    </row>
    <row r="267" spans="7:17" x14ac:dyDescent="0.25">
      <c r="G267" s="3">
        <f t="shared" ca="1" si="33"/>
        <v>0</v>
      </c>
      <c r="H267" s="3">
        <f t="shared" ca="1" si="34"/>
        <v>0.32319463539872506</v>
      </c>
      <c r="I267" s="3">
        <f t="shared" ca="1" si="35"/>
        <v>2.8425104898607017</v>
      </c>
      <c r="O267" s="3">
        <f t="shared" ca="1" si="36"/>
        <v>7.8327704373162277E-2</v>
      </c>
      <c r="P267" s="3">
        <f t="shared" ca="1" si="37"/>
        <v>-3.5451104178538464</v>
      </c>
      <c r="Q267" s="3">
        <f t="shared" ca="1" si="38"/>
        <v>3.5459756209043856</v>
      </c>
    </row>
    <row r="268" spans="7:17" x14ac:dyDescent="0.25">
      <c r="G268" s="3">
        <f t="shared" ca="1" si="33"/>
        <v>2</v>
      </c>
      <c r="H268" s="3">
        <f t="shared" ca="1" si="34"/>
        <v>2.3240050222785218</v>
      </c>
      <c r="I268" s="3">
        <f t="shared" ca="1" si="35"/>
        <v>7.6223438361807752</v>
      </c>
      <c r="O268" s="3">
        <f t="shared" ca="1" si="36"/>
        <v>-9.209105741986626</v>
      </c>
      <c r="P268" s="3">
        <f t="shared" ca="1" si="37"/>
        <v>9.7454009794257583</v>
      </c>
      <c r="Q268" s="3">
        <f t="shared" ca="1" si="38"/>
        <v>13.408223924774063</v>
      </c>
    </row>
    <row r="269" spans="7:17" x14ac:dyDescent="0.25">
      <c r="G269" s="3">
        <f t="shared" ca="1" si="33"/>
        <v>0</v>
      </c>
      <c r="H269" s="3">
        <f t="shared" ca="1" si="34"/>
        <v>1.4101185007668644</v>
      </c>
      <c r="I269" s="3">
        <f t="shared" ca="1" si="35"/>
        <v>5.937420527398376</v>
      </c>
      <c r="O269" s="3">
        <f t="shared" ca="1" si="36"/>
        <v>-7.2313065328918968</v>
      </c>
      <c r="P269" s="3">
        <f t="shared" ca="1" si="37"/>
        <v>3.1532623913952866</v>
      </c>
      <c r="Q269" s="3">
        <f t="shared" ca="1" si="38"/>
        <v>7.8889072679068137</v>
      </c>
    </row>
    <row r="270" spans="7:17" x14ac:dyDescent="0.25">
      <c r="G270" s="3">
        <f t="shared" ca="1" si="33"/>
        <v>0</v>
      </c>
      <c r="H270" s="3">
        <f t="shared" ca="1" si="34"/>
        <v>1.6172675811339989</v>
      </c>
      <c r="I270" s="3">
        <f t="shared" ca="1" si="35"/>
        <v>6.3585917881516796</v>
      </c>
      <c r="O270" s="3">
        <f t="shared" ca="1" si="36"/>
        <v>-6.036135864650948</v>
      </c>
      <c r="P270" s="3">
        <f t="shared" ca="1" si="37"/>
        <v>2.5635058144652407</v>
      </c>
      <c r="Q270" s="3">
        <f t="shared" ca="1" si="38"/>
        <v>6.5579339915344184</v>
      </c>
    </row>
    <row r="271" spans="7:17" x14ac:dyDescent="0.25">
      <c r="G271" s="3">
        <f t="shared" ca="1" si="33"/>
        <v>0</v>
      </c>
      <c r="H271" s="3">
        <f t="shared" ca="1" si="34"/>
        <v>1.0525611953275398</v>
      </c>
      <c r="I271" s="3">
        <f t="shared" ca="1" si="35"/>
        <v>5.1297202538918718</v>
      </c>
      <c r="O271" s="3">
        <f t="shared" ca="1" si="36"/>
        <v>-8.1779378378500649</v>
      </c>
      <c r="P271" s="3">
        <f t="shared" ca="1" si="37"/>
        <v>3.9252822147036803</v>
      </c>
      <c r="Q271" s="3">
        <f t="shared" ca="1" si="38"/>
        <v>9.0711910874376809</v>
      </c>
    </row>
    <row r="272" spans="7:17" x14ac:dyDescent="0.25">
      <c r="G272" s="3">
        <f t="shared" ca="1" si="33"/>
        <v>0</v>
      </c>
      <c r="H272" s="3">
        <f t="shared" ca="1" si="34"/>
        <v>1.4024983473200039</v>
      </c>
      <c r="I272" s="3">
        <f t="shared" ca="1" si="35"/>
        <v>5.9213561523522715</v>
      </c>
      <c r="O272" s="3">
        <f t="shared" ca="1" si="36"/>
        <v>2.390273357863224</v>
      </c>
      <c r="P272" s="3">
        <f t="shared" ca="1" si="37"/>
        <v>-10.001539315121445</v>
      </c>
      <c r="Q272" s="3">
        <f t="shared" ca="1" si="38"/>
        <v>10.283199667284045</v>
      </c>
    </row>
    <row r="273" spans="7:17" x14ac:dyDescent="0.25">
      <c r="G273" s="3">
        <f t="shared" ca="1" si="33"/>
        <v>0</v>
      </c>
      <c r="H273" s="3">
        <f t="shared" ca="1" si="34"/>
        <v>5.6245289777473881E-2</v>
      </c>
      <c r="I273" s="3">
        <f t="shared" ca="1" si="35"/>
        <v>1.1858044714188116</v>
      </c>
      <c r="O273" s="3">
        <f t="shared" ca="1" si="36"/>
        <v>-0.28685033300925511</v>
      </c>
      <c r="P273" s="3">
        <f t="shared" ca="1" si="37"/>
        <v>-0.38221596739401015</v>
      </c>
      <c r="Q273" s="3">
        <f t="shared" ca="1" si="38"/>
        <v>0.47788299747789686</v>
      </c>
    </row>
    <row r="274" spans="7:17" x14ac:dyDescent="0.25">
      <c r="G274" s="3">
        <f t="shared" ca="1" si="33"/>
        <v>0</v>
      </c>
      <c r="H274" s="3">
        <f t="shared" ca="1" si="34"/>
        <v>0.16015151535197703</v>
      </c>
      <c r="I274" s="3">
        <f t="shared" ca="1" si="35"/>
        <v>2.0009467468674487</v>
      </c>
      <c r="O274" s="3">
        <f t="shared" ca="1" si="36"/>
        <v>-12.504229024600669</v>
      </c>
      <c r="P274" s="3">
        <f t="shared" ca="1" si="37"/>
        <v>-0.25915458141633635</v>
      </c>
      <c r="Q274" s="3">
        <f t="shared" ca="1" si="38"/>
        <v>12.506914271583334</v>
      </c>
    </row>
    <row r="275" spans="7:17" x14ac:dyDescent="0.25">
      <c r="G275" s="3">
        <f t="shared" ca="1" si="33"/>
        <v>0</v>
      </c>
      <c r="H275" s="3">
        <f t="shared" ca="1" si="34"/>
        <v>0.22916791155565366</v>
      </c>
      <c r="I275" s="3">
        <f t="shared" ca="1" si="35"/>
        <v>2.3935742706027199</v>
      </c>
      <c r="O275" s="3">
        <f t="shared" ca="1" si="36"/>
        <v>-0.39605648024463846</v>
      </c>
      <c r="P275" s="3">
        <f t="shared" ca="1" si="37"/>
        <v>-9.0143415693624771</v>
      </c>
      <c r="Q275" s="3">
        <f t="shared" ca="1" si="38"/>
        <v>9.0230379953029196</v>
      </c>
    </row>
    <row r="276" spans="7:17" x14ac:dyDescent="0.25">
      <c r="G276" s="3">
        <f t="shared" ca="1" si="33"/>
        <v>0</v>
      </c>
      <c r="H276" s="3">
        <f t="shared" ca="1" si="34"/>
        <v>2.0751881392510945</v>
      </c>
      <c r="I276" s="3">
        <f t="shared" ca="1" si="35"/>
        <v>7.2027566584799576</v>
      </c>
      <c r="O276" s="3">
        <f t="shared" ca="1" si="36"/>
        <v>-0.86587482643888158</v>
      </c>
      <c r="P276" s="3">
        <f t="shared" ca="1" si="37"/>
        <v>-2.5700879983207581</v>
      </c>
      <c r="Q276" s="3">
        <f t="shared" ca="1" si="38"/>
        <v>2.7120272001167254</v>
      </c>
    </row>
    <row r="277" spans="7:17" x14ac:dyDescent="0.25">
      <c r="G277" s="3">
        <f t="shared" ca="1" si="33"/>
        <v>0</v>
      </c>
      <c r="H277" s="3">
        <f t="shared" ca="1" si="34"/>
        <v>0.3630751651119844</v>
      </c>
      <c r="I277" s="3">
        <f t="shared" ca="1" si="35"/>
        <v>3.0127859412509892</v>
      </c>
      <c r="O277" s="3">
        <f t="shared" ca="1" si="36"/>
        <v>1.4281785932807098</v>
      </c>
      <c r="P277" s="3">
        <f t="shared" ca="1" si="37"/>
        <v>-0.39955517921331168</v>
      </c>
      <c r="Q277" s="3">
        <f t="shared" ca="1" si="38"/>
        <v>1.4830166673174812</v>
      </c>
    </row>
    <row r="278" spans="7:17" x14ac:dyDescent="0.25">
      <c r="G278" s="3">
        <f t="shared" ca="1" si="33"/>
        <v>1</v>
      </c>
      <c r="H278" s="3">
        <f t="shared" ca="1" si="34"/>
        <v>3.9310447266751809</v>
      </c>
      <c r="I278" s="3">
        <f t="shared" ca="1" si="35"/>
        <v>9.9134312004915586</v>
      </c>
      <c r="O278" s="3">
        <f t="shared" ca="1" si="36"/>
        <v>-13.491573143689061</v>
      </c>
      <c r="P278" s="3">
        <f t="shared" ca="1" si="37"/>
        <v>6.2779633242674091</v>
      </c>
      <c r="Q278" s="3">
        <f t="shared" ca="1" si="38"/>
        <v>14.880704599996557</v>
      </c>
    </row>
    <row r="279" spans="7:17" x14ac:dyDescent="0.25">
      <c r="G279" s="3">
        <f t="shared" ca="1" si="33"/>
        <v>0</v>
      </c>
      <c r="H279" s="3">
        <f t="shared" ca="1" si="34"/>
        <v>0.85884289942166325</v>
      </c>
      <c r="I279" s="3">
        <f t="shared" ca="1" si="35"/>
        <v>4.6336888636961353</v>
      </c>
      <c r="O279" s="3">
        <f t="shared" ca="1" si="36"/>
        <v>-0.61261324676321305</v>
      </c>
      <c r="P279" s="3">
        <f t="shared" ca="1" si="37"/>
        <v>-0.43845065760082352</v>
      </c>
      <c r="Q279" s="3">
        <f t="shared" ca="1" si="38"/>
        <v>0.75334850451856605</v>
      </c>
    </row>
    <row r="280" spans="7:17" x14ac:dyDescent="0.25">
      <c r="G280" s="3">
        <f t="shared" ca="1" si="33"/>
        <v>2</v>
      </c>
      <c r="H280" s="3">
        <f t="shared" ca="1" si="34"/>
        <v>6.2246469974165972</v>
      </c>
      <c r="I280" s="3">
        <f t="shared" ca="1" si="35"/>
        <v>12.474621234146348</v>
      </c>
      <c r="O280" s="3">
        <f t="shared" ca="1" si="36"/>
        <v>-10.287687468810008</v>
      </c>
      <c r="P280" s="3">
        <f t="shared" ca="1" si="37"/>
        <v>-5.4393461552718518</v>
      </c>
      <c r="Q280" s="3">
        <f t="shared" ca="1" si="38"/>
        <v>11.637138825879029</v>
      </c>
    </row>
    <row r="281" spans="7:17" x14ac:dyDescent="0.25">
      <c r="G281" s="3">
        <f t="shared" ca="1" si="33"/>
        <v>0</v>
      </c>
      <c r="H281" s="3">
        <f t="shared" ca="1" si="34"/>
        <v>2.4818410587271234</v>
      </c>
      <c r="I281" s="3">
        <f t="shared" ca="1" si="35"/>
        <v>7.8769300154424426</v>
      </c>
      <c r="O281" s="3">
        <f t="shared" ca="1" si="36"/>
        <v>-18.751403074078446</v>
      </c>
      <c r="P281" s="3">
        <f t="shared" ca="1" si="37"/>
        <v>3.4678057794352584</v>
      </c>
      <c r="Q281" s="3">
        <f t="shared" ca="1" si="38"/>
        <v>19.069367954141615</v>
      </c>
    </row>
    <row r="282" spans="7:17" x14ac:dyDescent="0.25">
      <c r="G282" s="3">
        <f t="shared" ca="1" si="33"/>
        <v>1</v>
      </c>
      <c r="H282" s="3">
        <f t="shared" ca="1" si="34"/>
        <v>3.992031499029181</v>
      </c>
      <c r="I282" s="3">
        <f t="shared" ca="1" si="35"/>
        <v>9.9900344081354149</v>
      </c>
      <c r="O282" s="3">
        <f t="shared" ca="1" si="36"/>
        <v>-6.4266271072300114</v>
      </c>
      <c r="P282" s="3">
        <f t="shared" ca="1" si="37"/>
        <v>6.8402487950496536</v>
      </c>
      <c r="Q282" s="3">
        <f t="shared" ca="1" si="38"/>
        <v>9.3856560534446292</v>
      </c>
    </row>
    <row r="283" spans="7:17" x14ac:dyDescent="0.25">
      <c r="G283" s="3">
        <f t="shared" ca="1" si="33"/>
        <v>0</v>
      </c>
      <c r="H283" s="3">
        <f t="shared" ca="1" si="34"/>
        <v>7.8289620890466525</v>
      </c>
      <c r="I283" s="3">
        <f t="shared" ca="1" si="35"/>
        <v>13.990141251115597</v>
      </c>
      <c r="O283" s="3">
        <f t="shared" ca="1" si="36"/>
        <v>-6.9567942425015961</v>
      </c>
      <c r="P283" s="3">
        <f t="shared" ca="1" si="37"/>
        <v>-2.9662510073828408</v>
      </c>
      <c r="Q283" s="3">
        <f t="shared" ca="1" si="38"/>
        <v>7.562779328481235</v>
      </c>
    </row>
    <row r="284" spans="7:17" x14ac:dyDescent="0.25">
      <c r="G284" s="3">
        <f t="shared" ca="1" si="33"/>
        <v>1</v>
      </c>
      <c r="H284" s="3">
        <f t="shared" ca="1" si="34"/>
        <v>14.849704446473172</v>
      </c>
      <c r="I284" s="3">
        <f t="shared" ca="1" si="35"/>
        <v>19.267657126953171</v>
      </c>
      <c r="O284" s="3">
        <f t="shared" ca="1" si="36"/>
        <v>-8.7908969374979797</v>
      </c>
      <c r="P284" s="3">
        <f t="shared" ca="1" si="37"/>
        <v>0.16397199849979302</v>
      </c>
      <c r="Q284" s="3">
        <f t="shared" ca="1" si="38"/>
        <v>8.7924260464335653</v>
      </c>
    </row>
    <row r="285" spans="7:17" x14ac:dyDescent="0.25">
      <c r="G285" s="3">
        <f t="shared" ca="1" si="33"/>
        <v>0</v>
      </c>
      <c r="H285" s="3">
        <f t="shared" ca="1" si="34"/>
        <v>3.7070554558844182</v>
      </c>
      <c r="I285" s="3">
        <f t="shared" ca="1" si="35"/>
        <v>9.6268575556673976</v>
      </c>
      <c r="O285" s="3">
        <f t="shared" ca="1" si="36"/>
        <v>-3.3036105540409362</v>
      </c>
      <c r="P285" s="3">
        <f t="shared" ca="1" si="37"/>
        <v>7.1092159551640108</v>
      </c>
      <c r="Q285" s="3">
        <f t="shared" ca="1" si="38"/>
        <v>7.8393108236584927</v>
      </c>
    </row>
    <row r="286" spans="7:17" x14ac:dyDescent="0.25">
      <c r="G286" s="3">
        <f t="shared" ca="1" si="33"/>
        <v>0</v>
      </c>
      <c r="H286" s="3">
        <f t="shared" ca="1" si="34"/>
        <v>1.5491328784888334</v>
      </c>
      <c r="I286" s="3">
        <f t="shared" ca="1" si="35"/>
        <v>6.2232083335061859</v>
      </c>
      <c r="O286" s="3">
        <f t="shared" ca="1" si="36"/>
        <v>-9.4081078799627225</v>
      </c>
      <c r="P286" s="3">
        <f t="shared" ca="1" si="37"/>
        <v>-4.1165670554669225</v>
      </c>
      <c r="Q286" s="3">
        <f t="shared" ca="1" si="38"/>
        <v>10.269304660159435</v>
      </c>
    </row>
    <row r="287" spans="7:17" x14ac:dyDescent="0.25">
      <c r="G287" s="3">
        <f t="shared" ca="1" si="33"/>
        <v>0</v>
      </c>
      <c r="H287" s="3">
        <f t="shared" ca="1" si="34"/>
        <v>0.60272927025053369</v>
      </c>
      <c r="I287" s="3">
        <f t="shared" ca="1" si="35"/>
        <v>3.8817820335850057</v>
      </c>
      <c r="O287" s="3">
        <f t="shared" ca="1" si="36"/>
        <v>-1.2097084626545662</v>
      </c>
      <c r="P287" s="3">
        <f t="shared" ca="1" si="37"/>
        <v>-0.15207193331590271</v>
      </c>
      <c r="Q287" s="3">
        <f t="shared" ca="1" si="38"/>
        <v>1.2192294441656626</v>
      </c>
    </row>
    <row r="288" spans="7:17" x14ac:dyDescent="0.25">
      <c r="G288" s="3">
        <f t="shared" ca="1" si="33"/>
        <v>0</v>
      </c>
      <c r="H288" s="3">
        <f t="shared" ca="1" si="34"/>
        <v>7.2219328775712466E-2</v>
      </c>
      <c r="I288" s="3">
        <f t="shared" ca="1" si="35"/>
        <v>1.3436827078565874</v>
      </c>
      <c r="O288" s="3">
        <f t="shared" ca="1" si="36"/>
        <v>-1.3969387790942642</v>
      </c>
      <c r="P288" s="3">
        <f t="shared" ca="1" si="37"/>
        <v>-4.9057096275597658</v>
      </c>
      <c r="Q288" s="3">
        <f t="shared" ca="1" si="38"/>
        <v>5.1007278796726601</v>
      </c>
    </row>
    <row r="289" spans="7:17" x14ac:dyDescent="0.25">
      <c r="G289" s="3">
        <f t="shared" ca="1" si="33"/>
        <v>0</v>
      </c>
      <c r="H289" s="3">
        <f t="shared" ca="1" si="34"/>
        <v>1.6803685964482329</v>
      </c>
      <c r="I289" s="3">
        <f t="shared" ca="1" si="35"/>
        <v>6.4814516052506193</v>
      </c>
      <c r="O289" s="3">
        <f t="shared" ca="1" si="36"/>
        <v>-0.67986889684998975</v>
      </c>
      <c r="P289" s="3">
        <f t="shared" ca="1" si="37"/>
        <v>-1.7557783706629289</v>
      </c>
      <c r="Q289" s="3">
        <f t="shared" ca="1" si="38"/>
        <v>1.8828115688490421</v>
      </c>
    </row>
    <row r="290" spans="7:17" x14ac:dyDescent="0.25">
      <c r="G290" s="3">
        <f t="shared" ca="1" si="33"/>
        <v>0</v>
      </c>
      <c r="H290" s="3">
        <f t="shared" ca="1" si="34"/>
        <v>2.2417283749390382</v>
      </c>
      <c r="I290" s="3">
        <f t="shared" ca="1" si="35"/>
        <v>7.4862012645584111</v>
      </c>
      <c r="O290" s="3">
        <f t="shared" ca="1" si="36"/>
        <v>9.2545709578883084E-2</v>
      </c>
      <c r="P290" s="3">
        <f t="shared" ca="1" si="37"/>
        <v>2.1167784957379436</v>
      </c>
      <c r="Q290" s="3">
        <f t="shared" ca="1" si="38"/>
        <v>2.1188005824947402</v>
      </c>
    </row>
    <row r="291" spans="7:17" x14ac:dyDescent="0.25">
      <c r="G291" s="3">
        <f t="shared" ca="1" si="33"/>
        <v>0</v>
      </c>
      <c r="H291" s="3">
        <f t="shared" ca="1" si="34"/>
        <v>4.1109561522017124</v>
      </c>
      <c r="I291" s="3">
        <f t="shared" ca="1" si="35"/>
        <v>10.137746485538234</v>
      </c>
      <c r="O291" s="3">
        <f t="shared" ca="1" si="36"/>
        <v>-7.741053345731542</v>
      </c>
      <c r="P291" s="3">
        <f t="shared" ca="1" si="37"/>
        <v>3.2163130684686698</v>
      </c>
      <c r="Q291" s="3">
        <f t="shared" ca="1" si="38"/>
        <v>8.3826354242483827</v>
      </c>
    </row>
    <row r="292" spans="7:17" x14ac:dyDescent="0.25">
      <c r="G292" s="3">
        <f t="shared" ca="1" si="33"/>
        <v>0</v>
      </c>
      <c r="H292" s="3">
        <f t="shared" ca="1" si="34"/>
        <v>2.0657108396004569</v>
      </c>
      <c r="I292" s="3">
        <f t="shared" ca="1" si="35"/>
        <v>7.1862904888413333</v>
      </c>
      <c r="O292" s="3">
        <f t="shared" ca="1" si="36"/>
        <v>-6.9066973381061691</v>
      </c>
      <c r="P292" s="3">
        <f t="shared" ca="1" si="37"/>
        <v>1.0315226925802359</v>
      </c>
      <c r="Q292" s="3">
        <f t="shared" ca="1" si="38"/>
        <v>6.9833020259409393</v>
      </c>
    </row>
    <row r="293" spans="7:17" x14ac:dyDescent="0.25">
      <c r="G293" s="3">
        <f t="shared" ca="1" si="33"/>
        <v>1</v>
      </c>
      <c r="H293" s="3">
        <f t="shared" ca="1" si="34"/>
        <v>5.1622209348844841</v>
      </c>
      <c r="I293" s="3">
        <f t="shared" ca="1" si="35"/>
        <v>11.360260708809111</v>
      </c>
      <c r="O293" s="3">
        <f t="shared" ca="1" si="36"/>
        <v>-12.565567374233526</v>
      </c>
      <c r="P293" s="3">
        <f t="shared" ca="1" si="37"/>
        <v>4.5480567208042988</v>
      </c>
      <c r="Q293" s="3">
        <f t="shared" ca="1" si="38"/>
        <v>13.363319324630957</v>
      </c>
    </row>
    <row r="294" spans="7:17" x14ac:dyDescent="0.25">
      <c r="G294" s="3">
        <f t="shared" ca="1" si="33"/>
        <v>1</v>
      </c>
      <c r="H294" s="3">
        <f t="shared" ca="1" si="34"/>
        <v>11.454676852926763</v>
      </c>
      <c r="I294" s="3">
        <f t="shared" ca="1" si="35"/>
        <v>16.922379304434973</v>
      </c>
      <c r="O294" s="3">
        <f t="shared" ca="1" si="36"/>
        <v>-8.46631077076783</v>
      </c>
      <c r="P294" s="3">
        <f t="shared" ca="1" si="37"/>
        <v>0.9192643058319947</v>
      </c>
      <c r="Q294" s="3">
        <f t="shared" ca="1" si="38"/>
        <v>8.516070979694577</v>
      </c>
    </row>
    <row r="295" spans="7:17" x14ac:dyDescent="0.25">
      <c r="G295" s="3">
        <f t="shared" ca="1" si="33"/>
        <v>1</v>
      </c>
      <c r="H295" s="3">
        <f t="shared" ca="1" si="34"/>
        <v>3.3078022513578715</v>
      </c>
      <c r="I295" s="3">
        <f t="shared" ca="1" si="35"/>
        <v>9.0936822181087233</v>
      </c>
      <c r="O295" s="3">
        <f t="shared" ca="1" si="36"/>
        <v>1.4337084741481876</v>
      </c>
      <c r="P295" s="3">
        <f t="shared" ca="1" si="37"/>
        <v>-3.8443580613160369</v>
      </c>
      <c r="Q295" s="3">
        <f t="shared" ca="1" si="38"/>
        <v>4.1029999868937264</v>
      </c>
    </row>
    <row r="296" spans="7:17" x14ac:dyDescent="0.25">
      <c r="G296" s="3">
        <f t="shared" ca="1" si="33"/>
        <v>0</v>
      </c>
      <c r="H296" s="3">
        <f t="shared" ca="1" si="34"/>
        <v>0.15036036954830709</v>
      </c>
      <c r="I296" s="3">
        <f t="shared" ca="1" si="35"/>
        <v>1.9388164530732861</v>
      </c>
      <c r="O296" s="3">
        <f t="shared" ca="1" si="36"/>
        <v>0.96108018616822921</v>
      </c>
      <c r="P296" s="3">
        <f t="shared" ca="1" si="37"/>
        <v>4.1576183298799849</v>
      </c>
      <c r="Q296" s="3">
        <f t="shared" ca="1" si="38"/>
        <v>4.267255007753719</v>
      </c>
    </row>
    <row r="297" spans="7:17" x14ac:dyDescent="0.25">
      <c r="G297" s="3">
        <f t="shared" ca="1" si="33"/>
        <v>0</v>
      </c>
      <c r="H297" s="3">
        <f t="shared" ca="1" si="34"/>
        <v>2.7810795650005029</v>
      </c>
      <c r="I297" s="3">
        <f t="shared" ca="1" si="35"/>
        <v>8.3382845432986148</v>
      </c>
      <c r="O297" s="3">
        <f t="shared" ca="1" si="36"/>
        <v>-6.642198578144006</v>
      </c>
      <c r="P297" s="3">
        <f t="shared" ca="1" si="37"/>
        <v>8.0718953380417435</v>
      </c>
      <c r="Q297" s="3">
        <f t="shared" ca="1" si="38"/>
        <v>10.453434665209244</v>
      </c>
    </row>
    <row r="298" spans="7:17" x14ac:dyDescent="0.25">
      <c r="G298" s="3">
        <f t="shared" ca="1" si="33"/>
        <v>0</v>
      </c>
      <c r="H298" s="3">
        <f t="shared" ca="1" si="34"/>
        <v>6.5981231617287417</v>
      </c>
      <c r="I298" s="3">
        <f t="shared" ca="1" si="35"/>
        <v>12.843406053038212</v>
      </c>
      <c r="O298" s="3">
        <f t="shared" ca="1" si="36"/>
        <v>-6.0707801800041423</v>
      </c>
      <c r="P298" s="3">
        <f t="shared" ca="1" si="37"/>
        <v>3.1220478301252714</v>
      </c>
      <c r="Q298" s="3">
        <f t="shared" ca="1" si="38"/>
        <v>6.8265331353126122</v>
      </c>
    </row>
    <row r="299" spans="7:17" x14ac:dyDescent="0.25">
      <c r="G299" s="3">
        <f t="shared" ca="1" si="33"/>
        <v>0</v>
      </c>
      <c r="H299" s="3">
        <f t="shared" ca="1" si="34"/>
        <v>5.1427451977832293E-2</v>
      </c>
      <c r="I299" s="3">
        <f t="shared" ca="1" si="35"/>
        <v>1.1338810781761055</v>
      </c>
      <c r="O299" s="3">
        <f t="shared" ca="1" si="36"/>
        <v>-3.4159030792746483</v>
      </c>
      <c r="P299" s="3">
        <f t="shared" ca="1" si="37"/>
        <v>-8.2539775706759038</v>
      </c>
      <c r="Q299" s="3">
        <f t="shared" ca="1" si="38"/>
        <v>8.9328908861699929</v>
      </c>
    </row>
    <row r="300" spans="7:17" x14ac:dyDescent="0.25">
      <c r="G300" s="3">
        <f t="shared" ca="1" si="33"/>
        <v>1</v>
      </c>
      <c r="H300" s="3">
        <f t="shared" ca="1" si="34"/>
        <v>5.6098652974872927</v>
      </c>
      <c r="I300" s="3">
        <f t="shared" ca="1" si="35"/>
        <v>11.842577102859931</v>
      </c>
      <c r="O300" s="3">
        <f t="shared" ca="1" si="36"/>
        <v>-2.1075539928655895</v>
      </c>
      <c r="P300" s="3">
        <f t="shared" ca="1" si="37"/>
        <v>2.4529368502241202</v>
      </c>
      <c r="Q300" s="3">
        <f t="shared" ca="1" si="38"/>
        <v>3.23398871736299</v>
      </c>
    </row>
    <row r="301" spans="7:17" x14ac:dyDescent="0.25">
      <c r="G301" s="3">
        <f t="shared" ca="1" si="33"/>
        <v>1</v>
      </c>
      <c r="H301" s="3">
        <f t="shared" ca="1" si="34"/>
        <v>2.1304385178917378</v>
      </c>
      <c r="I301" s="3">
        <f t="shared" ca="1" si="35"/>
        <v>7.2980108897762985</v>
      </c>
      <c r="O301" s="3">
        <f t="shared" ca="1" si="36"/>
        <v>3.4221261369314941</v>
      </c>
      <c r="P301" s="3">
        <f t="shared" ca="1" si="37"/>
        <v>-1.3726538034515576</v>
      </c>
      <c r="Q301" s="3">
        <f t="shared" ca="1" si="38"/>
        <v>3.6871568669097465</v>
      </c>
    </row>
    <row r="302" spans="7:17" x14ac:dyDescent="0.25">
      <c r="G302" s="3">
        <f t="shared" ca="1" si="33"/>
        <v>0</v>
      </c>
      <c r="H302" s="3">
        <f t="shared" ca="1" si="34"/>
        <v>2.1162146015611718</v>
      </c>
      <c r="I302" s="3">
        <f t="shared" ca="1" si="35"/>
        <v>7.2736074295379254</v>
      </c>
      <c r="O302" s="3">
        <f t="shared" ca="1" si="36"/>
        <v>-7.4473063700046813</v>
      </c>
      <c r="P302" s="3">
        <f t="shared" ca="1" si="37"/>
        <v>-5.9455457077695364</v>
      </c>
      <c r="Q302" s="3">
        <f t="shared" ca="1" si="38"/>
        <v>9.5295270570941284</v>
      </c>
    </row>
    <row r="303" spans="7:17" x14ac:dyDescent="0.25">
      <c r="G303" s="3">
        <f t="shared" ca="1" si="33"/>
        <v>1</v>
      </c>
      <c r="H303" s="3">
        <f t="shared" ca="1" si="34"/>
        <v>0.71062593597316104</v>
      </c>
      <c r="I303" s="3">
        <f t="shared" ca="1" si="35"/>
        <v>4.2149316007889173</v>
      </c>
      <c r="O303" s="3">
        <f t="shared" ca="1" si="36"/>
        <v>-11.628781900970939</v>
      </c>
      <c r="P303" s="3">
        <f t="shared" ca="1" si="37"/>
        <v>-2.5479721132167783</v>
      </c>
      <c r="Q303" s="3">
        <f t="shared" ca="1" si="38"/>
        <v>11.904651628253539</v>
      </c>
    </row>
    <row r="304" spans="7:17" x14ac:dyDescent="0.25">
      <c r="G304" s="3">
        <f t="shared" ca="1" si="33"/>
        <v>1</v>
      </c>
      <c r="H304" s="3">
        <f t="shared" ca="1" si="34"/>
        <v>8.9296357786835081</v>
      </c>
      <c r="I304" s="3">
        <f t="shared" ca="1" si="35"/>
        <v>14.941248089336035</v>
      </c>
      <c r="O304" s="3">
        <f t="shared" ca="1" si="36"/>
        <v>0.97051702093980197</v>
      </c>
      <c r="P304" s="3">
        <f t="shared" ca="1" si="37"/>
        <v>2.5671199261585973</v>
      </c>
      <c r="Q304" s="3">
        <f t="shared" ca="1" si="38"/>
        <v>2.7444504009390278</v>
      </c>
    </row>
    <row r="305" spans="7:17" x14ac:dyDescent="0.25">
      <c r="G305" s="3">
        <f t="shared" ca="1" si="33"/>
        <v>0</v>
      </c>
      <c r="H305" s="3">
        <f t="shared" ca="1" si="34"/>
        <v>0.33673877985084311</v>
      </c>
      <c r="I305" s="3">
        <f t="shared" ca="1" si="35"/>
        <v>2.9014598905156479</v>
      </c>
      <c r="O305" s="3">
        <f t="shared" ca="1" si="36"/>
        <v>-3.9246898391265042</v>
      </c>
      <c r="P305" s="3">
        <f t="shared" ca="1" si="37"/>
        <v>-1.5958671099632133</v>
      </c>
      <c r="Q305" s="3">
        <f t="shared" ca="1" si="38"/>
        <v>4.2367419281808001</v>
      </c>
    </row>
    <row r="306" spans="7:17" x14ac:dyDescent="0.25">
      <c r="G306" s="3">
        <f t="shared" ca="1" si="33"/>
        <v>0</v>
      </c>
      <c r="H306" s="3">
        <f t="shared" ca="1" si="34"/>
        <v>0.9396921571283936</v>
      </c>
      <c r="I306" s="3">
        <f t="shared" ca="1" si="35"/>
        <v>4.8468860032199892</v>
      </c>
      <c r="O306" s="3">
        <f t="shared" ca="1" si="36"/>
        <v>-5.6907528085851364</v>
      </c>
      <c r="P306" s="3">
        <f t="shared" ca="1" si="37"/>
        <v>-8.6281069035986615</v>
      </c>
      <c r="Q306" s="3">
        <f t="shared" ca="1" si="38"/>
        <v>10.335806512718129</v>
      </c>
    </row>
    <row r="307" spans="7:17" x14ac:dyDescent="0.25">
      <c r="G307" s="3">
        <f t="shared" ca="1" si="33"/>
        <v>1</v>
      </c>
      <c r="H307" s="3">
        <f t="shared" ca="1" si="34"/>
        <v>1.126367761626117</v>
      </c>
      <c r="I307" s="3">
        <f t="shared" ca="1" si="35"/>
        <v>5.3065237246857686</v>
      </c>
      <c r="O307" s="3">
        <f t="shared" ca="1" si="36"/>
        <v>-6.0982584480419249</v>
      </c>
      <c r="P307" s="3">
        <f t="shared" ca="1" si="37"/>
        <v>5.1249477862115267</v>
      </c>
      <c r="Q307" s="3">
        <f t="shared" ca="1" si="38"/>
        <v>7.9657922337021274</v>
      </c>
    </row>
    <row r="308" spans="7:17" x14ac:dyDescent="0.25">
      <c r="G308" s="3">
        <f t="shared" ca="1" si="33"/>
        <v>0</v>
      </c>
      <c r="H308" s="3">
        <f t="shared" ca="1" si="34"/>
        <v>4.973011452247813</v>
      </c>
      <c r="I308" s="3">
        <f t="shared" ca="1" si="35"/>
        <v>11.150124945766093</v>
      </c>
      <c r="O308" s="3">
        <f t="shared" ca="1" si="36"/>
        <v>-3.3527903391690703</v>
      </c>
      <c r="P308" s="3">
        <f t="shared" ca="1" si="37"/>
        <v>2.4997865085565456</v>
      </c>
      <c r="Q308" s="3">
        <f t="shared" ca="1" si="38"/>
        <v>4.1821209507601251</v>
      </c>
    </row>
    <row r="309" spans="7:17" x14ac:dyDescent="0.25">
      <c r="G309" s="3">
        <f t="shared" ca="1" si="33"/>
        <v>1</v>
      </c>
      <c r="H309" s="3">
        <f t="shared" ca="1" si="34"/>
        <v>3.3158418278554027</v>
      </c>
      <c r="I309" s="3">
        <f t="shared" ca="1" si="35"/>
        <v>9.104726558023863</v>
      </c>
      <c r="O309" s="3">
        <f t="shared" ca="1" si="36"/>
        <v>-3.9572096805986399</v>
      </c>
      <c r="P309" s="3">
        <f t="shared" ca="1" si="37"/>
        <v>-5.005946810345967</v>
      </c>
      <c r="Q309" s="3">
        <f t="shared" ca="1" si="38"/>
        <v>6.3811450323775389</v>
      </c>
    </row>
    <row r="310" spans="7:17" x14ac:dyDescent="0.25">
      <c r="G310" s="3">
        <f t="shared" ca="1" si="33"/>
        <v>0</v>
      </c>
      <c r="H310" s="3">
        <f t="shared" ca="1" si="34"/>
        <v>1.7040241615767018E-2</v>
      </c>
      <c r="I310" s="3">
        <f t="shared" ca="1" si="35"/>
        <v>0.65269138219695799</v>
      </c>
      <c r="O310" s="3">
        <f t="shared" ca="1" si="36"/>
        <v>-9.7842851343483481</v>
      </c>
      <c r="P310" s="3">
        <f t="shared" ca="1" si="37"/>
        <v>-5.3079499455912762</v>
      </c>
      <c r="Q310" s="3">
        <f t="shared" ca="1" si="38"/>
        <v>11.131332724123043</v>
      </c>
    </row>
    <row r="311" spans="7:17" x14ac:dyDescent="0.25">
      <c r="G311" s="3">
        <f t="shared" ca="1" si="33"/>
        <v>1</v>
      </c>
      <c r="H311" s="3">
        <f t="shared" ca="1" si="34"/>
        <v>4.6557284289700309</v>
      </c>
      <c r="I311" s="3">
        <f t="shared" ca="1" si="35"/>
        <v>10.788568520626393</v>
      </c>
      <c r="O311" s="3">
        <f t="shared" ca="1" si="36"/>
        <v>1.6777296409679563</v>
      </c>
      <c r="P311" s="3">
        <f t="shared" ca="1" si="37"/>
        <v>-3.2661201684296461</v>
      </c>
      <c r="Q311" s="3">
        <f t="shared" ca="1" si="38"/>
        <v>3.6718275698629106</v>
      </c>
    </row>
    <row r="312" spans="7:17" x14ac:dyDescent="0.25">
      <c r="G312" s="3">
        <f t="shared" ca="1" si="33"/>
        <v>0</v>
      </c>
      <c r="H312" s="3">
        <f t="shared" ca="1" si="34"/>
        <v>0.53434801481754446</v>
      </c>
      <c r="I312" s="3">
        <f t="shared" ca="1" si="35"/>
        <v>3.6549555907614817</v>
      </c>
      <c r="O312" s="3">
        <f t="shared" ca="1" si="36"/>
        <v>1.1054868238505087</v>
      </c>
      <c r="P312" s="3">
        <f t="shared" ca="1" si="37"/>
        <v>0.67798444885799758</v>
      </c>
      <c r="Q312" s="3">
        <f t="shared" ca="1" si="38"/>
        <v>1.2968284507213621</v>
      </c>
    </row>
    <row r="313" spans="7:17" x14ac:dyDescent="0.25">
      <c r="G313" s="3">
        <f t="shared" ca="1" si="33"/>
        <v>0</v>
      </c>
      <c r="H313" s="3">
        <f t="shared" ca="1" si="34"/>
        <v>4.2037609827836695</v>
      </c>
      <c r="I313" s="3">
        <f t="shared" ca="1" si="35"/>
        <v>10.251537668544742</v>
      </c>
      <c r="O313" s="3">
        <f t="shared" ca="1" si="36"/>
        <v>-14.381100714455167</v>
      </c>
      <c r="P313" s="3">
        <f t="shared" ca="1" si="37"/>
        <v>9.1199979962171298</v>
      </c>
      <c r="Q313" s="3">
        <f t="shared" ca="1" si="38"/>
        <v>17.029105120654677</v>
      </c>
    </row>
    <row r="314" spans="7:17" x14ac:dyDescent="0.25">
      <c r="G314" s="3">
        <f t="shared" ca="1" si="33"/>
        <v>0</v>
      </c>
      <c r="H314" s="3">
        <f t="shared" ca="1" si="34"/>
        <v>1.832222274073207</v>
      </c>
      <c r="I314" s="3">
        <f t="shared" ca="1" si="35"/>
        <v>6.7679802638475657</v>
      </c>
      <c r="O314" s="3">
        <f t="shared" ca="1" si="36"/>
        <v>-3.2792529511555202E-2</v>
      </c>
      <c r="P314" s="3">
        <f t="shared" ca="1" si="37"/>
        <v>-1.3521389729500513</v>
      </c>
      <c r="Q314" s="3">
        <f t="shared" ca="1" si="38"/>
        <v>1.3525365622275005</v>
      </c>
    </row>
    <row r="315" spans="7:17" x14ac:dyDescent="0.25">
      <c r="G315" s="3">
        <f t="shared" ca="1" si="33"/>
        <v>1</v>
      </c>
      <c r="H315" s="3">
        <f t="shared" ca="1" si="34"/>
        <v>6.3076067085029823</v>
      </c>
      <c r="I315" s="3">
        <f t="shared" ca="1" si="35"/>
        <v>12.557474575430147</v>
      </c>
      <c r="O315" s="3">
        <f t="shared" ca="1" si="36"/>
        <v>-10.185755358985194</v>
      </c>
      <c r="P315" s="3">
        <f t="shared" ca="1" si="37"/>
        <v>1.2334859272172813</v>
      </c>
      <c r="Q315" s="3">
        <f t="shared" ca="1" si="38"/>
        <v>10.260170552468349</v>
      </c>
    </row>
    <row r="316" spans="7:17" x14ac:dyDescent="0.25">
      <c r="G316" s="3">
        <f t="shared" ca="1" si="33"/>
        <v>0</v>
      </c>
      <c r="H316" s="3">
        <f t="shared" ca="1" si="34"/>
        <v>0.74466781205296284</v>
      </c>
      <c r="I316" s="3">
        <f t="shared" ca="1" si="35"/>
        <v>4.3147068615751953</v>
      </c>
      <c r="O316" s="3">
        <f t="shared" ca="1" si="36"/>
        <v>-0.22975564705887841</v>
      </c>
      <c r="P316" s="3">
        <f t="shared" ca="1" si="37"/>
        <v>-4.203394706821153</v>
      </c>
      <c r="Q316" s="3">
        <f t="shared" ca="1" si="38"/>
        <v>4.2096691934981694</v>
      </c>
    </row>
    <row r="317" spans="7:17" x14ac:dyDescent="0.25">
      <c r="G317" s="3">
        <f t="shared" ca="1" si="33"/>
        <v>0</v>
      </c>
      <c r="H317" s="3">
        <f t="shared" ca="1" si="34"/>
        <v>2.4126888029560898</v>
      </c>
      <c r="I317" s="3">
        <f t="shared" ca="1" si="35"/>
        <v>7.7664161666692983</v>
      </c>
      <c r="O317" s="3">
        <f t="shared" ca="1" si="36"/>
        <v>-5.6032309106227167</v>
      </c>
      <c r="P317" s="3">
        <f t="shared" ca="1" si="37"/>
        <v>-3.955096826120243</v>
      </c>
      <c r="Q317" s="3">
        <f t="shared" ca="1" si="38"/>
        <v>6.8584974696900121</v>
      </c>
    </row>
    <row r="318" spans="7:17" x14ac:dyDescent="0.25">
      <c r="G318" s="3">
        <f t="shared" ca="1" si="33"/>
        <v>1</v>
      </c>
      <c r="H318" s="3">
        <f t="shared" ca="1" si="34"/>
        <v>8.8360451425484818</v>
      </c>
      <c r="I318" s="3">
        <f t="shared" ca="1" si="35"/>
        <v>14.862742969038791</v>
      </c>
      <c r="O318" s="3">
        <f t="shared" ca="1" si="36"/>
        <v>-11.721319594227097</v>
      </c>
      <c r="P318" s="3">
        <f t="shared" ca="1" si="37"/>
        <v>-4.450533646241583</v>
      </c>
      <c r="Q318" s="3">
        <f t="shared" ca="1" si="38"/>
        <v>12.537806138489319</v>
      </c>
    </row>
    <row r="319" spans="7:17" x14ac:dyDescent="0.25">
      <c r="G319" s="3">
        <f t="shared" ca="1" si="33"/>
        <v>0</v>
      </c>
      <c r="H319" s="3">
        <f t="shared" ca="1" si="34"/>
        <v>2.9503266830179622</v>
      </c>
      <c r="I319" s="3">
        <f t="shared" ca="1" si="35"/>
        <v>8.5882575110117099</v>
      </c>
      <c r="O319" s="3">
        <f t="shared" ca="1" si="36"/>
        <v>-8.2965655906025777</v>
      </c>
      <c r="P319" s="3">
        <f t="shared" ca="1" si="37"/>
        <v>0.52769880670663127</v>
      </c>
      <c r="Q319" s="3">
        <f t="shared" ca="1" si="38"/>
        <v>8.313330658031731</v>
      </c>
    </row>
    <row r="320" spans="7:17" x14ac:dyDescent="0.25">
      <c r="G320" s="3">
        <f t="shared" ca="1" si="33"/>
        <v>0</v>
      </c>
      <c r="H320" s="3">
        <f t="shared" ca="1" si="34"/>
        <v>2.3319660682412708</v>
      </c>
      <c r="I320" s="3">
        <f t="shared" ca="1" si="35"/>
        <v>7.6353881175767206</v>
      </c>
      <c r="O320" s="3">
        <f t="shared" ca="1" si="36"/>
        <v>3.1236554793137596</v>
      </c>
      <c r="P320" s="3">
        <f t="shared" ca="1" si="37"/>
        <v>9.0455192067143138</v>
      </c>
      <c r="Q320" s="3">
        <f t="shared" ca="1" si="38"/>
        <v>9.569672997155358</v>
      </c>
    </row>
    <row r="321" spans="7:17" x14ac:dyDescent="0.25">
      <c r="G321" s="3">
        <f t="shared" ca="1" si="33"/>
        <v>1</v>
      </c>
      <c r="H321" s="3">
        <f t="shared" ca="1" si="34"/>
        <v>1.0181843383735867</v>
      </c>
      <c r="I321" s="3">
        <f t="shared" ca="1" si="35"/>
        <v>5.0452560350630034</v>
      </c>
      <c r="O321" s="3">
        <f t="shared" ca="1" si="36"/>
        <v>-8.9999748881277437</v>
      </c>
      <c r="P321" s="3">
        <f t="shared" ca="1" si="37"/>
        <v>-1.8475050574524741</v>
      </c>
      <c r="Q321" s="3">
        <f t="shared" ca="1" si="38"/>
        <v>9.1876451239826658</v>
      </c>
    </row>
    <row r="322" spans="7:17" x14ac:dyDescent="0.25">
      <c r="G322" s="3">
        <f t="shared" ca="1" si="33"/>
        <v>0</v>
      </c>
      <c r="H322" s="3">
        <f t="shared" ca="1" si="34"/>
        <v>0.51862219705135815</v>
      </c>
      <c r="I322" s="3">
        <f t="shared" ca="1" si="35"/>
        <v>3.6007714348850239</v>
      </c>
      <c r="O322" s="3">
        <f t="shared" ca="1" si="36"/>
        <v>7.3462431958671459</v>
      </c>
      <c r="P322" s="3">
        <f t="shared" ca="1" si="37"/>
        <v>10.111295210783322</v>
      </c>
      <c r="Q322" s="3">
        <f t="shared" ca="1" si="38"/>
        <v>12.498223070998295</v>
      </c>
    </row>
    <row r="323" spans="7:17" x14ac:dyDescent="0.25">
      <c r="G323" s="3">
        <f t="shared" ca="1" si="33"/>
        <v>0</v>
      </c>
      <c r="H323" s="3">
        <f t="shared" ca="1" si="34"/>
        <v>0.12114531491279297</v>
      </c>
      <c r="I323" s="3">
        <f t="shared" ca="1" si="35"/>
        <v>1.7402967772250297</v>
      </c>
      <c r="O323" s="3">
        <f t="shared" ca="1" si="36"/>
        <v>-8.2401713629203499</v>
      </c>
      <c r="P323" s="3">
        <f t="shared" ca="1" si="37"/>
        <v>2.2104215448131082</v>
      </c>
      <c r="Q323" s="3">
        <f t="shared" ca="1" si="38"/>
        <v>8.5314938607530273</v>
      </c>
    </row>
    <row r="324" spans="7:17" x14ac:dyDescent="0.25">
      <c r="G324" s="3">
        <f t="shared" ref="G324:G387" ca="1" si="39">VLOOKUP(RAND(),$B$9:$C$169,2,TRUE)</f>
        <v>0</v>
      </c>
      <c r="H324" s="3">
        <f t="shared" ref="H324:H387" ca="1" si="40">_xlfn.CHISQ.INV(RAND(),2*G324+2)</f>
        <v>2.2331455443129054</v>
      </c>
      <c r="I324" s="3">
        <f t="shared" ref="I324:I387" ca="1" si="41">$C$4*SQRT(H324)</f>
        <v>7.4718564365104498</v>
      </c>
      <c r="O324" s="3">
        <f t="shared" ref="O324:O387" ca="1" si="42">_xlfn.NORM.INV(RAND(),$C$3*COS($N$2),$C$4)</f>
        <v>-7.4185541062530707</v>
      </c>
      <c r="P324" s="3">
        <f t="shared" ref="P324:P387" ca="1" si="43">_xlfn.NORM.INV(RAND(),$C$3*SIN($N$2),$C$4)</f>
        <v>3.6715457884247402</v>
      </c>
      <c r="Q324" s="3">
        <f t="shared" ref="Q324:Q387" ca="1" si="44">SQRT(O324^2+P324^2)</f>
        <v>8.2773905008706539</v>
      </c>
    </row>
    <row r="325" spans="7:17" x14ac:dyDescent="0.25">
      <c r="G325" s="3">
        <f t="shared" ca="1" si="39"/>
        <v>2</v>
      </c>
      <c r="H325" s="3">
        <f t="shared" ca="1" si="40"/>
        <v>5.4012996539706277</v>
      </c>
      <c r="I325" s="3">
        <f t="shared" ca="1" si="41"/>
        <v>11.620348159554673</v>
      </c>
      <c r="O325" s="3">
        <f t="shared" ca="1" si="42"/>
        <v>-2.1612292985163921</v>
      </c>
      <c r="P325" s="3">
        <f t="shared" ca="1" si="43"/>
        <v>2.9279367432088215</v>
      </c>
      <c r="Q325" s="3">
        <f t="shared" ca="1" si="44"/>
        <v>3.639192994744568</v>
      </c>
    </row>
    <row r="326" spans="7:17" x14ac:dyDescent="0.25">
      <c r="G326" s="3">
        <f t="shared" ca="1" si="39"/>
        <v>2</v>
      </c>
      <c r="H326" s="3">
        <f t="shared" ca="1" si="40"/>
        <v>2.7192939287742788</v>
      </c>
      <c r="I326" s="3">
        <f t="shared" ca="1" si="41"/>
        <v>8.2451408853552639</v>
      </c>
      <c r="O326" s="3">
        <f t="shared" ca="1" si="42"/>
        <v>-9.1989692401835619</v>
      </c>
      <c r="P326" s="3">
        <f t="shared" ca="1" si="43"/>
        <v>1.8662611729892149</v>
      </c>
      <c r="Q326" s="3">
        <f t="shared" ca="1" si="44"/>
        <v>9.3863712822181942</v>
      </c>
    </row>
    <row r="327" spans="7:17" x14ac:dyDescent="0.25">
      <c r="G327" s="3">
        <f t="shared" ca="1" si="39"/>
        <v>1</v>
      </c>
      <c r="H327" s="3">
        <f t="shared" ca="1" si="40"/>
        <v>8.2426404072926314</v>
      </c>
      <c r="I327" s="3">
        <f t="shared" ca="1" si="41"/>
        <v>14.354999483884205</v>
      </c>
      <c r="O327" s="3">
        <f t="shared" ca="1" si="42"/>
        <v>-4.3112708794919827</v>
      </c>
      <c r="P327" s="3">
        <f t="shared" ca="1" si="43"/>
        <v>7.2420555458013034</v>
      </c>
      <c r="Q327" s="3">
        <f t="shared" ca="1" si="44"/>
        <v>8.4281922809595997</v>
      </c>
    </row>
    <row r="328" spans="7:17" x14ac:dyDescent="0.25">
      <c r="G328" s="3">
        <f t="shared" ca="1" si="39"/>
        <v>0</v>
      </c>
      <c r="H328" s="3">
        <f t="shared" ca="1" si="40"/>
        <v>1.2106098436312174</v>
      </c>
      <c r="I328" s="3">
        <f t="shared" ca="1" si="41"/>
        <v>5.5013858336586816</v>
      </c>
      <c r="O328" s="3">
        <f t="shared" ca="1" si="42"/>
        <v>-14.321614243381878</v>
      </c>
      <c r="P328" s="3">
        <f t="shared" ca="1" si="43"/>
        <v>-10.201358534303843</v>
      </c>
      <c r="Q328" s="3">
        <f t="shared" ca="1" si="44"/>
        <v>17.583411229953434</v>
      </c>
    </row>
    <row r="329" spans="7:17" x14ac:dyDescent="0.25">
      <c r="G329" s="3">
        <f t="shared" ca="1" si="39"/>
        <v>0</v>
      </c>
      <c r="H329" s="3">
        <f t="shared" ca="1" si="40"/>
        <v>2.3952439242747787</v>
      </c>
      <c r="I329" s="3">
        <f t="shared" ca="1" si="41"/>
        <v>7.7382878020185757</v>
      </c>
      <c r="O329" s="3">
        <f t="shared" ca="1" si="42"/>
        <v>-3.3169104095799167</v>
      </c>
      <c r="P329" s="3">
        <f t="shared" ca="1" si="43"/>
        <v>3.8107868816248183</v>
      </c>
      <c r="Q329" s="3">
        <f t="shared" ca="1" si="44"/>
        <v>5.052127405592957</v>
      </c>
    </row>
    <row r="330" spans="7:17" x14ac:dyDescent="0.25">
      <c r="G330" s="3">
        <f t="shared" ca="1" si="39"/>
        <v>1</v>
      </c>
      <c r="H330" s="3">
        <f t="shared" ca="1" si="40"/>
        <v>0.85450258776379862</v>
      </c>
      <c r="I330" s="3">
        <f t="shared" ca="1" si="41"/>
        <v>4.6219654579080274</v>
      </c>
      <c r="O330" s="3">
        <f t="shared" ca="1" si="42"/>
        <v>7.454077788489089</v>
      </c>
      <c r="P330" s="3">
        <f t="shared" ca="1" si="43"/>
        <v>-9.4394427147486368</v>
      </c>
      <c r="Q330" s="3">
        <f t="shared" ca="1" si="44"/>
        <v>12.027732722415621</v>
      </c>
    </row>
    <row r="331" spans="7:17" x14ac:dyDescent="0.25">
      <c r="G331" s="3">
        <f t="shared" ca="1" si="39"/>
        <v>1</v>
      </c>
      <c r="H331" s="3">
        <f t="shared" ca="1" si="40"/>
        <v>4.3363590426844203</v>
      </c>
      <c r="I331" s="3">
        <f t="shared" ca="1" si="41"/>
        <v>10.411963122634969</v>
      </c>
      <c r="O331" s="3">
        <f t="shared" ca="1" si="42"/>
        <v>1.166803975012833</v>
      </c>
      <c r="P331" s="3">
        <f t="shared" ca="1" si="43"/>
        <v>-6.8494750298594056</v>
      </c>
      <c r="Q331" s="3">
        <f t="shared" ca="1" si="44"/>
        <v>6.9481464939056403</v>
      </c>
    </row>
    <row r="332" spans="7:17" x14ac:dyDescent="0.25">
      <c r="G332" s="3">
        <f t="shared" ca="1" si="39"/>
        <v>0</v>
      </c>
      <c r="H332" s="3">
        <f t="shared" ca="1" si="40"/>
        <v>8.5719508676451686E-2</v>
      </c>
      <c r="I332" s="3">
        <f t="shared" ca="1" si="41"/>
        <v>1.4638947082735465</v>
      </c>
      <c r="O332" s="3">
        <f t="shared" ca="1" si="42"/>
        <v>-2.2058130330254242</v>
      </c>
      <c r="P332" s="3">
        <f t="shared" ca="1" si="43"/>
        <v>-2.3245920566335778</v>
      </c>
      <c r="Q332" s="3">
        <f t="shared" ca="1" si="44"/>
        <v>3.2045809970148591</v>
      </c>
    </row>
    <row r="333" spans="7:17" x14ac:dyDescent="0.25">
      <c r="G333" s="3">
        <f t="shared" ca="1" si="39"/>
        <v>0</v>
      </c>
      <c r="H333" s="3">
        <f t="shared" ca="1" si="40"/>
        <v>4.2408268562179812</v>
      </c>
      <c r="I333" s="3">
        <f t="shared" ca="1" si="41"/>
        <v>10.29663398424211</v>
      </c>
      <c r="O333" s="3">
        <f t="shared" ca="1" si="42"/>
        <v>-2.4136555433291185</v>
      </c>
      <c r="P333" s="3">
        <f t="shared" ca="1" si="43"/>
        <v>3.0319557400295576</v>
      </c>
      <c r="Q333" s="3">
        <f t="shared" ca="1" si="44"/>
        <v>3.8753694909442586</v>
      </c>
    </row>
    <row r="334" spans="7:17" x14ac:dyDescent="0.25">
      <c r="G334" s="3">
        <f t="shared" ca="1" si="39"/>
        <v>0</v>
      </c>
      <c r="H334" s="3">
        <f t="shared" ca="1" si="40"/>
        <v>0.97898780596204416</v>
      </c>
      <c r="I334" s="3">
        <f t="shared" ca="1" si="41"/>
        <v>4.9471906319699368</v>
      </c>
      <c r="O334" s="3">
        <f t="shared" ca="1" si="42"/>
        <v>-4.6888559681305448</v>
      </c>
      <c r="P334" s="3">
        <f t="shared" ca="1" si="43"/>
        <v>6.4776958196868231</v>
      </c>
      <c r="Q334" s="3">
        <f t="shared" ca="1" si="44"/>
        <v>7.9966188743906992</v>
      </c>
    </row>
    <row r="335" spans="7:17" x14ac:dyDescent="0.25">
      <c r="G335" s="3">
        <f t="shared" ca="1" si="39"/>
        <v>1</v>
      </c>
      <c r="H335" s="3">
        <f t="shared" ca="1" si="40"/>
        <v>2.4690038830284458</v>
      </c>
      <c r="I335" s="3">
        <f t="shared" ca="1" si="41"/>
        <v>7.8565321278354823</v>
      </c>
      <c r="O335" s="3">
        <f t="shared" ca="1" si="42"/>
        <v>2.8234907716746349</v>
      </c>
      <c r="P335" s="3">
        <f t="shared" ca="1" si="43"/>
        <v>-2.1115646487154192</v>
      </c>
      <c r="Q335" s="3">
        <f t="shared" ca="1" si="44"/>
        <v>3.5257347324262072</v>
      </c>
    </row>
    <row r="336" spans="7:17" x14ac:dyDescent="0.25">
      <c r="G336" s="3">
        <f t="shared" ca="1" si="39"/>
        <v>0</v>
      </c>
      <c r="H336" s="3">
        <f t="shared" ca="1" si="40"/>
        <v>1.3386237523924556</v>
      </c>
      <c r="I336" s="3">
        <f t="shared" ca="1" si="41"/>
        <v>5.7849454457074518</v>
      </c>
      <c r="O336" s="3">
        <f t="shared" ca="1" si="42"/>
        <v>0.24345417108416978</v>
      </c>
      <c r="P336" s="3">
        <f t="shared" ca="1" si="43"/>
        <v>-5.8352668318441987</v>
      </c>
      <c r="Q336" s="3">
        <f t="shared" ca="1" si="44"/>
        <v>5.8403432204143026</v>
      </c>
    </row>
    <row r="337" spans="7:17" x14ac:dyDescent="0.25">
      <c r="G337" s="3">
        <f t="shared" ca="1" si="39"/>
        <v>0</v>
      </c>
      <c r="H337" s="3">
        <f t="shared" ca="1" si="40"/>
        <v>1.7030015823390305</v>
      </c>
      <c r="I337" s="3">
        <f t="shared" ca="1" si="41"/>
        <v>6.5249551384262992</v>
      </c>
      <c r="O337" s="3">
        <f t="shared" ca="1" si="42"/>
        <v>-1.0356551269878524</v>
      </c>
      <c r="P337" s="3">
        <f t="shared" ca="1" si="43"/>
        <v>0.651292777107498</v>
      </c>
      <c r="Q337" s="3">
        <f t="shared" ca="1" si="44"/>
        <v>1.2234229945397552</v>
      </c>
    </row>
    <row r="338" spans="7:17" x14ac:dyDescent="0.25">
      <c r="G338" s="3">
        <f t="shared" ca="1" si="39"/>
        <v>1</v>
      </c>
      <c r="H338" s="3">
        <f t="shared" ca="1" si="40"/>
        <v>2.7998397334738483</v>
      </c>
      <c r="I338" s="3">
        <f t="shared" ca="1" si="41"/>
        <v>8.366360817992863</v>
      </c>
      <c r="O338" s="3">
        <f t="shared" ca="1" si="42"/>
        <v>-3.6977463258286418</v>
      </c>
      <c r="P338" s="3">
        <f t="shared" ca="1" si="43"/>
        <v>0.92038995302678983</v>
      </c>
      <c r="Q338" s="3">
        <f t="shared" ca="1" si="44"/>
        <v>3.8105702402411996</v>
      </c>
    </row>
    <row r="339" spans="7:17" x14ac:dyDescent="0.25">
      <c r="G339" s="3">
        <f t="shared" ca="1" si="39"/>
        <v>1</v>
      </c>
      <c r="H339" s="3">
        <f t="shared" ca="1" si="40"/>
        <v>1.6550629810062316</v>
      </c>
      <c r="I339" s="3">
        <f t="shared" ca="1" si="41"/>
        <v>6.4324625552859445</v>
      </c>
      <c r="O339" s="3">
        <f t="shared" ca="1" si="42"/>
        <v>1.47113477989702</v>
      </c>
      <c r="P339" s="3">
        <f t="shared" ca="1" si="43"/>
        <v>4.9792478996048288</v>
      </c>
      <c r="Q339" s="3">
        <f t="shared" ca="1" si="44"/>
        <v>5.1920272713403337</v>
      </c>
    </row>
    <row r="340" spans="7:17" x14ac:dyDescent="0.25">
      <c r="G340" s="3">
        <f t="shared" ca="1" si="39"/>
        <v>1</v>
      </c>
      <c r="H340" s="3">
        <f t="shared" ca="1" si="40"/>
        <v>0.76696673462298426</v>
      </c>
      <c r="I340" s="3">
        <f t="shared" ca="1" si="41"/>
        <v>4.3788318494290923</v>
      </c>
      <c r="O340" s="3">
        <f t="shared" ca="1" si="42"/>
        <v>-1.7983840347573317</v>
      </c>
      <c r="P340" s="3">
        <f t="shared" ca="1" si="43"/>
        <v>-2.378233834771978</v>
      </c>
      <c r="Q340" s="3">
        <f t="shared" ca="1" si="44"/>
        <v>2.9816407076179194</v>
      </c>
    </row>
    <row r="341" spans="7:17" x14ac:dyDescent="0.25">
      <c r="G341" s="3">
        <f t="shared" ca="1" si="39"/>
        <v>1</v>
      </c>
      <c r="H341" s="3">
        <f t="shared" ca="1" si="40"/>
        <v>5.5074817255709219</v>
      </c>
      <c r="I341" s="3">
        <f t="shared" ca="1" si="41"/>
        <v>11.734012235346999</v>
      </c>
      <c r="O341" s="3">
        <f t="shared" ca="1" si="42"/>
        <v>-8.1758527823075102</v>
      </c>
      <c r="P341" s="3">
        <f t="shared" ca="1" si="43"/>
        <v>2.8523780963062082</v>
      </c>
      <c r="Q341" s="3">
        <f t="shared" ca="1" si="44"/>
        <v>8.6591356105706581</v>
      </c>
    </row>
    <row r="342" spans="7:17" x14ac:dyDescent="0.25">
      <c r="G342" s="3">
        <f t="shared" ca="1" si="39"/>
        <v>0</v>
      </c>
      <c r="H342" s="3">
        <f t="shared" ca="1" si="40"/>
        <v>3.6533291894946949</v>
      </c>
      <c r="I342" s="3">
        <f t="shared" ca="1" si="41"/>
        <v>9.5568420378997256</v>
      </c>
      <c r="O342" s="3">
        <f t="shared" ca="1" si="42"/>
        <v>5.1740683322320624</v>
      </c>
      <c r="P342" s="3">
        <f t="shared" ca="1" si="43"/>
        <v>4.8374975733452441</v>
      </c>
      <c r="Q342" s="3">
        <f t="shared" ca="1" si="44"/>
        <v>7.0832454340314799</v>
      </c>
    </row>
    <row r="343" spans="7:17" x14ac:dyDescent="0.25">
      <c r="G343" s="3">
        <f t="shared" ca="1" si="39"/>
        <v>0</v>
      </c>
      <c r="H343" s="3">
        <f t="shared" ca="1" si="40"/>
        <v>2.2530209587874874</v>
      </c>
      <c r="I343" s="3">
        <f t="shared" ca="1" si="41"/>
        <v>7.5050332424105353</v>
      </c>
      <c r="O343" s="3">
        <f t="shared" ca="1" si="42"/>
        <v>-4.2352035395116001</v>
      </c>
      <c r="P343" s="3">
        <f t="shared" ca="1" si="43"/>
        <v>4.5482868354980805</v>
      </c>
      <c r="Q343" s="3">
        <f t="shared" ca="1" si="44"/>
        <v>6.2148099053033574</v>
      </c>
    </row>
    <row r="344" spans="7:17" x14ac:dyDescent="0.25">
      <c r="G344" s="3">
        <f t="shared" ca="1" si="39"/>
        <v>1</v>
      </c>
      <c r="H344" s="3">
        <f t="shared" ca="1" si="40"/>
        <v>1.0361466163636077</v>
      </c>
      <c r="I344" s="3">
        <f t="shared" ca="1" si="41"/>
        <v>5.089564363390072</v>
      </c>
      <c r="O344" s="3">
        <f t="shared" ca="1" si="42"/>
        <v>-3.900359518254251</v>
      </c>
      <c r="P344" s="3">
        <f t="shared" ca="1" si="43"/>
        <v>3.4280918878058313</v>
      </c>
      <c r="Q344" s="3">
        <f t="shared" ca="1" si="44"/>
        <v>5.1927467069824118</v>
      </c>
    </row>
    <row r="345" spans="7:17" x14ac:dyDescent="0.25">
      <c r="G345" s="3">
        <f t="shared" ca="1" si="39"/>
        <v>0</v>
      </c>
      <c r="H345" s="3">
        <f t="shared" ca="1" si="40"/>
        <v>8.8847776827341823E-2</v>
      </c>
      <c r="I345" s="3">
        <f t="shared" ca="1" si="41"/>
        <v>1.4903672100135408</v>
      </c>
      <c r="O345" s="3">
        <f t="shared" ca="1" si="42"/>
        <v>-0.84500694617329319</v>
      </c>
      <c r="P345" s="3">
        <f t="shared" ca="1" si="43"/>
        <v>3.353983020343215</v>
      </c>
      <c r="Q345" s="3">
        <f t="shared" ca="1" si="44"/>
        <v>3.4587915288192366</v>
      </c>
    </row>
    <row r="346" spans="7:17" x14ac:dyDescent="0.25">
      <c r="G346" s="3">
        <f t="shared" ca="1" si="39"/>
        <v>0</v>
      </c>
      <c r="H346" s="3">
        <f t="shared" ca="1" si="40"/>
        <v>2.6911609464943949</v>
      </c>
      <c r="I346" s="3">
        <f t="shared" ca="1" si="41"/>
        <v>8.2023791464647537</v>
      </c>
      <c r="O346" s="3">
        <f t="shared" ca="1" si="42"/>
        <v>-2.4430911337365826</v>
      </c>
      <c r="P346" s="3">
        <f t="shared" ca="1" si="43"/>
        <v>3.7545519235032985</v>
      </c>
      <c r="Q346" s="3">
        <f t="shared" ca="1" si="44"/>
        <v>4.4794368434017038</v>
      </c>
    </row>
    <row r="347" spans="7:17" x14ac:dyDescent="0.25">
      <c r="G347" s="3">
        <f t="shared" ca="1" si="39"/>
        <v>2</v>
      </c>
      <c r="H347" s="3">
        <f t="shared" ca="1" si="40"/>
        <v>6.2730834352039802</v>
      </c>
      <c r="I347" s="3">
        <f t="shared" ca="1" si="41"/>
        <v>12.523062160673781</v>
      </c>
      <c r="O347" s="3">
        <f t="shared" ca="1" si="42"/>
        <v>-0.58428999651532898</v>
      </c>
      <c r="P347" s="3">
        <f t="shared" ca="1" si="43"/>
        <v>-6.3987368817188726</v>
      </c>
      <c r="Q347" s="3">
        <f t="shared" ca="1" si="44"/>
        <v>6.4253582376002392</v>
      </c>
    </row>
    <row r="348" spans="7:17" x14ac:dyDescent="0.25">
      <c r="G348" s="3">
        <f t="shared" ca="1" si="39"/>
        <v>1</v>
      </c>
      <c r="H348" s="3">
        <f t="shared" ca="1" si="40"/>
        <v>1.7104774611695761</v>
      </c>
      <c r="I348" s="3">
        <f t="shared" ca="1" si="41"/>
        <v>6.5392611608070368</v>
      </c>
      <c r="O348" s="3">
        <f t="shared" ca="1" si="42"/>
        <v>-0.30538689824384413</v>
      </c>
      <c r="P348" s="3">
        <f t="shared" ca="1" si="43"/>
        <v>0.89612066566130566</v>
      </c>
      <c r="Q348" s="3">
        <f t="shared" ca="1" si="44"/>
        <v>0.94672773543625388</v>
      </c>
    </row>
    <row r="349" spans="7:17" x14ac:dyDescent="0.25">
      <c r="G349" s="3">
        <f t="shared" ca="1" si="39"/>
        <v>0</v>
      </c>
      <c r="H349" s="3">
        <f t="shared" ca="1" si="40"/>
        <v>3.5676922456534403</v>
      </c>
      <c r="I349" s="3">
        <f t="shared" ca="1" si="41"/>
        <v>9.4441678374188172</v>
      </c>
      <c r="O349" s="3">
        <f t="shared" ca="1" si="42"/>
        <v>2.0444752060006088</v>
      </c>
      <c r="P349" s="3">
        <f t="shared" ca="1" si="43"/>
        <v>4.5987053481493687</v>
      </c>
      <c r="Q349" s="3">
        <f t="shared" ca="1" si="44"/>
        <v>5.0326901103732622</v>
      </c>
    </row>
    <row r="350" spans="7:17" x14ac:dyDescent="0.25">
      <c r="G350" s="3">
        <f t="shared" ca="1" si="39"/>
        <v>1</v>
      </c>
      <c r="H350" s="3">
        <f t="shared" ca="1" si="40"/>
        <v>0.64522340901921948</v>
      </c>
      <c r="I350" s="3">
        <f t="shared" ca="1" si="41"/>
        <v>4.0162899827428404</v>
      </c>
      <c r="O350" s="3">
        <f t="shared" ca="1" si="42"/>
        <v>-1.2705926748291092</v>
      </c>
      <c r="P350" s="3">
        <f t="shared" ca="1" si="43"/>
        <v>-5.0320810265958889</v>
      </c>
      <c r="Q350" s="3">
        <f t="shared" ca="1" si="44"/>
        <v>5.1900139887630097</v>
      </c>
    </row>
    <row r="351" spans="7:17" x14ac:dyDescent="0.25">
      <c r="G351" s="3">
        <f t="shared" ca="1" si="39"/>
        <v>1</v>
      </c>
      <c r="H351" s="3">
        <f t="shared" ca="1" si="40"/>
        <v>1.9776153500958586</v>
      </c>
      <c r="I351" s="3">
        <f t="shared" ca="1" si="41"/>
        <v>7.0313856210846843</v>
      </c>
      <c r="O351" s="3">
        <f t="shared" ca="1" si="42"/>
        <v>-0.94376289468440255</v>
      </c>
      <c r="P351" s="3">
        <f t="shared" ca="1" si="43"/>
        <v>-0.76335982890393406</v>
      </c>
      <c r="Q351" s="3">
        <f t="shared" ca="1" si="44"/>
        <v>1.2138396227538983</v>
      </c>
    </row>
    <row r="352" spans="7:17" x14ac:dyDescent="0.25">
      <c r="G352" s="3">
        <f t="shared" ca="1" si="39"/>
        <v>0</v>
      </c>
      <c r="H352" s="3">
        <f t="shared" ca="1" si="40"/>
        <v>0.69806397582437141</v>
      </c>
      <c r="I352" s="3">
        <f t="shared" ca="1" si="41"/>
        <v>4.1775111484721723</v>
      </c>
      <c r="O352" s="3">
        <f t="shared" ca="1" si="42"/>
        <v>0.77697349909214708</v>
      </c>
      <c r="P352" s="3">
        <f t="shared" ca="1" si="43"/>
        <v>0.91997560621255159</v>
      </c>
      <c r="Q352" s="3">
        <f t="shared" ca="1" si="44"/>
        <v>1.2041772852523196</v>
      </c>
    </row>
    <row r="353" spans="7:17" x14ac:dyDescent="0.25">
      <c r="G353" s="3">
        <f t="shared" ca="1" si="39"/>
        <v>1</v>
      </c>
      <c r="H353" s="3">
        <f t="shared" ca="1" si="40"/>
        <v>1.8715565843969209</v>
      </c>
      <c r="I353" s="3">
        <f t="shared" ca="1" si="41"/>
        <v>6.8402422917556818</v>
      </c>
      <c r="O353" s="3">
        <f t="shared" ca="1" si="42"/>
        <v>1.1716542950747524</v>
      </c>
      <c r="P353" s="3">
        <f t="shared" ca="1" si="43"/>
        <v>-4.4096646975205633</v>
      </c>
      <c r="Q353" s="3">
        <f t="shared" ca="1" si="44"/>
        <v>4.5626655073242262</v>
      </c>
    </row>
    <row r="354" spans="7:17" x14ac:dyDescent="0.25">
      <c r="G354" s="3">
        <f t="shared" ca="1" si="39"/>
        <v>0</v>
      </c>
      <c r="H354" s="3">
        <f t="shared" ca="1" si="40"/>
        <v>0.22152318160539672</v>
      </c>
      <c r="I354" s="3">
        <f t="shared" ca="1" si="41"/>
        <v>2.3533124612203364</v>
      </c>
      <c r="O354" s="3">
        <f t="shared" ca="1" si="42"/>
        <v>-1.0546741256245742</v>
      </c>
      <c r="P354" s="3">
        <f t="shared" ca="1" si="43"/>
        <v>0.96114417923350737</v>
      </c>
      <c r="Q354" s="3">
        <f t="shared" ca="1" si="44"/>
        <v>1.4269322494555978</v>
      </c>
    </row>
    <row r="355" spans="7:17" x14ac:dyDescent="0.25">
      <c r="G355" s="3">
        <f t="shared" ca="1" si="39"/>
        <v>0</v>
      </c>
      <c r="H355" s="3">
        <f t="shared" ca="1" si="40"/>
        <v>0.92652896255583039</v>
      </c>
      <c r="I355" s="3">
        <f t="shared" ca="1" si="41"/>
        <v>4.8128187233570054</v>
      </c>
      <c r="O355" s="3">
        <f t="shared" ca="1" si="42"/>
        <v>-6.0441897181817748</v>
      </c>
      <c r="P355" s="3">
        <f t="shared" ca="1" si="43"/>
        <v>-7.8486714651951663</v>
      </c>
      <c r="Q355" s="3">
        <f t="shared" ca="1" si="44"/>
        <v>9.906254242545117</v>
      </c>
    </row>
    <row r="356" spans="7:17" x14ac:dyDescent="0.25">
      <c r="G356" s="3">
        <f t="shared" ca="1" si="39"/>
        <v>0</v>
      </c>
      <c r="H356" s="3">
        <f t="shared" ca="1" si="40"/>
        <v>2.0155845899846336</v>
      </c>
      <c r="I356" s="3">
        <f t="shared" ca="1" si="41"/>
        <v>7.0985642738243797</v>
      </c>
      <c r="O356" s="3">
        <f t="shared" ca="1" si="42"/>
        <v>-9.0492407537178234</v>
      </c>
      <c r="P356" s="3">
        <f t="shared" ca="1" si="43"/>
        <v>-1.7255972584460413</v>
      </c>
      <c r="Q356" s="3">
        <f t="shared" ca="1" si="44"/>
        <v>9.2122985251838223</v>
      </c>
    </row>
    <row r="357" spans="7:17" x14ac:dyDescent="0.25">
      <c r="G357" s="3">
        <f t="shared" ca="1" si="39"/>
        <v>0</v>
      </c>
      <c r="H357" s="3">
        <f t="shared" ca="1" si="40"/>
        <v>0.66579782089288619</v>
      </c>
      <c r="I357" s="3">
        <f t="shared" ca="1" si="41"/>
        <v>4.0798217512928376</v>
      </c>
      <c r="O357" s="3">
        <f t="shared" ca="1" si="42"/>
        <v>-9.3488129150073878</v>
      </c>
      <c r="P357" s="3">
        <f t="shared" ca="1" si="43"/>
        <v>7.7276173433797979</v>
      </c>
      <c r="Q357" s="3">
        <f t="shared" ca="1" si="44"/>
        <v>12.129153833862986</v>
      </c>
    </row>
    <row r="358" spans="7:17" x14ac:dyDescent="0.25">
      <c r="G358" s="3">
        <f t="shared" ca="1" si="39"/>
        <v>0</v>
      </c>
      <c r="H358" s="3">
        <f t="shared" ca="1" si="40"/>
        <v>2.0759053372417346</v>
      </c>
      <c r="I358" s="3">
        <f t="shared" ca="1" si="41"/>
        <v>7.2040012098169006</v>
      </c>
      <c r="O358" s="3">
        <f t="shared" ca="1" si="42"/>
        <v>5.7161850302156481E-2</v>
      </c>
      <c r="P358" s="3">
        <f t="shared" ca="1" si="43"/>
        <v>-3.3902747908521609</v>
      </c>
      <c r="Q358" s="3">
        <f t="shared" ca="1" si="44"/>
        <v>3.3907566463280183</v>
      </c>
    </row>
    <row r="359" spans="7:17" x14ac:dyDescent="0.25">
      <c r="G359" s="3">
        <f t="shared" ca="1" si="39"/>
        <v>0</v>
      </c>
      <c r="H359" s="3">
        <f t="shared" ca="1" si="40"/>
        <v>1.657018134238287</v>
      </c>
      <c r="I359" s="3">
        <f t="shared" ca="1" si="41"/>
        <v>6.4362608210013663</v>
      </c>
      <c r="O359" s="3">
        <f t="shared" ca="1" si="42"/>
        <v>-9.053142754421966</v>
      </c>
      <c r="P359" s="3">
        <f t="shared" ca="1" si="43"/>
        <v>5.1164206824008014</v>
      </c>
      <c r="Q359" s="3">
        <f t="shared" ca="1" si="44"/>
        <v>10.398901592535704</v>
      </c>
    </row>
    <row r="360" spans="7:17" x14ac:dyDescent="0.25">
      <c r="G360" s="3">
        <f t="shared" ca="1" si="39"/>
        <v>0</v>
      </c>
      <c r="H360" s="3">
        <f t="shared" ca="1" si="40"/>
        <v>0.2362663265684273</v>
      </c>
      <c r="I360" s="3">
        <f t="shared" ca="1" si="41"/>
        <v>2.4303617352589062</v>
      </c>
      <c r="O360" s="3">
        <f t="shared" ca="1" si="42"/>
        <v>-2.2324598798294337</v>
      </c>
      <c r="P360" s="3">
        <f t="shared" ca="1" si="43"/>
        <v>9.7241027611928725</v>
      </c>
      <c r="Q360" s="3">
        <f t="shared" ca="1" si="44"/>
        <v>9.9770763064781107</v>
      </c>
    </row>
    <row r="361" spans="7:17" x14ac:dyDescent="0.25">
      <c r="G361" s="3">
        <f t="shared" ca="1" si="39"/>
        <v>1</v>
      </c>
      <c r="H361" s="3">
        <f t="shared" ca="1" si="40"/>
        <v>5.7054087363610071</v>
      </c>
      <c r="I361" s="3">
        <f t="shared" ca="1" si="41"/>
        <v>11.942998719292621</v>
      </c>
      <c r="O361" s="3">
        <f t="shared" ca="1" si="42"/>
        <v>-4.0396223952701256</v>
      </c>
      <c r="P361" s="3">
        <f t="shared" ca="1" si="43"/>
        <v>-1.6612611230446057</v>
      </c>
      <c r="Q361" s="3">
        <f t="shared" ca="1" si="44"/>
        <v>4.3678756410075792</v>
      </c>
    </row>
    <row r="362" spans="7:17" x14ac:dyDescent="0.25">
      <c r="G362" s="3">
        <f t="shared" ca="1" si="39"/>
        <v>1</v>
      </c>
      <c r="H362" s="3">
        <f t="shared" ca="1" si="40"/>
        <v>1.4312132892348597</v>
      </c>
      <c r="I362" s="3">
        <f t="shared" ca="1" si="41"/>
        <v>5.9816663423223035</v>
      </c>
      <c r="O362" s="3">
        <f t="shared" ca="1" si="42"/>
        <v>-1.0509999325479242</v>
      </c>
      <c r="P362" s="3">
        <f t="shared" ca="1" si="43"/>
        <v>2.5446115394158828</v>
      </c>
      <c r="Q362" s="3">
        <f t="shared" ca="1" si="44"/>
        <v>2.7531161880211688</v>
      </c>
    </row>
    <row r="363" spans="7:17" x14ac:dyDescent="0.25">
      <c r="G363" s="3">
        <f t="shared" ca="1" si="39"/>
        <v>0</v>
      </c>
      <c r="H363" s="3">
        <f t="shared" ca="1" si="40"/>
        <v>1.4555185283611953</v>
      </c>
      <c r="I363" s="3">
        <f t="shared" ca="1" si="41"/>
        <v>6.0322436297807034</v>
      </c>
      <c r="O363" s="3">
        <f t="shared" ca="1" si="42"/>
        <v>-6.4099415244401534</v>
      </c>
      <c r="P363" s="3">
        <f t="shared" ca="1" si="43"/>
        <v>1.4144825734742625</v>
      </c>
      <c r="Q363" s="3">
        <f t="shared" ca="1" si="44"/>
        <v>6.5641535095855685</v>
      </c>
    </row>
    <row r="364" spans="7:17" x14ac:dyDescent="0.25">
      <c r="G364" s="3">
        <f t="shared" ca="1" si="39"/>
        <v>1</v>
      </c>
      <c r="H364" s="3">
        <f t="shared" ca="1" si="40"/>
        <v>1.5973219991222103</v>
      </c>
      <c r="I364" s="3">
        <f t="shared" ca="1" si="41"/>
        <v>6.3192602397792772</v>
      </c>
      <c r="O364" s="3">
        <f t="shared" ca="1" si="42"/>
        <v>-5.8548678029153498</v>
      </c>
      <c r="P364" s="3">
        <f t="shared" ca="1" si="43"/>
        <v>1.1471561800267305</v>
      </c>
      <c r="Q364" s="3">
        <f t="shared" ca="1" si="44"/>
        <v>5.9661917745734865</v>
      </c>
    </row>
    <row r="365" spans="7:17" x14ac:dyDescent="0.25">
      <c r="G365" s="3">
        <f t="shared" ca="1" si="39"/>
        <v>0</v>
      </c>
      <c r="H365" s="3">
        <f t="shared" ca="1" si="40"/>
        <v>3.3738119024968274</v>
      </c>
      <c r="I365" s="3">
        <f t="shared" ca="1" si="41"/>
        <v>9.183969597206902</v>
      </c>
      <c r="O365" s="3">
        <f t="shared" ca="1" si="42"/>
        <v>-4.5172807414396168</v>
      </c>
      <c r="P365" s="3">
        <f t="shared" ca="1" si="43"/>
        <v>-4.2879134244977566</v>
      </c>
      <c r="Q365" s="3">
        <f t="shared" ca="1" si="44"/>
        <v>6.2283245606639133</v>
      </c>
    </row>
    <row r="366" spans="7:17" x14ac:dyDescent="0.25">
      <c r="G366" s="3">
        <f t="shared" ca="1" si="39"/>
        <v>0</v>
      </c>
      <c r="H366" s="3">
        <f t="shared" ca="1" si="40"/>
        <v>0.55641933581662562</v>
      </c>
      <c r="I366" s="3">
        <f t="shared" ca="1" si="41"/>
        <v>3.7296760442987056</v>
      </c>
      <c r="O366" s="3">
        <f t="shared" ca="1" si="42"/>
        <v>-13.159732209111372</v>
      </c>
      <c r="P366" s="3">
        <f t="shared" ca="1" si="43"/>
        <v>-1.9314314813045401</v>
      </c>
      <c r="Q366" s="3">
        <f t="shared" ca="1" si="44"/>
        <v>13.300713491482233</v>
      </c>
    </row>
    <row r="367" spans="7:17" x14ac:dyDescent="0.25">
      <c r="G367" s="3">
        <f t="shared" ca="1" si="39"/>
        <v>1</v>
      </c>
      <c r="H367" s="3">
        <f t="shared" ca="1" si="40"/>
        <v>2.4619150805100296</v>
      </c>
      <c r="I367" s="3">
        <f t="shared" ca="1" si="41"/>
        <v>7.8452455036633957</v>
      </c>
      <c r="O367" s="3">
        <f t="shared" ca="1" si="42"/>
        <v>-17.663942831765389</v>
      </c>
      <c r="P367" s="3">
        <f t="shared" ca="1" si="43"/>
        <v>5.4563854296657341</v>
      </c>
      <c r="Q367" s="3">
        <f t="shared" ca="1" si="44"/>
        <v>18.487482747008702</v>
      </c>
    </row>
    <row r="368" spans="7:17" x14ac:dyDescent="0.25">
      <c r="G368" s="3">
        <f t="shared" ca="1" si="39"/>
        <v>1</v>
      </c>
      <c r="H368" s="3">
        <f t="shared" ca="1" si="40"/>
        <v>6.9633721797294603</v>
      </c>
      <c r="I368" s="3">
        <f t="shared" ca="1" si="41"/>
        <v>13.194101124867753</v>
      </c>
      <c r="O368" s="3">
        <f t="shared" ca="1" si="42"/>
        <v>-0.49623510709283369</v>
      </c>
      <c r="P368" s="3">
        <f t="shared" ca="1" si="43"/>
        <v>-4.6184697477554755</v>
      </c>
      <c r="Q368" s="3">
        <f t="shared" ca="1" si="44"/>
        <v>4.6450524316140891</v>
      </c>
    </row>
    <row r="369" spans="7:17" x14ac:dyDescent="0.25">
      <c r="G369" s="3">
        <f t="shared" ca="1" si="39"/>
        <v>0</v>
      </c>
      <c r="H369" s="3">
        <f t="shared" ca="1" si="40"/>
        <v>0.11197888819722387</v>
      </c>
      <c r="I369" s="3">
        <f t="shared" ca="1" si="41"/>
        <v>1.673162336693782</v>
      </c>
      <c r="O369" s="3">
        <f t="shared" ca="1" si="42"/>
        <v>-1.27467763771224</v>
      </c>
      <c r="P369" s="3">
        <f t="shared" ca="1" si="43"/>
        <v>5.3495796168803063</v>
      </c>
      <c r="Q369" s="3">
        <f t="shared" ca="1" si="44"/>
        <v>5.4993458845052565</v>
      </c>
    </row>
    <row r="370" spans="7:17" x14ac:dyDescent="0.25">
      <c r="G370" s="3">
        <f t="shared" ca="1" si="39"/>
        <v>2</v>
      </c>
      <c r="H370" s="3">
        <f t="shared" ca="1" si="40"/>
        <v>10.372321689620327</v>
      </c>
      <c r="I370" s="3">
        <f t="shared" ca="1" si="41"/>
        <v>16.103044502220946</v>
      </c>
      <c r="O370" s="3">
        <f t="shared" ca="1" si="42"/>
        <v>-0.3755059671954859</v>
      </c>
      <c r="P370" s="3">
        <f t="shared" ca="1" si="43"/>
        <v>2.2817033419720549</v>
      </c>
      <c r="Q370" s="3">
        <f t="shared" ca="1" si="44"/>
        <v>2.3123959159637568</v>
      </c>
    </row>
    <row r="371" spans="7:17" x14ac:dyDescent="0.25">
      <c r="G371" s="3">
        <f t="shared" ca="1" si="39"/>
        <v>0</v>
      </c>
      <c r="H371" s="3">
        <f t="shared" ca="1" si="40"/>
        <v>2.5454198764554015</v>
      </c>
      <c r="I371" s="3">
        <f t="shared" ca="1" si="41"/>
        <v>7.9771860271266739</v>
      </c>
      <c r="O371" s="3">
        <f t="shared" ca="1" si="42"/>
        <v>-10.337175540657336</v>
      </c>
      <c r="P371" s="3">
        <f t="shared" ca="1" si="43"/>
        <v>-2.5776550387939792</v>
      </c>
      <c r="Q371" s="3">
        <f t="shared" ca="1" si="44"/>
        <v>10.653708446235248</v>
      </c>
    </row>
    <row r="372" spans="7:17" x14ac:dyDescent="0.25">
      <c r="G372" s="3">
        <f t="shared" ca="1" si="39"/>
        <v>0</v>
      </c>
      <c r="H372" s="3">
        <f t="shared" ca="1" si="40"/>
        <v>4.9239394995731525</v>
      </c>
      <c r="I372" s="3">
        <f t="shared" ca="1" si="41"/>
        <v>11.094975776869854</v>
      </c>
      <c r="O372" s="3">
        <f t="shared" ca="1" si="42"/>
        <v>-2.9800323080557627</v>
      </c>
      <c r="P372" s="3">
        <f t="shared" ca="1" si="43"/>
        <v>5.8939115055195037</v>
      </c>
      <c r="Q372" s="3">
        <f t="shared" ca="1" si="44"/>
        <v>6.6044519372883119</v>
      </c>
    </row>
    <row r="373" spans="7:17" x14ac:dyDescent="0.25">
      <c r="G373" s="3">
        <f t="shared" ca="1" si="39"/>
        <v>0</v>
      </c>
      <c r="H373" s="3">
        <f t="shared" ca="1" si="40"/>
        <v>1.7465474446937221</v>
      </c>
      <c r="I373" s="3">
        <f t="shared" ca="1" si="41"/>
        <v>6.6078503401138757</v>
      </c>
      <c r="O373" s="3">
        <f t="shared" ca="1" si="42"/>
        <v>-10.964205471945196</v>
      </c>
      <c r="P373" s="3">
        <f t="shared" ca="1" si="43"/>
        <v>-5.6876109721039025</v>
      </c>
      <c r="Q373" s="3">
        <f t="shared" ca="1" si="44"/>
        <v>12.351628240885072</v>
      </c>
    </row>
    <row r="374" spans="7:17" x14ac:dyDescent="0.25">
      <c r="G374" s="3">
        <f t="shared" ca="1" si="39"/>
        <v>0</v>
      </c>
      <c r="H374" s="3">
        <f t="shared" ca="1" si="40"/>
        <v>0.82295340458884958</v>
      </c>
      <c r="I374" s="3">
        <f t="shared" ca="1" si="41"/>
        <v>4.5358389648135926</v>
      </c>
      <c r="O374" s="3">
        <f t="shared" ca="1" si="42"/>
        <v>-6.1070428833709602</v>
      </c>
      <c r="P374" s="3">
        <f t="shared" ca="1" si="43"/>
        <v>-1.5525811111241137</v>
      </c>
      <c r="Q374" s="3">
        <f t="shared" ca="1" si="44"/>
        <v>6.3013078710654407</v>
      </c>
    </row>
    <row r="375" spans="7:17" x14ac:dyDescent="0.25">
      <c r="G375" s="3">
        <f t="shared" ca="1" si="39"/>
        <v>0</v>
      </c>
      <c r="H375" s="3">
        <f t="shared" ca="1" si="40"/>
        <v>0.7366506409880339</v>
      </c>
      <c r="I375" s="3">
        <f t="shared" ca="1" si="41"/>
        <v>4.2914177173401384</v>
      </c>
      <c r="O375" s="3">
        <f t="shared" ca="1" si="42"/>
        <v>-1.9243999123397355</v>
      </c>
      <c r="P375" s="3">
        <f t="shared" ca="1" si="43"/>
        <v>0.53617959852396668</v>
      </c>
      <c r="Q375" s="3">
        <f t="shared" ca="1" si="44"/>
        <v>1.9976995731306808</v>
      </c>
    </row>
    <row r="376" spans="7:17" x14ac:dyDescent="0.25">
      <c r="G376" s="3">
        <f t="shared" ca="1" si="39"/>
        <v>0</v>
      </c>
      <c r="H376" s="3">
        <f t="shared" ca="1" si="40"/>
        <v>3.9643052107645071</v>
      </c>
      <c r="I376" s="3">
        <f t="shared" ca="1" si="41"/>
        <v>9.9552815263614054</v>
      </c>
      <c r="O376" s="3">
        <f t="shared" ca="1" si="42"/>
        <v>5.3129446559585887</v>
      </c>
      <c r="P376" s="3">
        <f t="shared" ca="1" si="43"/>
        <v>7.2994613923888876</v>
      </c>
      <c r="Q376" s="3">
        <f t="shared" ca="1" si="44"/>
        <v>9.0282621548255264</v>
      </c>
    </row>
    <row r="377" spans="7:17" x14ac:dyDescent="0.25">
      <c r="G377" s="3">
        <f t="shared" ca="1" si="39"/>
        <v>0</v>
      </c>
      <c r="H377" s="3">
        <f t="shared" ca="1" si="40"/>
        <v>5.692378674854635</v>
      </c>
      <c r="I377" s="3">
        <f t="shared" ca="1" si="41"/>
        <v>11.92935316232049</v>
      </c>
      <c r="O377" s="3">
        <f t="shared" ca="1" si="42"/>
        <v>-3.5360642408494263</v>
      </c>
      <c r="P377" s="3">
        <f t="shared" ca="1" si="43"/>
        <v>3.7484520465460665</v>
      </c>
      <c r="Q377" s="3">
        <f t="shared" ca="1" si="44"/>
        <v>5.1531197405716691</v>
      </c>
    </row>
    <row r="378" spans="7:17" x14ac:dyDescent="0.25">
      <c r="G378" s="3">
        <f t="shared" ca="1" si="39"/>
        <v>3</v>
      </c>
      <c r="H378" s="3">
        <f t="shared" ca="1" si="40"/>
        <v>7.631729484136919</v>
      </c>
      <c r="I378" s="3">
        <f t="shared" ca="1" si="41"/>
        <v>13.812792516483514</v>
      </c>
      <c r="O378" s="3">
        <f t="shared" ca="1" si="42"/>
        <v>-1.2673785358294505</v>
      </c>
      <c r="P378" s="3">
        <f t="shared" ca="1" si="43"/>
        <v>-9.6224129447628233</v>
      </c>
      <c r="Q378" s="3">
        <f t="shared" ca="1" si="44"/>
        <v>9.7055179785841599</v>
      </c>
    </row>
    <row r="379" spans="7:17" x14ac:dyDescent="0.25">
      <c r="G379" s="3">
        <f t="shared" ca="1" si="39"/>
        <v>0</v>
      </c>
      <c r="H379" s="3">
        <f t="shared" ca="1" si="40"/>
        <v>1.0647997881642488</v>
      </c>
      <c r="I379" s="3">
        <f t="shared" ca="1" si="41"/>
        <v>5.1594568225837714</v>
      </c>
      <c r="O379" s="3">
        <f t="shared" ca="1" si="42"/>
        <v>-2.5075905135202143</v>
      </c>
      <c r="P379" s="3">
        <f t="shared" ca="1" si="43"/>
        <v>-0.76563631797310738</v>
      </c>
      <c r="Q379" s="3">
        <f t="shared" ca="1" si="44"/>
        <v>2.621871307844073</v>
      </c>
    </row>
    <row r="380" spans="7:17" x14ac:dyDescent="0.25">
      <c r="G380" s="3">
        <f t="shared" ca="1" si="39"/>
        <v>0</v>
      </c>
      <c r="H380" s="3">
        <f t="shared" ca="1" si="40"/>
        <v>1.3053655958866373</v>
      </c>
      <c r="I380" s="3">
        <f t="shared" ca="1" si="41"/>
        <v>5.7126298582321899</v>
      </c>
      <c r="O380" s="3">
        <f t="shared" ca="1" si="42"/>
        <v>-14.862854168176437</v>
      </c>
      <c r="P380" s="3">
        <f t="shared" ca="1" si="43"/>
        <v>5.1330861830331873</v>
      </c>
      <c r="Q380" s="3">
        <f t="shared" ca="1" si="44"/>
        <v>15.724280835285469</v>
      </c>
    </row>
    <row r="381" spans="7:17" x14ac:dyDescent="0.25">
      <c r="G381" s="3">
        <f t="shared" ca="1" si="39"/>
        <v>1</v>
      </c>
      <c r="H381" s="3">
        <f t="shared" ca="1" si="40"/>
        <v>10.748111085428535</v>
      </c>
      <c r="I381" s="3">
        <f t="shared" ca="1" si="41"/>
        <v>16.392155963622155</v>
      </c>
      <c r="O381" s="3">
        <f t="shared" ca="1" si="42"/>
        <v>0.21332656209461121</v>
      </c>
      <c r="P381" s="3">
        <f t="shared" ca="1" si="43"/>
        <v>-8.8150218799109048</v>
      </c>
      <c r="Q381" s="3">
        <f t="shared" ca="1" si="44"/>
        <v>8.8176027901807359</v>
      </c>
    </row>
    <row r="382" spans="7:17" x14ac:dyDescent="0.25">
      <c r="G382" s="3">
        <f t="shared" ca="1" si="39"/>
        <v>0</v>
      </c>
      <c r="H382" s="3">
        <f t="shared" ca="1" si="40"/>
        <v>0.54867992427265477</v>
      </c>
      <c r="I382" s="3">
        <f t="shared" ca="1" si="41"/>
        <v>3.7036465958317848</v>
      </c>
      <c r="O382" s="3">
        <f t="shared" ca="1" si="42"/>
        <v>-1.4684636630832166</v>
      </c>
      <c r="P382" s="3">
        <f t="shared" ca="1" si="43"/>
        <v>2.3277543625243373</v>
      </c>
      <c r="Q382" s="3">
        <f t="shared" ca="1" si="44"/>
        <v>2.7522401606776365</v>
      </c>
    </row>
    <row r="383" spans="7:17" x14ac:dyDescent="0.25">
      <c r="G383" s="3">
        <f t="shared" ca="1" si="39"/>
        <v>0</v>
      </c>
      <c r="H383" s="3">
        <f t="shared" ca="1" si="40"/>
        <v>0.44774549804794306</v>
      </c>
      <c r="I383" s="3">
        <f t="shared" ca="1" si="41"/>
        <v>3.3456893835499102</v>
      </c>
      <c r="O383" s="3">
        <f t="shared" ca="1" si="42"/>
        <v>-9.4277212747404811</v>
      </c>
      <c r="P383" s="3">
        <f t="shared" ca="1" si="43"/>
        <v>-11.911225156596576</v>
      </c>
      <c r="Q383" s="3">
        <f t="shared" ca="1" si="44"/>
        <v>15.190760782967171</v>
      </c>
    </row>
    <row r="384" spans="7:17" x14ac:dyDescent="0.25">
      <c r="G384" s="3">
        <f t="shared" ca="1" si="39"/>
        <v>0</v>
      </c>
      <c r="H384" s="3">
        <f t="shared" ca="1" si="40"/>
        <v>7.0467554527945691</v>
      </c>
      <c r="I384" s="3">
        <f t="shared" ca="1" si="41"/>
        <v>13.272862777858595</v>
      </c>
      <c r="O384" s="3">
        <f t="shared" ca="1" si="42"/>
        <v>-4.4054864331941364</v>
      </c>
      <c r="P384" s="3">
        <f t="shared" ca="1" si="43"/>
        <v>3.183874715386779</v>
      </c>
      <c r="Q384" s="3">
        <f t="shared" ca="1" si="44"/>
        <v>5.4355651883071774</v>
      </c>
    </row>
    <row r="385" spans="7:17" x14ac:dyDescent="0.25">
      <c r="G385" s="3">
        <f t="shared" ca="1" si="39"/>
        <v>0</v>
      </c>
      <c r="H385" s="3">
        <f t="shared" ca="1" si="40"/>
        <v>0.72390763850958528</v>
      </c>
      <c r="I385" s="3">
        <f t="shared" ca="1" si="41"/>
        <v>4.2541380986916293</v>
      </c>
      <c r="O385" s="3">
        <f t="shared" ca="1" si="42"/>
        <v>-10.570115108710228</v>
      </c>
      <c r="P385" s="3">
        <f t="shared" ca="1" si="43"/>
        <v>3.9882202139578626</v>
      </c>
      <c r="Q385" s="3">
        <f t="shared" ca="1" si="44"/>
        <v>11.297487945840276</v>
      </c>
    </row>
    <row r="386" spans="7:17" x14ac:dyDescent="0.25">
      <c r="G386" s="3">
        <f t="shared" ca="1" si="39"/>
        <v>0</v>
      </c>
      <c r="H386" s="3">
        <f t="shared" ca="1" si="40"/>
        <v>1.0567368982409218</v>
      </c>
      <c r="I386" s="3">
        <f t="shared" ca="1" si="41"/>
        <v>5.1398854516441359</v>
      </c>
      <c r="O386" s="3">
        <f t="shared" ca="1" si="42"/>
        <v>-12.442404622674466</v>
      </c>
      <c r="P386" s="3">
        <f t="shared" ca="1" si="43"/>
        <v>-2.9898196531953616</v>
      </c>
      <c r="Q386" s="3">
        <f t="shared" ca="1" si="44"/>
        <v>12.796579791217034</v>
      </c>
    </row>
    <row r="387" spans="7:17" x14ac:dyDescent="0.25">
      <c r="G387" s="3">
        <f t="shared" ca="1" si="39"/>
        <v>0</v>
      </c>
      <c r="H387" s="3">
        <f t="shared" ca="1" si="40"/>
        <v>0.28697585456793095</v>
      </c>
      <c r="I387" s="3">
        <f t="shared" ca="1" si="41"/>
        <v>2.6785063681459249</v>
      </c>
      <c r="O387" s="3">
        <f t="shared" ca="1" si="42"/>
        <v>-9.1034995880234764</v>
      </c>
      <c r="P387" s="3">
        <f t="shared" ca="1" si="43"/>
        <v>-5.1874830864034926</v>
      </c>
      <c r="Q387" s="3">
        <f t="shared" ca="1" si="44"/>
        <v>10.477771018726544</v>
      </c>
    </row>
    <row r="388" spans="7:17" x14ac:dyDescent="0.25">
      <c r="G388" s="3">
        <f t="shared" ref="G388:G451" ca="1" si="45">VLOOKUP(RAND(),$B$9:$C$169,2,TRUE)</f>
        <v>0</v>
      </c>
      <c r="H388" s="3">
        <f t="shared" ref="H388:H451" ca="1" si="46">_xlfn.CHISQ.INV(RAND(),2*G388+2)</f>
        <v>4.9579532880694961</v>
      </c>
      <c r="I388" s="3">
        <f t="shared" ref="I388:I451" ca="1" si="47">$C$4*SQRT(H388)</f>
        <v>11.133230986633549</v>
      </c>
      <c r="O388" s="3">
        <f t="shared" ref="O388:O451" ca="1" si="48">_xlfn.NORM.INV(RAND(),$C$3*COS($N$2),$C$4)</f>
        <v>-4.5820878344987639</v>
      </c>
      <c r="P388" s="3">
        <f t="shared" ref="P388:P451" ca="1" si="49">_xlfn.NORM.INV(RAND(),$C$3*SIN($N$2),$C$4)</f>
        <v>-3.2015633424451231</v>
      </c>
      <c r="Q388" s="3">
        <f t="shared" ref="Q388:Q451" ca="1" si="50">SQRT(O388^2+P388^2)</f>
        <v>5.5897707250610873</v>
      </c>
    </row>
    <row r="389" spans="7:17" x14ac:dyDescent="0.25">
      <c r="G389" s="3">
        <f t="shared" ca="1" si="45"/>
        <v>1</v>
      </c>
      <c r="H389" s="3">
        <f t="shared" ca="1" si="46"/>
        <v>7.2567463132764427</v>
      </c>
      <c r="I389" s="3">
        <f t="shared" ca="1" si="47"/>
        <v>13.469174355984521</v>
      </c>
      <c r="O389" s="3">
        <f t="shared" ca="1" si="48"/>
        <v>-12.22504598879252</v>
      </c>
      <c r="P389" s="3">
        <f t="shared" ca="1" si="49"/>
        <v>0.71510486643966886</v>
      </c>
      <c r="Q389" s="3">
        <f t="shared" ca="1" si="50"/>
        <v>12.245943181237523</v>
      </c>
    </row>
    <row r="390" spans="7:17" x14ac:dyDescent="0.25">
      <c r="G390" s="3">
        <f t="shared" ca="1" si="45"/>
        <v>1</v>
      </c>
      <c r="H390" s="3">
        <f t="shared" ca="1" si="46"/>
        <v>2.1133644625067003</v>
      </c>
      <c r="I390" s="3">
        <f t="shared" ca="1" si="47"/>
        <v>7.2687076955032044</v>
      </c>
      <c r="O390" s="3">
        <f t="shared" ca="1" si="48"/>
        <v>-14.433315381456593</v>
      </c>
      <c r="P390" s="3">
        <f t="shared" ca="1" si="49"/>
        <v>-4.0695496433238922</v>
      </c>
      <c r="Q390" s="3">
        <f t="shared" ca="1" si="50"/>
        <v>14.996060389317892</v>
      </c>
    </row>
    <row r="391" spans="7:17" x14ac:dyDescent="0.25">
      <c r="G391" s="3">
        <f t="shared" ca="1" si="45"/>
        <v>1</v>
      </c>
      <c r="H391" s="3">
        <f t="shared" ca="1" si="46"/>
        <v>8.8226912956995118</v>
      </c>
      <c r="I391" s="3">
        <f t="shared" ca="1" si="47"/>
        <v>14.851507748120653</v>
      </c>
      <c r="O391" s="3">
        <f t="shared" ca="1" si="48"/>
        <v>-4.4354810325220786</v>
      </c>
      <c r="P391" s="3">
        <f t="shared" ca="1" si="49"/>
        <v>-0.77400251453432278</v>
      </c>
      <c r="Q391" s="3">
        <f t="shared" ca="1" si="50"/>
        <v>4.5025072884303672</v>
      </c>
    </row>
    <row r="392" spans="7:17" x14ac:dyDescent="0.25">
      <c r="G392" s="3">
        <f t="shared" ca="1" si="45"/>
        <v>0</v>
      </c>
      <c r="H392" s="3">
        <f t="shared" ca="1" si="46"/>
        <v>0.48608048803012588</v>
      </c>
      <c r="I392" s="3">
        <f t="shared" ca="1" si="47"/>
        <v>3.4859736374151118</v>
      </c>
      <c r="O392" s="3">
        <f t="shared" ca="1" si="48"/>
        <v>-0.58959857522046377</v>
      </c>
      <c r="P392" s="3">
        <f t="shared" ca="1" si="49"/>
        <v>5.8614011647763791</v>
      </c>
      <c r="Q392" s="3">
        <f t="shared" ca="1" si="50"/>
        <v>5.890980401795944</v>
      </c>
    </row>
    <row r="393" spans="7:17" x14ac:dyDescent="0.25">
      <c r="G393" s="3">
        <f t="shared" ca="1" si="45"/>
        <v>0</v>
      </c>
      <c r="H393" s="3">
        <f t="shared" ca="1" si="46"/>
        <v>5.9570050798882743</v>
      </c>
      <c r="I393" s="3">
        <f t="shared" ca="1" si="47"/>
        <v>12.203488312659083</v>
      </c>
      <c r="O393" s="3">
        <f t="shared" ca="1" si="48"/>
        <v>-1.3485721153510628</v>
      </c>
      <c r="P393" s="3">
        <f t="shared" ca="1" si="49"/>
        <v>-9.2109216468709043</v>
      </c>
      <c r="Q393" s="3">
        <f t="shared" ca="1" si="50"/>
        <v>9.3091204920280983</v>
      </c>
    </row>
    <row r="394" spans="7:17" x14ac:dyDescent="0.25">
      <c r="G394" s="3">
        <f t="shared" ca="1" si="45"/>
        <v>0</v>
      </c>
      <c r="H394" s="3">
        <f t="shared" ca="1" si="46"/>
        <v>1.7019545894847443</v>
      </c>
      <c r="I394" s="3">
        <f t="shared" ca="1" si="47"/>
        <v>6.5229490828243177</v>
      </c>
      <c r="O394" s="3">
        <f t="shared" ca="1" si="48"/>
        <v>-4.8008477805510639</v>
      </c>
      <c r="P394" s="3">
        <f t="shared" ca="1" si="49"/>
        <v>-2.2245412696327382</v>
      </c>
      <c r="Q394" s="3">
        <f t="shared" ca="1" si="50"/>
        <v>5.2911929914076383</v>
      </c>
    </row>
    <row r="395" spans="7:17" x14ac:dyDescent="0.25">
      <c r="G395" s="3">
        <f t="shared" ca="1" si="45"/>
        <v>0</v>
      </c>
      <c r="H395" s="3">
        <f t="shared" ca="1" si="46"/>
        <v>1.0301601154720246</v>
      </c>
      <c r="I395" s="3">
        <f t="shared" ca="1" si="47"/>
        <v>5.0748401833752963</v>
      </c>
      <c r="O395" s="3">
        <f t="shared" ca="1" si="48"/>
        <v>-5.988397205627364</v>
      </c>
      <c r="P395" s="3">
        <f t="shared" ca="1" si="49"/>
        <v>-0.44059414521612877</v>
      </c>
      <c r="Q395" s="3">
        <f t="shared" ca="1" si="50"/>
        <v>6.0045836069759533</v>
      </c>
    </row>
    <row r="396" spans="7:17" x14ac:dyDescent="0.25">
      <c r="G396" s="3">
        <f t="shared" ca="1" si="45"/>
        <v>0</v>
      </c>
      <c r="H396" s="3">
        <f t="shared" ca="1" si="46"/>
        <v>0.13223112952253638</v>
      </c>
      <c r="I396" s="3">
        <f t="shared" ca="1" si="47"/>
        <v>1.8181799245573607</v>
      </c>
      <c r="O396" s="3">
        <f t="shared" ca="1" si="48"/>
        <v>-7.8511760865144424</v>
      </c>
      <c r="P396" s="3">
        <f t="shared" ca="1" si="49"/>
        <v>3.55009895497215</v>
      </c>
      <c r="Q396" s="3">
        <f t="shared" ca="1" si="50"/>
        <v>8.6165055870434273</v>
      </c>
    </row>
    <row r="397" spans="7:17" x14ac:dyDescent="0.25">
      <c r="G397" s="3">
        <f t="shared" ca="1" si="45"/>
        <v>3</v>
      </c>
      <c r="H397" s="3">
        <f t="shared" ca="1" si="46"/>
        <v>2.1797812683799163</v>
      </c>
      <c r="I397" s="3">
        <f t="shared" ca="1" si="47"/>
        <v>7.3820411614605552</v>
      </c>
      <c r="O397" s="3">
        <f t="shared" ca="1" si="48"/>
        <v>-3.7697533767072722</v>
      </c>
      <c r="P397" s="3">
        <f t="shared" ca="1" si="49"/>
        <v>2.1038905072007004</v>
      </c>
      <c r="Q397" s="3">
        <f t="shared" ca="1" si="50"/>
        <v>4.3171050239118696</v>
      </c>
    </row>
    <row r="398" spans="7:17" x14ac:dyDescent="0.25">
      <c r="G398" s="3">
        <f t="shared" ca="1" si="45"/>
        <v>0</v>
      </c>
      <c r="H398" s="3">
        <f t="shared" ca="1" si="46"/>
        <v>5.0022863021736654</v>
      </c>
      <c r="I398" s="3">
        <f t="shared" ca="1" si="47"/>
        <v>11.182895758896334</v>
      </c>
      <c r="O398" s="3">
        <f t="shared" ca="1" si="48"/>
        <v>-3.4762442358841978</v>
      </c>
      <c r="P398" s="3">
        <f t="shared" ca="1" si="49"/>
        <v>10.76875792554014</v>
      </c>
      <c r="Q398" s="3">
        <f t="shared" ca="1" si="50"/>
        <v>11.315936604912634</v>
      </c>
    </row>
    <row r="399" spans="7:17" x14ac:dyDescent="0.25">
      <c r="G399" s="3">
        <f t="shared" ca="1" si="45"/>
        <v>1</v>
      </c>
      <c r="H399" s="3">
        <f t="shared" ca="1" si="46"/>
        <v>1.5549073136844915</v>
      </c>
      <c r="I399" s="3">
        <f t="shared" ca="1" si="47"/>
        <v>6.2347961347675431</v>
      </c>
      <c r="O399" s="3">
        <f t="shared" ca="1" si="48"/>
        <v>-19.104096293945471</v>
      </c>
      <c r="P399" s="3">
        <f t="shared" ca="1" si="49"/>
        <v>3.1679835246040695</v>
      </c>
      <c r="Q399" s="3">
        <f t="shared" ca="1" si="50"/>
        <v>19.364984245294494</v>
      </c>
    </row>
    <row r="400" spans="7:17" x14ac:dyDescent="0.25">
      <c r="G400" s="3">
        <f t="shared" ca="1" si="45"/>
        <v>0</v>
      </c>
      <c r="H400" s="3">
        <f t="shared" ca="1" si="46"/>
        <v>12.686345736278438</v>
      </c>
      <c r="I400" s="3">
        <f t="shared" ca="1" si="47"/>
        <v>17.808948408228964</v>
      </c>
      <c r="O400" s="3">
        <f t="shared" ca="1" si="48"/>
        <v>-5.9613711984122038</v>
      </c>
      <c r="P400" s="3">
        <f t="shared" ca="1" si="49"/>
        <v>6.6839786167753177</v>
      </c>
      <c r="Q400" s="3">
        <f t="shared" ca="1" si="50"/>
        <v>8.956199903685059</v>
      </c>
    </row>
    <row r="401" spans="7:17" x14ac:dyDescent="0.25">
      <c r="G401" s="3">
        <f t="shared" ca="1" si="45"/>
        <v>2</v>
      </c>
      <c r="H401" s="3">
        <f t="shared" ca="1" si="46"/>
        <v>2.2313749070248781</v>
      </c>
      <c r="I401" s="3">
        <f t="shared" ca="1" si="47"/>
        <v>7.4688936714631273</v>
      </c>
      <c r="O401" s="3">
        <f t="shared" ca="1" si="48"/>
        <v>-0.54108067111524338</v>
      </c>
      <c r="P401" s="3">
        <f t="shared" ca="1" si="49"/>
        <v>4.0996144127184193</v>
      </c>
      <c r="Q401" s="3">
        <f t="shared" ca="1" si="50"/>
        <v>4.1351670613922131</v>
      </c>
    </row>
    <row r="402" spans="7:17" x14ac:dyDescent="0.25">
      <c r="G402" s="3">
        <f t="shared" ca="1" si="45"/>
        <v>1</v>
      </c>
      <c r="H402" s="3">
        <f t="shared" ca="1" si="46"/>
        <v>2.3463468247725285</v>
      </c>
      <c r="I402" s="3">
        <f t="shared" ca="1" si="47"/>
        <v>7.6588948693211094</v>
      </c>
      <c r="O402" s="3">
        <f t="shared" ca="1" si="48"/>
        <v>-1.6005116020582202</v>
      </c>
      <c r="P402" s="3">
        <f t="shared" ca="1" si="49"/>
        <v>7.4332109000578912</v>
      </c>
      <c r="Q402" s="3">
        <f t="shared" ca="1" si="50"/>
        <v>7.6035690088972308</v>
      </c>
    </row>
    <row r="403" spans="7:17" x14ac:dyDescent="0.25">
      <c r="G403" s="3">
        <f t="shared" ca="1" si="45"/>
        <v>2</v>
      </c>
      <c r="H403" s="3">
        <f t="shared" ca="1" si="46"/>
        <v>8.2933708993911637</v>
      </c>
      <c r="I403" s="3">
        <f t="shared" ca="1" si="47"/>
        <v>14.399106655788723</v>
      </c>
      <c r="O403" s="3">
        <f t="shared" ca="1" si="48"/>
        <v>-8.035003538244224</v>
      </c>
      <c r="P403" s="3">
        <f t="shared" ca="1" si="49"/>
        <v>-1.6053586478183102</v>
      </c>
      <c r="Q403" s="3">
        <f t="shared" ca="1" si="50"/>
        <v>8.193806090439427</v>
      </c>
    </row>
    <row r="404" spans="7:17" x14ac:dyDescent="0.25">
      <c r="G404" s="3">
        <f t="shared" ca="1" si="45"/>
        <v>0</v>
      </c>
      <c r="H404" s="3">
        <f t="shared" ca="1" si="46"/>
        <v>2.904332673641588</v>
      </c>
      <c r="I404" s="3">
        <f t="shared" ca="1" si="47"/>
        <v>8.5210513929350125</v>
      </c>
      <c r="O404" s="3">
        <f t="shared" ca="1" si="48"/>
        <v>-9.6182709256116254</v>
      </c>
      <c r="P404" s="3">
        <f t="shared" ca="1" si="49"/>
        <v>-2.4375553249871831</v>
      </c>
      <c r="Q404" s="3">
        <f t="shared" ca="1" si="50"/>
        <v>9.9223390166250258</v>
      </c>
    </row>
    <row r="405" spans="7:17" x14ac:dyDescent="0.25">
      <c r="G405" s="3">
        <f t="shared" ca="1" si="45"/>
        <v>0</v>
      </c>
      <c r="H405" s="3">
        <f t="shared" ca="1" si="46"/>
        <v>0.2086567278750715</v>
      </c>
      <c r="I405" s="3">
        <f t="shared" ca="1" si="47"/>
        <v>2.2839479409296497</v>
      </c>
      <c r="O405" s="3">
        <f t="shared" ca="1" si="48"/>
        <v>-4.371670240527072</v>
      </c>
      <c r="P405" s="3">
        <f t="shared" ca="1" si="49"/>
        <v>5.8449099543456287</v>
      </c>
      <c r="Q405" s="3">
        <f t="shared" ca="1" si="50"/>
        <v>7.2989364339140979</v>
      </c>
    </row>
    <row r="406" spans="7:17" x14ac:dyDescent="0.25">
      <c r="G406" s="3">
        <f t="shared" ca="1" si="45"/>
        <v>0</v>
      </c>
      <c r="H406" s="3">
        <f t="shared" ca="1" si="46"/>
        <v>6.3732491372820537</v>
      </c>
      <c r="I406" s="3">
        <f t="shared" ca="1" si="47"/>
        <v>12.622647441485933</v>
      </c>
      <c r="O406" s="3">
        <f t="shared" ca="1" si="48"/>
        <v>-5.9667027426095478</v>
      </c>
      <c r="P406" s="3">
        <f t="shared" ca="1" si="49"/>
        <v>3.3993933062090149</v>
      </c>
      <c r="Q406" s="3">
        <f t="shared" ca="1" si="50"/>
        <v>6.8671257793172069</v>
      </c>
    </row>
    <row r="407" spans="7:17" x14ac:dyDescent="0.25">
      <c r="G407" s="3">
        <f t="shared" ca="1" si="45"/>
        <v>0</v>
      </c>
      <c r="H407" s="3">
        <f t="shared" ca="1" si="46"/>
        <v>1.004987062562483</v>
      </c>
      <c r="I407" s="3">
        <f t="shared" ca="1" si="47"/>
        <v>5.0124521508002529</v>
      </c>
      <c r="O407" s="3">
        <f t="shared" ca="1" si="48"/>
        <v>-10.620648568164167</v>
      </c>
      <c r="P407" s="3">
        <f t="shared" ca="1" si="49"/>
        <v>2.1252358127685627</v>
      </c>
      <c r="Q407" s="3">
        <f t="shared" ca="1" si="50"/>
        <v>10.831195837409719</v>
      </c>
    </row>
    <row r="408" spans="7:17" x14ac:dyDescent="0.25">
      <c r="G408" s="3">
        <f t="shared" ca="1" si="45"/>
        <v>1</v>
      </c>
      <c r="H408" s="3">
        <f t="shared" ca="1" si="46"/>
        <v>0.95040985302434622</v>
      </c>
      <c r="I408" s="3">
        <f t="shared" ca="1" si="47"/>
        <v>4.8744483098714522</v>
      </c>
      <c r="O408" s="3">
        <f t="shared" ca="1" si="48"/>
        <v>-5.187270042836488</v>
      </c>
      <c r="P408" s="3">
        <f t="shared" ca="1" si="49"/>
        <v>-6.8764042985369613</v>
      </c>
      <c r="Q408" s="3">
        <f t="shared" ca="1" si="50"/>
        <v>8.6135188264870273</v>
      </c>
    </row>
    <row r="409" spans="7:17" x14ac:dyDescent="0.25">
      <c r="G409" s="3">
        <f t="shared" ca="1" si="45"/>
        <v>0</v>
      </c>
      <c r="H409" s="3">
        <f t="shared" ca="1" si="46"/>
        <v>10.561728239442004</v>
      </c>
      <c r="I409" s="3">
        <f t="shared" ca="1" si="47"/>
        <v>16.249406327187778</v>
      </c>
      <c r="O409" s="3">
        <f t="shared" ca="1" si="48"/>
        <v>-3.1209999329674547</v>
      </c>
      <c r="P409" s="3">
        <f t="shared" ca="1" si="49"/>
        <v>-0.90287934060106811</v>
      </c>
      <c r="Q409" s="3">
        <f t="shared" ca="1" si="50"/>
        <v>3.2489739434576999</v>
      </c>
    </row>
    <row r="410" spans="7:17" x14ac:dyDescent="0.25">
      <c r="G410" s="3">
        <f t="shared" ca="1" si="45"/>
        <v>0</v>
      </c>
      <c r="H410" s="3">
        <f t="shared" ca="1" si="46"/>
        <v>7.8326703200256143E-2</v>
      </c>
      <c r="I410" s="3">
        <f t="shared" ca="1" si="47"/>
        <v>1.3993454112571362</v>
      </c>
      <c r="O410" s="3">
        <f t="shared" ca="1" si="48"/>
        <v>-3.0591537986552653</v>
      </c>
      <c r="P410" s="3">
        <f t="shared" ca="1" si="49"/>
        <v>0.29135593226504664</v>
      </c>
      <c r="Q410" s="3">
        <f t="shared" ca="1" si="50"/>
        <v>3.0729969481099348</v>
      </c>
    </row>
    <row r="411" spans="7:17" x14ac:dyDescent="0.25">
      <c r="G411" s="3">
        <f t="shared" ca="1" si="45"/>
        <v>0</v>
      </c>
      <c r="H411" s="3">
        <f t="shared" ca="1" si="46"/>
        <v>0.70940538289173605</v>
      </c>
      <c r="I411" s="3">
        <f t="shared" ca="1" si="47"/>
        <v>4.2113103153642575</v>
      </c>
      <c r="O411" s="3">
        <f t="shared" ca="1" si="48"/>
        <v>-6.2086456522550995</v>
      </c>
      <c r="P411" s="3">
        <f t="shared" ca="1" si="49"/>
        <v>3.1913216364275119</v>
      </c>
      <c r="Q411" s="3">
        <f t="shared" ca="1" si="50"/>
        <v>6.9808176184739645</v>
      </c>
    </row>
    <row r="412" spans="7:17" x14ac:dyDescent="0.25">
      <c r="G412" s="3">
        <f t="shared" ca="1" si="45"/>
        <v>0</v>
      </c>
      <c r="H412" s="3">
        <f t="shared" ca="1" si="46"/>
        <v>4.1306764529242184</v>
      </c>
      <c r="I412" s="3">
        <f t="shared" ca="1" si="47"/>
        <v>10.162032834187531</v>
      </c>
      <c r="O412" s="3">
        <f t="shared" ca="1" si="48"/>
        <v>-4.7297279693129362</v>
      </c>
      <c r="P412" s="3">
        <f t="shared" ca="1" si="49"/>
        <v>5.2047614678901715</v>
      </c>
      <c r="Q412" s="3">
        <f t="shared" ca="1" si="50"/>
        <v>7.0327710471289571</v>
      </c>
    </row>
    <row r="413" spans="7:17" x14ac:dyDescent="0.25">
      <c r="G413" s="3">
        <f t="shared" ca="1" si="45"/>
        <v>1</v>
      </c>
      <c r="H413" s="3">
        <f t="shared" ca="1" si="46"/>
        <v>2.657264176531712</v>
      </c>
      <c r="I413" s="3">
        <f t="shared" ca="1" si="47"/>
        <v>8.1505585338240962</v>
      </c>
      <c r="O413" s="3">
        <f t="shared" ca="1" si="48"/>
        <v>-6.4118352762979116</v>
      </c>
      <c r="P413" s="3">
        <f t="shared" ca="1" si="49"/>
        <v>-4.0472485414109327</v>
      </c>
      <c r="Q413" s="3">
        <f t="shared" ca="1" si="50"/>
        <v>7.5823381859642245</v>
      </c>
    </row>
    <row r="414" spans="7:17" x14ac:dyDescent="0.25">
      <c r="G414" s="3">
        <f t="shared" ca="1" si="45"/>
        <v>0</v>
      </c>
      <c r="H414" s="3">
        <f t="shared" ca="1" si="46"/>
        <v>1.7847926357492827</v>
      </c>
      <c r="I414" s="3">
        <f t="shared" ca="1" si="47"/>
        <v>6.6798065760718011</v>
      </c>
      <c r="O414" s="3">
        <f t="shared" ca="1" si="48"/>
        <v>-1.2506475730443367</v>
      </c>
      <c r="P414" s="3">
        <f t="shared" ca="1" si="49"/>
        <v>-3.9951186639893614</v>
      </c>
      <c r="Q414" s="3">
        <f t="shared" ca="1" si="50"/>
        <v>4.1862981847113838</v>
      </c>
    </row>
    <row r="415" spans="7:17" x14ac:dyDescent="0.25">
      <c r="G415" s="3">
        <f t="shared" ca="1" si="45"/>
        <v>0</v>
      </c>
      <c r="H415" s="3">
        <f t="shared" ca="1" si="46"/>
        <v>0.41653918112881233</v>
      </c>
      <c r="I415" s="3">
        <f t="shared" ca="1" si="47"/>
        <v>3.2269923347012011</v>
      </c>
      <c r="O415" s="3">
        <f t="shared" ca="1" si="48"/>
        <v>-4.4758317086860382</v>
      </c>
      <c r="P415" s="3">
        <f t="shared" ca="1" si="49"/>
        <v>0.88741548133666281</v>
      </c>
      <c r="Q415" s="3">
        <f t="shared" ca="1" si="50"/>
        <v>4.5629569054501671</v>
      </c>
    </row>
    <row r="416" spans="7:17" x14ac:dyDescent="0.25">
      <c r="G416" s="3">
        <f t="shared" ca="1" si="45"/>
        <v>1</v>
      </c>
      <c r="H416" s="3">
        <f t="shared" ca="1" si="46"/>
        <v>3.3174051831731308</v>
      </c>
      <c r="I416" s="3">
        <f t="shared" ca="1" si="47"/>
        <v>9.1068726563693794</v>
      </c>
      <c r="O416" s="3">
        <f t="shared" ca="1" si="48"/>
        <v>-1.8856447708477795</v>
      </c>
      <c r="P416" s="3">
        <f t="shared" ca="1" si="49"/>
        <v>-1.8864639061612327</v>
      </c>
      <c r="Q416" s="3">
        <f t="shared" ca="1" si="50"/>
        <v>2.6672836877757624</v>
      </c>
    </row>
    <row r="417" spans="7:17" x14ac:dyDescent="0.25">
      <c r="G417" s="3">
        <f t="shared" ca="1" si="45"/>
        <v>0</v>
      </c>
      <c r="H417" s="3">
        <f t="shared" ca="1" si="46"/>
        <v>0.83763546064824457</v>
      </c>
      <c r="I417" s="3">
        <f t="shared" ca="1" si="47"/>
        <v>4.5761213397599185</v>
      </c>
      <c r="O417" s="3">
        <f t="shared" ca="1" si="48"/>
        <v>-6.3130387361996494</v>
      </c>
      <c r="P417" s="3">
        <f t="shared" ca="1" si="49"/>
        <v>-4.0128455389523952</v>
      </c>
      <c r="Q417" s="3">
        <f t="shared" ca="1" si="50"/>
        <v>7.4804670578946748</v>
      </c>
    </row>
    <row r="418" spans="7:17" x14ac:dyDescent="0.25">
      <c r="G418" s="3">
        <f t="shared" ca="1" si="45"/>
        <v>0</v>
      </c>
      <c r="H418" s="3">
        <f t="shared" ca="1" si="46"/>
        <v>0.12192042023028056</v>
      </c>
      <c r="I418" s="3">
        <f t="shared" ca="1" si="47"/>
        <v>1.7458552361971522</v>
      </c>
      <c r="O418" s="3">
        <f t="shared" ca="1" si="48"/>
        <v>-4.8338378956411709</v>
      </c>
      <c r="P418" s="3">
        <f t="shared" ca="1" si="49"/>
        <v>4.6641670586514374</v>
      </c>
      <c r="Q418" s="3">
        <f t="shared" ca="1" si="50"/>
        <v>6.7171752360903811</v>
      </c>
    </row>
    <row r="419" spans="7:17" x14ac:dyDescent="0.25">
      <c r="G419" s="3">
        <f t="shared" ca="1" si="45"/>
        <v>0</v>
      </c>
      <c r="H419" s="3">
        <f t="shared" ca="1" si="46"/>
        <v>4.8875404638551778</v>
      </c>
      <c r="I419" s="3">
        <f t="shared" ca="1" si="47"/>
        <v>11.053891242290174</v>
      </c>
      <c r="O419" s="3">
        <f t="shared" ca="1" si="48"/>
        <v>-0.2696860207913323</v>
      </c>
      <c r="P419" s="3">
        <f t="shared" ca="1" si="49"/>
        <v>-5.4083756893334813</v>
      </c>
      <c r="Q419" s="3">
        <f t="shared" ca="1" si="50"/>
        <v>5.4150953959079677</v>
      </c>
    </row>
    <row r="420" spans="7:17" x14ac:dyDescent="0.25">
      <c r="G420" s="3">
        <f t="shared" ca="1" si="45"/>
        <v>0</v>
      </c>
      <c r="H420" s="3">
        <f t="shared" ca="1" si="46"/>
        <v>2.8951904795424315</v>
      </c>
      <c r="I420" s="3">
        <f t="shared" ca="1" si="47"/>
        <v>8.5076296339556752</v>
      </c>
      <c r="O420" s="3">
        <f t="shared" ca="1" si="48"/>
        <v>1.036233023386</v>
      </c>
      <c r="P420" s="3">
        <f t="shared" ca="1" si="49"/>
        <v>-0.99960937217614165</v>
      </c>
      <c r="Q420" s="3">
        <f t="shared" ca="1" si="50"/>
        <v>1.4397908791550496</v>
      </c>
    </row>
    <row r="421" spans="7:17" x14ac:dyDescent="0.25">
      <c r="G421" s="3">
        <f t="shared" ca="1" si="45"/>
        <v>0</v>
      </c>
      <c r="H421" s="3">
        <f t="shared" ca="1" si="46"/>
        <v>5.4823959097230484</v>
      </c>
      <c r="I421" s="3">
        <f t="shared" ca="1" si="47"/>
        <v>11.707258335881898</v>
      </c>
      <c r="O421" s="3">
        <f t="shared" ca="1" si="48"/>
        <v>-1.5001972708212676</v>
      </c>
      <c r="P421" s="3">
        <f t="shared" ca="1" si="49"/>
        <v>-11.830312817631652</v>
      </c>
      <c r="Q421" s="3">
        <f t="shared" ca="1" si="50"/>
        <v>11.925053174489385</v>
      </c>
    </row>
    <row r="422" spans="7:17" x14ac:dyDescent="0.25">
      <c r="G422" s="3">
        <f t="shared" ca="1" si="45"/>
        <v>1</v>
      </c>
      <c r="H422" s="3">
        <f t="shared" ca="1" si="46"/>
        <v>2.7593712061872573</v>
      </c>
      <c r="I422" s="3">
        <f t="shared" ca="1" si="47"/>
        <v>8.3056775855243394</v>
      </c>
      <c r="O422" s="3">
        <f t="shared" ca="1" si="48"/>
        <v>-3.5814814747400514</v>
      </c>
      <c r="P422" s="3">
        <f t="shared" ca="1" si="49"/>
        <v>-5.8606275959470535</v>
      </c>
      <c r="Q422" s="3">
        <f t="shared" ca="1" si="50"/>
        <v>6.8683306102925989</v>
      </c>
    </row>
    <row r="423" spans="7:17" x14ac:dyDescent="0.25">
      <c r="G423" s="3">
        <f t="shared" ca="1" si="45"/>
        <v>0</v>
      </c>
      <c r="H423" s="3">
        <f t="shared" ca="1" si="46"/>
        <v>7.6817354578147024</v>
      </c>
      <c r="I423" s="3">
        <f t="shared" ca="1" si="47"/>
        <v>13.85797194561194</v>
      </c>
      <c r="O423" s="3">
        <f t="shared" ca="1" si="48"/>
        <v>-8.8406789531396086</v>
      </c>
      <c r="P423" s="3">
        <f t="shared" ca="1" si="49"/>
        <v>-8.2043344004087366</v>
      </c>
      <c r="Q423" s="3">
        <f t="shared" ca="1" si="50"/>
        <v>12.061040888174446</v>
      </c>
    </row>
    <row r="424" spans="7:17" x14ac:dyDescent="0.25">
      <c r="G424" s="3">
        <f t="shared" ca="1" si="45"/>
        <v>1</v>
      </c>
      <c r="H424" s="3">
        <f t="shared" ca="1" si="46"/>
        <v>2.9953106972288555</v>
      </c>
      <c r="I424" s="3">
        <f t="shared" ca="1" si="47"/>
        <v>8.6534829652990819</v>
      </c>
      <c r="O424" s="3">
        <f t="shared" ca="1" si="48"/>
        <v>0.95300085566303405</v>
      </c>
      <c r="P424" s="3">
        <f t="shared" ca="1" si="49"/>
        <v>-2.8776947647055171</v>
      </c>
      <c r="Q424" s="3">
        <f t="shared" ca="1" si="50"/>
        <v>3.031392054767581</v>
      </c>
    </row>
    <row r="425" spans="7:17" x14ac:dyDescent="0.25">
      <c r="G425" s="3">
        <f t="shared" ca="1" si="45"/>
        <v>0</v>
      </c>
      <c r="H425" s="3">
        <f t="shared" ca="1" si="46"/>
        <v>1.0680200457072548</v>
      </c>
      <c r="I425" s="3">
        <f t="shared" ca="1" si="47"/>
        <v>5.1672527655110283</v>
      </c>
      <c r="O425" s="3">
        <f t="shared" ca="1" si="48"/>
        <v>-6.6411776105782625</v>
      </c>
      <c r="P425" s="3">
        <f t="shared" ca="1" si="49"/>
        <v>5.7673858815337118</v>
      </c>
      <c r="Q425" s="3">
        <f t="shared" ca="1" si="50"/>
        <v>8.7959070005179338</v>
      </c>
    </row>
    <row r="426" spans="7:17" x14ac:dyDescent="0.25">
      <c r="G426" s="3">
        <f t="shared" ca="1" si="45"/>
        <v>0</v>
      </c>
      <c r="H426" s="3">
        <f t="shared" ca="1" si="46"/>
        <v>3.6668863609576232</v>
      </c>
      <c r="I426" s="3">
        <f t="shared" ca="1" si="47"/>
        <v>9.5745579022710281</v>
      </c>
      <c r="O426" s="3">
        <f t="shared" ca="1" si="48"/>
        <v>8.9094778356447186</v>
      </c>
      <c r="P426" s="3">
        <f t="shared" ca="1" si="49"/>
        <v>-7.3116326070326165</v>
      </c>
      <c r="Q426" s="3">
        <f t="shared" ca="1" si="50"/>
        <v>11.52557012403582</v>
      </c>
    </row>
    <row r="427" spans="7:17" x14ac:dyDescent="0.25">
      <c r="G427" s="3">
        <f t="shared" ca="1" si="45"/>
        <v>2</v>
      </c>
      <c r="H427" s="3">
        <f t="shared" ca="1" si="46"/>
        <v>4.5897580713861341</v>
      </c>
      <c r="I427" s="3">
        <f t="shared" ca="1" si="47"/>
        <v>10.71186033257778</v>
      </c>
      <c r="O427" s="3">
        <f t="shared" ca="1" si="48"/>
        <v>0.68088151951922349</v>
      </c>
      <c r="P427" s="3">
        <f t="shared" ca="1" si="49"/>
        <v>4.7084275863481189</v>
      </c>
      <c r="Q427" s="3">
        <f t="shared" ca="1" si="50"/>
        <v>4.7574037015484381</v>
      </c>
    </row>
    <row r="428" spans="7:17" x14ac:dyDescent="0.25">
      <c r="G428" s="3">
        <f t="shared" ca="1" si="45"/>
        <v>0</v>
      </c>
      <c r="H428" s="3">
        <f t="shared" ca="1" si="46"/>
        <v>2.4631557234653987</v>
      </c>
      <c r="I428" s="3">
        <f t="shared" ca="1" si="47"/>
        <v>7.8472219980471412</v>
      </c>
      <c r="O428" s="3">
        <f t="shared" ca="1" si="48"/>
        <v>-6.8038574360983999</v>
      </c>
      <c r="P428" s="3">
        <f t="shared" ca="1" si="49"/>
        <v>10.238427661289222</v>
      </c>
      <c r="Q428" s="3">
        <f t="shared" ca="1" si="50"/>
        <v>12.293001138298319</v>
      </c>
    </row>
    <row r="429" spans="7:17" x14ac:dyDescent="0.25">
      <c r="G429" s="3">
        <f t="shared" ca="1" si="45"/>
        <v>1</v>
      </c>
      <c r="H429" s="3">
        <f t="shared" ca="1" si="46"/>
        <v>4.8915365992612108</v>
      </c>
      <c r="I429" s="3">
        <f t="shared" ca="1" si="47"/>
        <v>11.058409242812923</v>
      </c>
      <c r="O429" s="3">
        <f t="shared" ca="1" si="48"/>
        <v>-11.996801736447164</v>
      </c>
      <c r="P429" s="3">
        <f t="shared" ca="1" si="49"/>
        <v>-0.82194718020469459</v>
      </c>
      <c r="Q429" s="3">
        <f t="shared" ca="1" si="50"/>
        <v>12.024926156557807</v>
      </c>
    </row>
    <row r="430" spans="7:17" x14ac:dyDescent="0.25">
      <c r="G430" s="3">
        <f t="shared" ca="1" si="45"/>
        <v>0</v>
      </c>
      <c r="H430" s="3">
        <f t="shared" ca="1" si="46"/>
        <v>1.5277989566091101</v>
      </c>
      <c r="I430" s="3">
        <f t="shared" ca="1" si="47"/>
        <v>6.1802082420601137</v>
      </c>
      <c r="O430" s="3">
        <f t="shared" ca="1" si="48"/>
        <v>1.0965087055194402</v>
      </c>
      <c r="P430" s="3">
        <f t="shared" ca="1" si="49"/>
        <v>2.6047950086320024</v>
      </c>
      <c r="Q430" s="3">
        <f t="shared" ca="1" si="50"/>
        <v>2.826179112914486</v>
      </c>
    </row>
    <row r="431" spans="7:17" x14ac:dyDescent="0.25">
      <c r="G431" s="3">
        <f t="shared" ca="1" si="45"/>
        <v>0</v>
      </c>
      <c r="H431" s="3">
        <f t="shared" ca="1" si="46"/>
        <v>0.40857650106578347</v>
      </c>
      <c r="I431" s="3">
        <f t="shared" ca="1" si="47"/>
        <v>3.1959994566089316</v>
      </c>
      <c r="O431" s="3">
        <f t="shared" ca="1" si="48"/>
        <v>-13.900086472773868</v>
      </c>
      <c r="P431" s="3">
        <f t="shared" ca="1" si="49"/>
        <v>-8.6607879705898512</v>
      </c>
      <c r="Q431" s="3">
        <f t="shared" ca="1" si="50"/>
        <v>16.37747392677225</v>
      </c>
    </row>
    <row r="432" spans="7:17" x14ac:dyDescent="0.25">
      <c r="G432" s="3">
        <f t="shared" ca="1" si="45"/>
        <v>0</v>
      </c>
      <c r="H432" s="3">
        <f t="shared" ca="1" si="46"/>
        <v>0.24628948154024496</v>
      </c>
      <c r="I432" s="3">
        <f t="shared" ca="1" si="47"/>
        <v>2.4813780523141018</v>
      </c>
      <c r="O432" s="3">
        <f t="shared" ca="1" si="48"/>
        <v>-10.664917609632287</v>
      </c>
      <c r="P432" s="3">
        <f t="shared" ca="1" si="49"/>
        <v>1.0383543798979542</v>
      </c>
      <c r="Q432" s="3">
        <f t="shared" ca="1" si="50"/>
        <v>10.715346351775015</v>
      </c>
    </row>
    <row r="433" spans="7:17" x14ac:dyDescent="0.25">
      <c r="G433" s="3">
        <f t="shared" ca="1" si="45"/>
        <v>0</v>
      </c>
      <c r="H433" s="3">
        <f t="shared" ca="1" si="46"/>
        <v>0.64282295513589804</v>
      </c>
      <c r="I433" s="3">
        <f t="shared" ca="1" si="47"/>
        <v>4.0088120283192943</v>
      </c>
      <c r="O433" s="3">
        <f t="shared" ca="1" si="48"/>
        <v>-5.25189047471736</v>
      </c>
      <c r="P433" s="3">
        <f t="shared" ca="1" si="49"/>
        <v>-4.111402956144417</v>
      </c>
      <c r="Q433" s="3">
        <f t="shared" ca="1" si="50"/>
        <v>6.6697816925458655</v>
      </c>
    </row>
    <row r="434" spans="7:17" x14ac:dyDescent="0.25">
      <c r="G434" s="3">
        <f t="shared" ca="1" si="45"/>
        <v>0</v>
      </c>
      <c r="H434" s="3">
        <f t="shared" ca="1" si="46"/>
        <v>0.58651393055446144</v>
      </c>
      <c r="I434" s="3">
        <f t="shared" ca="1" si="47"/>
        <v>3.8292098746166339</v>
      </c>
      <c r="O434" s="3">
        <f t="shared" ca="1" si="48"/>
        <v>0.51750735975570539</v>
      </c>
      <c r="P434" s="3">
        <f t="shared" ca="1" si="49"/>
        <v>-4.7768115006098109</v>
      </c>
      <c r="Q434" s="3">
        <f t="shared" ca="1" si="50"/>
        <v>4.8047624269842393</v>
      </c>
    </row>
    <row r="435" spans="7:17" x14ac:dyDescent="0.25">
      <c r="G435" s="3">
        <f t="shared" ca="1" si="45"/>
        <v>0</v>
      </c>
      <c r="H435" s="3">
        <f t="shared" ca="1" si="46"/>
        <v>6.7465757841577014</v>
      </c>
      <c r="I435" s="3">
        <f t="shared" ca="1" si="47"/>
        <v>12.987085685554806</v>
      </c>
      <c r="O435" s="3">
        <f t="shared" ca="1" si="48"/>
        <v>-1.4473664070203944</v>
      </c>
      <c r="P435" s="3">
        <f t="shared" ca="1" si="49"/>
        <v>-9.0024798132450373E-2</v>
      </c>
      <c r="Q435" s="3">
        <f t="shared" ca="1" si="50"/>
        <v>1.4501634323240655</v>
      </c>
    </row>
    <row r="436" spans="7:17" x14ac:dyDescent="0.25">
      <c r="G436" s="3">
        <f t="shared" ca="1" si="45"/>
        <v>0</v>
      </c>
      <c r="H436" s="3">
        <f t="shared" ca="1" si="46"/>
        <v>0.81881205913113986</v>
      </c>
      <c r="I436" s="3">
        <f t="shared" ca="1" si="47"/>
        <v>4.5244117273164361</v>
      </c>
      <c r="O436" s="3">
        <f t="shared" ca="1" si="48"/>
        <v>4.8289698410882806</v>
      </c>
      <c r="P436" s="3">
        <f t="shared" ca="1" si="49"/>
        <v>3.9447887543804723</v>
      </c>
      <c r="Q436" s="3">
        <f t="shared" ca="1" si="50"/>
        <v>6.2354076083947243</v>
      </c>
    </row>
    <row r="437" spans="7:17" x14ac:dyDescent="0.25">
      <c r="G437" s="3">
        <f t="shared" ca="1" si="45"/>
        <v>1</v>
      </c>
      <c r="H437" s="3">
        <f t="shared" ca="1" si="46"/>
        <v>0.60155084736108377</v>
      </c>
      <c r="I437" s="3">
        <f t="shared" ca="1" si="47"/>
        <v>3.877985454334131</v>
      </c>
      <c r="O437" s="3">
        <f t="shared" ca="1" si="48"/>
        <v>-12.461087393090395</v>
      </c>
      <c r="P437" s="3">
        <f t="shared" ca="1" si="49"/>
        <v>-8.4584285005299229</v>
      </c>
      <c r="Q437" s="3">
        <f t="shared" ca="1" si="50"/>
        <v>15.060667704879929</v>
      </c>
    </row>
    <row r="438" spans="7:17" x14ac:dyDescent="0.25">
      <c r="G438" s="3">
        <f t="shared" ca="1" si="45"/>
        <v>0</v>
      </c>
      <c r="H438" s="3">
        <f t="shared" ca="1" si="46"/>
        <v>1.0409143318381151</v>
      </c>
      <c r="I438" s="3">
        <f t="shared" ca="1" si="47"/>
        <v>5.1012604614891881</v>
      </c>
      <c r="O438" s="3">
        <f t="shared" ca="1" si="48"/>
        <v>-3.8167039427948701</v>
      </c>
      <c r="P438" s="3">
        <f t="shared" ca="1" si="49"/>
        <v>10.811523424295702</v>
      </c>
      <c r="Q438" s="3">
        <f t="shared" ca="1" si="50"/>
        <v>11.465437965513596</v>
      </c>
    </row>
    <row r="439" spans="7:17" x14ac:dyDescent="0.25">
      <c r="G439" s="3">
        <f t="shared" ca="1" si="45"/>
        <v>1</v>
      </c>
      <c r="H439" s="3">
        <f t="shared" ca="1" si="46"/>
        <v>3.5481855902012116</v>
      </c>
      <c r="I439" s="3">
        <f t="shared" ca="1" si="47"/>
        <v>9.4183140611804976</v>
      </c>
      <c r="O439" s="3">
        <f t="shared" ca="1" si="48"/>
        <v>0.22590591613368094</v>
      </c>
      <c r="P439" s="3">
        <f t="shared" ca="1" si="49"/>
        <v>2.5829763958610856</v>
      </c>
      <c r="Q439" s="3">
        <f t="shared" ca="1" si="50"/>
        <v>2.5928363898479443</v>
      </c>
    </row>
    <row r="440" spans="7:17" x14ac:dyDescent="0.25">
      <c r="G440" s="3">
        <f t="shared" ca="1" si="45"/>
        <v>0</v>
      </c>
      <c r="H440" s="3">
        <f t="shared" ca="1" si="46"/>
        <v>4.9493673713815998</v>
      </c>
      <c r="I440" s="3">
        <f t="shared" ca="1" si="47"/>
        <v>11.123586844383425</v>
      </c>
      <c r="O440" s="3">
        <f t="shared" ca="1" si="48"/>
        <v>-15.948099981110268</v>
      </c>
      <c r="P440" s="3">
        <f t="shared" ca="1" si="49"/>
        <v>5.1714427251021382</v>
      </c>
      <c r="Q440" s="3">
        <f t="shared" ca="1" si="50"/>
        <v>16.765611019777989</v>
      </c>
    </row>
    <row r="441" spans="7:17" x14ac:dyDescent="0.25">
      <c r="G441" s="3">
        <f t="shared" ca="1" si="45"/>
        <v>1</v>
      </c>
      <c r="H441" s="3">
        <f t="shared" ca="1" si="46"/>
        <v>3.7204401380909813</v>
      </c>
      <c r="I441" s="3">
        <f t="shared" ca="1" si="47"/>
        <v>9.6442212465431627</v>
      </c>
      <c r="O441" s="3">
        <f t="shared" ca="1" si="48"/>
        <v>1.8875559815144083</v>
      </c>
      <c r="P441" s="3">
        <f t="shared" ca="1" si="49"/>
        <v>8.86521725333197</v>
      </c>
      <c r="Q441" s="3">
        <f t="shared" ca="1" si="50"/>
        <v>9.0639364810288505</v>
      </c>
    </row>
    <row r="442" spans="7:17" x14ac:dyDescent="0.25">
      <c r="G442" s="3">
        <f t="shared" ca="1" si="45"/>
        <v>1</v>
      </c>
      <c r="H442" s="3">
        <f t="shared" ca="1" si="46"/>
        <v>5.8431215918651516</v>
      </c>
      <c r="I442" s="3">
        <f t="shared" ca="1" si="47"/>
        <v>12.086274851939649</v>
      </c>
      <c r="O442" s="3">
        <f t="shared" ca="1" si="48"/>
        <v>-1.0335226431840483</v>
      </c>
      <c r="P442" s="3">
        <f t="shared" ca="1" si="49"/>
        <v>-0.61217524786718092</v>
      </c>
      <c r="Q442" s="3">
        <f t="shared" ca="1" si="50"/>
        <v>1.201219209001998</v>
      </c>
    </row>
    <row r="443" spans="7:17" x14ac:dyDescent="0.25">
      <c r="G443" s="3">
        <f t="shared" ca="1" si="45"/>
        <v>1</v>
      </c>
      <c r="H443" s="3">
        <f t="shared" ca="1" si="46"/>
        <v>0.91043741180906301</v>
      </c>
      <c r="I443" s="3">
        <f t="shared" ca="1" si="47"/>
        <v>4.77084219978261</v>
      </c>
      <c r="O443" s="3">
        <f t="shared" ca="1" si="48"/>
        <v>-6.3459962182081338</v>
      </c>
      <c r="P443" s="3">
        <f t="shared" ca="1" si="49"/>
        <v>0.83718302758530849</v>
      </c>
      <c r="Q443" s="3">
        <f t="shared" ca="1" si="50"/>
        <v>6.4009798799237636</v>
      </c>
    </row>
    <row r="444" spans="7:17" x14ac:dyDescent="0.25">
      <c r="G444" s="3">
        <f t="shared" ca="1" si="45"/>
        <v>1</v>
      </c>
      <c r="H444" s="3">
        <f t="shared" ca="1" si="46"/>
        <v>1.7242928932230139</v>
      </c>
      <c r="I444" s="3">
        <f t="shared" ca="1" si="47"/>
        <v>6.5656166755739971</v>
      </c>
      <c r="O444" s="3">
        <f t="shared" ca="1" si="48"/>
        <v>-6.3649023306807502</v>
      </c>
      <c r="P444" s="3">
        <f t="shared" ca="1" si="49"/>
        <v>-0.69045735149812315</v>
      </c>
      <c r="Q444" s="3">
        <f t="shared" ca="1" si="50"/>
        <v>6.4022428127448476</v>
      </c>
    </row>
    <row r="445" spans="7:17" x14ac:dyDescent="0.25">
      <c r="G445" s="3">
        <f t="shared" ca="1" si="45"/>
        <v>1</v>
      </c>
      <c r="H445" s="3">
        <f t="shared" ca="1" si="46"/>
        <v>2.6430625613615231</v>
      </c>
      <c r="I445" s="3">
        <f t="shared" ca="1" si="47"/>
        <v>8.1287492293733656</v>
      </c>
      <c r="O445" s="3">
        <f t="shared" ca="1" si="48"/>
        <v>-4.8791348065487625</v>
      </c>
      <c r="P445" s="3">
        <f t="shared" ca="1" si="49"/>
        <v>3.8904567095207256</v>
      </c>
      <c r="Q445" s="3">
        <f t="shared" ca="1" si="50"/>
        <v>6.2403212953445317</v>
      </c>
    </row>
    <row r="446" spans="7:17" x14ac:dyDescent="0.25">
      <c r="G446" s="3">
        <f t="shared" ca="1" si="45"/>
        <v>0</v>
      </c>
      <c r="H446" s="3">
        <f t="shared" ca="1" si="46"/>
        <v>0.66607722015338078</v>
      </c>
      <c r="I446" s="3">
        <f t="shared" ca="1" si="47"/>
        <v>4.0806777015386206</v>
      </c>
      <c r="O446" s="3">
        <f t="shared" ca="1" si="48"/>
        <v>-0.173224261529759</v>
      </c>
      <c r="P446" s="3">
        <f t="shared" ca="1" si="49"/>
        <v>2.7375030014776227E-2</v>
      </c>
      <c r="Q446" s="3">
        <f t="shared" ca="1" si="50"/>
        <v>0.17537399194532879</v>
      </c>
    </row>
    <row r="447" spans="7:17" x14ac:dyDescent="0.25">
      <c r="G447" s="3">
        <f t="shared" ca="1" si="45"/>
        <v>1</v>
      </c>
      <c r="H447" s="3">
        <f t="shared" ca="1" si="46"/>
        <v>2.7652432921095227</v>
      </c>
      <c r="I447" s="3">
        <f t="shared" ca="1" si="47"/>
        <v>8.314510346541045</v>
      </c>
      <c r="O447" s="3">
        <f t="shared" ca="1" si="48"/>
        <v>0.3307081751556602</v>
      </c>
      <c r="P447" s="3">
        <f t="shared" ca="1" si="49"/>
        <v>-0.84977373851988025</v>
      </c>
      <c r="Q447" s="3">
        <f t="shared" ca="1" si="50"/>
        <v>0.91185706324666949</v>
      </c>
    </row>
    <row r="448" spans="7:17" x14ac:dyDescent="0.25">
      <c r="G448" s="3">
        <f t="shared" ca="1" si="45"/>
        <v>0</v>
      </c>
      <c r="H448" s="3">
        <f t="shared" ca="1" si="46"/>
        <v>3.1562751127798401</v>
      </c>
      <c r="I448" s="3">
        <f t="shared" ca="1" si="47"/>
        <v>8.8829543407301159</v>
      </c>
      <c r="O448" s="3">
        <f t="shared" ca="1" si="48"/>
        <v>-9.5461869112107927</v>
      </c>
      <c r="P448" s="3">
        <f t="shared" ca="1" si="49"/>
        <v>10.305175417285611</v>
      </c>
      <c r="Q448" s="3">
        <f t="shared" ca="1" si="50"/>
        <v>14.047288881659689</v>
      </c>
    </row>
    <row r="449" spans="7:17" x14ac:dyDescent="0.25">
      <c r="G449" s="3">
        <f t="shared" ca="1" si="45"/>
        <v>0</v>
      </c>
      <c r="H449" s="3">
        <f t="shared" ca="1" si="46"/>
        <v>11.632931617742674</v>
      </c>
      <c r="I449" s="3">
        <f t="shared" ca="1" si="47"/>
        <v>17.053541873862063</v>
      </c>
      <c r="O449" s="3">
        <f t="shared" ca="1" si="48"/>
        <v>-2.6113457864370195</v>
      </c>
      <c r="P449" s="3">
        <f t="shared" ca="1" si="49"/>
        <v>-6.5459681870725289E-2</v>
      </c>
      <c r="Q449" s="3">
        <f t="shared" ca="1" si="50"/>
        <v>2.612166110011573</v>
      </c>
    </row>
    <row r="450" spans="7:17" x14ac:dyDescent="0.25">
      <c r="G450" s="3">
        <f t="shared" ca="1" si="45"/>
        <v>0</v>
      </c>
      <c r="H450" s="3">
        <f t="shared" ca="1" si="46"/>
        <v>1.1074310675414412</v>
      </c>
      <c r="I450" s="3">
        <f t="shared" ca="1" si="47"/>
        <v>5.261727538417019</v>
      </c>
      <c r="O450" s="3">
        <f t="shared" ca="1" si="48"/>
        <v>-6.9943581105659085</v>
      </c>
      <c r="P450" s="3">
        <f t="shared" ca="1" si="49"/>
        <v>-1.0423077870293742</v>
      </c>
      <c r="Q450" s="3">
        <f t="shared" ca="1" si="50"/>
        <v>7.0715946505538039</v>
      </c>
    </row>
    <row r="451" spans="7:17" x14ac:dyDescent="0.25">
      <c r="G451" s="3">
        <f t="shared" ca="1" si="45"/>
        <v>1</v>
      </c>
      <c r="H451" s="3">
        <f t="shared" ca="1" si="46"/>
        <v>3.2910011034539228</v>
      </c>
      <c r="I451" s="3">
        <f t="shared" ca="1" si="47"/>
        <v>9.0705582841602457</v>
      </c>
      <c r="O451" s="3">
        <f t="shared" ca="1" si="48"/>
        <v>-3.3463886912334306</v>
      </c>
      <c r="P451" s="3">
        <f t="shared" ca="1" si="49"/>
        <v>1.2972664436332719</v>
      </c>
      <c r="Q451" s="3">
        <f t="shared" ca="1" si="50"/>
        <v>3.5890413063368203</v>
      </c>
    </row>
    <row r="452" spans="7:17" x14ac:dyDescent="0.25">
      <c r="G452" s="3">
        <f t="shared" ref="G452:G515" ca="1" si="51">VLOOKUP(RAND(),$B$9:$C$169,2,TRUE)</f>
        <v>1</v>
      </c>
      <c r="H452" s="3">
        <f t="shared" ref="H452:H515" ca="1" si="52">_xlfn.CHISQ.INV(RAND(),2*G452+2)</f>
        <v>12.029450732105516</v>
      </c>
      <c r="I452" s="3">
        <f t="shared" ref="I452:I515" ca="1" si="53">$C$4*SQRT(H452)</f>
        <v>17.341749286119839</v>
      </c>
      <c r="O452" s="3">
        <f t="shared" ref="O452:O515" ca="1" si="54">_xlfn.NORM.INV(RAND(),$C$3*COS($N$2),$C$4)</f>
        <v>-1.5166512341043452</v>
      </c>
      <c r="P452" s="3">
        <f t="shared" ref="P452:P515" ca="1" si="55">_xlfn.NORM.INV(RAND(),$C$3*SIN($N$2),$C$4)</f>
        <v>0.74820403796786761</v>
      </c>
      <c r="Q452" s="3">
        <f t="shared" ref="Q452:Q515" ca="1" si="56">SQRT(O452^2+P452^2)</f>
        <v>1.6911653521585805</v>
      </c>
    </row>
    <row r="453" spans="7:17" x14ac:dyDescent="0.25">
      <c r="G453" s="3">
        <f t="shared" ca="1" si="51"/>
        <v>1</v>
      </c>
      <c r="H453" s="3">
        <f t="shared" ca="1" si="52"/>
        <v>0.79082553076467799</v>
      </c>
      <c r="I453" s="3">
        <f t="shared" ca="1" si="53"/>
        <v>4.4464185890575969</v>
      </c>
      <c r="O453" s="3">
        <f t="shared" ca="1" si="54"/>
        <v>0.61347253545975722</v>
      </c>
      <c r="P453" s="3">
        <f t="shared" ca="1" si="55"/>
        <v>-11.946226620345575</v>
      </c>
      <c r="Q453" s="3">
        <f t="shared" ca="1" si="56"/>
        <v>11.961968024385314</v>
      </c>
    </row>
    <row r="454" spans="7:17" x14ac:dyDescent="0.25">
      <c r="G454" s="3">
        <f t="shared" ca="1" si="51"/>
        <v>1</v>
      </c>
      <c r="H454" s="3">
        <f t="shared" ca="1" si="52"/>
        <v>1.3476255388563831</v>
      </c>
      <c r="I454" s="3">
        <f t="shared" ca="1" si="53"/>
        <v>5.8043637438921403</v>
      </c>
      <c r="O454" s="3">
        <f t="shared" ca="1" si="54"/>
        <v>-10.456117537831012</v>
      </c>
      <c r="P454" s="3">
        <f t="shared" ca="1" si="55"/>
        <v>-4.0776133267742249</v>
      </c>
      <c r="Q454" s="3">
        <f t="shared" ca="1" si="56"/>
        <v>11.22307107736666</v>
      </c>
    </row>
    <row r="455" spans="7:17" x14ac:dyDescent="0.25">
      <c r="G455" s="3">
        <f t="shared" ca="1" si="51"/>
        <v>0</v>
      </c>
      <c r="H455" s="3">
        <f t="shared" ca="1" si="52"/>
        <v>1.0657663808746147</v>
      </c>
      <c r="I455" s="3">
        <f t="shared" ca="1" si="53"/>
        <v>5.1617980899939671</v>
      </c>
      <c r="O455" s="3">
        <f t="shared" ca="1" si="54"/>
        <v>1.4615328924821691</v>
      </c>
      <c r="P455" s="3">
        <f t="shared" ca="1" si="55"/>
        <v>-2.8675595407222461</v>
      </c>
      <c r="Q455" s="3">
        <f t="shared" ca="1" si="56"/>
        <v>3.2185363312217676</v>
      </c>
    </row>
    <row r="456" spans="7:17" x14ac:dyDescent="0.25">
      <c r="G456" s="3">
        <f t="shared" ca="1" si="51"/>
        <v>0</v>
      </c>
      <c r="H456" s="3">
        <f t="shared" ca="1" si="52"/>
        <v>3.1019948671244966</v>
      </c>
      <c r="I456" s="3">
        <f t="shared" ca="1" si="53"/>
        <v>8.80624049626811</v>
      </c>
      <c r="O456" s="3">
        <f t="shared" ca="1" si="54"/>
        <v>-1.9011576746789731</v>
      </c>
      <c r="P456" s="3">
        <f t="shared" ca="1" si="55"/>
        <v>-8.0945151191989702</v>
      </c>
      <c r="Q456" s="3">
        <f t="shared" ca="1" si="56"/>
        <v>8.3147805454462524</v>
      </c>
    </row>
    <row r="457" spans="7:17" x14ac:dyDescent="0.25">
      <c r="G457" s="3">
        <f t="shared" ca="1" si="51"/>
        <v>0</v>
      </c>
      <c r="H457" s="3">
        <f t="shared" ca="1" si="52"/>
        <v>1.1399870786553898</v>
      </c>
      <c r="I457" s="3">
        <f t="shared" ca="1" si="53"/>
        <v>5.3385088710598527</v>
      </c>
      <c r="O457" s="3">
        <f t="shared" ca="1" si="54"/>
        <v>-0.88063222072496483</v>
      </c>
      <c r="P457" s="3">
        <f t="shared" ca="1" si="55"/>
        <v>-5.3708577243932725</v>
      </c>
      <c r="Q457" s="3">
        <f t="shared" ca="1" si="56"/>
        <v>5.4425752915190682</v>
      </c>
    </row>
    <row r="458" spans="7:17" x14ac:dyDescent="0.25">
      <c r="G458" s="3">
        <f t="shared" ca="1" si="51"/>
        <v>2</v>
      </c>
      <c r="H458" s="3">
        <f t="shared" ca="1" si="52"/>
        <v>4.1188264943711328</v>
      </c>
      <c r="I458" s="3">
        <f t="shared" ca="1" si="53"/>
        <v>10.147446100338662</v>
      </c>
      <c r="O458" s="3">
        <f t="shared" ca="1" si="54"/>
        <v>-13.065361389624583</v>
      </c>
      <c r="P458" s="3">
        <f t="shared" ca="1" si="55"/>
        <v>-7.0320132817091148</v>
      </c>
      <c r="Q458" s="3">
        <f t="shared" ca="1" si="56"/>
        <v>14.837549630435149</v>
      </c>
    </row>
    <row r="459" spans="7:17" x14ac:dyDescent="0.25">
      <c r="G459" s="3">
        <f t="shared" ca="1" si="51"/>
        <v>0</v>
      </c>
      <c r="H459" s="3">
        <f t="shared" ca="1" si="52"/>
        <v>0.73066055229584048</v>
      </c>
      <c r="I459" s="3">
        <f t="shared" ca="1" si="53"/>
        <v>4.2739342305884884</v>
      </c>
      <c r="O459" s="3">
        <f t="shared" ca="1" si="54"/>
        <v>1.9460011111528868</v>
      </c>
      <c r="P459" s="3">
        <f t="shared" ca="1" si="55"/>
        <v>-8.7322303116260542</v>
      </c>
      <c r="Q459" s="3">
        <f t="shared" ca="1" si="56"/>
        <v>8.9464387629877127</v>
      </c>
    </row>
    <row r="460" spans="7:17" x14ac:dyDescent="0.25">
      <c r="G460" s="3">
        <f t="shared" ca="1" si="51"/>
        <v>0</v>
      </c>
      <c r="H460" s="3">
        <f t="shared" ca="1" si="52"/>
        <v>4.5692273527458953</v>
      </c>
      <c r="I460" s="3">
        <f t="shared" ca="1" si="53"/>
        <v>10.687875552168792</v>
      </c>
      <c r="O460" s="3">
        <f t="shared" ca="1" si="54"/>
        <v>-14.92399708684116</v>
      </c>
      <c r="P460" s="3">
        <f t="shared" ca="1" si="55"/>
        <v>3.0260622880270858</v>
      </c>
      <c r="Q460" s="3">
        <f t="shared" ca="1" si="56"/>
        <v>15.227696543438968</v>
      </c>
    </row>
    <row r="461" spans="7:17" x14ac:dyDescent="0.25">
      <c r="G461" s="3">
        <f t="shared" ca="1" si="51"/>
        <v>0</v>
      </c>
      <c r="H461" s="3">
        <f t="shared" ca="1" si="52"/>
        <v>5.5826511301414401</v>
      </c>
      <c r="I461" s="3">
        <f t="shared" ca="1" si="53"/>
        <v>11.813817260036487</v>
      </c>
      <c r="O461" s="3">
        <f t="shared" ca="1" si="54"/>
        <v>-1.4134528250263205</v>
      </c>
      <c r="P461" s="3">
        <f t="shared" ca="1" si="55"/>
        <v>-0.50532356403938261</v>
      </c>
      <c r="Q461" s="3">
        <f t="shared" ca="1" si="56"/>
        <v>1.5010665518051991</v>
      </c>
    </row>
    <row r="462" spans="7:17" x14ac:dyDescent="0.25">
      <c r="G462" s="3">
        <f t="shared" ca="1" si="51"/>
        <v>1</v>
      </c>
      <c r="H462" s="3">
        <f t="shared" ca="1" si="52"/>
        <v>4.749766447164312</v>
      </c>
      <c r="I462" s="3">
        <f t="shared" ca="1" si="53"/>
        <v>10.89697945208248</v>
      </c>
      <c r="O462" s="3">
        <f t="shared" ca="1" si="54"/>
        <v>0.90642888795405607</v>
      </c>
      <c r="P462" s="3">
        <f t="shared" ca="1" si="55"/>
        <v>4.746241142461475</v>
      </c>
      <c r="Q462" s="3">
        <f t="shared" ca="1" si="56"/>
        <v>4.8320201066750164</v>
      </c>
    </row>
    <row r="463" spans="7:17" x14ac:dyDescent="0.25">
      <c r="G463" s="3">
        <f t="shared" ca="1" si="51"/>
        <v>0</v>
      </c>
      <c r="H463" s="3">
        <f t="shared" ca="1" si="52"/>
        <v>0.30134302422412734</v>
      </c>
      <c r="I463" s="3">
        <f t="shared" ca="1" si="53"/>
        <v>2.7447359810377359</v>
      </c>
      <c r="O463" s="3">
        <f t="shared" ca="1" si="54"/>
        <v>4.0016756119553847</v>
      </c>
      <c r="P463" s="3">
        <f t="shared" ca="1" si="55"/>
        <v>-0.1606091225745517</v>
      </c>
      <c r="Q463" s="3">
        <f t="shared" ca="1" si="56"/>
        <v>4.0048973761599269</v>
      </c>
    </row>
    <row r="464" spans="7:17" x14ac:dyDescent="0.25">
      <c r="G464" s="3">
        <f t="shared" ca="1" si="51"/>
        <v>0</v>
      </c>
      <c r="H464" s="3">
        <f t="shared" ca="1" si="52"/>
        <v>5.8191732895206867</v>
      </c>
      <c r="I464" s="3">
        <f t="shared" ca="1" si="53"/>
        <v>12.061481345092615</v>
      </c>
      <c r="O464" s="3">
        <f t="shared" ca="1" si="54"/>
        <v>-1.9900906988977614</v>
      </c>
      <c r="P464" s="3">
        <f t="shared" ca="1" si="55"/>
        <v>2.9060705646137781</v>
      </c>
      <c r="Q464" s="3">
        <f t="shared" ca="1" si="56"/>
        <v>3.5221736351795636</v>
      </c>
    </row>
    <row r="465" spans="7:17" x14ac:dyDescent="0.25">
      <c r="G465" s="3">
        <f t="shared" ca="1" si="51"/>
        <v>0</v>
      </c>
      <c r="H465" s="3">
        <f t="shared" ca="1" si="52"/>
        <v>6.6001007709927917</v>
      </c>
      <c r="I465" s="3">
        <f t="shared" ca="1" si="53"/>
        <v>12.845330640930182</v>
      </c>
      <c r="O465" s="3">
        <f t="shared" ca="1" si="54"/>
        <v>-2.3196559216059813</v>
      </c>
      <c r="P465" s="3">
        <f t="shared" ca="1" si="55"/>
        <v>-3.3485018925315924</v>
      </c>
      <c r="Q465" s="3">
        <f t="shared" ca="1" si="56"/>
        <v>4.0734835852043583</v>
      </c>
    </row>
    <row r="466" spans="7:17" x14ac:dyDescent="0.25">
      <c r="G466" s="3">
        <f t="shared" ca="1" si="51"/>
        <v>0</v>
      </c>
      <c r="H466" s="3">
        <f t="shared" ca="1" si="52"/>
        <v>2.2866714890619169</v>
      </c>
      <c r="I466" s="3">
        <f t="shared" ca="1" si="53"/>
        <v>7.560872120764107</v>
      </c>
      <c r="O466" s="3">
        <f t="shared" ca="1" si="54"/>
        <v>-1.0935368707277289</v>
      </c>
      <c r="P466" s="3">
        <f t="shared" ca="1" si="55"/>
        <v>-0.33311192242184307</v>
      </c>
      <c r="Q466" s="3">
        <f t="shared" ca="1" si="56"/>
        <v>1.1431476022371607</v>
      </c>
    </row>
    <row r="467" spans="7:17" x14ac:dyDescent="0.25">
      <c r="G467" s="3">
        <f t="shared" ca="1" si="51"/>
        <v>0</v>
      </c>
      <c r="H467" s="3">
        <f t="shared" ca="1" si="52"/>
        <v>2.2296489208686814</v>
      </c>
      <c r="I467" s="3">
        <f t="shared" ca="1" si="53"/>
        <v>7.4660044884608148</v>
      </c>
      <c r="O467" s="3">
        <f t="shared" ca="1" si="54"/>
        <v>2.5034727817988323</v>
      </c>
      <c r="P467" s="3">
        <f t="shared" ca="1" si="55"/>
        <v>-3.5956089974819503</v>
      </c>
      <c r="Q467" s="3">
        <f t="shared" ca="1" si="56"/>
        <v>4.3812988978133802</v>
      </c>
    </row>
    <row r="468" spans="7:17" x14ac:dyDescent="0.25">
      <c r="G468" s="3">
        <f t="shared" ca="1" si="51"/>
        <v>1</v>
      </c>
      <c r="H468" s="3">
        <f t="shared" ca="1" si="52"/>
        <v>2.4709782785319558</v>
      </c>
      <c r="I468" s="3">
        <f t="shared" ca="1" si="53"/>
        <v>7.8596728280061949</v>
      </c>
      <c r="O468" s="3">
        <f t="shared" ca="1" si="54"/>
        <v>-13.804315985742249</v>
      </c>
      <c r="P468" s="3">
        <f t="shared" ca="1" si="55"/>
        <v>-6.920691423781915</v>
      </c>
      <c r="Q468" s="3">
        <f t="shared" ca="1" si="56"/>
        <v>15.441991763287131</v>
      </c>
    </row>
    <row r="469" spans="7:17" x14ac:dyDescent="0.25">
      <c r="G469" s="3">
        <f t="shared" ca="1" si="51"/>
        <v>2</v>
      </c>
      <c r="H469" s="3">
        <f t="shared" ca="1" si="52"/>
        <v>7.5461836651932961</v>
      </c>
      <c r="I469" s="3">
        <f t="shared" ca="1" si="53"/>
        <v>13.735158959030375</v>
      </c>
      <c r="O469" s="3">
        <f t="shared" ca="1" si="54"/>
        <v>-14.372755078420125</v>
      </c>
      <c r="P469" s="3">
        <f t="shared" ca="1" si="55"/>
        <v>-8.7816943113213259</v>
      </c>
      <c r="Q469" s="3">
        <f t="shared" ca="1" si="56"/>
        <v>16.843225448878396</v>
      </c>
    </row>
    <row r="470" spans="7:17" x14ac:dyDescent="0.25">
      <c r="G470" s="3">
        <f t="shared" ca="1" si="51"/>
        <v>0</v>
      </c>
      <c r="H470" s="3">
        <f t="shared" ca="1" si="52"/>
        <v>2.5574444285164168</v>
      </c>
      <c r="I470" s="3">
        <f t="shared" ca="1" si="53"/>
        <v>7.9960059225159679</v>
      </c>
      <c r="O470" s="3">
        <f t="shared" ca="1" si="54"/>
        <v>-16.772653363901206</v>
      </c>
      <c r="P470" s="3">
        <f t="shared" ca="1" si="55"/>
        <v>-1.3535473454710722</v>
      </c>
      <c r="Q470" s="3">
        <f t="shared" ca="1" si="56"/>
        <v>16.827180134592314</v>
      </c>
    </row>
    <row r="471" spans="7:17" x14ac:dyDescent="0.25">
      <c r="G471" s="3">
        <f t="shared" ca="1" si="51"/>
        <v>2</v>
      </c>
      <c r="H471" s="3">
        <f t="shared" ca="1" si="52"/>
        <v>9.1781613305880949</v>
      </c>
      <c r="I471" s="3">
        <f t="shared" ca="1" si="53"/>
        <v>15.147740203235013</v>
      </c>
      <c r="O471" s="3">
        <f t="shared" ca="1" si="54"/>
        <v>-13.229391781028008</v>
      </c>
      <c r="P471" s="3">
        <f t="shared" ca="1" si="55"/>
        <v>0.52770976155049187</v>
      </c>
      <c r="Q471" s="3">
        <f t="shared" ca="1" si="56"/>
        <v>13.239912555918453</v>
      </c>
    </row>
    <row r="472" spans="7:17" x14ac:dyDescent="0.25">
      <c r="G472" s="3">
        <f t="shared" ca="1" si="51"/>
        <v>0</v>
      </c>
      <c r="H472" s="3">
        <f t="shared" ca="1" si="52"/>
        <v>2.747446867396517E-2</v>
      </c>
      <c r="I472" s="3">
        <f t="shared" ca="1" si="53"/>
        <v>0.82877120898902445</v>
      </c>
      <c r="O472" s="3">
        <f t="shared" ca="1" si="54"/>
        <v>-3.4785682587142301</v>
      </c>
      <c r="P472" s="3">
        <f t="shared" ca="1" si="55"/>
        <v>6.2794048518630214</v>
      </c>
      <c r="Q472" s="3">
        <f t="shared" ca="1" si="56"/>
        <v>7.1785348382615659</v>
      </c>
    </row>
    <row r="473" spans="7:17" x14ac:dyDescent="0.25">
      <c r="G473" s="3">
        <f t="shared" ca="1" si="51"/>
        <v>0</v>
      </c>
      <c r="H473" s="3">
        <f t="shared" ca="1" si="52"/>
        <v>1.2032006913876283</v>
      </c>
      <c r="I473" s="3">
        <f t="shared" ca="1" si="53"/>
        <v>5.4845252560901478</v>
      </c>
      <c r="O473" s="3">
        <f t="shared" ca="1" si="54"/>
        <v>-15.049962761165126</v>
      </c>
      <c r="P473" s="3">
        <f t="shared" ca="1" si="55"/>
        <v>8.694019946112677</v>
      </c>
      <c r="Q473" s="3">
        <f t="shared" ca="1" si="56"/>
        <v>17.380660572482917</v>
      </c>
    </row>
    <row r="474" spans="7:17" x14ac:dyDescent="0.25">
      <c r="G474" s="3">
        <f t="shared" ca="1" si="51"/>
        <v>0</v>
      </c>
      <c r="H474" s="3">
        <f t="shared" ca="1" si="52"/>
        <v>8.8241424503937367</v>
      </c>
      <c r="I474" s="3">
        <f t="shared" ca="1" si="53"/>
        <v>14.852729084577129</v>
      </c>
      <c r="O474" s="3">
        <f t="shared" ca="1" si="54"/>
        <v>-1.0539009521106157</v>
      </c>
      <c r="P474" s="3">
        <f t="shared" ca="1" si="55"/>
        <v>-1.8781871393654137</v>
      </c>
      <c r="Q474" s="3">
        <f t="shared" ca="1" si="56"/>
        <v>2.1536699253454086</v>
      </c>
    </row>
    <row r="475" spans="7:17" x14ac:dyDescent="0.25">
      <c r="G475" s="3">
        <f t="shared" ca="1" si="51"/>
        <v>0</v>
      </c>
      <c r="H475" s="3">
        <f t="shared" ca="1" si="52"/>
        <v>0.65524507691622691</v>
      </c>
      <c r="I475" s="3">
        <f t="shared" ca="1" si="53"/>
        <v>4.0473604883807512</v>
      </c>
      <c r="O475" s="3">
        <f t="shared" ca="1" si="54"/>
        <v>-5.0243567916504492</v>
      </c>
      <c r="P475" s="3">
        <f t="shared" ca="1" si="55"/>
        <v>-3.8144662159002753</v>
      </c>
      <c r="Q475" s="3">
        <f t="shared" ca="1" si="56"/>
        <v>6.3082734311417221</v>
      </c>
    </row>
    <row r="476" spans="7:17" x14ac:dyDescent="0.25">
      <c r="G476" s="3">
        <f t="shared" ca="1" si="51"/>
        <v>0</v>
      </c>
      <c r="H476" s="3">
        <f t="shared" ca="1" si="52"/>
        <v>3.4673807534990972</v>
      </c>
      <c r="I476" s="3">
        <f t="shared" ca="1" si="53"/>
        <v>9.3104521285207973</v>
      </c>
      <c r="O476" s="3">
        <f t="shared" ca="1" si="54"/>
        <v>-1.8471494626511764</v>
      </c>
      <c r="P476" s="3">
        <f t="shared" ca="1" si="55"/>
        <v>3.8511140316969743</v>
      </c>
      <c r="Q476" s="3">
        <f t="shared" ca="1" si="56"/>
        <v>4.271187238052887</v>
      </c>
    </row>
    <row r="477" spans="7:17" x14ac:dyDescent="0.25">
      <c r="G477" s="3">
        <f t="shared" ca="1" si="51"/>
        <v>0</v>
      </c>
      <c r="H477" s="3">
        <f t="shared" ca="1" si="52"/>
        <v>1.1318800851877793</v>
      </c>
      <c r="I477" s="3">
        <f t="shared" ca="1" si="53"/>
        <v>5.3194926571708399</v>
      </c>
      <c r="O477" s="3">
        <f t="shared" ca="1" si="54"/>
        <v>0.65642008874114488</v>
      </c>
      <c r="P477" s="3">
        <f t="shared" ca="1" si="55"/>
        <v>-2.2072656935963888</v>
      </c>
      <c r="Q477" s="3">
        <f t="shared" ca="1" si="56"/>
        <v>2.3028046324059885</v>
      </c>
    </row>
    <row r="478" spans="7:17" x14ac:dyDescent="0.25">
      <c r="G478" s="3">
        <f t="shared" ca="1" si="51"/>
        <v>0</v>
      </c>
      <c r="H478" s="3">
        <f t="shared" ca="1" si="52"/>
        <v>5.4200155610945558E-2</v>
      </c>
      <c r="I478" s="3">
        <f t="shared" ca="1" si="53"/>
        <v>1.1640463436966928</v>
      </c>
      <c r="O478" s="3">
        <f t="shared" ca="1" si="54"/>
        <v>-4.3482373151996052</v>
      </c>
      <c r="P478" s="3">
        <f t="shared" ca="1" si="55"/>
        <v>-3.9233459674990638</v>
      </c>
      <c r="Q478" s="3">
        <f t="shared" ca="1" si="56"/>
        <v>5.8566040783021549</v>
      </c>
    </row>
    <row r="479" spans="7:17" x14ac:dyDescent="0.25">
      <c r="G479" s="3">
        <f t="shared" ca="1" si="51"/>
        <v>0</v>
      </c>
      <c r="H479" s="3">
        <f t="shared" ca="1" si="52"/>
        <v>5.2027007516798252</v>
      </c>
      <c r="I479" s="3">
        <f t="shared" ca="1" si="53"/>
        <v>11.404714761535935</v>
      </c>
      <c r="O479" s="3">
        <f t="shared" ca="1" si="54"/>
        <v>-6.7176531148880354</v>
      </c>
      <c r="P479" s="3">
        <f t="shared" ca="1" si="55"/>
        <v>-7.1247972075588688</v>
      </c>
      <c r="Q479" s="3">
        <f t="shared" ca="1" si="56"/>
        <v>9.7923234536448795</v>
      </c>
    </row>
    <row r="480" spans="7:17" x14ac:dyDescent="0.25">
      <c r="G480" s="3">
        <f t="shared" ca="1" si="51"/>
        <v>1</v>
      </c>
      <c r="H480" s="3">
        <f t="shared" ca="1" si="52"/>
        <v>1.8913408700380065</v>
      </c>
      <c r="I480" s="3">
        <f t="shared" ca="1" si="53"/>
        <v>6.876301458702212</v>
      </c>
      <c r="O480" s="3">
        <f t="shared" ca="1" si="54"/>
        <v>-2.2262377269528066</v>
      </c>
      <c r="P480" s="3">
        <f t="shared" ca="1" si="55"/>
        <v>-0.15547150339920807</v>
      </c>
      <c r="Q480" s="3">
        <f t="shared" ca="1" si="56"/>
        <v>2.2316598767010194</v>
      </c>
    </row>
    <row r="481" spans="7:17" x14ac:dyDescent="0.25">
      <c r="G481" s="3">
        <f t="shared" ca="1" si="51"/>
        <v>4</v>
      </c>
      <c r="H481" s="3">
        <f t="shared" ca="1" si="52"/>
        <v>7.3045854297010244</v>
      </c>
      <c r="I481" s="3">
        <f t="shared" ca="1" si="53"/>
        <v>13.513498279221617</v>
      </c>
      <c r="O481" s="3">
        <f t="shared" ca="1" si="54"/>
        <v>5.8183217399757776</v>
      </c>
      <c r="P481" s="3">
        <f t="shared" ca="1" si="55"/>
        <v>3.2556628932839655</v>
      </c>
      <c r="Q481" s="3">
        <f t="shared" ca="1" si="56"/>
        <v>6.6672489637466574</v>
      </c>
    </row>
    <row r="482" spans="7:17" x14ac:dyDescent="0.25">
      <c r="G482" s="3">
        <f t="shared" ca="1" si="51"/>
        <v>1</v>
      </c>
      <c r="H482" s="3">
        <f t="shared" ca="1" si="52"/>
        <v>2.2535619528393074</v>
      </c>
      <c r="I482" s="3">
        <f t="shared" ca="1" si="53"/>
        <v>7.5059342403849163</v>
      </c>
      <c r="O482" s="3">
        <f t="shared" ca="1" si="54"/>
        <v>-7.6633208465148588</v>
      </c>
      <c r="P482" s="3">
        <f t="shared" ca="1" si="55"/>
        <v>-6.339332764770873</v>
      </c>
      <c r="Q482" s="3">
        <f t="shared" ca="1" si="56"/>
        <v>9.9455329821546883</v>
      </c>
    </row>
    <row r="483" spans="7:17" x14ac:dyDescent="0.25">
      <c r="G483" s="3">
        <f t="shared" ca="1" si="51"/>
        <v>0</v>
      </c>
      <c r="H483" s="3">
        <f t="shared" ca="1" si="52"/>
        <v>0.96479339031037081</v>
      </c>
      <c r="I483" s="3">
        <f t="shared" ca="1" si="53"/>
        <v>4.9111948401340459</v>
      </c>
      <c r="O483" s="3">
        <f t="shared" ca="1" si="54"/>
        <v>4.4556560326502908</v>
      </c>
      <c r="P483" s="3">
        <f t="shared" ca="1" si="55"/>
        <v>10.085712425210767</v>
      </c>
      <c r="Q483" s="3">
        <f t="shared" ca="1" si="56"/>
        <v>11.026081162649936</v>
      </c>
    </row>
    <row r="484" spans="7:17" x14ac:dyDescent="0.25">
      <c r="G484" s="3">
        <f t="shared" ca="1" si="51"/>
        <v>0</v>
      </c>
      <c r="H484" s="3">
        <f t="shared" ca="1" si="52"/>
        <v>1.0540314648451503</v>
      </c>
      <c r="I484" s="3">
        <f t="shared" ca="1" si="53"/>
        <v>5.1333017270689201</v>
      </c>
      <c r="O484" s="3">
        <f t="shared" ca="1" si="54"/>
        <v>-12.979914719497785</v>
      </c>
      <c r="P484" s="3">
        <f t="shared" ca="1" si="55"/>
        <v>10.418230568366639</v>
      </c>
      <c r="Q484" s="3">
        <f t="shared" ca="1" si="56"/>
        <v>16.643849143184529</v>
      </c>
    </row>
    <row r="485" spans="7:17" x14ac:dyDescent="0.25">
      <c r="G485" s="3">
        <f t="shared" ca="1" si="51"/>
        <v>1</v>
      </c>
      <c r="H485" s="3">
        <f t="shared" ca="1" si="52"/>
        <v>2.1277223824586828</v>
      </c>
      <c r="I485" s="3">
        <f t="shared" ca="1" si="53"/>
        <v>7.2933572215727285</v>
      </c>
      <c r="O485" s="3">
        <f t="shared" ca="1" si="54"/>
        <v>0.2287954727607513</v>
      </c>
      <c r="P485" s="3">
        <f t="shared" ca="1" si="55"/>
        <v>-2.3715994029301748</v>
      </c>
      <c r="Q485" s="3">
        <f t="shared" ca="1" si="56"/>
        <v>2.3826101435892899</v>
      </c>
    </row>
    <row r="486" spans="7:17" x14ac:dyDescent="0.25">
      <c r="G486" s="3">
        <f t="shared" ca="1" si="51"/>
        <v>1</v>
      </c>
      <c r="H486" s="3">
        <f t="shared" ca="1" si="52"/>
        <v>0.43071223332872816</v>
      </c>
      <c r="I486" s="3">
        <f t="shared" ca="1" si="53"/>
        <v>3.2814335027877988</v>
      </c>
      <c r="O486" s="3">
        <f t="shared" ca="1" si="54"/>
        <v>-6.306393342631031</v>
      </c>
      <c r="P486" s="3">
        <f t="shared" ca="1" si="55"/>
        <v>-8.3389525266005666</v>
      </c>
      <c r="Q486" s="3">
        <f t="shared" ca="1" si="56"/>
        <v>10.455081359457656</v>
      </c>
    </row>
    <row r="487" spans="7:17" x14ac:dyDescent="0.25">
      <c r="G487" s="3">
        <f t="shared" ca="1" si="51"/>
        <v>0</v>
      </c>
      <c r="H487" s="3">
        <f t="shared" ca="1" si="52"/>
        <v>8.4693870197453407</v>
      </c>
      <c r="I487" s="3">
        <f t="shared" ca="1" si="53"/>
        <v>14.551105645057818</v>
      </c>
      <c r="O487" s="3">
        <f t="shared" ca="1" si="54"/>
        <v>-4.2527338454948618</v>
      </c>
      <c r="P487" s="3">
        <f t="shared" ca="1" si="55"/>
        <v>6.5580323209848883</v>
      </c>
      <c r="Q487" s="3">
        <f t="shared" ca="1" si="56"/>
        <v>7.8162352244350961</v>
      </c>
    </row>
    <row r="488" spans="7:17" x14ac:dyDescent="0.25">
      <c r="G488" s="3">
        <f t="shared" ca="1" si="51"/>
        <v>0</v>
      </c>
      <c r="H488" s="3">
        <f t="shared" ca="1" si="52"/>
        <v>0.62762764056125897</v>
      </c>
      <c r="I488" s="3">
        <f t="shared" ca="1" si="53"/>
        <v>3.961147688995132</v>
      </c>
      <c r="O488" s="3">
        <f t="shared" ca="1" si="54"/>
        <v>-11.549595303576819</v>
      </c>
      <c r="P488" s="3">
        <f t="shared" ca="1" si="55"/>
        <v>-3.6842534630087553</v>
      </c>
      <c r="Q488" s="3">
        <f t="shared" ca="1" si="56"/>
        <v>12.122989534603075</v>
      </c>
    </row>
    <row r="489" spans="7:17" x14ac:dyDescent="0.25">
      <c r="G489" s="3">
        <f t="shared" ca="1" si="51"/>
        <v>1</v>
      </c>
      <c r="H489" s="3">
        <f t="shared" ca="1" si="52"/>
        <v>1.4996927633362931</v>
      </c>
      <c r="I489" s="3">
        <f t="shared" ca="1" si="53"/>
        <v>6.1230971806274095</v>
      </c>
      <c r="O489" s="3">
        <f t="shared" ca="1" si="54"/>
        <v>-1.1603095031914306</v>
      </c>
      <c r="P489" s="3">
        <f t="shared" ca="1" si="55"/>
        <v>1.5592102915834403</v>
      </c>
      <c r="Q489" s="3">
        <f t="shared" ca="1" si="56"/>
        <v>1.9435675641911863</v>
      </c>
    </row>
    <row r="490" spans="7:17" x14ac:dyDescent="0.25">
      <c r="G490" s="3">
        <f t="shared" ca="1" si="51"/>
        <v>0</v>
      </c>
      <c r="H490" s="3">
        <f t="shared" ca="1" si="52"/>
        <v>1.4232767665006181</v>
      </c>
      <c r="I490" s="3">
        <f t="shared" ca="1" si="53"/>
        <v>5.9650581860125591</v>
      </c>
      <c r="O490" s="3">
        <f t="shared" ca="1" si="54"/>
        <v>-5.5618848085659867</v>
      </c>
      <c r="P490" s="3">
        <f t="shared" ca="1" si="55"/>
        <v>-8.7205121278884157</v>
      </c>
      <c r="Q490" s="3">
        <f t="shared" ca="1" si="56"/>
        <v>10.343205228380903</v>
      </c>
    </row>
    <row r="491" spans="7:17" x14ac:dyDescent="0.25">
      <c r="G491" s="3">
        <f t="shared" ca="1" si="51"/>
        <v>0</v>
      </c>
      <c r="H491" s="3">
        <f t="shared" ca="1" si="52"/>
        <v>0.55475806295531982</v>
      </c>
      <c r="I491" s="3">
        <f t="shared" ca="1" si="53"/>
        <v>3.7241041303759208</v>
      </c>
      <c r="O491" s="3">
        <f t="shared" ca="1" si="54"/>
        <v>0.87772704723378858</v>
      </c>
      <c r="P491" s="3">
        <f t="shared" ca="1" si="55"/>
        <v>4.3975643963804023</v>
      </c>
      <c r="Q491" s="3">
        <f t="shared" ca="1" si="56"/>
        <v>4.4843034453255139</v>
      </c>
    </row>
    <row r="492" spans="7:17" x14ac:dyDescent="0.25">
      <c r="G492" s="3">
        <f t="shared" ca="1" si="51"/>
        <v>0</v>
      </c>
      <c r="H492" s="3">
        <f t="shared" ca="1" si="52"/>
        <v>1.9133828359427227</v>
      </c>
      <c r="I492" s="3">
        <f t="shared" ca="1" si="53"/>
        <v>6.9162541088777285</v>
      </c>
      <c r="O492" s="3">
        <f t="shared" ca="1" si="54"/>
        <v>1.208439864006384</v>
      </c>
      <c r="P492" s="3">
        <f t="shared" ca="1" si="55"/>
        <v>1.5070474333544573E-2</v>
      </c>
      <c r="Q492" s="3">
        <f t="shared" ca="1" si="56"/>
        <v>1.2085338324252268</v>
      </c>
    </row>
    <row r="493" spans="7:17" x14ac:dyDescent="0.25">
      <c r="G493" s="3">
        <f t="shared" ca="1" si="51"/>
        <v>0</v>
      </c>
      <c r="H493" s="3">
        <f t="shared" ca="1" si="52"/>
        <v>1.5014189877796487</v>
      </c>
      <c r="I493" s="3">
        <f t="shared" ca="1" si="53"/>
        <v>6.1266201689423525</v>
      </c>
      <c r="O493" s="3">
        <f t="shared" ca="1" si="54"/>
        <v>-6.7678973973088938</v>
      </c>
      <c r="P493" s="3">
        <f t="shared" ca="1" si="55"/>
        <v>-3.2272569796906865</v>
      </c>
      <c r="Q493" s="3">
        <f t="shared" ca="1" si="56"/>
        <v>7.497974579408945</v>
      </c>
    </row>
    <row r="494" spans="7:17" x14ac:dyDescent="0.25">
      <c r="G494" s="3">
        <f t="shared" ca="1" si="51"/>
        <v>0</v>
      </c>
      <c r="H494" s="3">
        <f t="shared" ca="1" si="52"/>
        <v>0.49443011364051481</v>
      </c>
      <c r="I494" s="3">
        <f t="shared" ca="1" si="53"/>
        <v>3.5157862336912449</v>
      </c>
      <c r="O494" s="3">
        <f t="shared" ca="1" si="54"/>
        <v>1.2681426053451865</v>
      </c>
      <c r="P494" s="3">
        <f t="shared" ca="1" si="55"/>
        <v>5.4379171442812222</v>
      </c>
      <c r="Q494" s="3">
        <f t="shared" ca="1" si="56"/>
        <v>5.5838274091844315</v>
      </c>
    </row>
    <row r="495" spans="7:17" x14ac:dyDescent="0.25">
      <c r="G495" s="3">
        <f t="shared" ca="1" si="51"/>
        <v>0</v>
      </c>
      <c r="H495" s="3">
        <f t="shared" ca="1" si="52"/>
        <v>2.1107416245033388</v>
      </c>
      <c r="I495" s="3">
        <f t="shared" ca="1" si="53"/>
        <v>7.2641957994387427</v>
      </c>
      <c r="O495" s="3">
        <f t="shared" ca="1" si="54"/>
        <v>7.077609762705821</v>
      </c>
      <c r="P495" s="3">
        <f t="shared" ca="1" si="55"/>
        <v>7.769531481793698</v>
      </c>
      <c r="Q495" s="3">
        <f t="shared" ca="1" si="56"/>
        <v>10.509908629466391</v>
      </c>
    </row>
    <row r="496" spans="7:17" x14ac:dyDescent="0.25">
      <c r="G496" s="3">
        <f t="shared" ca="1" si="51"/>
        <v>0</v>
      </c>
      <c r="H496" s="3">
        <f t="shared" ca="1" si="52"/>
        <v>2.0842212419014476</v>
      </c>
      <c r="I496" s="3">
        <f t="shared" ca="1" si="53"/>
        <v>7.2184161037956374</v>
      </c>
      <c r="O496" s="3">
        <f t="shared" ca="1" si="54"/>
        <v>1.1367185954462933</v>
      </c>
      <c r="P496" s="3">
        <f t="shared" ca="1" si="55"/>
        <v>-1.7653991698110176</v>
      </c>
      <c r="Q496" s="3">
        <f t="shared" ca="1" si="56"/>
        <v>2.0997055493575338</v>
      </c>
    </row>
    <row r="497" spans="7:17" x14ac:dyDescent="0.25">
      <c r="G497" s="3">
        <f t="shared" ca="1" si="51"/>
        <v>1</v>
      </c>
      <c r="H497" s="3">
        <f t="shared" ca="1" si="52"/>
        <v>3.0080809561825395</v>
      </c>
      <c r="I497" s="3">
        <f t="shared" ca="1" si="53"/>
        <v>8.6719100493814789</v>
      </c>
      <c r="O497" s="3">
        <f t="shared" ca="1" si="54"/>
        <v>1.4044520485968057</v>
      </c>
      <c r="P497" s="3">
        <f t="shared" ca="1" si="55"/>
        <v>2.918787849862668E-3</v>
      </c>
      <c r="Q497" s="3">
        <f t="shared" ca="1" si="56"/>
        <v>1.4044550815637633</v>
      </c>
    </row>
    <row r="498" spans="7:17" x14ac:dyDescent="0.25">
      <c r="G498" s="3">
        <f t="shared" ca="1" si="51"/>
        <v>1</v>
      </c>
      <c r="H498" s="3">
        <f t="shared" ca="1" si="52"/>
        <v>1.863861903236566</v>
      </c>
      <c r="I498" s="3">
        <f t="shared" ca="1" si="53"/>
        <v>6.8261663897764873</v>
      </c>
      <c r="O498" s="3">
        <f t="shared" ca="1" si="54"/>
        <v>-6.3529854217511996</v>
      </c>
      <c r="P498" s="3">
        <f t="shared" ca="1" si="55"/>
        <v>4.1767134937717998</v>
      </c>
      <c r="Q498" s="3">
        <f t="shared" ca="1" si="56"/>
        <v>7.6029835839648303</v>
      </c>
    </row>
    <row r="499" spans="7:17" x14ac:dyDescent="0.25">
      <c r="G499" s="3">
        <f t="shared" ca="1" si="51"/>
        <v>1</v>
      </c>
      <c r="H499" s="3">
        <f t="shared" ca="1" si="52"/>
        <v>8.1705794358525239</v>
      </c>
      <c r="I499" s="3">
        <f t="shared" ca="1" si="53"/>
        <v>14.292112716331097</v>
      </c>
      <c r="O499" s="3">
        <f t="shared" ca="1" si="54"/>
        <v>-9.2964832085339264</v>
      </c>
      <c r="P499" s="3">
        <f t="shared" ca="1" si="55"/>
        <v>4.7890859958812797</v>
      </c>
      <c r="Q499" s="3">
        <f t="shared" ca="1" si="56"/>
        <v>10.457530526969522</v>
      </c>
    </row>
    <row r="500" spans="7:17" x14ac:dyDescent="0.25">
      <c r="G500" s="3">
        <f t="shared" ca="1" si="51"/>
        <v>0</v>
      </c>
      <c r="H500" s="3">
        <f t="shared" ca="1" si="52"/>
        <v>0.94492289666159957</v>
      </c>
      <c r="I500" s="3">
        <f t="shared" ca="1" si="53"/>
        <v>4.8603572313709602</v>
      </c>
      <c r="O500" s="3">
        <f t="shared" ca="1" si="54"/>
        <v>-7.7103325960845552</v>
      </c>
      <c r="P500" s="3">
        <f t="shared" ca="1" si="55"/>
        <v>6.9831912660699524</v>
      </c>
      <c r="Q500" s="3">
        <f t="shared" ca="1" si="56"/>
        <v>10.402604914191429</v>
      </c>
    </row>
    <row r="501" spans="7:17" x14ac:dyDescent="0.25">
      <c r="G501" s="3">
        <f t="shared" ca="1" si="51"/>
        <v>0</v>
      </c>
      <c r="H501" s="3">
        <f t="shared" ca="1" si="52"/>
        <v>0.12180133122414549</v>
      </c>
      <c r="I501" s="3">
        <f t="shared" ca="1" si="53"/>
        <v>1.7450023726641857</v>
      </c>
      <c r="O501" s="3">
        <f t="shared" ca="1" si="54"/>
        <v>-13.709887021550323</v>
      </c>
      <c r="P501" s="3">
        <f t="shared" ca="1" si="55"/>
        <v>4.1530447956348064</v>
      </c>
      <c r="Q501" s="3">
        <f t="shared" ca="1" si="56"/>
        <v>14.325110234068823</v>
      </c>
    </row>
    <row r="502" spans="7:17" x14ac:dyDescent="0.25">
      <c r="G502" s="3">
        <f t="shared" ca="1" si="51"/>
        <v>0</v>
      </c>
      <c r="H502" s="3">
        <f t="shared" ca="1" si="52"/>
        <v>0.21527734337973919</v>
      </c>
      <c r="I502" s="3">
        <f t="shared" ca="1" si="53"/>
        <v>2.3198994772389341</v>
      </c>
      <c r="O502" s="3">
        <f t="shared" ca="1" si="54"/>
        <v>-11.755330278787438</v>
      </c>
      <c r="P502" s="3">
        <f t="shared" ca="1" si="55"/>
        <v>0.19569339976457062</v>
      </c>
      <c r="Q502" s="3">
        <f t="shared" ca="1" si="56"/>
        <v>11.756959040078696</v>
      </c>
    </row>
    <row r="503" spans="7:17" x14ac:dyDescent="0.25">
      <c r="G503" s="3">
        <f t="shared" ca="1" si="51"/>
        <v>0</v>
      </c>
      <c r="H503" s="3">
        <f t="shared" ca="1" si="52"/>
        <v>2.6220988115080051</v>
      </c>
      <c r="I503" s="3">
        <f t="shared" ca="1" si="53"/>
        <v>8.0964480043843992</v>
      </c>
      <c r="O503" s="3">
        <f t="shared" ca="1" si="54"/>
        <v>5.1033954704271984</v>
      </c>
      <c r="P503" s="3">
        <f t="shared" ca="1" si="55"/>
        <v>-3.9997310730689866</v>
      </c>
      <c r="Q503" s="3">
        <f t="shared" ca="1" si="56"/>
        <v>6.4840183516435568</v>
      </c>
    </row>
    <row r="504" spans="7:17" x14ac:dyDescent="0.25">
      <c r="G504" s="3">
        <f t="shared" ca="1" si="51"/>
        <v>1</v>
      </c>
      <c r="H504" s="3">
        <f t="shared" ca="1" si="52"/>
        <v>5.5839348882799111</v>
      </c>
      <c r="I504" s="3">
        <f t="shared" ca="1" si="53"/>
        <v>11.815175504705708</v>
      </c>
      <c r="O504" s="3">
        <f t="shared" ca="1" si="54"/>
        <v>5.7561111238978295</v>
      </c>
      <c r="P504" s="3">
        <f t="shared" ca="1" si="55"/>
        <v>0.90432588225537969</v>
      </c>
      <c r="Q504" s="3">
        <f t="shared" ca="1" si="56"/>
        <v>5.8267161053184422</v>
      </c>
    </row>
    <row r="505" spans="7:17" x14ac:dyDescent="0.25">
      <c r="G505" s="3">
        <f t="shared" ca="1" si="51"/>
        <v>0</v>
      </c>
      <c r="H505" s="3">
        <f t="shared" ca="1" si="52"/>
        <v>3.7490987497666253</v>
      </c>
      <c r="I505" s="3">
        <f t="shared" ca="1" si="53"/>
        <v>9.6812947865544121</v>
      </c>
      <c r="O505" s="3">
        <f t="shared" ca="1" si="54"/>
        <v>-4.5651465435227312</v>
      </c>
      <c r="P505" s="3">
        <f t="shared" ca="1" si="55"/>
        <v>1.4116438818945181</v>
      </c>
      <c r="Q505" s="3">
        <f t="shared" ca="1" si="56"/>
        <v>4.7784203889075902</v>
      </c>
    </row>
    <row r="506" spans="7:17" x14ac:dyDescent="0.25">
      <c r="G506" s="3">
        <f t="shared" ca="1" si="51"/>
        <v>0</v>
      </c>
      <c r="H506" s="3">
        <f t="shared" ca="1" si="52"/>
        <v>5.8539035568182642</v>
      </c>
      <c r="I506" s="3">
        <f t="shared" ca="1" si="53"/>
        <v>12.097420754874015</v>
      </c>
      <c r="O506" s="3">
        <f t="shared" ca="1" si="54"/>
        <v>-5.4307171811832617</v>
      </c>
      <c r="P506" s="3">
        <f t="shared" ca="1" si="55"/>
        <v>-2.2977277545899222</v>
      </c>
      <c r="Q506" s="3">
        <f t="shared" ca="1" si="56"/>
        <v>5.8967992959072228</v>
      </c>
    </row>
    <row r="507" spans="7:17" x14ac:dyDescent="0.25">
      <c r="G507" s="3">
        <f t="shared" ca="1" si="51"/>
        <v>2</v>
      </c>
      <c r="H507" s="3">
        <f t="shared" ca="1" si="52"/>
        <v>2.976922498860116</v>
      </c>
      <c r="I507" s="3">
        <f t="shared" ca="1" si="53"/>
        <v>8.6268802281881065</v>
      </c>
      <c r="O507" s="3">
        <f t="shared" ca="1" si="54"/>
        <v>-2.2983109602817962</v>
      </c>
      <c r="P507" s="3">
        <f t="shared" ca="1" si="55"/>
        <v>3.1333186330837788</v>
      </c>
      <c r="Q507" s="3">
        <f t="shared" ca="1" si="56"/>
        <v>3.8858614137127216</v>
      </c>
    </row>
    <row r="508" spans="7:17" x14ac:dyDescent="0.25">
      <c r="G508" s="3">
        <f t="shared" ca="1" si="51"/>
        <v>0</v>
      </c>
      <c r="H508" s="3">
        <f t="shared" ca="1" si="52"/>
        <v>9.6322116691046613</v>
      </c>
      <c r="I508" s="3">
        <f t="shared" ca="1" si="53"/>
        <v>15.517902297914386</v>
      </c>
      <c r="O508" s="3">
        <f t="shared" ca="1" si="54"/>
        <v>-4.2779482844418313</v>
      </c>
      <c r="P508" s="3">
        <f t="shared" ca="1" si="55"/>
        <v>-0.34438422169324745</v>
      </c>
      <c r="Q508" s="3">
        <f t="shared" ca="1" si="56"/>
        <v>4.2917877413159742</v>
      </c>
    </row>
    <row r="509" spans="7:17" x14ac:dyDescent="0.25">
      <c r="G509" s="3">
        <f t="shared" ca="1" si="51"/>
        <v>0</v>
      </c>
      <c r="H509" s="3">
        <f t="shared" ca="1" si="52"/>
        <v>1.9362368067794722</v>
      </c>
      <c r="I509" s="3">
        <f t="shared" ca="1" si="53"/>
        <v>6.957436321626437</v>
      </c>
      <c r="O509" s="3">
        <f t="shared" ca="1" si="54"/>
        <v>-4.2840136613038871</v>
      </c>
      <c r="P509" s="3">
        <f t="shared" ca="1" si="55"/>
        <v>-2.2250581209684586</v>
      </c>
      <c r="Q509" s="3">
        <f t="shared" ca="1" si="56"/>
        <v>4.8273861138224721</v>
      </c>
    </row>
    <row r="510" spans="7:17" x14ac:dyDescent="0.25">
      <c r="G510" s="3">
        <f t="shared" ca="1" si="51"/>
        <v>0</v>
      </c>
      <c r="H510" s="3">
        <f t="shared" ca="1" si="52"/>
        <v>2.0595884428092277</v>
      </c>
      <c r="I510" s="3">
        <f t="shared" ca="1" si="53"/>
        <v>7.1756331476902222</v>
      </c>
      <c r="O510" s="3">
        <f t="shared" ca="1" si="54"/>
        <v>-12.73068730128163</v>
      </c>
      <c r="P510" s="3">
        <f t="shared" ca="1" si="55"/>
        <v>-4.4378920678134186</v>
      </c>
      <c r="Q510" s="3">
        <f t="shared" ca="1" si="56"/>
        <v>13.48203564631746</v>
      </c>
    </row>
    <row r="511" spans="7:17" x14ac:dyDescent="0.25">
      <c r="G511" s="3">
        <f t="shared" ca="1" si="51"/>
        <v>1</v>
      </c>
      <c r="H511" s="3">
        <f t="shared" ca="1" si="52"/>
        <v>7.2930956901111195</v>
      </c>
      <c r="I511" s="3">
        <f t="shared" ca="1" si="53"/>
        <v>13.502866075495898</v>
      </c>
      <c r="O511" s="3">
        <f t="shared" ca="1" si="54"/>
        <v>0.31036923926794469</v>
      </c>
      <c r="P511" s="3">
        <f t="shared" ca="1" si="55"/>
        <v>3.1592280763107587</v>
      </c>
      <c r="Q511" s="3">
        <f t="shared" ca="1" si="56"/>
        <v>3.1744371316556168</v>
      </c>
    </row>
    <row r="512" spans="7:17" x14ac:dyDescent="0.25">
      <c r="G512" s="3">
        <f t="shared" ca="1" si="51"/>
        <v>2</v>
      </c>
      <c r="H512" s="3">
        <f t="shared" ca="1" si="52"/>
        <v>3.2318508303953353</v>
      </c>
      <c r="I512" s="3">
        <f t="shared" ca="1" si="53"/>
        <v>8.9886745830452313</v>
      </c>
      <c r="O512" s="3">
        <f t="shared" ca="1" si="54"/>
        <v>-13.905413191911766</v>
      </c>
      <c r="P512" s="3">
        <f t="shared" ca="1" si="55"/>
        <v>8.4127757379382153</v>
      </c>
      <c r="Q512" s="3">
        <f t="shared" ca="1" si="56"/>
        <v>16.252240204188332</v>
      </c>
    </row>
    <row r="513" spans="7:17" x14ac:dyDescent="0.25">
      <c r="G513" s="3">
        <f t="shared" ca="1" si="51"/>
        <v>0</v>
      </c>
      <c r="H513" s="3">
        <f t="shared" ca="1" si="52"/>
        <v>6.4338917368634535E-2</v>
      </c>
      <c r="I513" s="3">
        <f t="shared" ca="1" si="53"/>
        <v>1.2682558630717475</v>
      </c>
      <c r="O513" s="3">
        <f t="shared" ca="1" si="54"/>
        <v>-0.61375858672291628</v>
      </c>
      <c r="P513" s="3">
        <f t="shared" ca="1" si="55"/>
        <v>2.9764772478096204</v>
      </c>
      <c r="Q513" s="3">
        <f t="shared" ca="1" si="56"/>
        <v>3.0390979598401304</v>
      </c>
    </row>
    <row r="514" spans="7:17" x14ac:dyDescent="0.25">
      <c r="G514" s="3">
        <f t="shared" ca="1" si="51"/>
        <v>0</v>
      </c>
      <c r="H514" s="3">
        <f t="shared" ca="1" si="52"/>
        <v>4.8246706997969389</v>
      </c>
      <c r="I514" s="3">
        <f t="shared" ca="1" si="53"/>
        <v>10.982566525859221</v>
      </c>
      <c r="O514" s="3">
        <f t="shared" ca="1" si="54"/>
        <v>3.2748061500011048</v>
      </c>
      <c r="P514" s="3">
        <f t="shared" ca="1" si="55"/>
        <v>-4.0094196747176944</v>
      </c>
      <c r="Q514" s="3">
        <f t="shared" ca="1" si="56"/>
        <v>5.1768524653594676</v>
      </c>
    </row>
    <row r="515" spans="7:17" x14ac:dyDescent="0.25">
      <c r="G515" s="3">
        <f t="shared" ca="1" si="51"/>
        <v>0</v>
      </c>
      <c r="H515" s="3">
        <f t="shared" ca="1" si="52"/>
        <v>2.9209233590327162</v>
      </c>
      <c r="I515" s="3">
        <f t="shared" ca="1" si="53"/>
        <v>8.5453545260461787</v>
      </c>
      <c r="O515" s="3">
        <f t="shared" ca="1" si="54"/>
        <v>-0.483068944063616</v>
      </c>
      <c r="P515" s="3">
        <f t="shared" ca="1" si="55"/>
        <v>-2.053130301912105</v>
      </c>
      <c r="Q515" s="3">
        <f t="shared" ca="1" si="56"/>
        <v>2.1091940738937298</v>
      </c>
    </row>
    <row r="516" spans="7:17" x14ac:dyDescent="0.25">
      <c r="G516" s="3">
        <f t="shared" ref="G516:G579" ca="1" si="57">VLOOKUP(RAND(),$B$9:$C$169,2,TRUE)</f>
        <v>1</v>
      </c>
      <c r="H516" s="3">
        <f t="shared" ref="H516:H579" ca="1" si="58">_xlfn.CHISQ.INV(RAND(),2*G516+2)</f>
        <v>2.6950794188658667</v>
      </c>
      <c r="I516" s="3">
        <f t="shared" ref="I516:I579" ca="1" si="59">$C$4*SQRT(H516)</f>
        <v>8.2083485227935267</v>
      </c>
      <c r="O516" s="3">
        <f t="shared" ref="O516:O579" ca="1" si="60">_xlfn.NORM.INV(RAND(),$C$3*COS($N$2),$C$4)</f>
        <v>-9.940083711309498</v>
      </c>
      <c r="P516" s="3">
        <f t="shared" ref="P516:P579" ca="1" si="61">_xlfn.NORM.INV(RAND(),$C$3*SIN($N$2),$C$4)</f>
        <v>-2.4153202996930743</v>
      </c>
      <c r="Q516" s="3">
        <f t="shared" ref="Q516:Q579" ca="1" si="62">SQRT(O516^2+P516^2)</f>
        <v>10.229322379217004</v>
      </c>
    </row>
    <row r="517" spans="7:17" x14ac:dyDescent="0.25">
      <c r="G517" s="3">
        <f t="shared" ca="1" si="57"/>
        <v>1</v>
      </c>
      <c r="H517" s="3">
        <f t="shared" ca="1" si="58"/>
        <v>1.1924869309771353</v>
      </c>
      <c r="I517" s="3">
        <f t="shared" ca="1" si="59"/>
        <v>5.4600524974058988</v>
      </c>
      <c r="O517" s="3">
        <f t="shared" ca="1" si="60"/>
        <v>-7.201771632407258</v>
      </c>
      <c r="P517" s="3">
        <f t="shared" ca="1" si="61"/>
        <v>2.324209380350561</v>
      </c>
      <c r="Q517" s="3">
        <f t="shared" ca="1" si="62"/>
        <v>7.567526933487283</v>
      </c>
    </row>
    <row r="518" spans="7:17" x14ac:dyDescent="0.25">
      <c r="G518" s="3">
        <f t="shared" ca="1" si="57"/>
        <v>0</v>
      </c>
      <c r="H518" s="3">
        <f t="shared" ca="1" si="58"/>
        <v>9.1660583048431015</v>
      </c>
      <c r="I518" s="3">
        <f t="shared" ca="1" si="59"/>
        <v>15.137749423909669</v>
      </c>
      <c r="O518" s="3">
        <f t="shared" ca="1" si="60"/>
        <v>-2.2213102577765369</v>
      </c>
      <c r="P518" s="3">
        <f t="shared" ca="1" si="61"/>
        <v>2.0750498080460162</v>
      </c>
      <c r="Q518" s="3">
        <f t="shared" ca="1" si="62"/>
        <v>3.0397452141873789</v>
      </c>
    </row>
    <row r="519" spans="7:17" x14ac:dyDescent="0.25">
      <c r="G519" s="3">
        <f t="shared" ca="1" si="57"/>
        <v>1</v>
      </c>
      <c r="H519" s="3">
        <f t="shared" ca="1" si="58"/>
        <v>1.0228962118463261</v>
      </c>
      <c r="I519" s="3">
        <f t="shared" ca="1" si="59"/>
        <v>5.0569165799089619</v>
      </c>
      <c r="O519" s="3">
        <f t="shared" ca="1" si="60"/>
        <v>-5.2606066729841405</v>
      </c>
      <c r="P519" s="3">
        <f t="shared" ca="1" si="61"/>
        <v>4.2630854414737218</v>
      </c>
      <c r="Q519" s="3">
        <f t="shared" ca="1" si="62"/>
        <v>6.7711062647953222</v>
      </c>
    </row>
    <row r="520" spans="7:17" x14ac:dyDescent="0.25">
      <c r="G520" s="3">
        <f t="shared" ca="1" si="57"/>
        <v>1</v>
      </c>
      <c r="H520" s="3">
        <f t="shared" ca="1" si="58"/>
        <v>7.0141546105306629</v>
      </c>
      <c r="I520" s="3">
        <f t="shared" ca="1" si="59"/>
        <v>13.24212465064676</v>
      </c>
      <c r="O520" s="3">
        <f t="shared" ca="1" si="60"/>
        <v>-1.9954383440167991</v>
      </c>
      <c r="P520" s="3">
        <f t="shared" ca="1" si="61"/>
        <v>-0.45320656466322579</v>
      </c>
      <c r="Q520" s="3">
        <f t="shared" ca="1" si="62"/>
        <v>2.0462576511833372</v>
      </c>
    </row>
    <row r="521" spans="7:17" x14ac:dyDescent="0.25">
      <c r="G521" s="3">
        <f t="shared" ca="1" si="57"/>
        <v>0</v>
      </c>
      <c r="H521" s="3">
        <f t="shared" ca="1" si="58"/>
        <v>0.64298737803147343</v>
      </c>
      <c r="I521" s="3">
        <f t="shared" ca="1" si="59"/>
        <v>4.0093246876234447</v>
      </c>
      <c r="O521" s="3">
        <f t="shared" ca="1" si="60"/>
        <v>1.93873857766987</v>
      </c>
      <c r="P521" s="3">
        <f t="shared" ca="1" si="61"/>
        <v>3.7886477062720001</v>
      </c>
      <c r="Q521" s="3">
        <f t="shared" ca="1" si="62"/>
        <v>4.2558851858086442</v>
      </c>
    </row>
    <row r="522" spans="7:17" x14ac:dyDescent="0.25">
      <c r="G522" s="3">
        <f t="shared" ca="1" si="57"/>
        <v>1</v>
      </c>
      <c r="H522" s="3">
        <f t="shared" ca="1" si="58"/>
        <v>1.6544592736247117</v>
      </c>
      <c r="I522" s="3">
        <f t="shared" ca="1" si="59"/>
        <v>6.4312892829212558</v>
      </c>
      <c r="O522" s="3">
        <f t="shared" ca="1" si="60"/>
        <v>-1.62145075272544</v>
      </c>
      <c r="P522" s="3">
        <f t="shared" ca="1" si="61"/>
        <v>-1.0478193246180367</v>
      </c>
      <c r="Q522" s="3">
        <f t="shared" ca="1" si="62"/>
        <v>1.930551185686848</v>
      </c>
    </row>
    <row r="523" spans="7:17" x14ac:dyDescent="0.25">
      <c r="G523" s="3">
        <f t="shared" ca="1" si="57"/>
        <v>0</v>
      </c>
      <c r="H523" s="3">
        <f t="shared" ca="1" si="58"/>
        <v>1.5107367778158076</v>
      </c>
      <c r="I523" s="3">
        <f t="shared" ca="1" si="59"/>
        <v>6.1456016341278739</v>
      </c>
      <c r="O523" s="3">
        <f t="shared" ca="1" si="60"/>
        <v>-5.5209419598246301</v>
      </c>
      <c r="P523" s="3">
        <f t="shared" ca="1" si="61"/>
        <v>2.7639866287277401</v>
      </c>
      <c r="Q523" s="3">
        <f t="shared" ca="1" si="62"/>
        <v>6.1741738076877919</v>
      </c>
    </row>
    <row r="524" spans="7:17" x14ac:dyDescent="0.25">
      <c r="G524" s="3">
        <f t="shared" ca="1" si="57"/>
        <v>1</v>
      </c>
      <c r="H524" s="3">
        <f t="shared" ca="1" si="58"/>
        <v>0.25294411365986674</v>
      </c>
      <c r="I524" s="3">
        <f t="shared" ca="1" si="59"/>
        <v>2.5146774826002378</v>
      </c>
      <c r="O524" s="3">
        <f t="shared" ca="1" si="60"/>
        <v>-14.764884080978714</v>
      </c>
      <c r="P524" s="3">
        <f t="shared" ca="1" si="61"/>
        <v>-1.0971893497144927</v>
      </c>
      <c r="Q524" s="3">
        <f t="shared" ca="1" si="62"/>
        <v>14.805594428926707</v>
      </c>
    </row>
    <row r="525" spans="7:17" x14ac:dyDescent="0.25">
      <c r="G525" s="3">
        <f t="shared" ca="1" si="57"/>
        <v>1</v>
      </c>
      <c r="H525" s="3">
        <f t="shared" ca="1" si="58"/>
        <v>3.6404875879056249</v>
      </c>
      <c r="I525" s="3">
        <f t="shared" ca="1" si="59"/>
        <v>9.5400309065348736</v>
      </c>
      <c r="O525" s="3">
        <f t="shared" ca="1" si="60"/>
        <v>-10.45540248599119</v>
      </c>
      <c r="P525" s="3">
        <f t="shared" ca="1" si="61"/>
        <v>3.989360151004711</v>
      </c>
      <c r="Q525" s="3">
        <f t="shared" ca="1" si="62"/>
        <v>11.190640533878973</v>
      </c>
    </row>
    <row r="526" spans="7:17" x14ac:dyDescent="0.25">
      <c r="G526" s="3">
        <f t="shared" ca="1" si="57"/>
        <v>2</v>
      </c>
      <c r="H526" s="3">
        <f t="shared" ca="1" si="58"/>
        <v>2.8789034534485096</v>
      </c>
      <c r="I526" s="3">
        <f t="shared" ca="1" si="59"/>
        <v>8.4836658548184669</v>
      </c>
      <c r="O526" s="3">
        <f t="shared" ca="1" si="60"/>
        <v>-7.2473923419625921</v>
      </c>
      <c r="P526" s="3">
        <f t="shared" ca="1" si="61"/>
        <v>-0.5024388265283003</v>
      </c>
      <c r="Q526" s="3">
        <f t="shared" ca="1" si="62"/>
        <v>7.2647877142240818</v>
      </c>
    </row>
    <row r="527" spans="7:17" x14ac:dyDescent="0.25">
      <c r="G527" s="3">
        <f t="shared" ca="1" si="57"/>
        <v>1</v>
      </c>
      <c r="H527" s="3">
        <f t="shared" ca="1" si="58"/>
        <v>4.3605215644871169</v>
      </c>
      <c r="I527" s="3">
        <f t="shared" ca="1" si="59"/>
        <v>10.440930950455421</v>
      </c>
      <c r="O527" s="3">
        <f t="shared" ca="1" si="60"/>
        <v>-8.5321021932424408</v>
      </c>
      <c r="P527" s="3">
        <f t="shared" ca="1" si="61"/>
        <v>-3.2203603110170942</v>
      </c>
      <c r="Q527" s="3">
        <f t="shared" ca="1" si="62"/>
        <v>9.1196210649734013</v>
      </c>
    </row>
    <row r="528" spans="7:17" x14ac:dyDescent="0.25">
      <c r="G528" s="3">
        <f t="shared" ca="1" si="57"/>
        <v>0</v>
      </c>
      <c r="H528" s="3">
        <f t="shared" ca="1" si="58"/>
        <v>1.3422345477438531</v>
      </c>
      <c r="I528" s="3">
        <f t="shared" ca="1" si="59"/>
        <v>5.7927423292941596</v>
      </c>
      <c r="O528" s="3">
        <f t="shared" ca="1" si="60"/>
        <v>0.3229448346047139</v>
      </c>
      <c r="P528" s="3">
        <f t="shared" ca="1" si="61"/>
        <v>-0.26217564801476473</v>
      </c>
      <c r="Q528" s="3">
        <f t="shared" ca="1" si="62"/>
        <v>0.41596807162308486</v>
      </c>
    </row>
    <row r="529" spans="7:17" x14ac:dyDescent="0.25">
      <c r="G529" s="3">
        <f t="shared" ca="1" si="57"/>
        <v>0</v>
      </c>
      <c r="H529" s="3">
        <f t="shared" ca="1" si="58"/>
        <v>1.48645911697348</v>
      </c>
      <c r="I529" s="3">
        <f t="shared" ca="1" si="59"/>
        <v>6.0960214832575019</v>
      </c>
      <c r="O529" s="3">
        <f t="shared" ca="1" si="60"/>
        <v>-10.824330302548844</v>
      </c>
      <c r="P529" s="3">
        <f t="shared" ca="1" si="61"/>
        <v>-10.300323109849467</v>
      </c>
      <c r="Q529" s="3">
        <f t="shared" ca="1" si="62"/>
        <v>14.941980546968201</v>
      </c>
    </row>
    <row r="530" spans="7:17" x14ac:dyDescent="0.25">
      <c r="G530" s="3">
        <f t="shared" ca="1" si="57"/>
        <v>0</v>
      </c>
      <c r="H530" s="3">
        <f t="shared" ca="1" si="58"/>
        <v>2.4100136256294409</v>
      </c>
      <c r="I530" s="3">
        <f t="shared" ca="1" si="59"/>
        <v>7.7621092906977305</v>
      </c>
      <c r="O530" s="3">
        <f t="shared" ca="1" si="60"/>
        <v>-5.9868088830463799</v>
      </c>
      <c r="P530" s="3">
        <f t="shared" ca="1" si="61"/>
        <v>1.9441451736660946</v>
      </c>
      <c r="Q530" s="3">
        <f t="shared" ca="1" si="62"/>
        <v>6.2945675831157946</v>
      </c>
    </row>
    <row r="531" spans="7:17" x14ac:dyDescent="0.25">
      <c r="G531" s="3">
        <f t="shared" ca="1" si="57"/>
        <v>3</v>
      </c>
      <c r="H531" s="3">
        <f t="shared" ca="1" si="58"/>
        <v>10.132041276159175</v>
      </c>
      <c r="I531" s="3">
        <f t="shared" ca="1" si="59"/>
        <v>15.915433764242159</v>
      </c>
      <c r="O531" s="3">
        <f t="shared" ca="1" si="60"/>
        <v>-6.7804678459202714</v>
      </c>
      <c r="P531" s="3">
        <f t="shared" ca="1" si="61"/>
        <v>2.1756546560388257</v>
      </c>
      <c r="Q531" s="3">
        <f t="shared" ca="1" si="62"/>
        <v>7.120970256355668</v>
      </c>
    </row>
    <row r="532" spans="7:17" x14ac:dyDescent="0.25">
      <c r="G532" s="3">
        <f t="shared" ca="1" si="57"/>
        <v>1</v>
      </c>
      <c r="H532" s="3">
        <f t="shared" ca="1" si="58"/>
        <v>6.2565597525345655</v>
      </c>
      <c r="I532" s="3">
        <f t="shared" ca="1" si="59"/>
        <v>12.506558032223101</v>
      </c>
      <c r="O532" s="3">
        <f t="shared" ca="1" si="60"/>
        <v>-7.8524174713916111</v>
      </c>
      <c r="P532" s="3">
        <f t="shared" ca="1" si="61"/>
        <v>-3.33910525347958</v>
      </c>
      <c r="Q532" s="3">
        <f t="shared" ca="1" si="62"/>
        <v>8.5328825164085753</v>
      </c>
    </row>
    <row r="533" spans="7:17" x14ac:dyDescent="0.25">
      <c r="G533" s="3">
        <f t="shared" ca="1" si="57"/>
        <v>0</v>
      </c>
      <c r="H533" s="3">
        <f t="shared" ca="1" si="58"/>
        <v>3.4307770223111986</v>
      </c>
      <c r="I533" s="3">
        <f t="shared" ca="1" si="59"/>
        <v>9.2611784108600332</v>
      </c>
      <c r="O533" s="3">
        <f t="shared" ca="1" si="60"/>
        <v>-1.1078110136114754</v>
      </c>
      <c r="P533" s="3">
        <f t="shared" ca="1" si="61"/>
        <v>1.914114714066157</v>
      </c>
      <c r="Q533" s="3">
        <f t="shared" ca="1" si="62"/>
        <v>2.2115787077297182</v>
      </c>
    </row>
    <row r="534" spans="7:17" x14ac:dyDescent="0.25">
      <c r="G534" s="3">
        <f t="shared" ca="1" si="57"/>
        <v>0</v>
      </c>
      <c r="H534" s="3">
        <f t="shared" ca="1" si="58"/>
        <v>6.3090409893763353E-3</v>
      </c>
      <c r="I534" s="3">
        <f t="shared" ca="1" si="59"/>
        <v>0.39714735896693104</v>
      </c>
      <c r="O534" s="3">
        <f t="shared" ca="1" si="60"/>
        <v>-15.073145258934527</v>
      </c>
      <c r="P534" s="3">
        <f t="shared" ca="1" si="61"/>
        <v>-3.2781058253254427</v>
      </c>
      <c r="Q534" s="3">
        <f t="shared" ca="1" si="62"/>
        <v>15.425488186730851</v>
      </c>
    </row>
    <row r="535" spans="7:17" x14ac:dyDescent="0.25">
      <c r="G535" s="3">
        <f t="shared" ca="1" si="57"/>
        <v>1</v>
      </c>
      <c r="H535" s="3">
        <f t="shared" ca="1" si="58"/>
        <v>6.0303787997197649</v>
      </c>
      <c r="I535" s="3">
        <f t="shared" ca="1" si="59"/>
        <v>12.278414799679727</v>
      </c>
      <c r="O535" s="3">
        <f t="shared" ca="1" si="60"/>
        <v>2.0612001694265567</v>
      </c>
      <c r="P535" s="3">
        <f t="shared" ca="1" si="61"/>
        <v>1.7513151470308064</v>
      </c>
      <c r="Q535" s="3">
        <f t="shared" ca="1" si="62"/>
        <v>2.7047459922631552</v>
      </c>
    </row>
    <row r="536" spans="7:17" x14ac:dyDescent="0.25">
      <c r="G536" s="3">
        <f t="shared" ca="1" si="57"/>
        <v>0</v>
      </c>
      <c r="H536" s="3">
        <f t="shared" ca="1" si="58"/>
        <v>2.2220465921364849</v>
      </c>
      <c r="I536" s="3">
        <f t="shared" ca="1" si="59"/>
        <v>7.4532653785714711</v>
      </c>
      <c r="O536" s="3">
        <f t="shared" ca="1" si="60"/>
        <v>-4.5202909177361281</v>
      </c>
      <c r="P536" s="3">
        <f t="shared" ca="1" si="61"/>
        <v>-1.0973036398815366</v>
      </c>
      <c r="Q536" s="3">
        <f t="shared" ca="1" si="62"/>
        <v>4.6515701928558482</v>
      </c>
    </row>
    <row r="537" spans="7:17" x14ac:dyDescent="0.25">
      <c r="G537" s="3">
        <f t="shared" ca="1" si="57"/>
        <v>1</v>
      </c>
      <c r="H537" s="3">
        <f t="shared" ca="1" si="58"/>
        <v>2.1782990367443724</v>
      </c>
      <c r="I537" s="3">
        <f t="shared" ca="1" si="59"/>
        <v>7.3795308738841463</v>
      </c>
      <c r="O537" s="3">
        <f t="shared" ca="1" si="60"/>
        <v>-7.3040059164851758</v>
      </c>
      <c r="P537" s="3">
        <f t="shared" ca="1" si="61"/>
        <v>2.8632873630303624</v>
      </c>
      <c r="Q537" s="3">
        <f t="shared" ca="1" si="62"/>
        <v>7.8451843159571348</v>
      </c>
    </row>
    <row r="538" spans="7:17" x14ac:dyDescent="0.25">
      <c r="G538" s="3">
        <f t="shared" ca="1" si="57"/>
        <v>0</v>
      </c>
      <c r="H538" s="3">
        <f t="shared" ca="1" si="58"/>
        <v>0.90992967426563887</v>
      </c>
      <c r="I538" s="3">
        <f t="shared" ca="1" si="59"/>
        <v>4.7695117000213942</v>
      </c>
      <c r="O538" s="3">
        <f t="shared" ca="1" si="60"/>
        <v>-2.8237809228207085</v>
      </c>
      <c r="P538" s="3">
        <f t="shared" ca="1" si="61"/>
        <v>5.3891775591322366</v>
      </c>
      <c r="Q538" s="3">
        <f t="shared" ca="1" si="62"/>
        <v>6.0841575804658996</v>
      </c>
    </row>
    <row r="539" spans="7:17" x14ac:dyDescent="0.25">
      <c r="G539" s="3">
        <f t="shared" ca="1" si="57"/>
        <v>0</v>
      </c>
      <c r="H539" s="3">
        <f t="shared" ca="1" si="58"/>
        <v>0.1075004319256605</v>
      </c>
      <c r="I539" s="3">
        <f t="shared" ca="1" si="59"/>
        <v>1.6393629244744778</v>
      </c>
      <c r="O539" s="3">
        <f t="shared" ca="1" si="60"/>
        <v>-7.0590265567127695</v>
      </c>
      <c r="P539" s="3">
        <f t="shared" ca="1" si="61"/>
        <v>0.41126219767832101</v>
      </c>
      <c r="Q539" s="3">
        <f t="shared" ca="1" si="62"/>
        <v>7.0709965721682639</v>
      </c>
    </row>
    <row r="540" spans="7:17" x14ac:dyDescent="0.25">
      <c r="G540" s="3">
        <f t="shared" ca="1" si="57"/>
        <v>0</v>
      </c>
      <c r="H540" s="3">
        <f t="shared" ca="1" si="58"/>
        <v>0.10993463973464468</v>
      </c>
      <c r="I540" s="3">
        <f t="shared" ca="1" si="59"/>
        <v>1.6578196504343037</v>
      </c>
      <c r="O540" s="3">
        <f t="shared" ca="1" si="60"/>
        <v>-5.2346757866311719</v>
      </c>
      <c r="P540" s="3">
        <f t="shared" ca="1" si="61"/>
        <v>1.6039338163535461</v>
      </c>
      <c r="Q540" s="3">
        <f t="shared" ca="1" si="62"/>
        <v>5.4748912572201043</v>
      </c>
    </row>
    <row r="541" spans="7:17" x14ac:dyDescent="0.25">
      <c r="G541" s="3">
        <f t="shared" ca="1" si="57"/>
        <v>1</v>
      </c>
      <c r="H541" s="3">
        <f t="shared" ca="1" si="58"/>
        <v>3.3517704509024013</v>
      </c>
      <c r="I541" s="3">
        <f t="shared" ca="1" si="59"/>
        <v>9.153920541088393</v>
      </c>
      <c r="O541" s="3">
        <f t="shared" ca="1" si="60"/>
        <v>-11.49878707215214</v>
      </c>
      <c r="P541" s="3">
        <f t="shared" ca="1" si="61"/>
        <v>2.3925998693376633</v>
      </c>
      <c r="Q541" s="3">
        <f t="shared" ca="1" si="62"/>
        <v>11.745068678617754</v>
      </c>
    </row>
    <row r="542" spans="7:17" x14ac:dyDescent="0.25">
      <c r="G542" s="3">
        <f t="shared" ca="1" si="57"/>
        <v>0</v>
      </c>
      <c r="H542" s="3">
        <f t="shared" ca="1" si="58"/>
        <v>2.6635298546762791</v>
      </c>
      <c r="I542" s="3">
        <f t="shared" ca="1" si="59"/>
        <v>8.1601621532238546</v>
      </c>
      <c r="O542" s="3">
        <f t="shared" ca="1" si="60"/>
        <v>-1.1370526269156827</v>
      </c>
      <c r="P542" s="3">
        <f t="shared" ca="1" si="61"/>
        <v>2.5312349117054609</v>
      </c>
      <c r="Q542" s="3">
        <f t="shared" ca="1" si="62"/>
        <v>2.7748943862086728</v>
      </c>
    </row>
    <row r="543" spans="7:17" x14ac:dyDescent="0.25">
      <c r="G543" s="3">
        <f t="shared" ca="1" si="57"/>
        <v>0</v>
      </c>
      <c r="H543" s="3">
        <f t="shared" ca="1" si="58"/>
        <v>0.15863177696038055</v>
      </c>
      <c r="I543" s="3">
        <f t="shared" ca="1" si="59"/>
        <v>1.991430245830748</v>
      </c>
      <c r="O543" s="3">
        <f t="shared" ca="1" si="60"/>
        <v>-5.477452917784202</v>
      </c>
      <c r="P543" s="3">
        <f t="shared" ca="1" si="61"/>
        <v>4.9058205899254261</v>
      </c>
      <c r="Q543" s="3">
        <f t="shared" ca="1" si="62"/>
        <v>7.3532010802832621</v>
      </c>
    </row>
    <row r="544" spans="7:17" x14ac:dyDescent="0.25">
      <c r="G544" s="3">
        <f t="shared" ca="1" si="57"/>
        <v>1</v>
      </c>
      <c r="H544" s="3">
        <f t="shared" ca="1" si="58"/>
        <v>1.8398735851381358</v>
      </c>
      <c r="I544" s="3">
        <f t="shared" ca="1" si="59"/>
        <v>6.7820969934418809</v>
      </c>
      <c r="O544" s="3">
        <f t="shared" ca="1" si="60"/>
        <v>-4.3783368188117695</v>
      </c>
      <c r="P544" s="3">
        <f t="shared" ca="1" si="61"/>
        <v>2.1841550139733892</v>
      </c>
      <c r="Q544" s="3">
        <f t="shared" ca="1" si="62"/>
        <v>4.8928893737778152</v>
      </c>
    </row>
    <row r="545" spans="7:17" x14ac:dyDescent="0.25">
      <c r="G545" s="3">
        <f t="shared" ca="1" si="57"/>
        <v>0</v>
      </c>
      <c r="H545" s="3">
        <f t="shared" ca="1" si="58"/>
        <v>3.2134757954785251</v>
      </c>
      <c r="I545" s="3">
        <f t="shared" ca="1" si="59"/>
        <v>8.9630851210374622</v>
      </c>
      <c r="O545" s="3">
        <f t="shared" ca="1" si="60"/>
        <v>-3.5934550241775565</v>
      </c>
      <c r="P545" s="3">
        <f t="shared" ca="1" si="61"/>
        <v>2.294142025780475</v>
      </c>
      <c r="Q545" s="3">
        <f t="shared" ca="1" si="62"/>
        <v>4.2633328095797385</v>
      </c>
    </row>
    <row r="546" spans="7:17" x14ac:dyDescent="0.25">
      <c r="G546" s="3">
        <f t="shared" ca="1" si="57"/>
        <v>2</v>
      </c>
      <c r="H546" s="3">
        <f t="shared" ca="1" si="58"/>
        <v>2.366658529696684</v>
      </c>
      <c r="I546" s="3">
        <f t="shared" ca="1" si="59"/>
        <v>7.691973949670988</v>
      </c>
      <c r="O546" s="3">
        <f t="shared" ca="1" si="60"/>
        <v>-5.7720848968845182</v>
      </c>
      <c r="P546" s="3">
        <f t="shared" ca="1" si="61"/>
        <v>2.9728056661890849</v>
      </c>
      <c r="Q546" s="3">
        <f t="shared" ca="1" si="62"/>
        <v>6.4926525847120677</v>
      </c>
    </row>
    <row r="547" spans="7:17" x14ac:dyDescent="0.25">
      <c r="G547" s="3">
        <f t="shared" ca="1" si="57"/>
        <v>1</v>
      </c>
      <c r="H547" s="3">
        <f t="shared" ca="1" si="58"/>
        <v>4.1287778690836285</v>
      </c>
      <c r="I547" s="3">
        <f t="shared" ca="1" si="59"/>
        <v>10.159697176938431</v>
      </c>
      <c r="O547" s="3">
        <f t="shared" ca="1" si="60"/>
        <v>-12.542995844105334</v>
      </c>
      <c r="P547" s="3">
        <f t="shared" ca="1" si="61"/>
        <v>10.132986638953039</v>
      </c>
      <c r="Q547" s="3">
        <f t="shared" ca="1" si="62"/>
        <v>16.124644584313927</v>
      </c>
    </row>
    <row r="548" spans="7:17" x14ac:dyDescent="0.25">
      <c r="G548" s="3">
        <f t="shared" ca="1" si="57"/>
        <v>0</v>
      </c>
      <c r="H548" s="3">
        <f t="shared" ca="1" si="58"/>
        <v>0.25867868117170362</v>
      </c>
      <c r="I548" s="3">
        <f t="shared" ca="1" si="59"/>
        <v>2.5430232065973346</v>
      </c>
      <c r="O548" s="3">
        <f t="shared" ca="1" si="60"/>
        <v>-2.0358170466534977</v>
      </c>
      <c r="P548" s="3">
        <f t="shared" ca="1" si="61"/>
        <v>-0.48688383174875494</v>
      </c>
      <c r="Q548" s="3">
        <f t="shared" ca="1" si="62"/>
        <v>2.0932288248214337</v>
      </c>
    </row>
    <row r="549" spans="7:17" x14ac:dyDescent="0.25">
      <c r="G549" s="3">
        <f t="shared" ca="1" si="57"/>
        <v>0</v>
      </c>
      <c r="H549" s="3">
        <f t="shared" ca="1" si="58"/>
        <v>1.8999667248791816</v>
      </c>
      <c r="I549" s="3">
        <f t="shared" ca="1" si="59"/>
        <v>6.8919640250061907</v>
      </c>
      <c r="O549" s="3">
        <f t="shared" ca="1" si="60"/>
        <v>-4.6195485329069861</v>
      </c>
      <c r="P549" s="3">
        <f t="shared" ca="1" si="61"/>
        <v>7.378632028575713</v>
      </c>
      <c r="Q549" s="3">
        <f t="shared" ca="1" si="62"/>
        <v>8.7054258517895846</v>
      </c>
    </row>
    <row r="550" spans="7:17" x14ac:dyDescent="0.25">
      <c r="G550" s="3">
        <f t="shared" ca="1" si="57"/>
        <v>0</v>
      </c>
      <c r="H550" s="3">
        <f t="shared" ca="1" si="58"/>
        <v>0.28899301594414956</v>
      </c>
      <c r="I550" s="3">
        <f t="shared" ca="1" si="59"/>
        <v>2.6879035322354374</v>
      </c>
      <c r="O550" s="3">
        <f t="shared" ca="1" si="60"/>
        <v>-0.2060179090523393</v>
      </c>
      <c r="P550" s="3">
        <f t="shared" ca="1" si="61"/>
        <v>3.6153312434125033</v>
      </c>
      <c r="Q550" s="3">
        <f t="shared" ca="1" si="62"/>
        <v>3.6211964015287674</v>
      </c>
    </row>
    <row r="551" spans="7:17" x14ac:dyDescent="0.25">
      <c r="G551" s="3">
        <f t="shared" ca="1" si="57"/>
        <v>1</v>
      </c>
      <c r="H551" s="3">
        <f t="shared" ca="1" si="58"/>
        <v>3.8895635520781462</v>
      </c>
      <c r="I551" s="3">
        <f t="shared" ca="1" si="59"/>
        <v>9.8609882264382431</v>
      </c>
      <c r="O551" s="3">
        <f t="shared" ca="1" si="60"/>
        <v>-5.2991878629083624</v>
      </c>
      <c r="P551" s="3">
        <f t="shared" ca="1" si="61"/>
        <v>-0.72168836240852063</v>
      </c>
      <c r="Q551" s="3">
        <f t="shared" ca="1" si="62"/>
        <v>5.3481049072387492</v>
      </c>
    </row>
    <row r="552" spans="7:17" x14ac:dyDescent="0.25">
      <c r="G552" s="3">
        <f t="shared" ca="1" si="57"/>
        <v>0</v>
      </c>
      <c r="H552" s="3">
        <f t="shared" ca="1" si="58"/>
        <v>2.5322957175083154</v>
      </c>
      <c r="I552" s="3">
        <f t="shared" ca="1" si="59"/>
        <v>7.9565943052104826</v>
      </c>
      <c r="O552" s="3">
        <f t="shared" ca="1" si="60"/>
        <v>-10.945450399793923</v>
      </c>
      <c r="P552" s="3">
        <f t="shared" ca="1" si="61"/>
        <v>-5.2041669448316066</v>
      </c>
      <c r="Q552" s="3">
        <f t="shared" ca="1" si="62"/>
        <v>12.119663280967293</v>
      </c>
    </row>
    <row r="553" spans="7:17" x14ac:dyDescent="0.25">
      <c r="G553" s="3">
        <f t="shared" ca="1" si="57"/>
        <v>0</v>
      </c>
      <c r="H553" s="3">
        <f t="shared" ca="1" si="58"/>
        <v>8.9760635287079484</v>
      </c>
      <c r="I553" s="3">
        <f t="shared" ca="1" si="59"/>
        <v>14.980039660084305</v>
      </c>
      <c r="O553" s="3">
        <f t="shared" ca="1" si="60"/>
        <v>-3.2664146179462334</v>
      </c>
      <c r="P553" s="3">
        <f t="shared" ca="1" si="61"/>
        <v>-2.8966879038223241</v>
      </c>
      <c r="Q553" s="3">
        <f t="shared" ca="1" si="62"/>
        <v>4.3658063709334849</v>
      </c>
    </row>
    <row r="554" spans="7:17" x14ac:dyDescent="0.25">
      <c r="G554" s="3">
        <f t="shared" ca="1" si="57"/>
        <v>1</v>
      </c>
      <c r="H554" s="3">
        <f t="shared" ca="1" si="58"/>
        <v>4.2420661242964339</v>
      </c>
      <c r="I554" s="3">
        <f t="shared" ca="1" si="59"/>
        <v>10.298138332116677</v>
      </c>
      <c r="O554" s="3">
        <f t="shared" ca="1" si="60"/>
        <v>1.7579581486503795</v>
      </c>
      <c r="P554" s="3">
        <f t="shared" ca="1" si="61"/>
        <v>0.99643662921975507</v>
      </c>
      <c r="Q554" s="3">
        <f t="shared" ca="1" si="62"/>
        <v>2.0207183892014982</v>
      </c>
    </row>
    <row r="555" spans="7:17" x14ac:dyDescent="0.25">
      <c r="G555" s="3">
        <f t="shared" ca="1" si="57"/>
        <v>0</v>
      </c>
      <c r="H555" s="3">
        <f t="shared" ca="1" si="58"/>
        <v>2.9307168840324596</v>
      </c>
      <c r="I555" s="3">
        <f t="shared" ca="1" si="59"/>
        <v>8.559668340584901</v>
      </c>
      <c r="O555" s="3">
        <f t="shared" ca="1" si="60"/>
        <v>-11.518687476258821</v>
      </c>
      <c r="P555" s="3">
        <f t="shared" ca="1" si="61"/>
        <v>5.772407637019997</v>
      </c>
      <c r="Q555" s="3">
        <f t="shared" ca="1" si="62"/>
        <v>12.884131755910003</v>
      </c>
    </row>
    <row r="556" spans="7:17" x14ac:dyDescent="0.25">
      <c r="G556" s="3">
        <f t="shared" ca="1" si="57"/>
        <v>0</v>
      </c>
      <c r="H556" s="3">
        <f t="shared" ca="1" si="58"/>
        <v>1.4941239958099981</v>
      </c>
      <c r="I556" s="3">
        <f t="shared" ca="1" si="59"/>
        <v>6.1117182440987863</v>
      </c>
      <c r="O556" s="3">
        <f t="shared" ca="1" si="60"/>
        <v>-0.72636463188202338</v>
      </c>
      <c r="P556" s="3">
        <f t="shared" ca="1" si="61"/>
        <v>10.650501718560729</v>
      </c>
      <c r="Q556" s="3">
        <f t="shared" ca="1" si="62"/>
        <v>10.675242031706549</v>
      </c>
    </row>
    <row r="557" spans="7:17" x14ac:dyDescent="0.25">
      <c r="G557" s="3">
        <f t="shared" ca="1" si="57"/>
        <v>1</v>
      </c>
      <c r="H557" s="3">
        <f t="shared" ca="1" si="58"/>
        <v>2.0561168401103092</v>
      </c>
      <c r="I557" s="3">
        <f t="shared" ca="1" si="59"/>
        <v>7.1695830424619347</v>
      </c>
      <c r="O557" s="3">
        <f t="shared" ca="1" si="60"/>
        <v>-8.758162349777292</v>
      </c>
      <c r="P557" s="3">
        <f t="shared" ca="1" si="61"/>
        <v>-1.4794181272004165</v>
      </c>
      <c r="Q557" s="3">
        <f t="shared" ca="1" si="62"/>
        <v>8.8822342763600695</v>
      </c>
    </row>
    <row r="558" spans="7:17" x14ac:dyDescent="0.25">
      <c r="G558" s="3">
        <f t="shared" ca="1" si="57"/>
        <v>0</v>
      </c>
      <c r="H558" s="3">
        <f t="shared" ca="1" si="58"/>
        <v>4.7460493445622669</v>
      </c>
      <c r="I558" s="3">
        <f t="shared" ca="1" si="59"/>
        <v>10.892714703601516</v>
      </c>
      <c r="O558" s="3">
        <f t="shared" ca="1" si="60"/>
        <v>-1.1969634387875274</v>
      </c>
      <c r="P558" s="3">
        <f t="shared" ca="1" si="61"/>
        <v>2.1280543702409309</v>
      </c>
      <c r="Q558" s="3">
        <f t="shared" ca="1" si="62"/>
        <v>2.4415849107691479</v>
      </c>
    </row>
    <row r="559" spans="7:17" x14ac:dyDescent="0.25">
      <c r="G559" s="3">
        <f t="shared" ca="1" si="57"/>
        <v>0</v>
      </c>
      <c r="H559" s="3">
        <f t="shared" ca="1" si="58"/>
        <v>4.3510493615198973</v>
      </c>
      <c r="I559" s="3">
        <f t="shared" ca="1" si="59"/>
        <v>10.429584557306079</v>
      </c>
      <c r="O559" s="3">
        <f t="shared" ca="1" si="60"/>
        <v>-9.1513809094066954</v>
      </c>
      <c r="P559" s="3">
        <f t="shared" ca="1" si="61"/>
        <v>-2.8055366907109125</v>
      </c>
      <c r="Q559" s="3">
        <f t="shared" ca="1" si="62"/>
        <v>9.5717714490045385</v>
      </c>
    </row>
    <row r="560" spans="7:17" x14ac:dyDescent="0.25">
      <c r="G560" s="3">
        <f t="shared" ca="1" si="57"/>
        <v>2</v>
      </c>
      <c r="H560" s="3">
        <f t="shared" ca="1" si="58"/>
        <v>0.40022567803746656</v>
      </c>
      <c r="I560" s="3">
        <f t="shared" ca="1" si="59"/>
        <v>3.1631696051487128</v>
      </c>
      <c r="O560" s="3">
        <f t="shared" ca="1" si="60"/>
        <v>-6.0619155628424615</v>
      </c>
      <c r="P560" s="3">
        <f t="shared" ca="1" si="61"/>
        <v>1.0565439430980719</v>
      </c>
      <c r="Q560" s="3">
        <f t="shared" ca="1" si="62"/>
        <v>6.1533003660416954</v>
      </c>
    </row>
    <row r="561" spans="7:17" x14ac:dyDescent="0.25">
      <c r="G561" s="3">
        <f t="shared" ca="1" si="57"/>
        <v>0</v>
      </c>
      <c r="H561" s="3">
        <f t="shared" ca="1" si="58"/>
        <v>2.1427255533066569</v>
      </c>
      <c r="I561" s="3">
        <f t="shared" ca="1" si="59"/>
        <v>7.3190258117229252</v>
      </c>
      <c r="O561" s="3">
        <f t="shared" ca="1" si="60"/>
        <v>0.60640800924491423</v>
      </c>
      <c r="P561" s="3">
        <f t="shared" ca="1" si="61"/>
        <v>1.109578507540905</v>
      </c>
      <c r="Q561" s="3">
        <f t="shared" ca="1" si="62"/>
        <v>1.2644742536220666</v>
      </c>
    </row>
    <row r="562" spans="7:17" x14ac:dyDescent="0.25">
      <c r="G562" s="3">
        <f t="shared" ca="1" si="57"/>
        <v>1</v>
      </c>
      <c r="H562" s="3">
        <f t="shared" ca="1" si="58"/>
        <v>2.9013037386203622</v>
      </c>
      <c r="I562" s="3">
        <f t="shared" ca="1" si="59"/>
        <v>8.5166069220969138</v>
      </c>
      <c r="O562" s="3">
        <f t="shared" ca="1" si="60"/>
        <v>0.8297930900520667</v>
      </c>
      <c r="P562" s="3">
        <f t="shared" ca="1" si="61"/>
        <v>-2.3600157746183212</v>
      </c>
      <c r="Q562" s="3">
        <f t="shared" ca="1" si="62"/>
        <v>2.5016456641070239</v>
      </c>
    </row>
    <row r="563" spans="7:17" x14ac:dyDescent="0.25">
      <c r="G563" s="3">
        <f t="shared" ca="1" si="57"/>
        <v>0</v>
      </c>
      <c r="H563" s="3">
        <f t="shared" ca="1" si="58"/>
        <v>1.6957537154183722</v>
      </c>
      <c r="I563" s="3">
        <f t="shared" ca="1" si="59"/>
        <v>6.5110554356002304</v>
      </c>
      <c r="O563" s="3">
        <f t="shared" ca="1" si="60"/>
        <v>5.1782172277857974</v>
      </c>
      <c r="P563" s="3">
        <f t="shared" ca="1" si="61"/>
        <v>-1.7545685628446399</v>
      </c>
      <c r="Q563" s="3">
        <f t="shared" ca="1" si="62"/>
        <v>5.4673983300890319</v>
      </c>
    </row>
    <row r="564" spans="7:17" x14ac:dyDescent="0.25">
      <c r="G564" s="3">
        <f t="shared" ca="1" si="57"/>
        <v>0</v>
      </c>
      <c r="H564" s="3">
        <f t="shared" ca="1" si="58"/>
        <v>4.1837895169365469</v>
      </c>
      <c r="I564" s="3">
        <f t="shared" ca="1" si="59"/>
        <v>10.227156883680511</v>
      </c>
      <c r="O564" s="3">
        <f t="shared" ca="1" si="60"/>
        <v>1.3662246068492632</v>
      </c>
      <c r="P564" s="3">
        <f t="shared" ca="1" si="61"/>
        <v>-0.97660910997664108</v>
      </c>
      <c r="Q564" s="3">
        <f t="shared" ca="1" si="62"/>
        <v>1.6793853131577015</v>
      </c>
    </row>
    <row r="565" spans="7:17" x14ac:dyDescent="0.25">
      <c r="G565" s="3">
        <f t="shared" ca="1" si="57"/>
        <v>0</v>
      </c>
      <c r="H565" s="3">
        <f t="shared" ca="1" si="58"/>
        <v>2.5982611375002769</v>
      </c>
      <c r="I565" s="3">
        <f t="shared" ca="1" si="59"/>
        <v>8.0595613055244471</v>
      </c>
      <c r="O565" s="3">
        <f t="shared" ca="1" si="60"/>
        <v>-3.6296700136814914</v>
      </c>
      <c r="P565" s="3">
        <f t="shared" ca="1" si="61"/>
        <v>-2.6434604350435382</v>
      </c>
      <c r="Q565" s="3">
        <f t="shared" ca="1" si="62"/>
        <v>4.4902547232711836</v>
      </c>
    </row>
    <row r="566" spans="7:17" x14ac:dyDescent="0.25">
      <c r="G566" s="3">
        <f t="shared" ca="1" si="57"/>
        <v>1</v>
      </c>
      <c r="H566" s="3">
        <f t="shared" ca="1" si="58"/>
        <v>3.2959767487964045</v>
      </c>
      <c r="I566" s="3">
        <f t="shared" ca="1" si="59"/>
        <v>9.0774125564452621</v>
      </c>
      <c r="O566" s="3">
        <f t="shared" ca="1" si="60"/>
        <v>-3.2869494298814854</v>
      </c>
      <c r="P566" s="3">
        <f t="shared" ca="1" si="61"/>
        <v>-1.2110048403181186</v>
      </c>
      <c r="Q566" s="3">
        <f t="shared" ca="1" si="62"/>
        <v>3.502937235788294</v>
      </c>
    </row>
    <row r="567" spans="7:17" x14ac:dyDescent="0.25">
      <c r="G567" s="3">
        <f t="shared" ca="1" si="57"/>
        <v>1</v>
      </c>
      <c r="H567" s="3">
        <f t="shared" ca="1" si="58"/>
        <v>2.2831924667116716</v>
      </c>
      <c r="I567" s="3">
        <f t="shared" ca="1" si="59"/>
        <v>7.5551182431376809</v>
      </c>
      <c r="O567" s="3">
        <f t="shared" ca="1" si="60"/>
        <v>-15.961139302887194</v>
      </c>
      <c r="P567" s="3">
        <f t="shared" ca="1" si="61"/>
        <v>0.36748657356366993</v>
      </c>
      <c r="Q567" s="3">
        <f t="shared" ca="1" si="62"/>
        <v>15.965369216774157</v>
      </c>
    </row>
    <row r="568" spans="7:17" x14ac:dyDescent="0.25">
      <c r="G568" s="3">
        <f t="shared" ca="1" si="57"/>
        <v>0</v>
      </c>
      <c r="H568" s="3">
        <f t="shared" ca="1" si="58"/>
        <v>0.19471204493557795</v>
      </c>
      <c r="I568" s="3">
        <f t="shared" ca="1" si="59"/>
        <v>2.2063093897704937</v>
      </c>
      <c r="O568" s="3">
        <f t="shared" ca="1" si="60"/>
        <v>-9.5351830591612359</v>
      </c>
      <c r="P568" s="3">
        <f t="shared" ca="1" si="61"/>
        <v>-6.6238592328518129</v>
      </c>
      <c r="Q568" s="3">
        <f t="shared" ca="1" si="62"/>
        <v>11.610134672274549</v>
      </c>
    </row>
    <row r="569" spans="7:17" x14ac:dyDescent="0.25">
      <c r="G569" s="3">
        <f t="shared" ca="1" si="57"/>
        <v>1</v>
      </c>
      <c r="H569" s="3">
        <f t="shared" ca="1" si="58"/>
        <v>4.9298851573569484</v>
      </c>
      <c r="I569" s="3">
        <f t="shared" ca="1" si="59"/>
        <v>11.101672348521356</v>
      </c>
      <c r="O569" s="3">
        <f t="shared" ca="1" si="60"/>
        <v>-1.6176916655891862</v>
      </c>
      <c r="P569" s="3">
        <f t="shared" ca="1" si="61"/>
        <v>-3.8127907409645094</v>
      </c>
      <c r="Q569" s="3">
        <f t="shared" ca="1" si="62"/>
        <v>4.141774928614713</v>
      </c>
    </row>
    <row r="570" spans="7:17" x14ac:dyDescent="0.25">
      <c r="G570" s="3">
        <f t="shared" ca="1" si="57"/>
        <v>0</v>
      </c>
      <c r="H570" s="3">
        <f t="shared" ca="1" si="58"/>
        <v>0.18230693245895868</v>
      </c>
      <c r="I570" s="3">
        <f t="shared" ca="1" si="59"/>
        <v>2.1348707950304551</v>
      </c>
      <c r="O570" s="3">
        <f t="shared" ca="1" si="60"/>
        <v>-9.834736086659019</v>
      </c>
      <c r="P570" s="3">
        <f t="shared" ca="1" si="61"/>
        <v>-0.50408924817528111</v>
      </c>
      <c r="Q570" s="3">
        <f t="shared" ca="1" si="62"/>
        <v>9.8476464124357683</v>
      </c>
    </row>
    <row r="571" spans="7:17" x14ac:dyDescent="0.25">
      <c r="G571" s="3">
        <f t="shared" ca="1" si="57"/>
        <v>0</v>
      </c>
      <c r="H571" s="3">
        <f t="shared" ca="1" si="58"/>
        <v>4.246879555833174</v>
      </c>
      <c r="I571" s="3">
        <f t="shared" ca="1" si="59"/>
        <v>10.303979274815596</v>
      </c>
      <c r="O571" s="3">
        <f t="shared" ca="1" si="60"/>
        <v>-3.8514854682302619</v>
      </c>
      <c r="P571" s="3">
        <f t="shared" ca="1" si="61"/>
        <v>-3.9347454164319768</v>
      </c>
      <c r="Q571" s="3">
        <f t="shared" ca="1" si="62"/>
        <v>5.5060114242636047</v>
      </c>
    </row>
    <row r="572" spans="7:17" x14ac:dyDescent="0.25">
      <c r="G572" s="3">
        <f t="shared" ca="1" si="57"/>
        <v>1</v>
      </c>
      <c r="H572" s="3">
        <f t="shared" ca="1" si="58"/>
        <v>5.5170770831823903</v>
      </c>
      <c r="I572" s="3">
        <f t="shared" ca="1" si="59"/>
        <v>11.744229522602144</v>
      </c>
      <c r="O572" s="3">
        <f t="shared" ca="1" si="60"/>
        <v>-8.4045511364029721</v>
      </c>
      <c r="P572" s="3">
        <f t="shared" ca="1" si="61"/>
        <v>2.2576856226914277</v>
      </c>
      <c r="Q572" s="3">
        <f t="shared" ca="1" si="62"/>
        <v>8.702506775367663</v>
      </c>
    </row>
    <row r="573" spans="7:17" x14ac:dyDescent="0.25">
      <c r="G573" s="3">
        <f t="shared" ca="1" si="57"/>
        <v>1</v>
      </c>
      <c r="H573" s="3">
        <f t="shared" ca="1" si="58"/>
        <v>7.8356601531322649</v>
      </c>
      <c r="I573" s="3">
        <f t="shared" ca="1" si="59"/>
        <v>13.99612460034229</v>
      </c>
      <c r="O573" s="3">
        <f t="shared" ca="1" si="60"/>
        <v>-1.7988283278615742</v>
      </c>
      <c r="P573" s="3">
        <f t="shared" ca="1" si="61"/>
        <v>-1.2159822065433541</v>
      </c>
      <c r="Q573" s="3">
        <f t="shared" ca="1" si="62"/>
        <v>2.1712660085183741</v>
      </c>
    </row>
    <row r="574" spans="7:17" x14ac:dyDescent="0.25">
      <c r="G574" s="3">
        <f t="shared" ca="1" si="57"/>
        <v>0</v>
      </c>
      <c r="H574" s="3">
        <f t="shared" ca="1" si="58"/>
        <v>3.3164992597536456</v>
      </c>
      <c r="I574" s="3">
        <f t="shared" ca="1" si="59"/>
        <v>9.1056291102724547</v>
      </c>
      <c r="O574" s="3">
        <f t="shared" ca="1" si="60"/>
        <v>-3.2301178499754624</v>
      </c>
      <c r="P574" s="3">
        <f t="shared" ca="1" si="61"/>
        <v>-6.363300406553738</v>
      </c>
      <c r="Q574" s="3">
        <f t="shared" ca="1" si="62"/>
        <v>7.1361932000736266</v>
      </c>
    </row>
    <row r="575" spans="7:17" x14ac:dyDescent="0.25">
      <c r="G575" s="3">
        <f t="shared" ca="1" si="57"/>
        <v>0</v>
      </c>
      <c r="H575" s="3">
        <f t="shared" ca="1" si="58"/>
        <v>3.4244452775039784</v>
      </c>
      <c r="I575" s="3">
        <f t="shared" ca="1" si="59"/>
        <v>9.2526283799577431</v>
      </c>
      <c r="O575" s="3">
        <f t="shared" ca="1" si="60"/>
        <v>1.4979551699341904</v>
      </c>
      <c r="P575" s="3">
        <f t="shared" ca="1" si="61"/>
        <v>-6.2876202863111805</v>
      </c>
      <c r="Q575" s="3">
        <f t="shared" ca="1" si="62"/>
        <v>6.4635933161024646</v>
      </c>
    </row>
    <row r="576" spans="7:17" x14ac:dyDescent="0.25">
      <c r="G576" s="3">
        <f t="shared" ca="1" si="57"/>
        <v>0</v>
      </c>
      <c r="H576" s="3">
        <f t="shared" ca="1" si="58"/>
        <v>3.8095727697143564</v>
      </c>
      <c r="I576" s="3">
        <f t="shared" ca="1" si="59"/>
        <v>9.7590634408665942</v>
      </c>
      <c r="O576" s="3">
        <f t="shared" ca="1" si="60"/>
        <v>5.0407902531447046</v>
      </c>
      <c r="P576" s="3">
        <f t="shared" ca="1" si="61"/>
        <v>-1.7084494232789391</v>
      </c>
      <c r="Q576" s="3">
        <f t="shared" ca="1" si="62"/>
        <v>5.3224398360245271</v>
      </c>
    </row>
    <row r="577" spans="7:17" x14ac:dyDescent="0.25">
      <c r="G577" s="3">
        <f t="shared" ca="1" si="57"/>
        <v>0</v>
      </c>
      <c r="H577" s="3">
        <f t="shared" ca="1" si="58"/>
        <v>3.2665841441519854</v>
      </c>
      <c r="I577" s="3">
        <f t="shared" ca="1" si="59"/>
        <v>9.0368469945993688</v>
      </c>
      <c r="O577" s="3">
        <f t="shared" ca="1" si="60"/>
        <v>-13.173334767477414</v>
      </c>
      <c r="P577" s="3">
        <f t="shared" ca="1" si="61"/>
        <v>4.5827724664276115</v>
      </c>
      <c r="Q577" s="3">
        <f t="shared" ca="1" si="62"/>
        <v>13.947707782108006</v>
      </c>
    </row>
    <row r="578" spans="7:17" x14ac:dyDescent="0.25">
      <c r="G578" s="3">
        <f t="shared" ca="1" si="57"/>
        <v>0</v>
      </c>
      <c r="H578" s="3">
        <f t="shared" ca="1" si="58"/>
        <v>0.10690545105918446</v>
      </c>
      <c r="I578" s="3">
        <f t="shared" ca="1" si="59"/>
        <v>1.6348199523126734</v>
      </c>
      <c r="O578" s="3">
        <f t="shared" ca="1" si="60"/>
        <v>-4.7015406669679294E-2</v>
      </c>
      <c r="P578" s="3">
        <f t="shared" ca="1" si="61"/>
        <v>-6.2591912465000989</v>
      </c>
      <c r="Q578" s="3">
        <f t="shared" ca="1" si="62"/>
        <v>6.2593678202137779</v>
      </c>
    </row>
    <row r="579" spans="7:17" x14ac:dyDescent="0.25">
      <c r="G579" s="3">
        <f t="shared" ca="1" si="57"/>
        <v>1</v>
      </c>
      <c r="H579" s="3">
        <f t="shared" ca="1" si="58"/>
        <v>5.2880821939366784</v>
      </c>
      <c r="I579" s="3">
        <f t="shared" ca="1" si="59"/>
        <v>11.497915239225629</v>
      </c>
      <c r="O579" s="3">
        <f t="shared" ca="1" si="60"/>
        <v>-10.974760004975893</v>
      </c>
      <c r="P579" s="3">
        <f t="shared" ca="1" si="61"/>
        <v>6.0445507354306054</v>
      </c>
      <c r="Q579" s="3">
        <f t="shared" ca="1" si="62"/>
        <v>12.52924382235469</v>
      </c>
    </row>
    <row r="580" spans="7:17" x14ac:dyDescent="0.25">
      <c r="G580" s="3">
        <f t="shared" ref="G580:G643" ca="1" si="63">VLOOKUP(RAND(),$B$9:$C$169,2,TRUE)</f>
        <v>0</v>
      </c>
      <c r="H580" s="3">
        <f t="shared" ref="H580:H643" ca="1" si="64">_xlfn.CHISQ.INV(RAND(),2*G580+2)</f>
        <v>0.62511491571128719</v>
      </c>
      <c r="I580" s="3">
        <f t="shared" ref="I580:I643" ca="1" si="65">$C$4*SQRT(H580)</f>
        <v>3.95321045389468</v>
      </c>
      <c r="O580" s="3">
        <f t="shared" ref="O580:O643" ca="1" si="66">_xlfn.NORM.INV(RAND(),$C$3*COS($N$2),$C$4)</f>
        <v>-10.367716635777272</v>
      </c>
      <c r="P580" s="3">
        <f t="shared" ref="P580:P643" ca="1" si="67">_xlfn.NORM.INV(RAND(),$C$3*SIN($N$2),$C$4)</f>
        <v>0.73516290858417233</v>
      </c>
      <c r="Q580" s="3">
        <f t="shared" ref="Q580:Q643" ca="1" si="68">SQRT(O580^2+P580^2)</f>
        <v>10.393748733827019</v>
      </c>
    </row>
    <row r="581" spans="7:17" x14ac:dyDescent="0.25">
      <c r="G581" s="3">
        <f t="shared" ca="1" si="63"/>
        <v>0</v>
      </c>
      <c r="H581" s="3">
        <f t="shared" ca="1" si="64"/>
        <v>1.6933690797395269</v>
      </c>
      <c r="I581" s="3">
        <f t="shared" ca="1" si="65"/>
        <v>6.506475773680263</v>
      </c>
      <c r="O581" s="3">
        <f t="shared" ca="1" si="66"/>
        <v>-0.55052445461727206</v>
      </c>
      <c r="P581" s="3">
        <f t="shared" ca="1" si="67"/>
        <v>-1.2179126019080257</v>
      </c>
      <c r="Q581" s="3">
        <f t="shared" ca="1" si="68"/>
        <v>1.3365583717211986</v>
      </c>
    </row>
    <row r="582" spans="7:17" x14ac:dyDescent="0.25">
      <c r="G582" s="3">
        <f t="shared" ca="1" si="63"/>
        <v>0</v>
      </c>
      <c r="H582" s="3">
        <f t="shared" ca="1" si="64"/>
        <v>1.2727396189085587</v>
      </c>
      <c r="I582" s="3">
        <f t="shared" ca="1" si="65"/>
        <v>5.6407881074114075</v>
      </c>
      <c r="O582" s="3">
        <f t="shared" ca="1" si="66"/>
        <v>-14.764054286785273</v>
      </c>
      <c r="P582" s="3">
        <f t="shared" ca="1" si="67"/>
        <v>-1.4353815178256581</v>
      </c>
      <c r="Q582" s="3">
        <f t="shared" ca="1" si="68"/>
        <v>14.833665059076198</v>
      </c>
    </row>
    <row r="583" spans="7:17" x14ac:dyDescent="0.25">
      <c r="G583" s="3">
        <f t="shared" ca="1" si="63"/>
        <v>0</v>
      </c>
      <c r="H583" s="3">
        <f t="shared" ca="1" si="64"/>
        <v>0.7588988842050548</v>
      </c>
      <c r="I583" s="3">
        <f t="shared" ca="1" si="65"/>
        <v>4.3557401328736738</v>
      </c>
      <c r="O583" s="3">
        <f t="shared" ca="1" si="66"/>
        <v>-9.0427596121901317</v>
      </c>
      <c r="P583" s="3">
        <f t="shared" ca="1" si="67"/>
        <v>6.1599373182917123</v>
      </c>
      <c r="Q583" s="3">
        <f t="shared" ca="1" si="68"/>
        <v>10.941495746429732</v>
      </c>
    </row>
    <row r="584" spans="7:17" x14ac:dyDescent="0.25">
      <c r="G584" s="3">
        <f t="shared" ca="1" si="63"/>
        <v>2</v>
      </c>
      <c r="H584" s="3">
        <f t="shared" ca="1" si="64"/>
        <v>9.3254193970766615</v>
      </c>
      <c r="I584" s="3">
        <f t="shared" ca="1" si="65"/>
        <v>15.268774833853453</v>
      </c>
      <c r="O584" s="3">
        <f t="shared" ca="1" si="66"/>
        <v>4.4867301088474427</v>
      </c>
      <c r="P584" s="3">
        <f t="shared" ca="1" si="67"/>
        <v>-2.9793903468563596</v>
      </c>
      <c r="Q584" s="3">
        <f t="shared" ca="1" si="68"/>
        <v>5.3858624108474071</v>
      </c>
    </row>
    <row r="585" spans="7:17" x14ac:dyDescent="0.25">
      <c r="G585" s="3">
        <f t="shared" ca="1" si="63"/>
        <v>0</v>
      </c>
      <c r="H585" s="3">
        <f t="shared" ca="1" si="64"/>
        <v>0.29338178976979257</v>
      </c>
      <c r="I585" s="3">
        <f t="shared" ca="1" si="65"/>
        <v>2.7082364638717973</v>
      </c>
      <c r="O585" s="3">
        <f t="shared" ca="1" si="66"/>
        <v>-0.95451841948626548</v>
      </c>
      <c r="P585" s="3">
        <f t="shared" ca="1" si="67"/>
        <v>-4.3601036005343339</v>
      </c>
      <c r="Q585" s="3">
        <f t="shared" ca="1" si="68"/>
        <v>4.4633629496749441</v>
      </c>
    </row>
    <row r="586" spans="7:17" x14ac:dyDescent="0.25">
      <c r="G586" s="3">
        <f t="shared" ca="1" si="63"/>
        <v>1</v>
      </c>
      <c r="H586" s="3">
        <f t="shared" ca="1" si="64"/>
        <v>1.9997317543511401</v>
      </c>
      <c r="I586" s="3">
        <f t="shared" ca="1" si="65"/>
        <v>7.0705936001709579</v>
      </c>
      <c r="O586" s="3">
        <f t="shared" ca="1" si="66"/>
        <v>-10.227989439053552</v>
      </c>
      <c r="P586" s="3">
        <f t="shared" ca="1" si="67"/>
        <v>5.8450554891001003</v>
      </c>
      <c r="Q586" s="3">
        <f t="shared" ca="1" si="68"/>
        <v>11.780341320863764</v>
      </c>
    </row>
    <row r="587" spans="7:17" x14ac:dyDescent="0.25">
      <c r="G587" s="3">
        <f t="shared" ca="1" si="63"/>
        <v>2</v>
      </c>
      <c r="H587" s="3">
        <f t="shared" ca="1" si="64"/>
        <v>7.528523450141976</v>
      </c>
      <c r="I587" s="3">
        <f t="shared" ca="1" si="65"/>
        <v>13.719077456357967</v>
      </c>
      <c r="O587" s="3">
        <f t="shared" ca="1" si="66"/>
        <v>-2.5274759133608922</v>
      </c>
      <c r="P587" s="3">
        <f t="shared" ca="1" si="67"/>
        <v>7.1321794971958594</v>
      </c>
      <c r="Q587" s="3">
        <f t="shared" ca="1" si="68"/>
        <v>7.5667773109059091</v>
      </c>
    </row>
    <row r="588" spans="7:17" x14ac:dyDescent="0.25">
      <c r="G588" s="3">
        <f t="shared" ca="1" si="63"/>
        <v>0</v>
      </c>
      <c r="H588" s="3">
        <f t="shared" ca="1" si="64"/>
        <v>2.7594726652234027</v>
      </c>
      <c r="I588" s="3">
        <f t="shared" ca="1" si="65"/>
        <v>8.3058302794233079</v>
      </c>
      <c r="O588" s="3">
        <f t="shared" ca="1" si="66"/>
        <v>-8.0722092431572587</v>
      </c>
      <c r="P588" s="3">
        <f t="shared" ca="1" si="67"/>
        <v>-0.90160681324032577</v>
      </c>
      <c r="Q588" s="3">
        <f t="shared" ca="1" si="68"/>
        <v>8.1224046261556602</v>
      </c>
    </row>
    <row r="589" spans="7:17" x14ac:dyDescent="0.25">
      <c r="G589" s="3">
        <f t="shared" ca="1" si="63"/>
        <v>2</v>
      </c>
      <c r="H589" s="3">
        <f t="shared" ca="1" si="64"/>
        <v>3.674661420336089</v>
      </c>
      <c r="I589" s="3">
        <f t="shared" ca="1" si="65"/>
        <v>9.5847032039809257</v>
      </c>
      <c r="O589" s="3">
        <f t="shared" ca="1" si="66"/>
        <v>0.11802441835133592</v>
      </c>
      <c r="P589" s="3">
        <f t="shared" ca="1" si="67"/>
        <v>-8.1408856419457827</v>
      </c>
      <c r="Q589" s="3">
        <f t="shared" ca="1" si="68"/>
        <v>8.1417411404788691</v>
      </c>
    </row>
    <row r="590" spans="7:17" x14ac:dyDescent="0.25">
      <c r="G590" s="3">
        <f t="shared" ca="1" si="63"/>
        <v>0</v>
      </c>
      <c r="H590" s="3">
        <f t="shared" ca="1" si="64"/>
        <v>2.0226057005012934</v>
      </c>
      <c r="I590" s="3">
        <f t="shared" ca="1" si="65"/>
        <v>7.1109171358223779</v>
      </c>
      <c r="O590" s="3">
        <f t="shared" ca="1" si="66"/>
        <v>-7.5551535524464208</v>
      </c>
      <c r="P590" s="3">
        <f t="shared" ca="1" si="67"/>
        <v>1.6860340856147629</v>
      </c>
      <c r="Q590" s="3">
        <f t="shared" ca="1" si="68"/>
        <v>7.7409983941929985</v>
      </c>
    </row>
    <row r="591" spans="7:17" x14ac:dyDescent="0.25">
      <c r="G591" s="3">
        <f t="shared" ca="1" si="63"/>
        <v>1</v>
      </c>
      <c r="H591" s="3">
        <f t="shared" ca="1" si="64"/>
        <v>0.21101292997154616</v>
      </c>
      <c r="I591" s="3">
        <f t="shared" ca="1" si="65"/>
        <v>2.2968071859188908</v>
      </c>
      <c r="O591" s="3">
        <f t="shared" ca="1" si="66"/>
        <v>-2.9514682946946613</v>
      </c>
      <c r="P591" s="3">
        <f t="shared" ca="1" si="67"/>
        <v>-5.7104689487073923</v>
      </c>
      <c r="Q591" s="3">
        <f t="shared" ca="1" si="68"/>
        <v>6.4281117529752949</v>
      </c>
    </row>
    <row r="592" spans="7:17" x14ac:dyDescent="0.25">
      <c r="G592" s="3">
        <f t="shared" ca="1" si="63"/>
        <v>0</v>
      </c>
      <c r="H592" s="3">
        <f t="shared" ca="1" si="64"/>
        <v>3.0769900954988652</v>
      </c>
      <c r="I592" s="3">
        <f t="shared" ca="1" si="65"/>
        <v>8.7706757087166114</v>
      </c>
      <c r="O592" s="3">
        <f t="shared" ca="1" si="66"/>
        <v>1.7462545334248567</v>
      </c>
      <c r="P592" s="3">
        <f t="shared" ca="1" si="67"/>
        <v>4.4632734830155005</v>
      </c>
      <c r="Q592" s="3">
        <f t="shared" ca="1" si="68"/>
        <v>4.7927252247230054</v>
      </c>
    </row>
    <row r="593" spans="7:17" x14ac:dyDescent="0.25">
      <c r="G593" s="3">
        <f t="shared" ca="1" si="63"/>
        <v>1</v>
      </c>
      <c r="H593" s="3">
        <f t="shared" ca="1" si="64"/>
        <v>0.9647348110109577</v>
      </c>
      <c r="I593" s="3">
        <f t="shared" ca="1" si="65"/>
        <v>4.9110457415171718</v>
      </c>
      <c r="O593" s="3">
        <f t="shared" ca="1" si="66"/>
        <v>-11.766334155931936</v>
      </c>
      <c r="P593" s="3">
        <f t="shared" ca="1" si="67"/>
        <v>2.8745492301229745</v>
      </c>
      <c r="Q593" s="3">
        <f t="shared" ca="1" si="68"/>
        <v>12.112376015689536</v>
      </c>
    </row>
    <row r="594" spans="7:17" x14ac:dyDescent="0.25">
      <c r="G594" s="3">
        <f t="shared" ca="1" si="63"/>
        <v>0</v>
      </c>
      <c r="H594" s="3">
        <f t="shared" ca="1" si="64"/>
        <v>1.0404870004729194</v>
      </c>
      <c r="I594" s="3">
        <f t="shared" ca="1" si="65"/>
        <v>5.100213231995598</v>
      </c>
      <c r="O594" s="3">
        <f t="shared" ca="1" si="66"/>
        <v>-13.664698060262992</v>
      </c>
      <c r="P594" s="3">
        <f t="shared" ca="1" si="67"/>
        <v>-7.4724164970447937</v>
      </c>
      <c r="Q594" s="3">
        <f t="shared" ca="1" si="68"/>
        <v>15.574369373540053</v>
      </c>
    </row>
    <row r="595" spans="7:17" x14ac:dyDescent="0.25">
      <c r="G595" s="3">
        <f t="shared" ca="1" si="63"/>
        <v>0</v>
      </c>
      <c r="H595" s="3">
        <f t="shared" ca="1" si="64"/>
        <v>0.3554043328417934</v>
      </c>
      <c r="I595" s="3">
        <f t="shared" ca="1" si="65"/>
        <v>2.9807898820689855</v>
      </c>
      <c r="O595" s="3">
        <f t="shared" ca="1" si="66"/>
        <v>-9.8065430156505649</v>
      </c>
      <c r="P595" s="3">
        <f t="shared" ca="1" si="67"/>
        <v>6.1095913499826882</v>
      </c>
      <c r="Q595" s="3">
        <f t="shared" ca="1" si="68"/>
        <v>11.554020615421637</v>
      </c>
    </row>
    <row r="596" spans="7:17" x14ac:dyDescent="0.25">
      <c r="G596" s="3">
        <f t="shared" ca="1" si="63"/>
        <v>0</v>
      </c>
      <c r="H596" s="3">
        <f t="shared" ca="1" si="64"/>
        <v>7.530154762082826E-2</v>
      </c>
      <c r="I596" s="3">
        <f t="shared" ca="1" si="65"/>
        <v>1.3720563729383375</v>
      </c>
      <c r="O596" s="3">
        <f t="shared" ca="1" si="66"/>
        <v>-4.2047151957728346</v>
      </c>
      <c r="P596" s="3">
        <f t="shared" ca="1" si="67"/>
        <v>2.6017072871528577</v>
      </c>
      <c r="Q596" s="3">
        <f t="shared" ca="1" si="68"/>
        <v>4.9445435265135718</v>
      </c>
    </row>
    <row r="597" spans="7:17" x14ac:dyDescent="0.25">
      <c r="G597" s="3">
        <f t="shared" ca="1" si="63"/>
        <v>1</v>
      </c>
      <c r="H597" s="3">
        <f t="shared" ca="1" si="64"/>
        <v>0.77311605936848105</v>
      </c>
      <c r="I597" s="3">
        <f t="shared" ca="1" si="65"/>
        <v>4.3963509282371929</v>
      </c>
      <c r="O597" s="3">
        <f t="shared" ca="1" si="66"/>
        <v>-11.206502996978296</v>
      </c>
      <c r="P597" s="3">
        <f t="shared" ca="1" si="67"/>
        <v>-6.1334616199821834</v>
      </c>
      <c r="Q597" s="3">
        <f t="shared" ca="1" si="68"/>
        <v>12.775173613891829</v>
      </c>
    </row>
    <row r="598" spans="7:17" x14ac:dyDescent="0.25">
      <c r="G598" s="3">
        <f t="shared" ca="1" si="63"/>
        <v>1</v>
      </c>
      <c r="H598" s="3">
        <f t="shared" ca="1" si="64"/>
        <v>4.9468978699204182</v>
      </c>
      <c r="I598" s="3">
        <f t="shared" ca="1" si="65"/>
        <v>11.120811424892093</v>
      </c>
      <c r="O598" s="3">
        <f t="shared" ca="1" si="66"/>
        <v>-6.4488637146713756</v>
      </c>
      <c r="P598" s="3">
        <f t="shared" ca="1" si="67"/>
        <v>-1.2941517062871983</v>
      </c>
      <c r="Q598" s="3">
        <f t="shared" ca="1" si="68"/>
        <v>6.5774365712860483</v>
      </c>
    </row>
    <row r="599" spans="7:17" x14ac:dyDescent="0.25">
      <c r="G599" s="3">
        <f t="shared" ca="1" si="63"/>
        <v>0</v>
      </c>
      <c r="H599" s="3">
        <f t="shared" ca="1" si="64"/>
        <v>1.0238517801502938</v>
      </c>
      <c r="I599" s="3">
        <f t="shared" ca="1" si="65"/>
        <v>5.0592780615180013</v>
      </c>
      <c r="O599" s="3">
        <f t="shared" ca="1" si="66"/>
        <v>-5.7390445244734849</v>
      </c>
      <c r="P599" s="3">
        <f t="shared" ca="1" si="67"/>
        <v>1.7597733998328515</v>
      </c>
      <c r="Q599" s="3">
        <f t="shared" ca="1" si="68"/>
        <v>6.0027855594422466</v>
      </c>
    </row>
    <row r="600" spans="7:17" x14ac:dyDescent="0.25">
      <c r="G600" s="3">
        <f t="shared" ca="1" si="63"/>
        <v>0</v>
      </c>
      <c r="H600" s="3">
        <f t="shared" ca="1" si="64"/>
        <v>0.59233946846150076</v>
      </c>
      <c r="I600" s="3">
        <f t="shared" ca="1" si="65"/>
        <v>3.8481796620658866</v>
      </c>
      <c r="O600" s="3">
        <f t="shared" ca="1" si="66"/>
        <v>-13.082009693216428</v>
      </c>
      <c r="P600" s="3">
        <f t="shared" ca="1" si="67"/>
        <v>-8.5551910878593738</v>
      </c>
      <c r="Q600" s="3">
        <f t="shared" ca="1" si="68"/>
        <v>15.631067531144412</v>
      </c>
    </row>
    <row r="601" spans="7:17" x14ac:dyDescent="0.25">
      <c r="G601" s="3">
        <f t="shared" ca="1" si="63"/>
        <v>0</v>
      </c>
      <c r="H601" s="3">
        <f t="shared" ca="1" si="64"/>
        <v>0.60486360591726829</v>
      </c>
      <c r="I601" s="3">
        <f t="shared" ca="1" si="65"/>
        <v>3.8886488846296867</v>
      </c>
      <c r="O601" s="3">
        <f t="shared" ca="1" si="66"/>
        <v>-0.46945589018540534</v>
      </c>
      <c r="P601" s="3">
        <f t="shared" ca="1" si="67"/>
        <v>4.1198128852593383</v>
      </c>
      <c r="Q601" s="3">
        <f t="shared" ca="1" si="68"/>
        <v>4.1464740494037402</v>
      </c>
    </row>
    <row r="602" spans="7:17" x14ac:dyDescent="0.25">
      <c r="G602" s="3">
        <f t="shared" ca="1" si="63"/>
        <v>1</v>
      </c>
      <c r="H602" s="3">
        <f t="shared" ca="1" si="64"/>
        <v>6.3660550402621467</v>
      </c>
      <c r="I602" s="3">
        <f t="shared" ca="1" si="65"/>
        <v>12.615521234041566</v>
      </c>
      <c r="O602" s="3">
        <f t="shared" ca="1" si="66"/>
        <v>-2.2029625223044307</v>
      </c>
      <c r="P602" s="3">
        <f t="shared" ca="1" si="67"/>
        <v>-4.5173645522398092</v>
      </c>
      <c r="Q602" s="3">
        <f t="shared" ca="1" si="68"/>
        <v>5.0258955791491209</v>
      </c>
    </row>
    <row r="603" spans="7:17" x14ac:dyDescent="0.25">
      <c r="G603" s="3">
        <f t="shared" ca="1" si="63"/>
        <v>2</v>
      </c>
      <c r="H603" s="3">
        <f t="shared" ca="1" si="64"/>
        <v>1.4861376403792204</v>
      </c>
      <c r="I603" s="3">
        <f t="shared" ca="1" si="65"/>
        <v>6.0953622541634473</v>
      </c>
      <c r="O603" s="3">
        <f t="shared" ca="1" si="66"/>
        <v>-1.7268431109077342</v>
      </c>
      <c r="P603" s="3">
        <f t="shared" ca="1" si="67"/>
        <v>11.359059154782834</v>
      </c>
      <c r="Q603" s="3">
        <f t="shared" ca="1" si="68"/>
        <v>11.489569705238976</v>
      </c>
    </row>
    <row r="604" spans="7:17" x14ac:dyDescent="0.25">
      <c r="G604" s="3">
        <f t="shared" ca="1" si="63"/>
        <v>0</v>
      </c>
      <c r="H604" s="3">
        <f t="shared" ca="1" si="64"/>
        <v>2.5548138117799395</v>
      </c>
      <c r="I604" s="3">
        <f t="shared" ca="1" si="65"/>
        <v>7.9918924726561791</v>
      </c>
      <c r="O604" s="3">
        <f t="shared" ca="1" si="66"/>
        <v>3.3624775229841948</v>
      </c>
      <c r="P604" s="3">
        <f t="shared" ca="1" si="67"/>
        <v>-0.89298686457094312</v>
      </c>
      <c r="Q604" s="3">
        <f t="shared" ca="1" si="68"/>
        <v>3.4790344397361417</v>
      </c>
    </row>
    <row r="605" spans="7:17" x14ac:dyDescent="0.25">
      <c r="G605" s="3">
        <f t="shared" ca="1" si="63"/>
        <v>0</v>
      </c>
      <c r="H605" s="3">
        <f t="shared" ca="1" si="64"/>
        <v>3.2565097762381123</v>
      </c>
      <c r="I605" s="3">
        <f t="shared" ca="1" si="65"/>
        <v>9.0229011080667849</v>
      </c>
      <c r="O605" s="3">
        <f t="shared" ca="1" si="66"/>
        <v>-3.6516616324419191</v>
      </c>
      <c r="P605" s="3">
        <f t="shared" ca="1" si="67"/>
        <v>-11.618849935040972</v>
      </c>
      <c r="Q605" s="3">
        <f t="shared" ca="1" si="68"/>
        <v>12.179175115370088</v>
      </c>
    </row>
    <row r="606" spans="7:17" x14ac:dyDescent="0.25">
      <c r="G606" s="3">
        <f t="shared" ca="1" si="63"/>
        <v>0</v>
      </c>
      <c r="H606" s="3">
        <f t="shared" ca="1" si="64"/>
        <v>0.22115256723495838</v>
      </c>
      <c r="I606" s="3">
        <f t="shared" ca="1" si="65"/>
        <v>2.3513430589503437</v>
      </c>
      <c r="O606" s="3">
        <f t="shared" ca="1" si="66"/>
        <v>-1.2172987899078311</v>
      </c>
      <c r="P606" s="3">
        <f t="shared" ca="1" si="67"/>
        <v>2.752751653968597</v>
      </c>
      <c r="Q606" s="3">
        <f t="shared" ca="1" si="68"/>
        <v>3.0098933556420095</v>
      </c>
    </row>
    <row r="607" spans="7:17" x14ac:dyDescent="0.25">
      <c r="G607" s="3">
        <f t="shared" ca="1" si="63"/>
        <v>1</v>
      </c>
      <c r="H607" s="3">
        <f t="shared" ca="1" si="64"/>
        <v>4.0093817936420084</v>
      </c>
      <c r="I607" s="3">
        <f t="shared" ca="1" si="65"/>
        <v>10.011720373694533</v>
      </c>
      <c r="O607" s="3">
        <f t="shared" ca="1" si="66"/>
        <v>-7.5840095483096626</v>
      </c>
      <c r="P607" s="3">
        <f t="shared" ca="1" si="67"/>
        <v>0.46933591295887994</v>
      </c>
      <c r="Q607" s="3">
        <f t="shared" ca="1" si="68"/>
        <v>7.5985180810500861</v>
      </c>
    </row>
    <row r="608" spans="7:17" x14ac:dyDescent="0.25">
      <c r="G608" s="3">
        <f t="shared" ca="1" si="63"/>
        <v>0</v>
      </c>
      <c r="H608" s="3">
        <f t="shared" ca="1" si="64"/>
        <v>3.4599050472714867</v>
      </c>
      <c r="I608" s="3">
        <f t="shared" ca="1" si="65"/>
        <v>9.3004100007358375</v>
      </c>
      <c r="O608" s="3">
        <f t="shared" ca="1" si="66"/>
        <v>-7.596242434479251</v>
      </c>
      <c r="P608" s="3">
        <f t="shared" ca="1" si="67"/>
        <v>-3.6109197844343988</v>
      </c>
      <c r="Q608" s="3">
        <f t="shared" ca="1" si="68"/>
        <v>8.4108050038627695</v>
      </c>
    </row>
    <row r="609" spans="7:17" x14ac:dyDescent="0.25">
      <c r="G609" s="3">
        <f t="shared" ca="1" si="63"/>
        <v>0</v>
      </c>
      <c r="H609" s="3">
        <f t="shared" ca="1" si="64"/>
        <v>0.25885714895381295</v>
      </c>
      <c r="I609" s="3">
        <f t="shared" ca="1" si="65"/>
        <v>2.5439002975441714</v>
      </c>
      <c r="O609" s="3">
        <f t="shared" ca="1" si="66"/>
        <v>-13.26855699906776</v>
      </c>
      <c r="P609" s="3">
        <f t="shared" ca="1" si="67"/>
        <v>3.0887500588311987</v>
      </c>
      <c r="Q609" s="3">
        <f t="shared" ca="1" si="68"/>
        <v>13.62332491587277</v>
      </c>
    </row>
    <row r="610" spans="7:17" x14ac:dyDescent="0.25">
      <c r="G610" s="3">
        <f t="shared" ca="1" si="63"/>
        <v>0</v>
      </c>
      <c r="H610" s="3">
        <f t="shared" ca="1" si="64"/>
        <v>0.42636566204227222</v>
      </c>
      <c r="I610" s="3">
        <f t="shared" ca="1" si="65"/>
        <v>3.2648340771097089</v>
      </c>
      <c r="O610" s="3">
        <f t="shared" ca="1" si="66"/>
        <v>3.4028393564327892</v>
      </c>
      <c r="P610" s="3">
        <f t="shared" ca="1" si="67"/>
        <v>1.2833544406099704</v>
      </c>
      <c r="Q610" s="3">
        <f t="shared" ca="1" si="68"/>
        <v>3.6368000090630841</v>
      </c>
    </row>
    <row r="611" spans="7:17" x14ac:dyDescent="0.25">
      <c r="G611" s="3">
        <f t="shared" ca="1" si="63"/>
        <v>0</v>
      </c>
      <c r="H611" s="3">
        <f t="shared" ca="1" si="64"/>
        <v>3.6501087024052254</v>
      </c>
      <c r="I611" s="3">
        <f t="shared" ca="1" si="65"/>
        <v>9.5526288298107058</v>
      </c>
      <c r="O611" s="3">
        <f t="shared" ca="1" si="66"/>
        <v>-2.6283369257949469</v>
      </c>
      <c r="P611" s="3">
        <f t="shared" ca="1" si="67"/>
        <v>2.5090386353873999</v>
      </c>
      <c r="Q611" s="3">
        <f t="shared" ca="1" si="68"/>
        <v>3.6336524144948013</v>
      </c>
    </row>
    <row r="612" spans="7:17" x14ac:dyDescent="0.25">
      <c r="G612" s="3">
        <f t="shared" ca="1" si="63"/>
        <v>0</v>
      </c>
      <c r="H612" s="3">
        <f t="shared" ca="1" si="64"/>
        <v>3.1455808832716947</v>
      </c>
      <c r="I612" s="3">
        <f t="shared" ca="1" si="65"/>
        <v>8.8678927644504348</v>
      </c>
      <c r="O612" s="3">
        <f t="shared" ca="1" si="66"/>
        <v>-7.9751056133148879</v>
      </c>
      <c r="P612" s="3">
        <f t="shared" ca="1" si="67"/>
        <v>-7.4722458409499941</v>
      </c>
      <c r="Q612" s="3">
        <f t="shared" ca="1" si="68"/>
        <v>10.928712982374508</v>
      </c>
    </row>
    <row r="613" spans="7:17" x14ac:dyDescent="0.25">
      <c r="G613" s="3">
        <f t="shared" ca="1" si="63"/>
        <v>0</v>
      </c>
      <c r="H613" s="3">
        <f t="shared" ca="1" si="64"/>
        <v>8.5375466788592362</v>
      </c>
      <c r="I613" s="3">
        <f t="shared" ca="1" si="65"/>
        <v>14.609540272420652</v>
      </c>
      <c r="O613" s="3">
        <f t="shared" ca="1" si="66"/>
        <v>-9.2782209846043529</v>
      </c>
      <c r="P613" s="3">
        <f t="shared" ca="1" si="67"/>
        <v>9.9976056710483743</v>
      </c>
      <c r="Q613" s="3">
        <f t="shared" ca="1" si="68"/>
        <v>13.639556583442555</v>
      </c>
    </row>
    <row r="614" spans="7:17" x14ac:dyDescent="0.25">
      <c r="G614" s="3">
        <f t="shared" ca="1" si="63"/>
        <v>2</v>
      </c>
      <c r="H614" s="3">
        <f t="shared" ca="1" si="64"/>
        <v>4.2438386845133618</v>
      </c>
      <c r="I614" s="3">
        <f t="shared" ca="1" si="65"/>
        <v>10.300289661598555</v>
      </c>
      <c r="O614" s="3">
        <f t="shared" ca="1" si="66"/>
        <v>-4.2910717009497237</v>
      </c>
      <c r="P614" s="3">
        <f t="shared" ca="1" si="67"/>
        <v>1.6812966105540812</v>
      </c>
      <c r="Q614" s="3">
        <f t="shared" ca="1" si="68"/>
        <v>4.6086933761481896</v>
      </c>
    </row>
    <row r="615" spans="7:17" x14ac:dyDescent="0.25">
      <c r="G615" s="3">
        <f t="shared" ca="1" si="63"/>
        <v>0</v>
      </c>
      <c r="H615" s="3">
        <f t="shared" ca="1" si="64"/>
        <v>4.1637957672201793</v>
      </c>
      <c r="I615" s="3">
        <f t="shared" ca="1" si="65"/>
        <v>10.202690536348953</v>
      </c>
      <c r="O615" s="3">
        <f t="shared" ca="1" si="66"/>
        <v>-3.305392411523933</v>
      </c>
      <c r="P615" s="3">
        <f t="shared" ca="1" si="67"/>
        <v>-5.9767535169507928</v>
      </c>
      <c r="Q615" s="3">
        <f t="shared" ca="1" si="68"/>
        <v>6.8298756647938825</v>
      </c>
    </row>
    <row r="616" spans="7:17" x14ac:dyDescent="0.25">
      <c r="G616" s="3">
        <f t="shared" ca="1" si="63"/>
        <v>1</v>
      </c>
      <c r="H616" s="3">
        <f t="shared" ca="1" si="64"/>
        <v>5.6350758424080976</v>
      </c>
      <c r="I616" s="3">
        <f t="shared" ca="1" si="65"/>
        <v>11.86915734415053</v>
      </c>
      <c r="O616" s="3">
        <f t="shared" ca="1" si="66"/>
        <v>-2.8336884170921008</v>
      </c>
      <c r="P616" s="3">
        <f t="shared" ca="1" si="67"/>
        <v>-0.59355419011409671</v>
      </c>
      <c r="Q616" s="3">
        <f t="shared" ca="1" si="68"/>
        <v>2.8951850755632083</v>
      </c>
    </row>
    <row r="617" spans="7:17" x14ac:dyDescent="0.25">
      <c r="G617" s="3">
        <f t="shared" ca="1" si="63"/>
        <v>2</v>
      </c>
      <c r="H617" s="3">
        <f t="shared" ca="1" si="64"/>
        <v>14.147384479108442</v>
      </c>
      <c r="I617" s="3">
        <f t="shared" ca="1" si="65"/>
        <v>18.806504512474163</v>
      </c>
      <c r="O617" s="3">
        <f t="shared" ca="1" si="66"/>
        <v>-9.8455263773571247</v>
      </c>
      <c r="P617" s="3">
        <f t="shared" ca="1" si="67"/>
        <v>0.36677892032804871</v>
      </c>
      <c r="Q617" s="3">
        <f t="shared" ca="1" si="68"/>
        <v>9.8523558819011363</v>
      </c>
    </row>
    <row r="618" spans="7:17" x14ac:dyDescent="0.25">
      <c r="G618" s="3">
        <f t="shared" ca="1" si="63"/>
        <v>0</v>
      </c>
      <c r="H618" s="3">
        <f t="shared" ca="1" si="64"/>
        <v>2.1018698858382612</v>
      </c>
      <c r="I618" s="3">
        <f t="shared" ca="1" si="65"/>
        <v>7.2489135148625223</v>
      </c>
      <c r="O618" s="3">
        <f t="shared" ca="1" si="66"/>
        <v>-4.5498841742618055</v>
      </c>
      <c r="P618" s="3">
        <f t="shared" ca="1" si="67"/>
        <v>-4.8389224123035719</v>
      </c>
      <c r="Q618" s="3">
        <f t="shared" ca="1" si="68"/>
        <v>6.6420340342015605</v>
      </c>
    </row>
    <row r="619" spans="7:17" x14ac:dyDescent="0.25">
      <c r="G619" s="3">
        <f t="shared" ca="1" si="63"/>
        <v>0</v>
      </c>
      <c r="H619" s="3">
        <f t="shared" ca="1" si="64"/>
        <v>4.6384543694122513</v>
      </c>
      <c r="I619" s="3">
        <f t="shared" ca="1" si="65"/>
        <v>10.76853561238975</v>
      </c>
      <c r="O619" s="3">
        <f t="shared" ca="1" si="66"/>
        <v>-5.7518103412420807E-2</v>
      </c>
      <c r="P619" s="3">
        <f t="shared" ca="1" si="67"/>
        <v>9.4110619321049001</v>
      </c>
      <c r="Q619" s="3">
        <f t="shared" ca="1" si="68"/>
        <v>9.4112376987373008</v>
      </c>
    </row>
    <row r="620" spans="7:17" x14ac:dyDescent="0.25">
      <c r="G620" s="3">
        <f t="shared" ca="1" si="63"/>
        <v>0</v>
      </c>
      <c r="H620" s="3">
        <f t="shared" ca="1" si="64"/>
        <v>1.8298478692537123</v>
      </c>
      <c r="I620" s="3">
        <f t="shared" ca="1" si="65"/>
        <v>6.7635934776820239</v>
      </c>
      <c r="O620" s="3">
        <f t="shared" ca="1" si="66"/>
        <v>1.021403013894143</v>
      </c>
      <c r="P620" s="3">
        <f t="shared" ca="1" si="67"/>
        <v>-8.0729252559126028</v>
      </c>
      <c r="Q620" s="3">
        <f t="shared" ca="1" si="68"/>
        <v>8.1372837178227737</v>
      </c>
    </row>
    <row r="621" spans="7:17" x14ac:dyDescent="0.25">
      <c r="G621" s="3">
        <f t="shared" ca="1" si="63"/>
        <v>0</v>
      </c>
      <c r="H621" s="3">
        <f t="shared" ca="1" si="64"/>
        <v>1.2799812881500336</v>
      </c>
      <c r="I621" s="3">
        <f t="shared" ca="1" si="65"/>
        <v>5.656812901603768</v>
      </c>
      <c r="O621" s="3">
        <f t="shared" ca="1" si="66"/>
        <v>0.64536231554792245</v>
      </c>
      <c r="P621" s="3">
        <f t="shared" ca="1" si="67"/>
        <v>1.3279575344293957</v>
      </c>
      <c r="Q621" s="3">
        <f t="shared" ca="1" si="68"/>
        <v>1.4764700239345112</v>
      </c>
    </row>
    <row r="622" spans="7:17" x14ac:dyDescent="0.25">
      <c r="G622" s="3">
        <f t="shared" ca="1" si="63"/>
        <v>0</v>
      </c>
      <c r="H622" s="3">
        <f t="shared" ca="1" si="64"/>
        <v>3.0835161125475019</v>
      </c>
      <c r="I622" s="3">
        <f t="shared" ca="1" si="65"/>
        <v>8.7799716863830231</v>
      </c>
      <c r="O622" s="3">
        <f t="shared" ca="1" si="66"/>
        <v>-10.407249583186225</v>
      </c>
      <c r="P622" s="3">
        <f t="shared" ca="1" si="67"/>
        <v>-1.8606795873044448</v>
      </c>
      <c r="Q622" s="3">
        <f t="shared" ca="1" si="68"/>
        <v>10.572273757964334</v>
      </c>
    </row>
    <row r="623" spans="7:17" x14ac:dyDescent="0.25">
      <c r="G623" s="3">
        <f t="shared" ca="1" si="63"/>
        <v>0</v>
      </c>
      <c r="H623" s="3">
        <f t="shared" ca="1" si="64"/>
        <v>3.3608938910124085E-2</v>
      </c>
      <c r="I623" s="3">
        <f t="shared" ca="1" si="65"/>
        <v>0.91663704526551948</v>
      </c>
      <c r="O623" s="3">
        <f t="shared" ca="1" si="66"/>
        <v>-14.922828786090699</v>
      </c>
      <c r="P623" s="3">
        <f t="shared" ca="1" si="67"/>
        <v>-0.10217492636206305</v>
      </c>
      <c r="Q623" s="3">
        <f t="shared" ca="1" si="68"/>
        <v>14.923178572092285</v>
      </c>
    </row>
    <row r="624" spans="7:17" x14ac:dyDescent="0.25">
      <c r="G624" s="3">
        <f t="shared" ca="1" si="63"/>
        <v>0</v>
      </c>
      <c r="H624" s="3">
        <f t="shared" ca="1" si="64"/>
        <v>1.4168878441073214</v>
      </c>
      <c r="I624" s="3">
        <f t="shared" ca="1" si="65"/>
        <v>5.9516549045356317</v>
      </c>
      <c r="O624" s="3">
        <f t="shared" ca="1" si="66"/>
        <v>0.9474656446636267</v>
      </c>
      <c r="P624" s="3">
        <f t="shared" ca="1" si="67"/>
        <v>1.2890064252925073</v>
      </c>
      <c r="Q624" s="3">
        <f t="shared" ca="1" si="68"/>
        <v>1.5997589544250814</v>
      </c>
    </row>
    <row r="625" spans="7:17" x14ac:dyDescent="0.25">
      <c r="G625" s="3">
        <f t="shared" ca="1" si="63"/>
        <v>0</v>
      </c>
      <c r="H625" s="3">
        <f t="shared" ca="1" si="64"/>
        <v>8.9789981647712264E-2</v>
      </c>
      <c r="I625" s="3">
        <f t="shared" ca="1" si="65"/>
        <v>1.4982488248594781</v>
      </c>
      <c r="O625" s="3">
        <f t="shared" ca="1" si="66"/>
        <v>-3.4817146978796618</v>
      </c>
      <c r="P625" s="3">
        <f t="shared" ca="1" si="67"/>
        <v>1.4687421270295145</v>
      </c>
      <c r="Q625" s="3">
        <f t="shared" ca="1" si="68"/>
        <v>3.778827949661435</v>
      </c>
    </row>
    <row r="626" spans="7:17" x14ac:dyDescent="0.25">
      <c r="G626" s="3">
        <f t="shared" ca="1" si="63"/>
        <v>0</v>
      </c>
      <c r="H626" s="3">
        <f t="shared" ca="1" si="64"/>
        <v>0.14825073463913158</v>
      </c>
      <c r="I626" s="3">
        <f t="shared" ca="1" si="65"/>
        <v>1.9251671007936659</v>
      </c>
      <c r="O626" s="3">
        <f t="shared" ca="1" si="66"/>
        <v>-2.5003637172899911</v>
      </c>
      <c r="P626" s="3">
        <f t="shared" ca="1" si="67"/>
        <v>-10.689649408438832</v>
      </c>
      <c r="Q626" s="3">
        <f t="shared" ca="1" si="68"/>
        <v>10.978179411636381</v>
      </c>
    </row>
    <row r="627" spans="7:17" x14ac:dyDescent="0.25">
      <c r="G627" s="3">
        <f t="shared" ca="1" si="63"/>
        <v>0</v>
      </c>
      <c r="H627" s="3">
        <f t="shared" ca="1" si="64"/>
        <v>1.4812026631006929</v>
      </c>
      <c r="I627" s="3">
        <f t="shared" ca="1" si="65"/>
        <v>6.0852334858670236</v>
      </c>
      <c r="O627" s="3">
        <f t="shared" ca="1" si="66"/>
        <v>-6.6692482882204125</v>
      </c>
      <c r="P627" s="3">
        <f t="shared" ca="1" si="67"/>
        <v>0.84656188296692259</v>
      </c>
      <c r="Q627" s="3">
        <f t="shared" ca="1" si="68"/>
        <v>6.7227628064377969</v>
      </c>
    </row>
    <row r="628" spans="7:17" x14ac:dyDescent="0.25">
      <c r="G628" s="3">
        <f t="shared" ca="1" si="63"/>
        <v>2</v>
      </c>
      <c r="H628" s="3">
        <f t="shared" ca="1" si="64"/>
        <v>3.9266536475722291</v>
      </c>
      <c r="I628" s="3">
        <f t="shared" ca="1" si="65"/>
        <v>9.9078928733260803</v>
      </c>
      <c r="O628" s="3">
        <f t="shared" ca="1" si="66"/>
        <v>0.32145937915483636</v>
      </c>
      <c r="P628" s="3">
        <f t="shared" ca="1" si="67"/>
        <v>4.2792200970496426</v>
      </c>
      <c r="Q628" s="3">
        <f t="shared" ca="1" si="68"/>
        <v>4.291277289041127</v>
      </c>
    </row>
    <row r="629" spans="7:17" x14ac:dyDescent="0.25">
      <c r="G629" s="3">
        <f t="shared" ca="1" si="63"/>
        <v>1</v>
      </c>
      <c r="H629" s="3">
        <f t="shared" ca="1" si="64"/>
        <v>0.62053844305617845</v>
      </c>
      <c r="I629" s="3">
        <f t="shared" ca="1" si="65"/>
        <v>3.9387131244106195</v>
      </c>
      <c r="O629" s="3">
        <f t="shared" ca="1" si="66"/>
        <v>3.2162946779274844</v>
      </c>
      <c r="P629" s="3">
        <f t="shared" ca="1" si="67"/>
        <v>4.3106512786016067</v>
      </c>
      <c r="Q629" s="3">
        <f t="shared" ca="1" si="68"/>
        <v>5.3783144107586649</v>
      </c>
    </row>
    <row r="630" spans="7:17" x14ac:dyDescent="0.25">
      <c r="G630" s="3">
        <f t="shared" ca="1" si="63"/>
        <v>0</v>
      </c>
      <c r="H630" s="3">
        <f t="shared" ca="1" si="64"/>
        <v>2.1170735812174657</v>
      </c>
      <c r="I630" s="3">
        <f t="shared" ca="1" si="65"/>
        <v>7.2750834724033675</v>
      </c>
      <c r="O630" s="3">
        <f t="shared" ca="1" si="66"/>
        <v>-9.940730335379687</v>
      </c>
      <c r="P630" s="3">
        <f t="shared" ca="1" si="67"/>
        <v>0.79591809932969393</v>
      </c>
      <c r="Q630" s="3">
        <f t="shared" ca="1" si="68"/>
        <v>9.9725425655435807</v>
      </c>
    </row>
    <row r="631" spans="7:17" x14ac:dyDescent="0.25">
      <c r="G631" s="3">
        <f t="shared" ca="1" si="63"/>
        <v>0</v>
      </c>
      <c r="H631" s="3">
        <f t="shared" ca="1" si="64"/>
        <v>0.50869481654930793</v>
      </c>
      <c r="I631" s="3">
        <f t="shared" ca="1" si="65"/>
        <v>3.5661422312819631</v>
      </c>
      <c r="O631" s="3">
        <f t="shared" ca="1" si="66"/>
        <v>-3.2008137141126136</v>
      </c>
      <c r="P631" s="3">
        <f t="shared" ca="1" si="67"/>
        <v>5.4249474357436993</v>
      </c>
      <c r="Q631" s="3">
        <f t="shared" ca="1" si="68"/>
        <v>6.2988302972086432</v>
      </c>
    </row>
    <row r="632" spans="7:17" x14ac:dyDescent="0.25">
      <c r="G632" s="3">
        <f t="shared" ca="1" si="63"/>
        <v>1</v>
      </c>
      <c r="H632" s="3">
        <f t="shared" ca="1" si="64"/>
        <v>7.9796530814779709</v>
      </c>
      <c r="I632" s="3">
        <f t="shared" ca="1" si="65"/>
        <v>14.124139868924736</v>
      </c>
      <c r="O632" s="3">
        <f t="shared" ca="1" si="66"/>
        <v>-6.8439028390152004</v>
      </c>
      <c r="P632" s="3">
        <f t="shared" ca="1" si="67"/>
        <v>0.97501811668219429</v>
      </c>
      <c r="Q632" s="3">
        <f t="shared" ca="1" si="68"/>
        <v>6.913007044531259</v>
      </c>
    </row>
    <row r="633" spans="7:17" x14ac:dyDescent="0.25">
      <c r="G633" s="3">
        <f t="shared" ca="1" si="63"/>
        <v>3</v>
      </c>
      <c r="H633" s="3">
        <f t="shared" ca="1" si="64"/>
        <v>4.6249139417728991</v>
      </c>
      <c r="I633" s="3">
        <f t="shared" ca="1" si="65"/>
        <v>10.752806542680961</v>
      </c>
      <c r="O633" s="3">
        <f t="shared" ca="1" si="66"/>
        <v>-3.8022192594586093</v>
      </c>
      <c r="P633" s="3">
        <f t="shared" ca="1" si="67"/>
        <v>7.365075101643062</v>
      </c>
      <c r="Q633" s="3">
        <f t="shared" ca="1" si="68"/>
        <v>8.2886188565912811</v>
      </c>
    </row>
    <row r="634" spans="7:17" x14ac:dyDescent="0.25">
      <c r="G634" s="3">
        <f t="shared" ca="1" si="63"/>
        <v>0</v>
      </c>
      <c r="H634" s="3">
        <f t="shared" ca="1" si="64"/>
        <v>0.8380590449465114</v>
      </c>
      <c r="I634" s="3">
        <f t="shared" ca="1" si="65"/>
        <v>4.5772782440728665</v>
      </c>
      <c r="O634" s="3">
        <f t="shared" ca="1" si="66"/>
        <v>5.3565511801149217</v>
      </c>
      <c r="P634" s="3">
        <f t="shared" ca="1" si="67"/>
        <v>11.908607220121304</v>
      </c>
      <c r="Q634" s="3">
        <f t="shared" ca="1" si="68"/>
        <v>13.05785458903245</v>
      </c>
    </row>
    <row r="635" spans="7:17" x14ac:dyDescent="0.25">
      <c r="G635" s="3">
        <f t="shared" ca="1" si="63"/>
        <v>0</v>
      </c>
      <c r="H635" s="3">
        <f t="shared" ca="1" si="64"/>
        <v>0.62221813116732283</v>
      </c>
      <c r="I635" s="3">
        <f t="shared" ca="1" si="65"/>
        <v>3.9440402228150599</v>
      </c>
      <c r="O635" s="3">
        <f t="shared" ca="1" si="66"/>
        <v>-9.6029408160874254</v>
      </c>
      <c r="P635" s="3">
        <f t="shared" ca="1" si="67"/>
        <v>2.0482296667313244</v>
      </c>
      <c r="Q635" s="3">
        <f t="shared" ca="1" si="68"/>
        <v>9.8189468419457366</v>
      </c>
    </row>
    <row r="636" spans="7:17" x14ac:dyDescent="0.25">
      <c r="G636" s="3">
        <f t="shared" ca="1" si="63"/>
        <v>0</v>
      </c>
      <c r="H636" s="3">
        <f t="shared" ca="1" si="64"/>
        <v>3.1234856297573361</v>
      </c>
      <c r="I636" s="3">
        <f t="shared" ca="1" si="65"/>
        <v>8.8366928623741021</v>
      </c>
      <c r="O636" s="3">
        <f t="shared" ca="1" si="66"/>
        <v>-4.0238447843405334</v>
      </c>
      <c r="P636" s="3">
        <f t="shared" ca="1" si="67"/>
        <v>2.6474635531602524</v>
      </c>
      <c r="Q636" s="3">
        <f t="shared" ca="1" si="68"/>
        <v>4.8166783278288809</v>
      </c>
    </row>
    <row r="637" spans="7:17" x14ac:dyDescent="0.25">
      <c r="G637" s="3">
        <f t="shared" ca="1" si="63"/>
        <v>2</v>
      </c>
      <c r="H637" s="3">
        <f t="shared" ca="1" si="64"/>
        <v>6.7620066859278491</v>
      </c>
      <c r="I637" s="3">
        <f t="shared" ca="1" si="65"/>
        <v>13.001929362529093</v>
      </c>
      <c r="O637" s="3">
        <f t="shared" ca="1" si="66"/>
        <v>3.4490302652780329</v>
      </c>
      <c r="P637" s="3">
        <f t="shared" ca="1" si="67"/>
        <v>4.2641898127429663</v>
      </c>
      <c r="Q637" s="3">
        <f t="shared" ca="1" si="68"/>
        <v>5.4844438669663447</v>
      </c>
    </row>
    <row r="638" spans="7:17" x14ac:dyDescent="0.25">
      <c r="G638" s="3">
        <f t="shared" ca="1" si="63"/>
        <v>0</v>
      </c>
      <c r="H638" s="3">
        <f t="shared" ca="1" si="64"/>
        <v>0.41518642724976318</v>
      </c>
      <c r="I638" s="3">
        <f t="shared" ca="1" si="65"/>
        <v>3.2217480784884596</v>
      </c>
      <c r="O638" s="3">
        <f t="shared" ca="1" si="66"/>
        <v>1.4000194572914912</v>
      </c>
      <c r="P638" s="3">
        <f t="shared" ca="1" si="67"/>
        <v>-1.8793681167456289</v>
      </c>
      <c r="Q638" s="3">
        <f t="shared" ca="1" si="68"/>
        <v>2.3435185083618975</v>
      </c>
    </row>
    <row r="639" spans="7:17" x14ac:dyDescent="0.25">
      <c r="G639" s="3">
        <f t="shared" ca="1" si="63"/>
        <v>0</v>
      </c>
      <c r="H639" s="3">
        <f t="shared" ca="1" si="64"/>
        <v>0.9730626531898382</v>
      </c>
      <c r="I639" s="3">
        <f t="shared" ca="1" si="65"/>
        <v>4.9321969070330063</v>
      </c>
      <c r="O639" s="3">
        <f t="shared" ca="1" si="66"/>
        <v>-2.6841437276135776</v>
      </c>
      <c r="P639" s="3">
        <f t="shared" ca="1" si="67"/>
        <v>4.6121996392907496</v>
      </c>
      <c r="Q639" s="3">
        <f t="shared" ca="1" si="68"/>
        <v>5.3363857678358517</v>
      </c>
    </row>
    <row r="640" spans="7:17" x14ac:dyDescent="0.25">
      <c r="G640" s="3">
        <f t="shared" ca="1" si="63"/>
        <v>2</v>
      </c>
      <c r="H640" s="3">
        <f t="shared" ca="1" si="64"/>
        <v>6.0148538110409833</v>
      </c>
      <c r="I640" s="3">
        <f t="shared" ca="1" si="65"/>
        <v>12.262599450199154</v>
      </c>
      <c r="O640" s="3">
        <f t="shared" ca="1" si="66"/>
        <v>4.6983258362409437</v>
      </c>
      <c r="P640" s="3">
        <f t="shared" ca="1" si="67"/>
        <v>4.3960219145980899</v>
      </c>
      <c r="Q640" s="3">
        <f t="shared" ca="1" si="68"/>
        <v>6.4342267862670042</v>
      </c>
    </row>
    <row r="641" spans="7:17" x14ac:dyDescent="0.25">
      <c r="G641" s="3">
        <f t="shared" ca="1" si="63"/>
        <v>0</v>
      </c>
      <c r="H641" s="3">
        <f t="shared" ca="1" si="64"/>
        <v>2.2291648271237894</v>
      </c>
      <c r="I641" s="3">
        <f t="shared" ca="1" si="65"/>
        <v>7.4651939477882774</v>
      </c>
      <c r="O641" s="3">
        <f t="shared" ca="1" si="66"/>
        <v>-5.9715063960801471</v>
      </c>
      <c r="P641" s="3">
        <f t="shared" ca="1" si="67"/>
        <v>8.1866077929020697</v>
      </c>
      <c r="Q641" s="3">
        <f t="shared" ca="1" si="68"/>
        <v>10.133086192924198</v>
      </c>
    </row>
    <row r="642" spans="7:17" x14ac:dyDescent="0.25">
      <c r="G642" s="3">
        <f t="shared" ca="1" si="63"/>
        <v>0</v>
      </c>
      <c r="H642" s="3">
        <f t="shared" ca="1" si="64"/>
        <v>0.59313933609803859</v>
      </c>
      <c r="I642" s="3">
        <f t="shared" ca="1" si="65"/>
        <v>3.8507769868496622</v>
      </c>
      <c r="O642" s="3">
        <f t="shared" ca="1" si="66"/>
        <v>-3.8210136567415081</v>
      </c>
      <c r="P642" s="3">
        <f t="shared" ca="1" si="67"/>
        <v>2.3905851474895421</v>
      </c>
      <c r="Q642" s="3">
        <f t="shared" ca="1" si="68"/>
        <v>4.507221174116343</v>
      </c>
    </row>
    <row r="643" spans="7:17" x14ac:dyDescent="0.25">
      <c r="G643" s="3">
        <f t="shared" ca="1" si="63"/>
        <v>0</v>
      </c>
      <c r="H643" s="3">
        <f t="shared" ca="1" si="64"/>
        <v>0.59630079753754905</v>
      </c>
      <c r="I643" s="3">
        <f t="shared" ca="1" si="65"/>
        <v>3.8610257624676274</v>
      </c>
      <c r="O643" s="3">
        <f t="shared" ca="1" si="66"/>
        <v>-13.479360417530984</v>
      </c>
      <c r="P643" s="3">
        <f t="shared" ca="1" si="67"/>
        <v>-2.3491865966605991</v>
      </c>
      <c r="Q643" s="3">
        <f t="shared" ca="1" si="68"/>
        <v>13.682537591091458</v>
      </c>
    </row>
    <row r="644" spans="7:17" x14ac:dyDescent="0.25">
      <c r="G644" s="3">
        <f t="shared" ref="G644:G707" ca="1" si="69">VLOOKUP(RAND(),$B$9:$C$169,2,TRUE)</f>
        <v>2</v>
      </c>
      <c r="H644" s="3">
        <f t="shared" ref="H644:H707" ca="1" si="70">_xlfn.CHISQ.INV(RAND(),2*G644+2)</f>
        <v>5.5443516204231829</v>
      </c>
      <c r="I644" s="3">
        <f t="shared" ref="I644:I707" ca="1" si="71">$C$4*SQRT(H644)</f>
        <v>11.773223454542073</v>
      </c>
      <c r="O644" s="3">
        <f t="shared" ref="O644:O707" ca="1" si="72">_xlfn.NORM.INV(RAND(),$C$3*COS($N$2),$C$4)</f>
        <v>-3.2137354561260505</v>
      </c>
      <c r="P644" s="3">
        <f t="shared" ref="P644:P707" ca="1" si="73">_xlfn.NORM.INV(RAND(),$C$3*SIN($N$2),$C$4)</f>
        <v>-2.26200129333363</v>
      </c>
      <c r="Q644" s="3">
        <f t="shared" ref="Q644:Q707" ca="1" si="74">SQRT(O644^2+P644^2)</f>
        <v>3.9299803349386786</v>
      </c>
    </row>
    <row r="645" spans="7:17" x14ac:dyDescent="0.25">
      <c r="G645" s="3">
        <f t="shared" ca="1" si="69"/>
        <v>0</v>
      </c>
      <c r="H645" s="3">
        <f t="shared" ca="1" si="70"/>
        <v>0.16900348435711354</v>
      </c>
      <c r="I645" s="3">
        <f t="shared" ca="1" si="71"/>
        <v>2.0555016684322682</v>
      </c>
      <c r="O645" s="3">
        <f t="shared" ca="1" si="72"/>
        <v>-6.6833771452647017</v>
      </c>
      <c r="P645" s="3">
        <f t="shared" ca="1" si="73"/>
        <v>-3.2228449145164024</v>
      </c>
      <c r="Q645" s="3">
        <f t="shared" ca="1" si="74"/>
        <v>7.4198557539126586</v>
      </c>
    </row>
    <row r="646" spans="7:17" x14ac:dyDescent="0.25">
      <c r="G646" s="3">
        <f t="shared" ca="1" si="69"/>
        <v>1</v>
      </c>
      <c r="H646" s="3">
        <f t="shared" ca="1" si="70"/>
        <v>1.7942061623612886</v>
      </c>
      <c r="I646" s="3">
        <f t="shared" ca="1" si="71"/>
        <v>6.6973990517985573</v>
      </c>
      <c r="O646" s="3">
        <f t="shared" ca="1" si="72"/>
        <v>-13.503675776240613</v>
      </c>
      <c r="P646" s="3">
        <f t="shared" ca="1" si="73"/>
        <v>1.9982024507617733</v>
      </c>
      <c r="Q646" s="3">
        <f t="shared" ca="1" si="74"/>
        <v>13.650716922713542</v>
      </c>
    </row>
    <row r="647" spans="7:17" x14ac:dyDescent="0.25">
      <c r="G647" s="3">
        <f t="shared" ca="1" si="69"/>
        <v>0</v>
      </c>
      <c r="H647" s="3">
        <f t="shared" ca="1" si="70"/>
        <v>0.26559700238013334</v>
      </c>
      <c r="I647" s="3">
        <f t="shared" ca="1" si="71"/>
        <v>2.5768052040275249</v>
      </c>
      <c r="O647" s="3">
        <f t="shared" ca="1" si="72"/>
        <v>2.5295797878405333</v>
      </c>
      <c r="P647" s="3">
        <f t="shared" ca="1" si="73"/>
        <v>0.55108266123971639</v>
      </c>
      <c r="Q647" s="3">
        <f t="shared" ca="1" si="74"/>
        <v>2.5889121272400124</v>
      </c>
    </row>
    <row r="648" spans="7:17" x14ac:dyDescent="0.25">
      <c r="G648" s="3">
        <f t="shared" ca="1" si="69"/>
        <v>0</v>
      </c>
      <c r="H648" s="3">
        <f t="shared" ca="1" si="70"/>
        <v>0.28763855762807289</v>
      </c>
      <c r="I648" s="3">
        <f t="shared" ca="1" si="71"/>
        <v>2.6815972741449867</v>
      </c>
      <c r="O648" s="3">
        <f t="shared" ca="1" si="72"/>
        <v>-5.6580829919669107</v>
      </c>
      <c r="P648" s="3">
        <f t="shared" ca="1" si="73"/>
        <v>-7.897419574494501</v>
      </c>
      <c r="Q648" s="3">
        <f t="shared" ca="1" si="74"/>
        <v>9.7150985110596864</v>
      </c>
    </row>
    <row r="649" spans="7:17" x14ac:dyDescent="0.25">
      <c r="G649" s="3">
        <f t="shared" ca="1" si="69"/>
        <v>0</v>
      </c>
      <c r="H649" s="3">
        <f t="shared" ca="1" si="70"/>
        <v>3.5544599235257244</v>
      </c>
      <c r="I649" s="3">
        <f t="shared" ca="1" si="71"/>
        <v>9.4266376873274975</v>
      </c>
      <c r="O649" s="3">
        <f t="shared" ca="1" si="72"/>
        <v>-8.1851213805806022</v>
      </c>
      <c r="P649" s="3">
        <f t="shared" ca="1" si="73"/>
        <v>1.345113455126236</v>
      </c>
      <c r="Q649" s="3">
        <f t="shared" ca="1" si="74"/>
        <v>8.294910621700474</v>
      </c>
    </row>
    <row r="650" spans="7:17" x14ac:dyDescent="0.25">
      <c r="G650" s="3">
        <f t="shared" ca="1" si="69"/>
        <v>2</v>
      </c>
      <c r="H650" s="3">
        <f t="shared" ca="1" si="70"/>
        <v>12.507622555024794</v>
      </c>
      <c r="I650" s="3">
        <f t="shared" ca="1" si="71"/>
        <v>17.683058668556747</v>
      </c>
      <c r="O650" s="3">
        <f t="shared" ca="1" si="72"/>
        <v>-1.1995010259281136</v>
      </c>
      <c r="P650" s="3">
        <f t="shared" ca="1" si="73"/>
        <v>-9.6195451474619169</v>
      </c>
      <c r="Q650" s="3">
        <f t="shared" ca="1" si="74"/>
        <v>9.6940420648592571</v>
      </c>
    </row>
    <row r="651" spans="7:17" x14ac:dyDescent="0.25">
      <c r="G651" s="3">
        <f t="shared" ca="1" si="69"/>
        <v>0</v>
      </c>
      <c r="H651" s="3">
        <f t="shared" ca="1" si="70"/>
        <v>0.95379308128785434</v>
      </c>
      <c r="I651" s="3">
        <f t="shared" ca="1" si="71"/>
        <v>4.8831165286317262</v>
      </c>
      <c r="O651" s="3">
        <f t="shared" ca="1" si="72"/>
        <v>-9.6431634163722375</v>
      </c>
      <c r="P651" s="3">
        <f t="shared" ca="1" si="73"/>
        <v>2.1935752616311128</v>
      </c>
      <c r="Q651" s="3">
        <f t="shared" ca="1" si="74"/>
        <v>9.8895082336433635</v>
      </c>
    </row>
    <row r="652" spans="7:17" x14ac:dyDescent="0.25">
      <c r="G652" s="3">
        <f t="shared" ca="1" si="69"/>
        <v>1</v>
      </c>
      <c r="H652" s="3">
        <f t="shared" ca="1" si="70"/>
        <v>1.4147262430219765</v>
      </c>
      <c r="I652" s="3">
        <f t="shared" ca="1" si="71"/>
        <v>5.9471132556518045</v>
      </c>
      <c r="O652" s="3">
        <f t="shared" ca="1" si="72"/>
        <v>-0.18349343429919696</v>
      </c>
      <c r="P652" s="3">
        <f t="shared" ca="1" si="73"/>
        <v>-8.7464826456825513</v>
      </c>
      <c r="Q652" s="3">
        <f t="shared" ca="1" si="74"/>
        <v>8.7484071985508862</v>
      </c>
    </row>
    <row r="653" spans="7:17" x14ac:dyDescent="0.25">
      <c r="G653" s="3">
        <f t="shared" ca="1" si="69"/>
        <v>0</v>
      </c>
      <c r="H653" s="3">
        <f t="shared" ca="1" si="70"/>
        <v>1.8607697343341989</v>
      </c>
      <c r="I653" s="3">
        <f t="shared" ca="1" si="71"/>
        <v>6.8205016940365146</v>
      </c>
      <c r="O653" s="3">
        <f t="shared" ca="1" si="72"/>
        <v>-9.8231259638290798</v>
      </c>
      <c r="P653" s="3">
        <f t="shared" ca="1" si="73"/>
        <v>-5.7558658498932536</v>
      </c>
      <c r="Q653" s="3">
        <f t="shared" ca="1" si="74"/>
        <v>11.38524463431596</v>
      </c>
    </row>
    <row r="654" spans="7:17" x14ac:dyDescent="0.25">
      <c r="G654" s="3">
        <f t="shared" ca="1" si="69"/>
        <v>1</v>
      </c>
      <c r="H654" s="3">
        <f t="shared" ca="1" si="70"/>
        <v>6.1969890387748547</v>
      </c>
      <c r="I654" s="3">
        <f t="shared" ca="1" si="71"/>
        <v>12.446876153050265</v>
      </c>
      <c r="O654" s="3">
        <f t="shared" ca="1" si="72"/>
        <v>5.5720683451776623</v>
      </c>
      <c r="P654" s="3">
        <f t="shared" ca="1" si="73"/>
        <v>12.755592001072785</v>
      </c>
      <c r="Q654" s="3">
        <f t="shared" ca="1" si="74"/>
        <v>13.919521289942516</v>
      </c>
    </row>
    <row r="655" spans="7:17" x14ac:dyDescent="0.25">
      <c r="G655" s="3">
        <f t="shared" ca="1" si="69"/>
        <v>0</v>
      </c>
      <c r="H655" s="3">
        <f t="shared" ca="1" si="70"/>
        <v>3.2010006238503763</v>
      </c>
      <c r="I655" s="3">
        <f t="shared" ca="1" si="71"/>
        <v>8.9456702150403125</v>
      </c>
      <c r="O655" s="3">
        <f t="shared" ca="1" si="72"/>
        <v>-9.2786337455872374</v>
      </c>
      <c r="P655" s="3">
        <f t="shared" ca="1" si="73"/>
        <v>6.6326806854082507</v>
      </c>
      <c r="Q655" s="3">
        <f t="shared" ca="1" si="74"/>
        <v>11.405502937588412</v>
      </c>
    </row>
    <row r="656" spans="7:17" x14ac:dyDescent="0.25">
      <c r="G656" s="3">
        <f t="shared" ca="1" si="69"/>
        <v>0</v>
      </c>
      <c r="H656" s="3">
        <f t="shared" ca="1" si="70"/>
        <v>1.0841977187877887</v>
      </c>
      <c r="I656" s="3">
        <f t="shared" ca="1" si="71"/>
        <v>5.206240771391073</v>
      </c>
      <c r="O656" s="3">
        <f t="shared" ca="1" si="72"/>
        <v>5.4037110265052402</v>
      </c>
      <c r="P656" s="3">
        <f t="shared" ca="1" si="73"/>
        <v>1.9964795680776755</v>
      </c>
      <c r="Q656" s="3">
        <f t="shared" ca="1" si="74"/>
        <v>5.7607311622506687</v>
      </c>
    </row>
    <row r="657" spans="7:17" x14ac:dyDescent="0.25">
      <c r="G657" s="3">
        <f t="shared" ca="1" si="69"/>
        <v>0</v>
      </c>
      <c r="H657" s="3">
        <f t="shared" ca="1" si="70"/>
        <v>1.755260752693075</v>
      </c>
      <c r="I657" s="3">
        <f t="shared" ca="1" si="71"/>
        <v>6.6243127052794604</v>
      </c>
      <c r="O657" s="3">
        <f t="shared" ca="1" si="72"/>
        <v>-1.9725492078597622</v>
      </c>
      <c r="P657" s="3">
        <f t="shared" ca="1" si="73"/>
        <v>-3.5480277159580313</v>
      </c>
      <c r="Q657" s="3">
        <f t="shared" ca="1" si="74"/>
        <v>4.0594890134885873</v>
      </c>
    </row>
    <row r="658" spans="7:17" x14ac:dyDescent="0.25">
      <c r="G658" s="3">
        <f t="shared" ca="1" si="69"/>
        <v>0</v>
      </c>
      <c r="H658" s="3">
        <f t="shared" ca="1" si="70"/>
        <v>1.0004917575736048</v>
      </c>
      <c r="I658" s="3">
        <f t="shared" ca="1" si="71"/>
        <v>5.0012292428302185</v>
      </c>
      <c r="O658" s="3">
        <f t="shared" ca="1" si="72"/>
        <v>2.5941595012339134</v>
      </c>
      <c r="P658" s="3">
        <f t="shared" ca="1" si="73"/>
        <v>7.0524871521081431</v>
      </c>
      <c r="Q658" s="3">
        <f t="shared" ca="1" si="74"/>
        <v>7.5144686138470638</v>
      </c>
    </row>
    <row r="659" spans="7:17" x14ac:dyDescent="0.25">
      <c r="G659" s="3">
        <f t="shared" ca="1" si="69"/>
        <v>1</v>
      </c>
      <c r="H659" s="3">
        <f t="shared" ca="1" si="70"/>
        <v>1.2275974467558695</v>
      </c>
      <c r="I659" s="3">
        <f t="shared" ca="1" si="71"/>
        <v>5.539849832702755</v>
      </c>
      <c r="O659" s="3">
        <f t="shared" ca="1" si="72"/>
        <v>0.98691502169862222</v>
      </c>
      <c r="P659" s="3">
        <f t="shared" ca="1" si="73"/>
        <v>-0.14230654294900805</v>
      </c>
      <c r="Q659" s="3">
        <f t="shared" ca="1" si="74"/>
        <v>0.99712206485489518</v>
      </c>
    </row>
    <row r="660" spans="7:17" x14ac:dyDescent="0.25">
      <c r="G660" s="3">
        <f t="shared" ca="1" si="69"/>
        <v>0</v>
      </c>
      <c r="H660" s="3">
        <f t="shared" ca="1" si="70"/>
        <v>4.4059032391763493</v>
      </c>
      <c r="I660" s="3">
        <f t="shared" ca="1" si="71"/>
        <v>10.495121770585072</v>
      </c>
      <c r="O660" s="3">
        <f t="shared" ca="1" si="72"/>
        <v>-5.7841144975693135</v>
      </c>
      <c r="P660" s="3">
        <f t="shared" ca="1" si="73"/>
        <v>-2.7189713240077134</v>
      </c>
      <c r="Q660" s="3">
        <f t="shared" ca="1" si="74"/>
        <v>6.3913054677247096</v>
      </c>
    </row>
    <row r="661" spans="7:17" x14ac:dyDescent="0.25">
      <c r="G661" s="3">
        <f t="shared" ca="1" si="69"/>
        <v>2</v>
      </c>
      <c r="H661" s="3">
        <f t="shared" ca="1" si="70"/>
        <v>4.4259788088347687</v>
      </c>
      <c r="I661" s="3">
        <f t="shared" ca="1" si="71"/>
        <v>10.519005191598168</v>
      </c>
      <c r="O661" s="3">
        <f t="shared" ca="1" si="72"/>
        <v>-8.897172258354022</v>
      </c>
      <c r="P661" s="3">
        <f t="shared" ca="1" si="73"/>
        <v>-3.124377563820651</v>
      </c>
      <c r="Q661" s="3">
        <f t="shared" ca="1" si="74"/>
        <v>9.4298149163241938</v>
      </c>
    </row>
    <row r="662" spans="7:17" x14ac:dyDescent="0.25">
      <c r="G662" s="3">
        <f t="shared" ca="1" si="69"/>
        <v>0</v>
      </c>
      <c r="H662" s="3">
        <f t="shared" ca="1" si="70"/>
        <v>2.3351134590626632</v>
      </c>
      <c r="I662" s="3">
        <f t="shared" ca="1" si="71"/>
        <v>7.6405390174101315</v>
      </c>
      <c r="O662" s="3">
        <f t="shared" ca="1" si="72"/>
        <v>-11.842556837912648</v>
      </c>
      <c r="P662" s="3">
        <f t="shared" ca="1" si="73"/>
        <v>-0.72962275589174586</v>
      </c>
      <c r="Q662" s="3">
        <f t="shared" ca="1" si="74"/>
        <v>11.865011665611908</v>
      </c>
    </row>
    <row r="663" spans="7:17" x14ac:dyDescent="0.25">
      <c r="G663" s="3">
        <f t="shared" ca="1" si="69"/>
        <v>0</v>
      </c>
      <c r="H663" s="3">
        <f t="shared" ca="1" si="70"/>
        <v>1.0083541804329927</v>
      </c>
      <c r="I663" s="3">
        <f t="shared" ca="1" si="71"/>
        <v>5.0208420121354962</v>
      </c>
      <c r="O663" s="3">
        <f t="shared" ca="1" si="72"/>
        <v>-6.3583398484186677</v>
      </c>
      <c r="P663" s="3">
        <f t="shared" ca="1" si="73"/>
        <v>3.4215357190109903</v>
      </c>
      <c r="Q663" s="3">
        <f t="shared" ca="1" si="74"/>
        <v>7.2204842153734248</v>
      </c>
    </row>
    <row r="664" spans="7:17" x14ac:dyDescent="0.25">
      <c r="G664" s="3">
        <f t="shared" ca="1" si="69"/>
        <v>2</v>
      </c>
      <c r="H664" s="3">
        <f t="shared" ca="1" si="70"/>
        <v>1.8671835992228332</v>
      </c>
      <c r="I664" s="3">
        <f t="shared" ca="1" si="71"/>
        <v>6.8322463348865607</v>
      </c>
      <c r="O664" s="3">
        <f t="shared" ca="1" si="72"/>
        <v>-9.5274239425853668</v>
      </c>
      <c r="P664" s="3">
        <f t="shared" ca="1" si="73"/>
        <v>1.4424696081483559</v>
      </c>
      <c r="Q664" s="3">
        <f t="shared" ca="1" si="74"/>
        <v>9.6360015334256026</v>
      </c>
    </row>
    <row r="665" spans="7:17" x14ac:dyDescent="0.25">
      <c r="G665" s="3">
        <f t="shared" ca="1" si="69"/>
        <v>0</v>
      </c>
      <c r="H665" s="3">
        <f t="shared" ca="1" si="70"/>
        <v>1.9608918927257186</v>
      </c>
      <c r="I665" s="3">
        <f t="shared" ca="1" si="71"/>
        <v>7.001592484438306</v>
      </c>
      <c r="O665" s="3">
        <f t="shared" ca="1" si="72"/>
        <v>4.0360554891789846</v>
      </c>
      <c r="P665" s="3">
        <f t="shared" ca="1" si="73"/>
        <v>3.7166551844917124</v>
      </c>
      <c r="Q665" s="3">
        <f t="shared" ca="1" si="74"/>
        <v>5.4866446642862643</v>
      </c>
    </row>
    <row r="666" spans="7:17" x14ac:dyDescent="0.25">
      <c r="G666" s="3">
        <f t="shared" ca="1" si="69"/>
        <v>0</v>
      </c>
      <c r="H666" s="3">
        <f t="shared" ca="1" si="70"/>
        <v>1.4612728078739186</v>
      </c>
      <c r="I666" s="3">
        <f t="shared" ca="1" si="71"/>
        <v>6.0441558713229728</v>
      </c>
      <c r="O666" s="3">
        <f t="shared" ca="1" si="72"/>
        <v>-2.0597004765688935</v>
      </c>
      <c r="P666" s="3">
        <f t="shared" ca="1" si="73"/>
        <v>3.4662671835856131</v>
      </c>
      <c r="Q666" s="3">
        <f t="shared" ca="1" si="74"/>
        <v>4.0320434324521681</v>
      </c>
    </row>
    <row r="667" spans="7:17" x14ac:dyDescent="0.25">
      <c r="G667" s="3">
        <f t="shared" ca="1" si="69"/>
        <v>0</v>
      </c>
      <c r="H667" s="3">
        <f t="shared" ca="1" si="70"/>
        <v>2.9965040611978355</v>
      </c>
      <c r="I667" s="3">
        <f t="shared" ca="1" si="71"/>
        <v>8.6552066139374109</v>
      </c>
      <c r="O667" s="3">
        <f t="shared" ca="1" si="72"/>
        <v>-5.567041591789013</v>
      </c>
      <c r="P667" s="3">
        <f t="shared" ca="1" si="73"/>
        <v>-0.87563287586389138</v>
      </c>
      <c r="Q667" s="3">
        <f t="shared" ca="1" si="74"/>
        <v>5.6354844528223493</v>
      </c>
    </row>
    <row r="668" spans="7:17" x14ac:dyDescent="0.25">
      <c r="G668" s="3">
        <f t="shared" ca="1" si="69"/>
        <v>0</v>
      </c>
      <c r="H668" s="3">
        <f t="shared" ca="1" si="70"/>
        <v>2.53975163939544</v>
      </c>
      <c r="I668" s="3">
        <f t="shared" ca="1" si="71"/>
        <v>7.9682991274729389</v>
      </c>
      <c r="O668" s="3">
        <f t="shared" ca="1" si="72"/>
        <v>-7.7052471829144276</v>
      </c>
      <c r="P668" s="3">
        <f t="shared" ca="1" si="73"/>
        <v>2.2935737412815524</v>
      </c>
      <c r="Q668" s="3">
        <f t="shared" ca="1" si="74"/>
        <v>8.0393603387649559</v>
      </c>
    </row>
    <row r="669" spans="7:17" x14ac:dyDescent="0.25">
      <c r="G669" s="3">
        <f t="shared" ca="1" si="69"/>
        <v>1</v>
      </c>
      <c r="H669" s="3">
        <f t="shared" ca="1" si="70"/>
        <v>3.8578180628630547</v>
      </c>
      <c r="I669" s="3">
        <f t="shared" ca="1" si="71"/>
        <v>9.8206645178203882</v>
      </c>
      <c r="O669" s="3">
        <f t="shared" ca="1" si="72"/>
        <v>-8.7153446590430086</v>
      </c>
      <c r="P669" s="3">
        <f t="shared" ca="1" si="73"/>
        <v>4.0569260390867115</v>
      </c>
      <c r="Q669" s="3">
        <f t="shared" ca="1" si="74"/>
        <v>9.6133179190396731</v>
      </c>
    </row>
    <row r="670" spans="7:17" x14ac:dyDescent="0.25">
      <c r="G670" s="3">
        <f t="shared" ca="1" si="69"/>
        <v>0</v>
      </c>
      <c r="H670" s="3">
        <f t="shared" ca="1" si="70"/>
        <v>2.3921270380196478</v>
      </c>
      <c r="I670" s="3">
        <f t="shared" ca="1" si="71"/>
        <v>7.7332513182031786</v>
      </c>
      <c r="O670" s="3">
        <f t="shared" ca="1" si="72"/>
        <v>1.5061822646584631</v>
      </c>
      <c r="P670" s="3">
        <f t="shared" ca="1" si="73"/>
        <v>3.6692284900069816</v>
      </c>
      <c r="Q670" s="3">
        <f t="shared" ca="1" si="74"/>
        <v>3.9663361842197151</v>
      </c>
    </row>
    <row r="671" spans="7:17" x14ac:dyDescent="0.25">
      <c r="G671" s="3">
        <f t="shared" ca="1" si="69"/>
        <v>0</v>
      </c>
      <c r="H671" s="3">
        <f t="shared" ca="1" si="70"/>
        <v>1.6496648012282871</v>
      </c>
      <c r="I671" s="3">
        <f t="shared" ca="1" si="71"/>
        <v>6.42196387647168</v>
      </c>
      <c r="O671" s="3">
        <f t="shared" ca="1" si="72"/>
        <v>-0.24578241589908778</v>
      </c>
      <c r="P671" s="3">
        <f t="shared" ca="1" si="73"/>
        <v>-10.53032569023711</v>
      </c>
      <c r="Q671" s="3">
        <f t="shared" ca="1" si="74"/>
        <v>10.533193634336779</v>
      </c>
    </row>
    <row r="672" spans="7:17" x14ac:dyDescent="0.25">
      <c r="G672" s="3">
        <f t="shared" ca="1" si="69"/>
        <v>1</v>
      </c>
      <c r="H672" s="3">
        <f t="shared" ca="1" si="70"/>
        <v>1.4693248344235779</v>
      </c>
      <c r="I672" s="3">
        <f t="shared" ca="1" si="71"/>
        <v>6.0607854986453233</v>
      </c>
      <c r="O672" s="3">
        <f t="shared" ca="1" si="72"/>
        <v>-5.2988812900813436</v>
      </c>
      <c r="P672" s="3">
        <f t="shared" ca="1" si="73"/>
        <v>3.8189565080691743</v>
      </c>
      <c r="Q672" s="3">
        <f t="shared" ca="1" si="74"/>
        <v>6.5316591871359932</v>
      </c>
    </row>
    <row r="673" spans="7:17" x14ac:dyDescent="0.25">
      <c r="G673" s="3">
        <f t="shared" ca="1" si="69"/>
        <v>0</v>
      </c>
      <c r="H673" s="3">
        <f t="shared" ca="1" si="70"/>
        <v>2.1471173176827705</v>
      </c>
      <c r="I673" s="3">
        <f t="shared" ca="1" si="71"/>
        <v>7.3265225681812556</v>
      </c>
      <c r="O673" s="3">
        <f t="shared" ca="1" si="72"/>
        <v>-8.6538883878055621</v>
      </c>
      <c r="P673" s="3">
        <f t="shared" ca="1" si="73"/>
        <v>-0.25740610203748215</v>
      </c>
      <c r="Q673" s="3">
        <f t="shared" ca="1" si="74"/>
        <v>8.657715757055211</v>
      </c>
    </row>
    <row r="674" spans="7:17" x14ac:dyDescent="0.25">
      <c r="G674" s="3">
        <f t="shared" ca="1" si="69"/>
        <v>1</v>
      </c>
      <c r="H674" s="3">
        <f t="shared" ca="1" si="70"/>
        <v>1.3077579662844907</v>
      </c>
      <c r="I674" s="3">
        <f t="shared" ca="1" si="71"/>
        <v>5.717862289100033</v>
      </c>
      <c r="O674" s="3">
        <f t="shared" ca="1" si="72"/>
        <v>-7.0758071690503215</v>
      </c>
      <c r="P674" s="3">
        <f t="shared" ca="1" si="73"/>
        <v>-9.5302588728649678</v>
      </c>
      <c r="Q674" s="3">
        <f t="shared" ca="1" si="74"/>
        <v>11.86983071814444</v>
      </c>
    </row>
    <row r="675" spans="7:17" x14ac:dyDescent="0.25">
      <c r="G675" s="3">
        <f t="shared" ca="1" si="69"/>
        <v>0</v>
      </c>
      <c r="H675" s="3">
        <f t="shared" ca="1" si="70"/>
        <v>2.372870011412644</v>
      </c>
      <c r="I675" s="3">
        <f t="shared" ca="1" si="71"/>
        <v>7.702061430897321</v>
      </c>
      <c r="O675" s="3">
        <f t="shared" ca="1" si="72"/>
        <v>-5.0703719829441791</v>
      </c>
      <c r="P675" s="3">
        <f t="shared" ca="1" si="73"/>
        <v>-10.286631182219804</v>
      </c>
      <c r="Q675" s="3">
        <f t="shared" ca="1" si="74"/>
        <v>11.468367500409204</v>
      </c>
    </row>
    <row r="676" spans="7:17" x14ac:dyDescent="0.25">
      <c r="G676" s="3">
        <f t="shared" ca="1" si="69"/>
        <v>0</v>
      </c>
      <c r="H676" s="3">
        <f t="shared" ca="1" si="70"/>
        <v>0.44417076419288515</v>
      </c>
      <c r="I676" s="3">
        <f t="shared" ca="1" si="71"/>
        <v>3.3323068743472781</v>
      </c>
      <c r="O676" s="3">
        <f t="shared" ca="1" si="72"/>
        <v>-2.2062034803212742</v>
      </c>
      <c r="P676" s="3">
        <f t="shared" ca="1" si="73"/>
        <v>0.73906217190111856</v>
      </c>
      <c r="Q676" s="3">
        <f t="shared" ca="1" si="74"/>
        <v>2.3267029656827494</v>
      </c>
    </row>
    <row r="677" spans="7:17" x14ac:dyDescent="0.25">
      <c r="G677" s="3">
        <f t="shared" ca="1" si="69"/>
        <v>1</v>
      </c>
      <c r="H677" s="3">
        <f t="shared" ca="1" si="70"/>
        <v>3.1064970503142071</v>
      </c>
      <c r="I677" s="3">
        <f t="shared" ca="1" si="71"/>
        <v>8.8126287938307701</v>
      </c>
      <c r="O677" s="3">
        <f t="shared" ca="1" si="72"/>
        <v>-7.4405189649770236</v>
      </c>
      <c r="P677" s="3">
        <f t="shared" ca="1" si="73"/>
        <v>0.739432025749305</v>
      </c>
      <c r="Q677" s="3">
        <f t="shared" ca="1" si="74"/>
        <v>7.477170734234071</v>
      </c>
    </row>
    <row r="678" spans="7:17" x14ac:dyDescent="0.25">
      <c r="G678" s="3">
        <f t="shared" ca="1" si="69"/>
        <v>1</v>
      </c>
      <c r="H678" s="3">
        <f t="shared" ca="1" si="70"/>
        <v>0.41097365530650831</v>
      </c>
      <c r="I678" s="3">
        <f t="shared" ca="1" si="71"/>
        <v>3.2053613497798823</v>
      </c>
      <c r="O678" s="3">
        <f t="shared" ca="1" si="72"/>
        <v>1.2714093209620927</v>
      </c>
      <c r="P678" s="3">
        <f t="shared" ca="1" si="73"/>
        <v>-2.3424850692078132</v>
      </c>
      <c r="Q678" s="3">
        <f t="shared" ca="1" si="74"/>
        <v>2.665280090514095</v>
      </c>
    </row>
    <row r="679" spans="7:17" x14ac:dyDescent="0.25">
      <c r="G679" s="3">
        <f t="shared" ca="1" si="69"/>
        <v>1</v>
      </c>
      <c r="H679" s="3">
        <f t="shared" ca="1" si="70"/>
        <v>6.073600338383347</v>
      </c>
      <c r="I679" s="3">
        <f t="shared" ca="1" si="71"/>
        <v>12.322337783861618</v>
      </c>
      <c r="O679" s="3">
        <f t="shared" ca="1" si="72"/>
        <v>-8.8752658748697932</v>
      </c>
      <c r="P679" s="3">
        <f t="shared" ca="1" si="73"/>
        <v>-3.4642636035101395</v>
      </c>
      <c r="Q679" s="3">
        <f t="shared" ca="1" si="74"/>
        <v>9.527406082677139</v>
      </c>
    </row>
    <row r="680" spans="7:17" x14ac:dyDescent="0.25">
      <c r="G680" s="3">
        <f t="shared" ca="1" si="69"/>
        <v>1</v>
      </c>
      <c r="H680" s="3">
        <f t="shared" ca="1" si="70"/>
        <v>7.5521211802819641</v>
      </c>
      <c r="I680" s="3">
        <f t="shared" ca="1" si="71"/>
        <v>13.740561469861742</v>
      </c>
      <c r="O680" s="3">
        <f t="shared" ca="1" si="72"/>
        <v>0.79592061416281279</v>
      </c>
      <c r="P680" s="3">
        <f t="shared" ca="1" si="73"/>
        <v>-2.6519167480088974</v>
      </c>
      <c r="Q680" s="3">
        <f t="shared" ca="1" si="74"/>
        <v>2.7687816928063134</v>
      </c>
    </row>
    <row r="681" spans="7:17" x14ac:dyDescent="0.25">
      <c r="G681" s="3">
        <f t="shared" ca="1" si="69"/>
        <v>1</v>
      </c>
      <c r="H681" s="3">
        <f t="shared" ca="1" si="70"/>
        <v>5.064995190387914</v>
      </c>
      <c r="I681" s="3">
        <f t="shared" ca="1" si="71"/>
        <v>11.252772092231222</v>
      </c>
      <c r="O681" s="3">
        <f t="shared" ca="1" si="72"/>
        <v>-7.3167007364501115</v>
      </c>
      <c r="P681" s="3">
        <f t="shared" ca="1" si="73"/>
        <v>-2.2875700089099662</v>
      </c>
      <c r="Q681" s="3">
        <f t="shared" ca="1" si="74"/>
        <v>7.665969358954805</v>
      </c>
    </row>
    <row r="682" spans="7:17" x14ac:dyDescent="0.25">
      <c r="G682" s="3">
        <f t="shared" ca="1" si="69"/>
        <v>0</v>
      </c>
      <c r="H682" s="3">
        <f t="shared" ca="1" si="70"/>
        <v>4.5446569575997788</v>
      </c>
      <c r="I682" s="3">
        <f t="shared" ca="1" si="71"/>
        <v>10.659100522088835</v>
      </c>
      <c r="O682" s="3">
        <f t="shared" ca="1" si="72"/>
        <v>-12.21654654305885</v>
      </c>
      <c r="P682" s="3">
        <f t="shared" ca="1" si="73"/>
        <v>5.1960272488489521</v>
      </c>
      <c r="Q682" s="3">
        <f t="shared" ca="1" si="74"/>
        <v>13.275643434858589</v>
      </c>
    </row>
    <row r="683" spans="7:17" x14ac:dyDescent="0.25">
      <c r="G683" s="3">
        <f t="shared" ca="1" si="69"/>
        <v>0</v>
      </c>
      <c r="H683" s="3">
        <f t="shared" ca="1" si="70"/>
        <v>5.7308979053344613</v>
      </c>
      <c r="I683" s="3">
        <f t="shared" ca="1" si="71"/>
        <v>11.969646930188105</v>
      </c>
      <c r="O683" s="3">
        <f t="shared" ca="1" si="72"/>
        <v>-3.5433105548063089</v>
      </c>
      <c r="P683" s="3">
        <f t="shared" ca="1" si="73"/>
        <v>-8.0176328535890633</v>
      </c>
      <c r="Q683" s="3">
        <f t="shared" ca="1" si="74"/>
        <v>8.7656994166325664</v>
      </c>
    </row>
    <row r="684" spans="7:17" x14ac:dyDescent="0.25">
      <c r="G684" s="3">
        <f t="shared" ca="1" si="69"/>
        <v>1</v>
      </c>
      <c r="H684" s="3">
        <f t="shared" ca="1" si="70"/>
        <v>2.9362644219813565</v>
      </c>
      <c r="I684" s="3">
        <f t="shared" ca="1" si="71"/>
        <v>8.5677657851702467</v>
      </c>
      <c r="O684" s="3">
        <f t="shared" ca="1" si="72"/>
        <v>-0.2216825865808536</v>
      </c>
      <c r="P684" s="3">
        <f t="shared" ca="1" si="73"/>
        <v>2.2505596354243154</v>
      </c>
      <c r="Q684" s="3">
        <f t="shared" ca="1" si="74"/>
        <v>2.2614512689408994</v>
      </c>
    </row>
    <row r="685" spans="7:17" x14ac:dyDescent="0.25">
      <c r="G685" s="3">
        <f t="shared" ca="1" si="69"/>
        <v>0</v>
      </c>
      <c r="H685" s="3">
        <f t="shared" ca="1" si="70"/>
        <v>0.54411766466094869</v>
      </c>
      <c r="I685" s="3">
        <f t="shared" ca="1" si="71"/>
        <v>3.688216590240291</v>
      </c>
      <c r="O685" s="3">
        <f t="shared" ca="1" si="72"/>
        <v>4.0007219770362976</v>
      </c>
      <c r="P685" s="3">
        <f t="shared" ca="1" si="73"/>
        <v>-2.4428786412503158</v>
      </c>
      <c r="Q685" s="3">
        <f t="shared" ca="1" si="74"/>
        <v>4.6875827879002001</v>
      </c>
    </row>
    <row r="686" spans="7:17" x14ac:dyDescent="0.25">
      <c r="G686" s="3">
        <f t="shared" ca="1" si="69"/>
        <v>0</v>
      </c>
      <c r="H686" s="3">
        <f t="shared" ca="1" si="70"/>
        <v>3.2370435184212654</v>
      </c>
      <c r="I686" s="3">
        <f t="shared" ca="1" si="71"/>
        <v>8.9958928384308603</v>
      </c>
      <c r="O686" s="3">
        <f t="shared" ca="1" si="72"/>
        <v>-8.9521116609741007</v>
      </c>
      <c r="P686" s="3">
        <f t="shared" ca="1" si="73"/>
        <v>7.00902736419705</v>
      </c>
      <c r="Q686" s="3">
        <f t="shared" ca="1" si="74"/>
        <v>11.369554423222201</v>
      </c>
    </row>
    <row r="687" spans="7:17" x14ac:dyDescent="0.25">
      <c r="G687" s="3">
        <f t="shared" ca="1" si="69"/>
        <v>0</v>
      </c>
      <c r="H687" s="3">
        <f t="shared" ca="1" si="70"/>
        <v>0.32955301486247413</v>
      </c>
      <c r="I687" s="3">
        <f t="shared" ca="1" si="71"/>
        <v>2.8703354109862933</v>
      </c>
      <c r="O687" s="3">
        <f t="shared" ca="1" si="72"/>
        <v>-5.6475026539342412</v>
      </c>
      <c r="P687" s="3">
        <f t="shared" ca="1" si="73"/>
        <v>-0.7371642701605422</v>
      </c>
      <c r="Q687" s="3">
        <f t="shared" ca="1" si="74"/>
        <v>5.6954102036109413</v>
      </c>
    </row>
    <row r="688" spans="7:17" x14ac:dyDescent="0.25">
      <c r="G688" s="3">
        <f t="shared" ca="1" si="69"/>
        <v>0</v>
      </c>
      <c r="H688" s="3">
        <f t="shared" ca="1" si="70"/>
        <v>0.87569587608260002</v>
      </c>
      <c r="I688" s="3">
        <f t="shared" ca="1" si="71"/>
        <v>4.6789311709048471</v>
      </c>
      <c r="O688" s="3">
        <f t="shared" ca="1" si="72"/>
        <v>-5.7271874612823428</v>
      </c>
      <c r="P688" s="3">
        <f t="shared" ca="1" si="73"/>
        <v>0.45898859193984892</v>
      </c>
      <c r="Q688" s="3">
        <f t="shared" ca="1" si="74"/>
        <v>5.7455501689743</v>
      </c>
    </row>
    <row r="689" spans="7:17" x14ac:dyDescent="0.25">
      <c r="G689" s="3">
        <f t="shared" ca="1" si="69"/>
        <v>0</v>
      </c>
      <c r="H689" s="3">
        <f t="shared" ca="1" si="70"/>
        <v>3.6774278108268681</v>
      </c>
      <c r="I689" s="3">
        <f t="shared" ca="1" si="71"/>
        <v>9.5883103449289599</v>
      </c>
      <c r="O689" s="3">
        <f t="shared" ca="1" si="72"/>
        <v>3.2148323842225182</v>
      </c>
      <c r="P689" s="3">
        <f t="shared" ca="1" si="73"/>
        <v>-3.0062934077724699</v>
      </c>
      <c r="Q689" s="3">
        <f t="shared" ca="1" si="74"/>
        <v>4.4014710395800689</v>
      </c>
    </row>
    <row r="690" spans="7:17" x14ac:dyDescent="0.25">
      <c r="G690" s="3">
        <f t="shared" ca="1" si="69"/>
        <v>2</v>
      </c>
      <c r="H690" s="3">
        <f t="shared" ca="1" si="70"/>
        <v>7.0526749684012557</v>
      </c>
      <c r="I690" s="3">
        <f t="shared" ca="1" si="71"/>
        <v>13.27843643694661</v>
      </c>
      <c r="O690" s="3">
        <f t="shared" ca="1" si="72"/>
        <v>-7.0340589408712741</v>
      </c>
      <c r="P690" s="3">
        <f t="shared" ca="1" si="73"/>
        <v>-3.1148631234199975</v>
      </c>
      <c r="Q690" s="3">
        <f t="shared" ca="1" si="74"/>
        <v>7.6928770600662073</v>
      </c>
    </row>
    <row r="691" spans="7:17" x14ac:dyDescent="0.25">
      <c r="G691" s="3">
        <f t="shared" ca="1" si="69"/>
        <v>0</v>
      </c>
      <c r="H691" s="3">
        <f t="shared" ca="1" si="70"/>
        <v>1.8219908762178076</v>
      </c>
      <c r="I691" s="3">
        <f t="shared" ca="1" si="71"/>
        <v>6.7490571123265211</v>
      </c>
      <c r="O691" s="3">
        <f t="shared" ca="1" si="72"/>
        <v>-5.0396846357353073</v>
      </c>
      <c r="P691" s="3">
        <f t="shared" ca="1" si="73"/>
        <v>-4.3976628513818143</v>
      </c>
      <c r="Q691" s="3">
        <f t="shared" ca="1" si="74"/>
        <v>6.6886366160892718</v>
      </c>
    </row>
    <row r="692" spans="7:17" x14ac:dyDescent="0.25">
      <c r="G692" s="3">
        <f t="shared" ca="1" si="69"/>
        <v>0</v>
      </c>
      <c r="H692" s="3">
        <f t="shared" ca="1" si="70"/>
        <v>1.1163509100713842</v>
      </c>
      <c r="I692" s="3">
        <f t="shared" ca="1" si="71"/>
        <v>5.2828754245945087</v>
      </c>
      <c r="O692" s="3">
        <f t="shared" ca="1" si="72"/>
        <v>-3.7360041892060636</v>
      </c>
      <c r="P692" s="3">
        <f t="shared" ca="1" si="73"/>
        <v>1.6868261104272881</v>
      </c>
      <c r="Q692" s="3">
        <f t="shared" ca="1" si="74"/>
        <v>4.0991596246772959</v>
      </c>
    </row>
    <row r="693" spans="7:17" x14ac:dyDescent="0.25">
      <c r="G693" s="3">
        <f t="shared" ca="1" si="69"/>
        <v>0</v>
      </c>
      <c r="H693" s="3">
        <f t="shared" ca="1" si="70"/>
        <v>1.7030860842163829</v>
      </c>
      <c r="I693" s="3">
        <f t="shared" ca="1" si="71"/>
        <v>6.5251170185223177</v>
      </c>
      <c r="O693" s="3">
        <f t="shared" ca="1" si="72"/>
        <v>-12.145128116892215</v>
      </c>
      <c r="P693" s="3">
        <f t="shared" ca="1" si="73"/>
        <v>-5.4904915018553853</v>
      </c>
      <c r="Q693" s="3">
        <f t="shared" ca="1" si="74"/>
        <v>13.3285270719488</v>
      </c>
    </row>
    <row r="694" spans="7:17" x14ac:dyDescent="0.25">
      <c r="G694" s="3">
        <f t="shared" ca="1" si="69"/>
        <v>0</v>
      </c>
      <c r="H694" s="3">
        <f t="shared" ca="1" si="70"/>
        <v>3.8250126446387704</v>
      </c>
      <c r="I694" s="3">
        <f t="shared" ca="1" si="71"/>
        <v>9.7788197711160034</v>
      </c>
      <c r="O694" s="3">
        <f t="shared" ca="1" si="72"/>
        <v>-5.8143694814272155</v>
      </c>
      <c r="P694" s="3">
        <f t="shared" ca="1" si="73"/>
        <v>-10.103429015243089</v>
      </c>
      <c r="Q694" s="3">
        <f t="shared" ca="1" si="74"/>
        <v>11.657022361332594</v>
      </c>
    </row>
    <row r="695" spans="7:17" x14ac:dyDescent="0.25">
      <c r="G695" s="3">
        <f t="shared" ca="1" si="69"/>
        <v>0</v>
      </c>
      <c r="H695" s="3">
        <f t="shared" ca="1" si="70"/>
        <v>8.0478358885321395</v>
      </c>
      <c r="I695" s="3">
        <f t="shared" ca="1" si="71"/>
        <v>14.184353958263431</v>
      </c>
      <c r="O695" s="3">
        <f t="shared" ca="1" si="72"/>
        <v>-3.4132836845443704</v>
      </c>
      <c r="P695" s="3">
        <f t="shared" ca="1" si="73"/>
        <v>2.8822661026629821</v>
      </c>
      <c r="Q695" s="3">
        <f t="shared" ca="1" si="74"/>
        <v>4.4674336478269989</v>
      </c>
    </row>
    <row r="696" spans="7:17" x14ac:dyDescent="0.25">
      <c r="G696" s="3">
        <f t="shared" ca="1" si="69"/>
        <v>0</v>
      </c>
      <c r="H696" s="3">
        <f t="shared" ca="1" si="70"/>
        <v>0.54851516824725921</v>
      </c>
      <c r="I696" s="3">
        <f t="shared" ca="1" si="71"/>
        <v>3.7030904939228098</v>
      </c>
      <c r="O696" s="3">
        <f t="shared" ca="1" si="72"/>
        <v>-2.8694423118491859</v>
      </c>
      <c r="P696" s="3">
        <f t="shared" ca="1" si="73"/>
        <v>1.7441537132740754</v>
      </c>
      <c r="Q696" s="3">
        <f t="shared" ca="1" si="74"/>
        <v>3.3579415356075137</v>
      </c>
    </row>
    <row r="697" spans="7:17" x14ac:dyDescent="0.25">
      <c r="G697" s="3">
        <f t="shared" ca="1" si="69"/>
        <v>1</v>
      </c>
      <c r="H697" s="3">
        <f t="shared" ca="1" si="70"/>
        <v>4.8666222893308975</v>
      </c>
      <c r="I697" s="3">
        <f t="shared" ca="1" si="71"/>
        <v>11.030211114628425</v>
      </c>
      <c r="O697" s="3">
        <f t="shared" ca="1" si="72"/>
        <v>-10.012976884386818</v>
      </c>
      <c r="P697" s="3">
        <f t="shared" ca="1" si="73"/>
        <v>-11.250778100949791</v>
      </c>
      <c r="Q697" s="3">
        <f t="shared" ca="1" si="74"/>
        <v>15.061198955065834</v>
      </c>
    </row>
    <row r="698" spans="7:17" x14ac:dyDescent="0.25">
      <c r="G698" s="3">
        <f t="shared" ca="1" si="69"/>
        <v>0</v>
      </c>
      <c r="H698" s="3">
        <f t="shared" ca="1" si="70"/>
        <v>0.43323748726226285</v>
      </c>
      <c r="I698" s="3">
        <f t="shared" ca="1" si="71"/>
        <v>3.2910389213068525</v>
      </c>
      <c r="O698" s="3">
        <f t="shared" ca="1" si="72"/>
        <v>-4.3065450813413095</v>
      </c>
      <c r="P698" s="3">
        <f t="shared" ca="1" si="73"/>
        <v>5.4414130659081161</v>
      </c>
      <c r="Q698" s="3">
        <f t="shared" ca="1" si="74"/>
        <v>6.9394024736615894</v>
      </c>
    </row>
    <row r="699" spans="7:17" x14ac:dyDescent="0.25">
      <c r="G699" s="3">
        <f t="shared" ca="1" si="69"/>
        <v>0</v>
      </c>
      <c r="H699" s="3">
        <f t="shared" ca="1" si="70"/>
        <v>2.5610671208124587</v>
      </c>
      <c r="I699" s="3">
        <f t="shared" ca="1" si="71"/>
        <v>8.0016672025466953</v>
      </c>
      <c r="O699" s="3">
        <f t="shared" ca="1" si="72"/>
        <v>-8.7882013684386244</v>
      </c>
      <c r="P699" s="3">
        <f t="shared" ca="1" si="73"/>
        <v>2.7425657219988389</v>
      </c>
      <c r="Q699" s="3">
        <f t="shared" ca="1" si="74"/>
        <v>9.2062017157842853</v>
      </c>
    </row>
    <row r="700" spans="7:17" x14ac:dyDescent="0.25">
      <c r="G700" s="3">
        <f t="shared" ca="1" si="69"/>
        <v>0</v>
      </c>
      <c r="H700" s="3">
        <f t="shared" ca="1" si="70"/>
        <v>3.677523310708732</v>
      </c>
      <c r="I700" s="3">
        <f t="shared" ca="1" si="71"/>
        <v>9.588434844525894</v>
      </c>
      <c r="O700" s="3">
        <f t="shared" ca="1" si="72"/>
        <v>-6.1133118040602739</v>
      </c>
      <c r="P700" s="3">
        <f t="shared" ca="1" si="73"/>
        <v>4.0830479557813399</v>
      </c>
      <c r="Q700" s="3">
        <f t="shared" ca="1" si="74"/>
        <v>7.3514530416015615</v>
      </c>
    </row>
    <row r="701" spans="7:17" x14ac:dyDescent="0.25">
      <c r="G701" s="3">
        <f t="shared" ca="1" si="69"/>
        <v>1</v>
      </c>
      <c r="H701" s="3">
        <f t="shared" ca="1" si="70"/>
        <v>0.52926945480770882</v>
      </c>
      <c r="I701" s="3">
        <f t="shared" ca="1" si="71"/>
        <v>3.6375453770630441</v>
      </c>
      <c r="O701" s="3">
        <f t="shared" ca="1" si="72"/>
        <v>-17.807957886884537</v>
      </c>
      <c r="P701" s="3">
        <f t="shared" ca="1" si="73"/>
        <v>-3.2030200210464703</v>
      </c>
      <c r="Q701" s="3">
        <f t="shared" ca="1" si="74"/>
        <v>18.093719942462847</v>
      </c>
    </row>
    <row r="702" spans="7:17" x14ac:dyDescent="0.25">
      <c r="G702" s="3">
        <f t="shared" ca="1" si="69"/>
        <v>0</v>
      </c>
      <c r="H702" s="3">
        <f t="shared" ca="1" si="70"/>
        <v>4.4498975473331601</v>
      </c>
      <c r="I702" s="3">
        <f t="shared" ca="1" si="71"/>
        <v>10.547390136110877</v>
      </c>
      <c r="O702" s="3">
        <f t="shared" ca="1" si="72"/>
        <v>-9.5050410923624788</v>
      </c>
      <c r="P702" s="3">
        <f t="shared" ca="1" si="73"/>
        <v>4.2614170227908081</v>
      </c>
      <c r="Q702" s="3">
        <f t="shared" ca="1" si="74"/>
        <v>10.416596431158816</v>
      </c>
    </row>
    <row r="703" spans="7:17" x14ac:dyDescent="0.25">
      <c r="G703" s="3">
        <f t="shared" ca="1" si="69"/>
        <v>1</v>
      </c>
      <c r="H703" s="3">
        <f t="shared" ca="1" si="70"/>
        <v>4.5161684129763433</v>
      </c>
      <c r="I703" s="3">
        <f t="shared" ca="1" si="71"/>
        <v>10.625639290151375</v>
      </c>
      <c r="O703" s="3">
        <f t="shared" ca="1" si="72"/>
        <v>-1.0034257666624651</v>
      </c>
      <c r="P703" s="3">
        <f t="shared" ca="1" si="73"/>
        <v>-8.3377514704583895</v>
      </c>
      <c r="Q703" s="3">
        <f t="shared" ca="1" si="74"/>
        <v>8.3979141965331596</v>
      </c>
    </row>
    <row r="704" spans="7:17" x14ac:dyDescent="0.25">
      <c r="G704" s="3">
        <f t="shared" ca="1" si="69"/>
        <v>0</v>
      </c>
      <c r="H704" s="3">
        <f t="shared" ca="1" si="70"/>
        <v>3.3396460512154671</v>
      </c>
      <c r="I704" s="3">
        <f t="shared" ca="1" si="71"/>
        <v>9.137349248025199</v>
      </c>
      <c r="O704" s="3">
        <f t="shared" ca="1" si="72"/>
        <v>-12.38649478504226</v>
      </c>
      <c r="P704" s="3">
        <f t="shared" ca="1" si="73"/>
        <v>4.4242804861149194</v>
      </c>
      <c r="Q704" s="3">
        <f t="shared" ca="1" si="74"/>
        <v>13.15292784438873</v>
      </c>
    </row>
    <row r="705" spans="7:17" x14ac:dyDescent="0.25">
      <c r="G705" s="3">
        <f t="shared" ca="1" si="69"/>
        <v>1</v>
      </c>
      <c r="H705" s="3">
        <f t="shared" ca="1" si="70"/>
        <v>8.9007371280616354</v>
      </c>
      <c r="I705" s="3">
        <f t="shared" ca="1" si="71"/>
        <v>14.917051592105624</v>
      </c>
      <c r="O705" s="3">
        <f t="shared" ca="1" si="72"/>
        <v>-8.3845504111401858</v>
      </c>
      <c r="P705" s="3">
        <f t="shared" ca="1" si="73"/>
        <v>-9.6270687738042309</v>
      </c>
      <c r="Q705" s="3">
        <f t="shared" ca="1" si="74"/>
        <v>12.766406650757588</v>
      </c>
    </row>
    <row r="706" spans="7:17" x14ac:dyDescent="0.25">
      <c r="G706" s="3">
        <f t="shared" ca="1" si="69"/>
        <v>0</v>
      </c>
      <c r="H706" s="3">
        <f t="shared" ca="1" si="70"/>
        <v>3.0182921080711775</v>
      </c>
      <c r="I706" s="3">
        <f t="shared" ca="1" si="71"/>
        <v>8.6866162976028498</v>
      </c>
      <c r="O706" s="3">
        <f t="shared" ca="1" si="72"/>
        <v>-4.1907003469780646</v>
      </c>
      <c r="P706" s="3">
        <f t="shared" ca="1" si="73"/>
        <v>0.67762693360235604</v>
      </c>
      <c r="Q706" s="3">
        <f t="shared" ca="1" si="74"/>
        <v>4.2451322310742459</v>
      </c>
    </row>
    <row r="707" spans="7:17" x14ac:dyDescent="0.25">
      <c r="G707" s="3">
        <f t="shared" ca="1" si="69"/>
        <v>0</v>
      </c>
      <c r="H707" s="3">
        <f t="shared" ca="1" si="70"/>
        <v>0.89211005830931356</v>
      </c>
      <c r="I707" s="3">
        <f t="shared" ca="1" si="71"/>
        <v>4.7225788990479387</v>
      </c>
      <c r="O707" s="3">
        <f t="shared" ca="1" si="72"/>
        <v>2.242116913942743</v>
      </c>
      <c r="P707" s="3">
        <f t="shared" ca="1" si="73"/>
        <v>-3.2007067621212975</v>
      </c>
      <c r="Q707" s="3">
        <f t="shared" ca="1" si="74"/>
        <v>3.9078909955213859</v>
      </c>
    </row>
    <row r="708" spans="7:17" x14ac:dyDescent="0.25">
      <c r="G708" s="3">
        <f t="shared" ref="G708:G771" ca="1" si="75">VLOOKUP(RAND(),$B$9:$C$169,2,TRUE)</f>
        <v>0</v>
      </c>
      <c r="H708" s="3">
        <f t="shared" ref="H708:H771" ca="1" si="76">_xlfn.CHISQ.INV(RAND(),2*G708+2)</f>
        <v>1.0283706333188245</v>
      </c>
      <c r="I708" s="3">
        <f t="shared" ref="I708:I771" ca="1" si="77">$C$4*SQRT(H708)</f>
        <v>5.0704305372394778</v>
      </c>
      <c r="O708" s="3">
        <f t="shared" ref="O708:O771" ca="1" si="78">_xlfn.NORM.INV(RAND(),$C$3*COS($N$2),$C$4)</f>
        <v>-8.3083072609250088</v>
      </c>
      <c r="P708" s="3">
        <f t="shared" ref="P708:P771" ca="1" si="79">_xlfn.NORM.INV(RAND(),$C$3*SIN($N$2),$C$4)</f>
        <v>-0.83341400469984439</v>
      </c>
      <c r="Q708" s="3">
        <f t="shared" ref="Q708:Q771" ca="1" si="80">SQRT(O708^2+P708^2)</f>
        <v>8.3500029009078229</v>
      </c>
    </row>
    <row r="709" spans="7:17" x14ac:dyDescent="0.25">
      <c r="G709" s="3">
        <f t="shared" ca="1" si="75"/>
        <v>0</v>
      </c>
      <c r="H709" s="3">
        <f t="shared" ca="1" si="76"/>
        <v>2.4186804282475474</v>
      </c>
      <c r="I709" s="3">
        <f t="shared" ca="1" si="77"/>
        <v>7.7760536717662054</v>
      </c>
      <c r="O709" s="3">
        <f t="shared" ca="1" si="78"/>
        <v>-6.8220467163207488</v>
      </c>
      <c r="P709" s="3">
        <f t="shared" ca="1" si="79"/>
        <v>-2.9375357448993653</v>
      </c>
      <c r="Q709" s="3">
        <f t="shared" ca="1" si="80"/>
        <v>7.4276131867662691</v>
      </c>
    </row>
    <row r="710" spans="7:17" x14ac:dyDescent="0.25">
      <c r="G710" s="3">
        <f t="shared" ca="1" si="75"/>
        <v>0</v>
      </c>
      <c r="H710" s="3">
        <f t="shared" ca="1" si="76"/>
        <v>3.7380298903175944</v>
      </c>
      <c r="I710" s="3">
        <f t="shared" ca="1" si="77"/>
        <v>9.6669926687641521</v>
      </c>
      <c r="O710" s="3">
        <f t="shared" ca="1" si="78"/>
        <v>3.173772081939056</v>
      </c>
      <c r="P710" s="3">
        <f t="shared" ca="1" si="79"/>
        <v>2.3901737298938195</v>
      </c>
      <c r="Q710" s="3">
        <f t="shared" ca="1" si="80"/>
        <v>3.9731297093312099</v>
      </c>
    </row>
    <row r="711" spans="7:17" x14ac:dyDescent="0.25">
      <c r="G711" s="3">
        <f t="shared" ca="1" si="75"/>
        <v>1</v>
      </c>
      <c r="H711" s="3">
        <f t="shared" ca="1" si="76"/>
        <v>3.3810267863003487</v>
      </c>
      <c r="I711" s="3">
        <f t="shared" ca="1" si="77"/>
        <v>9.1937842947019774</v>
      </c>
      <c r="O711" s="3">
        <f t="shared" ca="1" si="78"/>
        <v>-3.7886407258727868</v>
      </c>
      <c r="P711" s="3">
        <f t="shared" ca="1" si="79"/>
        <v>4.5473855748474383</v>
      </c>
      <c r="Q711" s="3">
        <f t="shared" ca="1" si="80"/>
        <v>5.9188270895568866</v>
      </c>
    </row>
    <row r="712" spans="7:17" x14ac:dyDescent="0.25">
      <c r="G712" s="3">
        <f t="shared" ca="1" si="75"/>
        <v>1</v>
      </c>
      <c r="H712" s="3">
        <f t="shared" ca="1" si="76"/>
        <v>4.0655399863067458</v>
      </c>
      <c r="I712" s="3">
        <f t="shared" ca="1" si="77"/>
        <v>10.081592119187754</v>
      </c>
      <c r="O712" s="3">
        <f t="shared" ca="1" si="78"/>
        <v>-1.5472050866623217</v>
      </c>
      <c r="P712" s="3">
        <f t="shared" ca="1" si="79"/>
        <v>-6.5725546400896571</v>
      </c>
      <c r="Q712" s="3">
        <f t="shared" ca="1" si="80"/>
        <v>6.7522083851994559</v>
      </c>
    </row>
    <row r="713" spans="7:17" x14ac:dyDescent="0.25">
      <c r="G713" s="3">
        <f t="shared" ca="1" si="75"/>
        <v>0</v>
      </c>
      <c r="H713" s="3">
        <f t="shared" ca="1" si="76"/>
        <v>4.5420915591690791</v>
      </c>
      <c r="I713" s="3">
        <f t="shared" ca="1" si="77"/>
        <v>10.656091637144783</v>
      </c>
      <c r="O713" s="3">
        <f t="shared" ca="1" si="78"/>
        <v>-0.83586485359156981</v>
      </c>
      <c r="P713" s="3">
        <f t="shared" ca="1" si="79"/>
        <v>13.512355631112605</v>
      </c>
      <c r="Q713" s="3">
        <f t="shared" ca="1" si="80"/>
        <v>13.538183953364284</v>
      </c>
    </row>
    <row r="714" spans="7:17" x14ac:dyDescent="0.25">
      <c r="G714" s="3">
        <f t="shared" ca="1" si="75"/>
        <v>0</v>
      </c>
      <c r="H714" s="3">
        <f t="shared" ca="1" si="76"/>
        <v>0.16434362473202863</v>
      </c>
      <c r="I714" s="3">
        <f t="shared" ca="1" si="77"/>
        <v>2.0269658651049642</v>
      </c>
      <c r="O714" s="3">
        <f t="shared" ca="1" si="78"/>
        <v>-4.5358725332435528</v>
      </c>
      <c r="P714" s="3">
        <f t="shared" ca="1" si="79"/>
        <v>-1.0212363509367774</v>
      </c>
      <c r="Q714" s="3">
        <f t="shared" ca="1" si="80"/>
        <v>4.6494153742495357</v>
      </c>
    </row>
    <row r="715" spans="7:17" x14ac:dyDescent="0.25">
      <c r="G715" s="3">
        <f t="shared" ca="1" si="75"/>
        <v>1</v>
      </c>
      <c r="H715" s="3">
        <f t="shared" ca="1" si="76"/>
        <v>0.85588685895362826</v>
      </c>
      <c r="I715" s="3">
        <f t="shared" ca="1" si="77"/>
        <v>4.6257076727610782</v>
      </c>
      <c r="O715" s="3">
        <f t="shared" ca="1" si="78"/>
        <v>-5.467052444317039</v>
      </c>
      <c r="P715" s="3">
        <f t="shared" ca="1" si="79"/>
        <v>-0.87094304850859694</v>
      </c>
      <c r="Q715" s="3">
        <f t="shared" ca="1" si="80"/>
        <v>5.5359917108552787</v>
      </c>
    </row>
    <row r="716" spans="7:17" x14ac:dyDescent="0.25">
      <c r="G716" s="3">
        <f t="shared" ca="1" si="75"/>
        <v>1</v>
      </c>
      <c r="H716" s="3">
        <f t="shared" ca="1" si="76"/>
        <v>1.5158754647434252</v>
      </c>
      <c r="I716" s="3">
        <f t="shared" ca="1" si="77"/>
        <v>6.1560447219448982</v>
      </c>
      <c r="O716" s="3">
        <f t="shared" ca="1" si="78"/>
        <v>-1.295544867058005</v>
      </c>
      <c r="P716" s="3">
        <f t="shared" ca="1" si="79"/>
        <v>6.5379037104790649</v>
      </c>
      <c r="Q716" s="3">
        <f t="shared" ca="1" si="80"/>
        <v>6.665029739622792</v>
      </c>
    </row>
    <row r="717" spans="7:17" x14ac:dyDescent="0.25">
      <c r="G717" s="3">
        <f t="shared" ca="1" si="75"/>
        <v>0</v>
      </c>
      <c r="H717" s="3">
        <f t="shared" ca="1" si="76"/>
        <v>0.42932593781839118</v>
      </c>
      <c r="I717" s="3">
        <f t="shared" ca="1" si="77"/>
        <v>3.2761484162747845</v>
      </c>
      <c r="O717" s="3">
        <f t="shared" ca="1" si="78"/>
        <v>-4.224656274233098</v>
      </c>
      <c r="P717" s="3">
        <f t="shared" ca="1" si="79"/>
        <v>-8.599770609869509</v>
      </c>
      <c r="Q717" s="3">
        <f t="shared" ca="1" si="80"/>
        <v>9.5814286605804497</v>
      </c>
    </row>
    <row r="718" spans="7:17" x14ac:dyDescent="0.25">
      <c r="G718" s="3">
        <f t="shared" ca="1" si="75"/>
        <v>0</v>
      </c>
      <c r="H718" s="3">
        <f t="shared" ca="1" si="76"/>
        <v>0.63387934771937893</v>
      </c>
      <c r="I718" s="3">
        <f t="shared" ca="1" si="77"/>
        <v>3.980827011185549</v>
      </c>
      <c r="O718" s="3">
        <f t="shared" ca="1" si="78"/>
        <v>-4.7614360336574597</v>
      </c>
      <c r="P718" s="3">
        <f t="shared" ca="1" si="79"/>
        <v>-1.0513324457336204</v>
      </c>
      <c r="Q718" s="3">
        <f t="shared" ca="1" si="80"/>
        <v>4.8761227439497379</v>
      </c>
    </row>
    <row r="719" spans="7:17" x14ac:dyDescent="0.25">
      <c r="G719" s="3">
        <f t="shared" ca="1" si="75"/>
        <v>1</v>
      </c>
      <c r="H719" s="3">
        <f t="shared" ca="1" si="76"/>
        <v>9.0829714467045033</v>
      </c>
      <c r="I719" s="3">
        <f t="shared" ca="1" si="77"/>
        <v>15.068984244719768</v>
      </c>
      <c r="O719" s="3">
        <f t="shared" ca="1" si="78"/>
        <v>2.0558738461255999</v>
      </c>
      <c r="P719" s="3">
        <f t="shared" ca="1" si="79"/>
        <v>-10.91671301735721</v>
      </c>
      <c r="Q719" s="3">
        <f t="shared" ca="1" si="80"/>
        <v>11.108611091154449</v>
      </c>
    </row>
    <row r="720" spans="7:17" x14ac:dyDescent="0.25">
      <c r="G720" s="3">
        <f t="shared" ca="1" si="75"/>
        <v>1</v>
      </c>
      <c r="H720" s="3">
        <f t="shared" ca="1" si="76"/>
        <v>5.9601418895361356</v>
      </c>
      <c r="I720" s="3">
        <f t="shared" ca="1" si="77"/>
        <v>12.206700915415409</v>
      </c>
      <c r="O720" s="3">
        <f t="shared" ca="1" si="78"/>
        <v>-3.9308299546685697</v>
      </c>
      <c r="P720" s="3">
        <f t="shared" ca="1" si="79"/>
        <v>3.2090077687924876</v>
      </c>
      <c r="Q720" s="3">
        <f t="shared" ca="1" si="80"/>
        <v>5.0743625208187728</v>
      </c>
    </row>
    <row r="721" spans="7:17" x14ac:dyDescent="0.25">
      <c r="G721" s="3">
        <f t="shared" ca="1" si="75"/>
        <v>0</v>
      </c>
      <c r="H721" s="3">
        <f t="shared" ca="1" si="76"/>
        <v>3.9928609027897188E-2</v>
      </c>
      <c r="I721" s="3">
        <f t="shared" ca="1" si="77"/>
        <v>0.9991072143155757</v>
      </c>
      <c r="O721" s="3">
        <f t="shared" ca="1" si="78"/>
        <v>-2.3359918238302675</v>
      </c>
      <c r="P721" s="3">
        <f t="shared" ca="1" si="79"/>
        <v>-3.4208529682698994</v>
      </c>
      <c r="Q721" s="3">
        <f t="shared" ca="1" si="80"/>
        <v>4.1423535377274163</v>
      </c>
    </row>
    <row r="722" spans="7:17" x14ac:dyDescent="0.25">
      <c r="G722" s="3">
        <f t="shared" ca="1" si="75"/>
        <v>0</v>
      </c>
      <c r="H722" s="3">
        <f t="shared" ca="1" si="76"/>
        <v>0.5133215895183546</v>
      </c>
      <c r="I722" s="3">
        <f t="shared" ca="1" si="77"/>
        <v>3.5823232319207134</v>
      </c>
      <c r="O722" s="3">
        <f t="shared" ca="1" si="78"/>
        <v>-10.304271622546544</v>
      </c>
      <c r="P722" s="3">
        <f t="shared" ca="1" si="79"/>
        <v>4.0890201801146535</v>
      </c>
      <c r="Q722" s="3">
        <f t="shared" ca="1" si="80"/>
        <v>11.085941534421099</v>
      </c>
    </row>
    <row r="723" spans="7:17" x14ac:dyDescent="0.25">
      <c r="G723" s="3">
        <f t="shared" ca="1" si="75"/>
        <v>1</v>
      </c>
      <c r="H723" s="3">
        <f t="shared" ca="1" si="76"/>
        <v>2.9207252704347062</v>
      </c>
      <c r="I723" s="3">
        <f t="shared" ca="1" si="77"/>
        <v>8.5450647604841272</v>
      </c>
      <c r="O723" s="3">
        <f t="shared" ca="1" si="78"/>
        <v>-8.2526206781876912</v>
      </c>
      <c r="P723" s="3">
        <f t="shared" ca="1" si="79"/>
        <v>3.0463266848042778</v>
      </c>
      <c r="Q723" s="3">
        <f t="shared" ca="1" si="80"/>
        <v>8.7969230034485175</v>
      </c>
    </row>
    <row r="724" spans="7:17" x14ac:dyDescent="0.25">
      <c r="G724" s="3">
        <f t="shared" ca="1" si="75"/>
        <v>1</v>
      </c>
      <c r="H724" s="3">
        <f t="shared" ca="1" si="76"/>
        <v>5.3049215699499079</v>
      </c>
      <c r="I724" s="3">
        <f t="shared" ca="1" si="77"/>
        <v>11.516207676520413</v>
      </c>
      <c r="O724" s="3">
        <f t="shared" ca="1" si="78"/>
        <v>-4.5416715143951354</v>
      </c>
      <c r="P724" s="3">
        <f t="shared" ca="1" si="79"/>
        <v>-2.3115071237243821</v>
      </c>
      <c r="Q724" s="3">
        <f t="shared" ca="1" si="80"/>
        <v>5.0960617468489104</v>
      </c>
    </row>
    <row r="725" spans="7:17" x14ac:dyDescent="0.25">
      <c r="G725" s="3">
        <f t="shared" ca="1" si="75"/>
        <v>2</v>
      </c>
      <c r="H725" s="3">
        <f t="shared" ca="1" si="76"/>
        <v>4.6871091539103107</v>
      </c>
      <c r="I725" s="3">
        <f t="shared" ca="1" si="77"/>
        <v>10.824866227707286</v>
      </c>
      <c r="O725" s="3">
        <f t="shared" ca="1" si="78"/>
        <v>-2.279555417272479</v>
      </c>
      <c r="P725" s="3">
        <f t="shared" ca="1" si="79"/>
        <v>-2.6764261552153759</v>
      </c>
      <c r="Q725" s="3">
        <f t="shared" ca="1" si="80"/>
        <v>3.5156265252067467</v>
      </c>
    </row>
    <row r="726" spans="7:17" x14ac:dyDescent="0.25">
      <c r="G726" s="3">
        <f t="shared" ca="1" si="75"/>
        <v>1</v>
      </c>
      <c r="H726" s="3">
        <f t="shared" ca="1" si="76"/>
        <v>9.9872462878094108</v>
      </c>
      <c r="I726" s="3">
        <f t="shared" ca="1" si="77"/>
        <v>15.801302389209418</v>
      </c>
      <c r="O726" s="3">
        <f t="shared" ca="1" si="78"/>
        <v>-15.878449532938603</v>
      </c>
      <c r="P726" s="3">
        <f t="shared" ca="1" si="79"/>
        <v>-8.8122516621997029</v>
      </c>
      <c r="Q726" s="3">
        <f t="shared" ca="1" si="80"/>
        <v>18.159871666066906</v>
      </c>
    </row>
    <row r="727" spans="7:17" x14ac:dyDescent="0.25">
      <c r="G727" s="3">
        <f t="shared" ca="1" si="75"/>
        <v>1</v>
      </c>
      <c r="H727" s="3">
        <f t="shared" ca="1" si="76"/>
        <v>2.1911171648565553</v>
      </c>
      <c r="I727" s="3">
        <f t="shared" ca="1" si="77"/>
        <v>7.4012113279796221</v>
      </c>
      <c r="O727" s="3">
        <f t="shared" ca="1" si="78"/>
        <v>-5.8014171680293671</v>
      </c>
      <c r="P727" s="3">
        <f t="shared" ca="1" si="79"/>
        <v>4.530683344924376</v>
      </c>
      <c r="Q727" s="3">
        <f t="shared" ca="1" si="80"/>
        <v>7.3609464560938775</v>
      </c>
    </row>
    <row r="728" spans="7:17" x14ac:dyDescent="0.25">
      <c r="G728" s="3">
        <f t="shared" ca="1" si="75"/>
        <v>0</v>
      </c>
      <c r="H728" s="3">
        <f t="shared" ca="1" si="76"/>
        <v>0.75109240068740923</v>
      </c>
      <c r="I728" s="3">
        <f t="shared" ca="1" si="77"/>
        <v>4.3332793606211482</v>
      </c>
      <c r="O728" s="3">
        <f t="shared" ca="1" si="78"/>
        <v>-15.587313025188688</v>
      </c>
      <c r="P728" s="3">
        <f t="shared" ca="1" si="79"/>
        <v>3.607505155972953</v>
      </c>
      <c r="Q728" s="3">
        <f t="shared" ca="1" si="80"/>
        <v>15.999325635650658</v>
      </c>
    </row>
    <row r="729" spans="7:17" x14ac:dyDescent="0.25">
      <c r="G729" s="3">
        <f t="shared" ca="1" si="75"/>
        <v>2</v>
      </c>
      <c r="H729" s="3">
        <f t="shared" ca="1" si="76"/>
        <v>6.4478813813778864</v>
      </c>
      <c r="I729" s="3">
        <f t="shared" ca="1" si="77"/>
        <v>12.696339414746564</v>
      </c>
      <c r="O729" s="3">
        <f t="shared" ca="1" si="78"/>
        <v>-1.0424734465634322</v>
      </c>
      <c r="P729" s="3">
        <f t="shared" ca="1" si="79"/>
        <v>6.1527657046190516</v>
      </c>
      <c r="Q729" s="3">
        <f t="shared" ca="1" si="80"/>
        <v>6.2404548474230799</v>
      </c>
    </row>
    <row r="730" spans="7:17" x14ac:dyDescent="0.25">
      <c r="G730" s="3">
        <f t="shared" ca="1" si="75"/>
        <v>0</v>
      </c>
      <c r="H730" s="3">
        <f t="shared" ca="1" si="76"/>
        <v>3.6178373764533474</v>
      </c>
      <c r="I730" s="3">
        <f t="shared" ca="1" si="77"/>
        <v>9.5103067464374504</v>
      </c>
      <c r="O730" s="3">
        <f t="shared" ca="1" si="78"/>
        <v>-4.1774272604974403</v>
      </c>
      <c r="P730" s="3">
        <f t="shared" ca="1" si="79"/>
        <v>-1.4407125325726973</v>
      </c>
      <c r="Q730" s="3">
        <f t="shared" ca="1" si="80"/>
        <v>4.4188857326546911</v>
      </c>
    </row>
    <row r="731" spans="7:17" x14ac:dyDescent="0.25">
      <c r="G731" s="3">
        <f t="shared" ca="1" si="75"/>
        <v>1</v>
      </c>
      <c r="H731" s="3">
        <f t="shared" ca="1" si="76"/>
        <v>4.4172579934460101</v>
      </c>
      <c r="I731" s="3">
        <f t="shared" ca="1" si="77"/>
        <v>10.50863691618234</v>
      </c>
      <c r="O731" s="3">
        <f t="shared" ca="1" si="78"/>
        <v>-4.7534038728572057</v>
      </c>
      <c r="P731" s="3">
        <f t="shared" ca="1" si="79"/>
        <v>-2.5513582495406735</v>
      </c>
      <c r="Q731" s="3">
        <f t="shared" ca="1" si="80"/>
        <v>5.3948380231470461</v>
      </c>
    </row>
    <row r="732" spans="7:17" x14ac:dyDescent="0.25">
      <c r="G732" s="3">
        <f t="shared" ca="1" si="75"/>
        <v>0</v>
      </c>
      <c r="H732" s="3">
        <f t="shared" ca="1" si="76"/>
        <v>1.3471144421174492</v>
      </c>
      <c r="I732" s="3">
        <f t="shared" ca="1" si="77"/>
        <v>5.8032629660335253</v>
      </c>
      <c r="O732" s="3">
        <f t="shared" ca="1" si="78"/>
        <v>3.3463195132545778</v>
      </c>
      <c r="P732" s="3">
        <f t="shared" ca="1" si="79"/>
        <v>1.5043848800574124</v>
      </c>
      <c r="Q732" s="3">
        <f t="shared" ca="1" si="80"/>
        <v>3.6689273844181911</v>
      </c>
    </row>
    <row r="733" spans="7:17" x14ac:dyDescent="0.25">
      <c r="G733" s="3">
        <f t="shared" ca="1" si="75"/>
        <v>0</v>
      </c>
      <c r="H733" s="3">
        <f t="shared" ca="1" si="76"/>
        <v>0.84043523946026033</v>
      </c>
      <c r="I733" s="3">
        <f t="shared" ca="1" si="77"/>
        <v>4.5837627541689487</v>
      </c>
      <c r="O733" s="3">
        <f t="shared" ca="1" si="78"/>
        <v>-7.1711078495489105</v>
      </c>
      <c r="P733" s="3">
        <f t="shared" ca="1" si="79"/>
        <v>4.3154086306276191</v>
      </c>
      <c r="Q733" s="3">
        <f t="shared" ca="1" si="80"/>
        <v>8.3694408080323583</v>
      </c>
    </row>
    <row r="734" spans="7:17" x14ac:dyDescent="0.25">
      <c r="G734" s="3">
        <f t="shared" ca="1" si="75"/>
        <v>1</v>
      </c>
      <c r="H734" s="3">
        <f t="shared" ca="1" si="76"/>
        <v>3.941588787127289</v>
      </c>
      <c r="I734" s="3">
        <f t="shared" ca="1" si="77"/>
        <v>9.9267174674301177</v>
      </c>
      <c r="O734" s="3">
        <f t="shared" ca="1" si="78"/>
        <v>-13.9632731095242</v>
      </c>
      <c r="P734" s="3">
        <f t="shared" ca="1" si="79"/>
        <v>-0.291744490725169</v>
      </c>
      <c r="Q734" s="3">
        <f t="shared" ca="1" si="80"/>
        <v>13.966320588438105</v>
      </c>
    </row>
    <row r="735" spans="7:17" x14ac:dyDescent="0.25">
      <c r="G735" s="3">
        <f t="shared" ca="1" si="75"/>
        <v>0</v>
      </c>
      <c r="H735" s="3">
        <f t="shared" ca="1" si="76"/>
        <v>5.6771645402682952E-2</v>
      </c>
      <c r="I735" s="3">
        <f t="shared" ca="1" si="77"/>
        <v>1.1913400585336975</v>
      </c>
      <c r="O735" s="3">
        <f t="shared" ca="1" si="78"/>
        <v>-9.0984949781391897</v>
      </c>
      <c r="P735" s="3">
        <f t="shared" ca="1" si="79"/>
        <v>-7.8855403901564953</v>
      </c>
      <c r="Q735" s="3">
        <f t="shared" ca="1" si="80"/>
        <v>12.040114538990629</v>
      </c>
    </row>
    <row r="736" spans="7:17" x14ac:dyDescent="0.25">
      <c r="G736" s="3">
        <f t="shared" ca="1" si="75"/>
        <v>0</v>
      </c>
      <c r="H736" s="3">
        <f t="shared" ca="1" si="76"/>
        <v>0.95036779418295514</v>
      </c>
      <c r="I736" s="3">
        <f t="shared" ca="1" si="77"/>
        <v>4.8743404532894372</v>
      </c>
      <c r="O736" s="3">
        <f t="shared" ca="1" si="78"/>
        <v>-1.9777081027466137</v>
      </c>
      <c r="P736" s="3">
        <f t="shared" ca="1" si="79"/>
        <v>-9.3347798649743847</v>
      </c>
      <c r="Q736" s="3">
        <f t="shared" ca="1" si="80"/>
        <v>9.5419832564934222</v>
      </c>
    </row>
    <row r="737" spans="7:17" x14ac:dyDescent="0.25">
      <c r="G737" s="3">
        <f t="shared" ca="1" si="75"/>
        <v>1</v>
      </c>
      <c r="H737" s="3">
        <f t="shared" ca="1" si="76"/>
        <v>4.0826126158945044</v>
      </c>
      <c r="I737" s="3">
        <f t="shared" ca="1" si="77"/>
        <v>10.102738014883027</v>
      </c>
      <c r="O737" s="3">
        <f t="shared" ca="1" si="78"/>
        <v>-14.010835654345071</v>
      </c>
      <c r="P737" s="3">
        <f t="shared" ca="1" si="79"/>
        <v>-1.7685618042148425</v>
      </c>
      <c r="Q737" s="3">
        <f t="shared" ca="1" si="80"/>
        <v>14.122015670165315</v>
      </c>
    </row>
    <row r="738" spans="7:17" x14ac:dyDescent="0.25">
      <c r="G738" s="3">
        <f t="shared" ca="1" si="75"/>
        <v>0</v>
      </c>
      <c r="H738" s="3">
        <f t="shared" ca="1" si="76"/>
        <v>1.2649548590592037</v>
      </c>
      <c r="I738" s="3">
        <f t="shared" ca="1" si="77"/>
        <v>5.6235106007262123</v>
      </c>
      <c r="O738" s="3">
        <f t="shared" ca="1" si="78"/>
        <v>-2.3208028156634652</v>
      </c>
      <c r="P738" s="3">
        <f t="shared" ca="1" si="79"/>
        <v>2.0186146848754016</v>
      </c>
      <c r="Q738" s="3">
        <f t="shared" ca="1" si="80"/>
        <v>3.075862635942328</v>
      </c>
    </row>
    <row r="739" spans="7:17" x14ac:dyDescent="0.25">
      <c r="G739" s="3">
        <f t="shared" ca="1" si="75"/>
        <v>0</v>
      </c>
      <c r="H739" s="3">
        <f t="shared" ca="1" si="76"/>
        <v>2.9926014797137404</v>
      </c>
      <c r="I739" s="3">
        <f t="shared" ca="1" si="77"/>
        <v>8.6495686015455995</v>
      </c>
      <c r="O739" s="3">
        <f t="shared" ca="1" si="78"/>
        <v>3.9955001426225518</v>
      </c>
      <c r="P739" s="3">
        <f t="shared" ca="1" si="79"/>
        <v>-2.3654069007435243</v>
      </c>
      <c r="Q739" s="3">
        <f t="shared" ca="1" si="80"/>
        <v>4.6431854578276237</v>
      </c>
    </row>
    <row r="740" spans="7:17" x14ac:dyDescent="0.25">
      <c r="G740" s="3">
        <f t="shared" ca="1" si="75"/>
        <v>0</v>
      </c>
      <c r="H740" s="3">
        <f t="shared" ca="1" si="76"/>
        <v>3.7018142827386717</v>
      </c>
      <c r="I740" s="3">
        <f t="shared" ca="1" si="77"/>
        <v>9.6200497435546968</v>
      </c>
      <c r="O740" s="3">
        <f t="shared" ca="1" si="78"/>
        <v>-1.1593913535684752</v>
      </c>
      <c r="P740" s="3">
        <f t="shared" ca="1" si="79"/>
        <v>-3.653932242503767</v>
      </c>
      <c r="Q740" s="3">
        <f t="shared" ca="1" si="80"/>
        <v>3.8334591615847362</v>
      </c>
    </row>
    <row r="741" spans="7:17" x14ac:dyDescent="0.25">
      <c r="G741" s="3">
        <f t="shared" ca="1" si="75"/>
        <v>1</v>
      </c>
      <c r="H741" s="3">
        <f t="shared" ca="1" si="76"/>
        <v>1.68863325024345</v>
      </c>
      <c r="I741" s="3">
        <f t="shared" ca="1" si="77"/>
        <v>6.4973711034607105</v>
      </c>
      <c r="O741" s="3">
        <f t="shared" ca="1" si="78"/>
        <v>-10.706390415054479</v>
      </c>
      <c r="P741" s="3">
        <f t="shared" ca="1" si="79"/>
        <v>-0.5023264642238856</v>
      </c>
      <c r="Q741" s="3">
        <f t="shared" ca="1" si="80"/>
        <v>10.718168108227733</v>
      </c>
    </row>
    <row r="742" spans="7:17" x14ac:dyDescent="0.25">
      <c r="G742" s="3">
        <f t="shared" ca="1" si="75"/>
        <v>1</v>
      </c>
      <c r="H742" s="3">
        <f t="shared" ca="1" si="76"/>
        <v>1.8212384361780034</v>
      </c>
      <c r="I742" s="3">
        <f t="shared" ca="1" si="77"/>
        <v>6.7476633662661385</v>
      </c>
      <c r="O742" s="3">
        <f t="shared" ca="1" si="78"/>
        <v>-9.4033754027270327</v>
      </c>
      <c r="P742" s="3">
        <f t="shared" ca="1" si="79"/>
        <v>-3.2456100656081222</v>
      </c>
      <c r="Q742" s="3">
        <f t="shared" ca="1" si="80"/>
        <v>9.9477361074059729</v>
      </c>
    </row>
    <row r="743" spans="7:17" x14ac:dyDescent="0.25">
      <c r="G743" s="3">
        <f t="shared" ca="1" si="75"/>
        <v>2</v>
      </c>
      <c r="H743" s="3">
        <f t="shared" ca="1" si="76"/>
        <v>1.82240241313256</v>
      </c>
      <c r="I743" s="3">
        <f t="shared" ca="1" si="77"/>
        <v>6.7498192811596072</v>
      </c>
      <c r="O743" s="3">
        <f t="shared" ca="1" si="78"/>
        <v>-7.7216699170340863</v>
      </c>
      <c r="P743" s="3">
        <f t="shared" ca="1" si="79"/>
        <v>8.257578075940085</v>
      </c>
      <c r="Q743" s="3">
        <f t="shared" ca="1" si="80"/>
        <v>11.305387299331038</v>
      </c>
    </row>
    <row r="744" spans="7:17" x14ac:dyDescent="0.25">
      <c r="G744" s="3">
        <f t="shared" ca="1" si="75"/>
        <v>0</v>
      </c>
      <c r="H744" s="3">
        <f t="shared" ca="1" si="76"/>
        <v>9.3201820955682482E-2</v>
      </c>
      <c r="I744" s="3">
        <f t="shared" ca="1" si="77"/>
        <v>1.5264486640211854</v>
      </c>
      <c r="O744" s="3">
        <f t="shared" ca="1" si="78"/>
        <v>-6.2719263741728195</v>
      </c>
      <c r="P744" s="3">
        <f t="shared" ca="1" si="79"/>
        <v>2.8419963577718934</v>
      </c>
      <c r="Q744" s="3">
        <f t="shared" ca="1" si="80"/>
        <v>6.8857827253430903</v>
      </c>
    </row>
    <row r="745" spans="7:17" x14ac:dyDescent="0.25">
      <c r="G745" s="3">
        <f t="shared" ca="1" si="75"/>
        <v>0</v>
      </c>
      <c r="H745" s="3">
        <f t="shared" ca="1" si="76"/>
        <v>1.2371956199496565</v>
      </c>
      <c r="I745" s="3">
        <f t="shared" ca="1" si="77"/>
        <v>5.561464779960529</v>
      </c>
      <c r="O745" s="3">
        <f t="shared" ca="1" si="78"/>
        <v>-3.1456285585590691</v>
      </c>
      <c r="P745" s="3">
        <f t="shared" ca="1" si="79"/>
        <v>-5.3448012701948562</v>
      </c>
      <c r="Q745" s="3">
        <f t="shared" ca="1" si="80"/>
        <v>6.2017642365942089</v>
      </c>
    </row>
    <row r="746" spans="7:17" x14ac:dyDescent="0.25">
      <c r="G746" s="3">
        <f t="shared" ca="1" si="75"/>
        <v>0</v>
      </c>
      <c r="H746" s="3">
        <f t="shared" ca="1" si="76"/>
        <v>0.64897481232454823</v>
      </c>
      <c r="I746" s="3">
        <f t="shared" ca="1" si="77"/>
        <v>4.0279486476510229</v>
      </c>
      <c r="O746" s="3">
        <f t="shared" ca="1" si="78"/>
        <v>-7.8063326319977726</v>
      </c>
      <c r="P746" s="3">
        <f t="shared" ca="1" si="79"/>
        <v>-0.49935593417906549</v>
      </c>
      <c r="Q746" s="3">
        <f t="shared" ca="1" si="80"/>
        <v>7.8222877414726391</v>
      </c>
    </row>
    <row r="747" spans="7:17" x14ac:dyDescent="0.25">
      <c r="G747" s="3">
        <f t="shared" ca="1" si="75"/>
        <v>1</v>
      </c>
      <c r="H747" s="3">
        <f t="shared" ca="1" si="76"/>
        <v>8.2483534384754709</v>
      </c>
      <c r="I747" s="3">
        <f t="shared" ca="1" si="77"/>
        <v>14.359973396976986</v>
      </c>
      <c r="O747" s="3">
        <f t="shared" ca="1" si="78"/>
        <v>-6.6946151238267522</v>
      </c>
      <c r="P747" s="3">
        <f t="shared" ca="1" si="79"/>
        <v>-4.8346671555603642</v>
      </c>
      <c r="Q747" s="3">
        <f t="shared" ca="1" si="80"/>
        <v>8.2578373779836589</v>
      </c>
    </row>
    <row r="748" spans="7:17" x14ac:dyDescent="0.25">
      <c r="G748" s="3">
        <f t="shared" ca="1" si="75"/>
        <v>0</v>
      </c>
      <c r="H748" s="3">
        <f t="shared" ca="1" si="76"/>
        <v>6.387169309898967</v>
      </c>
      <c r="I748" s="3">
        <f t="shared" ca="1" si="77"/>
        <v>12.636424840415669</v>
      </c>
      <c r="O748" s="3">
        <f t="shared" ca="1" si="78"/>
        <v>-1.2163802559216377</v>
      </c>
      <c r="P748" s="3">
        <f t="shared" ca="1" si="79"/>
        <v>6.8450040884779648</v>
      </c>
      <c r="Q748" s="3">
        <f t="shared" ca="1" si="80"/>
        <v>6.9522415017227388</v>
      </c>
    </row>
    <row r="749" spans="7:17" x14ac:dyDescent="0.25">
      <c r="G749" s="3">
        <f t="shared" ca="1" si="75"/>
        <v>1</v>
      </c>
      <c r="H749" s="3">
        <f t="shared" ca="1" si="76"/>
        <v>1.7197399203836798</v>
      </c>
      <c r="I749" s="3">
        <f t="shared" ca="1" si="77"/>
        <v>6.5569427334385031</v>
      </c>
      <c r="O749" s="3">
        <f t="shared" ca="1" si="78"/>
        <v>-7.3077503751186024</v>
      </c>
      <c r="P749" s="3">
        <f t="shared" ca="1" si="79"/>
        <v>-3.7000037128027192</v>
      </c>
      <c r="Q749" s="3">
        <f t="shared" ca="1" si="80"/>
        <v>8.1910465155436629</v>
      </c>
    </row>
    <row r="750" spans="7:17" x14ac:dyDescent="0.25">
      <c r="G750" s="3">
        <f t="shared" ca="1" si="75"/>
        <v>0</v>
      </c>
      <c r="H750" s="3">
        <f t="shared" ca="1" si="76"/>
        <v>1.8884136166639927</v>
      </c>
      <c r="I750" s="3">
        <f t="shared" ca="1" si="77"/>
        <v>6.8709781266279553</v>
      </c>
      <c r="O750" s="3">
        <f t="shared" ca="1" si="78"/>
        <v>-11.032348998917529</v>
      </c>
      <c r="P750" s="3">
        <f t="shared" ca="1" si="79"/>
        <v>5.3894245737245994</v>
      </c>
      <c r="Q750" s="3">
        <f t="shared" ca="1" si="80"/>
        <v>12.278380254324395</v>
      </c>
    </row>
    <row r="751" spans="7:17" x14ac:dyDescent="0.25">
      <c r="G751" s="3">
        <f t="shared" ca="1" si="75"/>
        <v>2</v>
      </c>
      <c r="H751" s="3">
        <f t="shared" ca="1" si="76"/>
        <v>3.1072529392131858</v>
      </c>
      <c r="I751" s="3">
        <f t="shared" ca="1" si="77"/>
        <v>8.813700895783203</v>
      </c>
      <c r="O751" s="3">
        <f t="shared" ca="1" si="78"/>
        <v>-6.7811567472158005</v>
      </c>
      <c r="P751" s="3">
        <f t="shared" ca="1" si="79"/>
        <v>-2.8797846969025604</v>
      </c>
      <c r="Q751" s="3">
        <f t="shared" ca="1" si="80"/>
        <v>7.3673093277549127</v>
      </c>
    </row>
    <row r="752" spans="7:17" x14ac:dyDescent="0.25">
      <c r="G752" s="3">
        <f t="shared" ca="1" si="75"/>
        <v>0</v>
      </c>
      <c r="H752" s="3">
        <f t="shared" ca="1" si="76"/>
        <v>5.0452901599327706</v>
      </c>
      <c r="I752" s="3">
        <f t="shared" ca="1" si="77"/>
        <v>11.230861676573141</v>
      </c>
      <c r="O752" s="3">
        <f t="shared" ca="1" si="78"/>
        <v>-1.8258304384635871</v>
      </c>
      <c r="P752" s="3">
        <f t="shared" ca="1" si="79"/>
        <v>2.606070534574803</v>
      </c>
      <c r="Q752" s="3">
        <f t="shared" ca="1" si="80"/>
        <v>3.1820214363198644</v>
      </c>
    </row>
    <row r="753" spans="7:17" x14ac:dyDescent="0.25">
      <c r="G753" s="3">
        <f t="shared" ca="1" si="75"/>
        <v>0</v>
      </c>
      <c r="H753" s="3">
        <f t="shared" ca="1" si="76"/>
        <v>1.2330057292972156</v>
      </c>
      <c r="I753" s="3">
        <f t="shared" ca="1" si="77"/>
        <v>5.5520395560938143</v>
      </c>
      <c r="O753" s="3">
        <f t="shared" ca="1" si="78"/>
        <v>-2.3048829473970751</v>
      </c>
      <c r="P753" s="3">
        <f t="shared" ca="1" si="79"/>
        <v>-1.5420903739685103</v>
      </c>
      <c r="Q753" s="3">
        <f t="shared" ca="1" si="80"/>
        <v>2.7731801460936807</v>
      </c>
    </row>
    <row r="754" spans="7:17" x14ac:dyDescent="0.25">
      <c r="G754" s="3">
        <f t="shared" ca="1" si="75"/>
        <v>1</v>
      </c>
      <c r="H754" s="3">
        <f t="shared" ca="1" si="76"/>
        <v>3.3368009849977915</v>
      </c>
      <c r="I754" s="3">
        <f t="shared" ca="1" si="77"/>
        <v>9.1334563350872155</v>
      </c>
      <c r="O754" s="3">
        <f t="shared" ca="1" si="78"/>
        <v>-6.9022960456750244</v>
      </c>
      <c r="P754" s="3">
        <f t="shared" ca="1" si="79"/>
        <v>9.7511177528290123</v>
      </c>
      <c r="Q754" s="3">
        <f t="shared" ca="1" si="80"/>
        <v>11.946798237673482</v>
      </c>
    </row>
    <row r="755" spans="7:17" x14ac:dyDescent="0.25">
      <c r="G755" s="3">
        <f t="shared" ca="1" si="75"/>
        <v>1</v>
      </c>
      <c r="H755" s="3">
        <f t="shared" ca="1" si="76"/>
        <v>5.2003500700062002</v>
      </c>
      <c r="I755" s="3">
        <f t="shared" ca="1" si="77"/>
        <v>11.402138034165128</v>
      </c>
      <c r="O755" s="3">
        <f t="shared" ca="1" si="78"/>
        <v>-3.3787337933834753</v>
      </c>
      <c r="P755" s="3">
        <f t="shared" ca="1" si="79"/>
        <v>-4.8302825986455211</v>
      </c>
      <c r="Q755" s="3">
        <f t="shared" ca="1" si="80"/>
        <v>5.8946986377022883</v>
      </c>
    </row>
    <row r="756" spans="7:17" x14ac:dyDescent="0.25">
      <c r="G756" s="3">
        <f t="shared" ca="1" si="75"/>
        <v>0</v>
      </c>
      <c r="H756" s="3">
        <f t="shared" ca="1" si="76"/>
        <v>0.56342563109043597</v>
      </c>
      <c r="I756" s="3">
        <f t="shared" ca="1" si="77"/>
        <v>3.753084168688587</v>
      </c>
      <c r="O756" s="3">
        <f t="shared" ca="1" si="78"/>
        <v>-6.765211148089608</v>
      </c>
      <c r="P756" s="3">
        <f t="shared" ca="1" si="79"/>
        <v>3.6462070284073831</v>
      </c>
      <c r="Q756" s="3">
        <f t="shared" ca="1" si="80"/>
        <v>7.6852395910760851</v>
      </c>
    </row>
    <row r="757" spans="7:17" x14ac:dyDescent="0.25">
      <c r="G757" s="3">
        <f t="shared" ca="1" si="75"/>
        <v>0</v>
      </c>
      <c r="H757" s="3">
        <f t="shared" ca="1" si="76"/>
        <v>1.9666969629067226</v>
      </c>
      <c r="I757" s="3">
        <f t="shared" ca="1" si="77"/>
        <v>7.0119486644347351</v>
      </c>
      <c r="O757" s="3">
        <f t="shared" ca="1" si="78"/>
        <v>-5.1548643492802935</v>
      </c>
      <c r="P757" s="3">
        <f t="shared" ca="1" si="79"/>
        <v>-7.2783808038618778</v>
      </c>
      <c r="Q757" s="3">
        <f t="shared" ca="1" si="80"/>
        <v>8.918937918020621</v>
      </c>
    </row>
    <row r="758" spans="7:17" x14ac:dyDescent="0.25">
      <c r="G758" s="3">
        <f t="shared" ca="1" si="75"/>
        <v>0</v>
      </c>
      <c r="H758" s="3">
        <f t="shared" ca="1" si="76"/>
        <v>1.7272955548752342</v>
      </c>
      <c r="I758" s="3">
        <f t="shared" ca="1" si="77"/>
        <v>6.5713308295870219</v>
      </c>
      <c r="O758" s="3">
        <f t="shared" ca="1" si="78"/>
        <v>-6.0249188252979788</v>
      </c>
      <c r="P758" s="3">
        <f t="shared" ca="1" si="79"/>
        <v>-6.0528974694675632</v>
      </c>
      <c r="Q758" s="3">
        <f t="shared" ca="1" si="80"/>
        <v>8.5403287189262684</v>
      </c>
    </row>
    <row r="759" spans="7:17" x14ac:dyDescent="0.25">
      <c r="G759" s="3">
        <f t="shared" ca="1" si="75"/>
        <v>1</v>
      </c>
      <c r="H759" s="3">
        <f t="shared" ca="1" si="76"/>
        <v>0.16336217490533067</v>
      </c>
      <c r="I759" s="3">
        <f t="shared" ca="1" si="77"/>
        <v>2.020904345245778</v>
      </c>
      <c r="O759" s="3">
        <f t="shared" ca="1" si="78"/>
        <v>-3.6331427324451013</v>
      </c>
      <c r="P759" s="3">
        <f t="shared" ca="1" si="79"/>
        <v>1.7437573197433713</v>
      </c>
      <c r="Q759" s="3">
        <f t="shared" ca="1" si="80"/>
        <v>4.0299399132589118</v>
      </c>
    </row>
    <row r="760" spans="7:17" x14ac:dyDescent="0.25">
      <c r="G760" s="3">
        <f t="shared" ca="1" si="75"/>
        <v>0</v>
      </c>
      <c r="H760" s="3">
        <f t="shared" ca="1" si="76"/>
        <v>1.0685639036476071</v>
      </c>
      <c r="I760" s="3">
        <f t="shared" ca="1" si="77"/>
        <v>5.168568234162163</v>
      </c>
      <c r="O760" s="3">
        <f t="shared" ca="1" si="78"/>
        <v>-2.8035792451186401</v>
      </c>
      <c r="P760" s="3">
        <f t="shared" ca="1" si="79"/>
        <v>-6.3306587876862368</v>
      </c>
      <c r="Q760" s="3">
        <f t="shared" ca="1" si="80"/>
        <v>6.9236765717188851</v>
      </c>
    </row>
    <row r="761" spans="7:17" x14ac:dyDescent="0.25">
      <c r="G761" s="3">
        <f t="shared" ca="1" si="75"/>
        <v>0</v>
      </c>
      <c r="H761" s="3">
        <f t="shared" ca="1" si="76"/>
        <v>1.1394821602310594</v>
      </c>
      <c r="I761" s="3">
        <f t="shared" ca="1" si="77"/>
        <v>5.3373264848401849</v>
      </c>
      <c r="O761" s="3">
        <f t="shared" ca="1" si="78"/>
        <v>-9.9852649982757278</v>
      </c>
      <c r="P761" s="3">
        <f t="shared" ca="1" si="79"/>
        <v>1.6055136901868001</v>
      </c>
      <c r="Q761" s="3">
        <f t="shared" ca="1" si="80"/>
        <v>10.113515278831965</v>
      </c>
    </row>
    <row r="762" spans="7:17" x14ac:dyDescent="0.25">
      <c r="G762" s="3">
        <f t="shared" ca="1" si="75"/>
        <v>0</v>
      </c>
      <c r="H762" s="3">
        <f t="shared" ca="1" si="76"/>
        <v>1.9756243050443314</v>
      </c>
      <c r="I762" s="3">
        <f t="shared" ca="1" si="77"/>
        <v>7.0278451623601015</v>
      </c>
      <c r="O762" s="3">
        <f t="shared" ca="1" si="78"/>
        <v>8.88099324476212</v>
      </c>
      <c r="P762" s="3">
        <f t="shared" ca="1" si="79"/>
        <v>-1.4511580490515366</v>
      </c>
      <c r="Q762" s="3">
        <f t="shared" ca="1" si="80"/>
        <v>8.9987721771827012</v>
      </c>
    </row>
    <row r="763" spans="7:17" x14ac:dyDescent="0.25">
      <c r="G763" s="3">
        <f t="shared" ca="1" si="75"/>
        <v>0</v>
      </c>
      <c r="H763" s="3">
        <f t="shared" ca="1" si="76"/>
        <v>0.68020433639322375</v>
      </c>
      <c r="I763" s="3">
        <f t="shared" ca="1" si="77"/>
        <v>4.1237250647722137</v>
      </c>
      <c r="O763" s="3">
        <f t="shared" ca="1" si="78"/>
        <v>-6.5415000376724084</v>
      </c>
      <c r="P763" s="3">
        <f t="shared" ca="1" si="79"/>
        <v>-0.47304689565212094</v>
      </c>
      <c r="Q763" s="3">
        <f t="shared" ca="1" si="80"/>
        <v>6.5585818671687122</v>
      </c>
    </row>
    <row r="764" spans="7:17" x14ac:dyDescent="0.25">
      <c r="G764" s="3">
        <f t="shared" ca="1" si="75"/>
        <v>0</v>
      </c>
      <c r="H764" s="3">
        <f t="shared" ca="1" si="76"/>
        <v>2.8942816007697232</v>
      </c>
      <c r="I764" s="3">
        <f t="shared" ca="1" si="77"/>
        <v>8.5062941413545694</v>
      </c>
      <c r="O764" s="3">
        <f t="shared" ca="1" si="78"/>
        <v>-8.2562071181346468</v>
      </c>
      <c r="P764" s="3">
        <f t="shared" ca="1" si="79"/>
        <v>-3.9856143084710856</v>
      </c>
      <c r="Q764" s="3">
        <f t="shared" ca="1" si="80"/>
        <v>9.1678829286497034</v>
      </c>
    </row>
    <row r="765" spans="7:17" x14ac:dyDescent="0.25">
      <c r="G765" s="3">
        <f t="shared" ca="1" si="75"/>
        <v>1</v>
      </c>
      <c r="H765" s="3">
        <f t="shared" ca="1" si="76"/>
        <v>2.8441526140332081</v>
      </c>
      <c r="I765" s="3">
        <f t="shared" ca="1" si="77"/>
        <v>8.4323078306493411</v>
      </c>
      <c r="O765" s="3">
        <f t="shared" ca="1" si="78"/>
        <v>-8.5366307855439363</v>
      </c>
      <c r="P765" s="3">
        <f t="shared" ca="1" si="79"/>
        <v>10.824522645328516</v>
      </c>
      <c r="Q765" s="3">
        <f t="shared" ca="1" si="80"/>
        <v>13.785657607380445</v>
      </c>
    </row>
    <row r="766" spans="7:17" x14ac:dyDescent="0.25">
      <c r="G766" s="3">
        <f t="shared" ca="1" si="75"/>
        <v>0</v>
      </c>
      <c r="H766" s="3">
        <f t="shared" ca="1" si="76"/>
        <v>3.4076068617542261</v>
      </c>
      <c r="I766" s="3">
        <f t="shared" ca="1" si="77"/>
        <v>9.2298521951251011</v>
      </c>
      <c r="O766" s="3">
        <f t="shared" ca="1" si="78"/>
        <v>1.5180866581392429</v>
      </c>
      <c r="P766" s="3">
        <f t="shared" ca="1" si="79"/>
        <v>-2.492361025111701</v>
      </c>
      <c r="Q766" s="3">
        <f t="shared" ca="1" si="80"/>
        <v>2.918295835092156</v>
      </c>
    </row>
    <row r="767" spans="7:17" x14ac:dyDescent="0.25">
      <c r="G767" s="3">
        <f t="shared" ca="1" si="75"/>
        <v>2</v>
      </c>
      <c r="H767" s="3">
        <f t="shared" ca="1" si="76"/>
        <v>3.7491833714716059</v>
      </c>
      <c r="I767" s="3">
        <f t="shared" ca="1" si="77"/>
        <v>9.681404045219379</v>
      </c>
      <c r="O767" s="3">
        <f t="shared" ca="1" si="78"/>
        <v>-10.11149074786154</v>
      </c>
      <c r="P767" s="3">
        <f t="shared" ca="1" si="79"/>
        <v>-7.876057618816934</v>
      </c>
      <c r="Q767" s="3">
        <f t="shared" ca="1" si="80"/>
        <v>12.81696254028285</v>
      </c>
    </row>
    <row r="768" spans="7:17" x14ac:dyDescent="0.25">
      <c r="G768" s="3">
        <f t="shared" ca="1" si="75"/>
        <v>0</v>
      </c>
      <c r="H768" s="3">
        <f t="shared" ca="1" si="76"/>
        <v>8.0178643547226969</v>
      </c>
      <c r="I768" s="3">
        <f t="shared" ca="1" si="77"/>
        <v>14.157916826569769</v>
      </c>
      <c r="O768" s="3">
        <f t="shared" ca="1" si="78"/>
        <v>-3.3915966836462621</v>
      </c>
      <c r="P768" s="3">
        <f t="shared" ca="1" si="79"/>
        <v>3.2443623348284985</v>
      </c>
      <c r="Q768" s="3">
        <f t="shared" ca="1" si="80"/>
        <v>4.6934864465740338</v>
      </c>
    </row>
    <row r="769" spans="7:17" x14ac:dyDescent="0.25">
      <c r="G769" s="3">
        <f t="shared" ca="1" si="75"/>
        <v>0</v>
      </c>
      <c r="H769" s="3">
        <f t="shared" ca="1" si="76"/>
        <v>7.0027219695238552</v>
      </c>
      <c r="I769" s="3">
        <f t="shared" ca="1" si="77"/>
        <v>13.2313283247789</v>
      </c>
      <c r="O769" s="3">
        <f t="shared" ca="1" si="78"/>
        <v>-5.3205753961400655</v>
      </c>
      <c r="P769" s="3">
        <f t="shared" ca="1" si="79"/>
        <v>10.748695236039277</v>
      </c>
      <c r="Q769" s="3">
        <f t="shared" ca="1" si="80"/>
        <v>11.993455374630969</v>
      </c>
    </row>
    <row r="770" spans="7:17" x14ac:dyDescent="0.25">
      <c r="G770" s="3">
        <f t="shared" ca="1" si="75"/>
        <v>2</v>
      </c>
      <c r="H770" s="3">
        <f t="shared" ca="1" si="76"/>
        <v>7.1866422599728912</v>
      </c>
      <c r="I770" s="3">
        <f t="shared" ca="1" si="77"/>
        <v>13.403956747890613</v>
      </c>
      <c r="O770" s="3">
        <f t="shared" ca="1" si="78"/>
        <v>-10.911810828283498</v>
      </c>
      <c r="P770" s="3">
        <f t="shared" ca="1" si="79"/>
        <v>7.704001990872495</v>
      </c>
      <c r="Q770" s="3">
        <f t="shared" ca="1" si="80"/>
        <v>13.357367338948658</v>
      </c>
    </row>
    <row r="771" spans="7:17" x14ac:dyDescent="0.25">
      <c r="G771" s="3">
        <f t="shared" ca="1" si="75"/>
        <v>0</v>
      </c>
      <c r="H771" s="3">
        <f t="shared" ca="1" si="76"/>
        <v>0.87159788626604207</v>
      </c>
      <c r="I771" s="3">
        <f t="shared" ca="1" si="77"/>
        <v>4.6679703465908018</v>
      </c>
      <c r="O771" s="3">
        <f t="shared" ca="1" si="78"/>
        <v>4.7202929924424506</v>
      </c>
      <c r="P771" s="3">
        <f t="shared" ca="1" si="79"/>
        <v>-2.5183953591280134E-2</v>
      </c>
      <c r="Q771" s="3">
        <f t="shared" ca="1" si="80"/>
        <v>4.7203601733363305</v>
      </c>
    </row>
    <row r="772" spans="7:17" x14ac:dyDescent="0.25">
      <c r="G772" s="3">
        <f t="shared" ref="G772:G835" ca="1" si="81">VLOOKUP(RAND(),$B$9:$C$169,2,TRUE)</f>
        <v>0</v>
      </c>
      <c r="H772" s="3">
        <f t="shared" ref="H772:H835" ca="1" si="82">_xlfn.CHISQ.INV(RAND(),2*G772+2)</f>
        <v>5.3820458904870563</v>
      </c>
      <c r="I772" s="3">
        <f t="shared" ref="I772:I835" ca="1" si="83">$C$4*SQRT(H772)</f>
        <v>11.599618410196795</v>
      </c>
      <c r="O772" s="3">
        <f t="shared" ref="O772:O835" ca="1" si="84">_xlfn.NORM.INV(RAND(),$C$3*COS($N$2),$C$4)</f>
        <v>-5.1249215381754887</v>
      </c>
      <c r="P772" s="3">
        <f t="shared" ref="P772:P835" ca="1" si="85">_xlfn.NORM.INV(RAND(),$C$3*SIN($N$2),$C$4)</f>
        <v>-4.0688974946127976</v>
      </c>
      <c r="Q772" s="3">
        <f t="shared" ref="Q772:Q835" ca="1" si="86">SQRT(O772^2+P772^2)</f>
        <v>6.5437563825467491</v>
      </c>
    </row>
    <row r="773" spans="7:17" x14ac:dyDescent="0.25">
      <c r="G773" s="3">
        <f t="shared" ca="1" si="81"/>
        <v>1</v>
      </c>
      <c r="H773" s="3">
        <f t="shared" ca="1" si="82"/>
        <v>4.694026954154312</v>
      </c>
      <c r="I773" s="3">
        <f t="shared" ca="1" si="83"/>
        <v>10.832851603057147</v>
      </c>
      <c r="O773" s="3">
        <f t="shared" ca="1" si="84"/>
        <v>-8.2029757544827184</v>
      </c>
      <c r="P773" s="3">
        <f t="shared" ca="1" si="85"/>
        <v>-3.5829706163688715</v>
      </c>
      <c r="Q773" s="3">
        <f t="shared" ca="1" si="86"/>
        <v>8.9513401044979872</v>
      </c>
    </row>
    <row r="774" spans="7:17" x14ac:dyDescent="0.25">
      <c r="G774" s="3">
        <f t="shared" ca="1" si="81"/>
        <v>0</v>
      </c>
      <c r="H774" s="3">
        <f t="shared" ca="1" si="82"/>
        <v>2.1093144251042402</v>
      </c>
      <c r="I774" s="3">
        <f t="shared" ca="1" si="83"/>
        <v>7.2617395042514428</v>
      </c>
      <c r="O774" s="3">
        <f t="shared" ca="1" si="84"/>
        <v>-6.7932294310050301</v>
      </c>
      <c r="P774" s="3">
        <f t="shared" ca="1" si="85"/>
        <v>7.9022640216091289E-2</v>
      </c>
      <c r="Q774" s="3">
        <f t="shared" ca="1" si="86"/>
        <v>6.7936890332086621</v>
      </c>
    </row>
    <row r="775" spans="7:17" x14ac:dyDescent="0.25">
      <c r="G775" s="3">
        <f t="shared" ca="1" si="81"/>
        <v>1</v>
      </c>
      <c r="H775" s="3">
        <f t="shared" ca="1" si="82"/>
        <v>3.3229888573496611</v>
      </c>
      <c r="I775" s="3">
        <f t="shared" ca="1" si="83"/>
        <v>9.114533528038697</v>
      </c>
      <c r="O775" s="3">
        <f t="shared" ca="1" si="84"/>
        <v>-12.21313424421766</v>
      </c>
      <c r="P775" s="3">
        <f t="shared" ca="1" si="85"/>
        <v>4.6905435305592444</v>
      </c>
      <c r="Q775" s="3">
        <f t="shared" ca="1" si="86"/>
        <v>13.082883729489966</v>
      </c>
    </row>
    <row r="776" spans="7:17" x14ac:dyDescent="0.25">
      <c r="G776" s="3">
        <f t="shared" ca="1" si="81"/>
        <v>0</v>
      </c>
      <c r="H776" s="3">
        <f t="shared" ca="1" si="82"/>
        <v>1.7626306102792564</v>
      </c>
      <c r="I776" s="3">
        <f t="shared" ca="1" si="83"/>
        <v>6.6382049725043446</v>
      </c>
      <c r="O776" s="3">
        <f t="shared" ca="1" si="84"/>
        <v>-6.8733501024557881</v>
      </c>
      <c r="P776" s="3">
        <f t="shared" ca="1" si="85"/>
        <v>-5.6402490504329776</v>
      </c>
      <c r="Q776" s="3">
        <f t="shared" ca="1" si="86"/>
        <v>8.8913076080989963</v>
      </c>
    </row>
    <row r="777" spans="7:17" x14ac:dyDescent="0.25">
      <c r="G777" s="3">
        <f t="shared" ca="1" si="81"/>
        <v>0</v>
      </c>
      <c r="H777" s="3">
        <f t="shared" ca="1" si="82"/>
        <v>2.3637590255967398</v>
      </c>
      <c r="I777" s="3">
        <f t="shared" ca="1" si="83"/>
        <v>7.6872606069989917</v>
      </c>
      <c r="O777" s="3">
        <f t="shared" ca="1" si="84"/>
        <v>-10.575844149618037</v>
      </c>
      <c r="P777" s="3">
        <f t="shared" ca="1" si="85"/>
        <v>7.5992533112714993</v>
      </c>
      <c r="Q777" s="3">
        <f t="shared" ca="1" si="86"/>
        <v>13.022946301274565</v>
      </c>
    </row>
    <row r="778" spans="7:17" x14ac:dyDescent="0.25">
      <c r="G778" s="3">
        <f t="shared" ca="1" si="81"/>
        <v>0</v>
      </c>
      <c r="H778" s="3">
        <f t="shared" ca="1" si="82"/>
        <v>6.5974930897491975</v>
      </c>
      <c r="I778" s="3">
        <f t="shared" ca="1" si="83"/>
        <v>12.842792813236922</v>
      </c>
      <c r="O778" s="3">
        <f t="shared" ca="1" si="84"/>
        <v>-8.3937992763169476</v>
      </c>
      <c r="P778" s="3">
        <f t="shared" ca="1" si="85"/>
        <v>-2.9734448584942643</v>
      </c>
      <c r="Q778" s="3">
        <f t="shared" ca="1" si="86"/>
        <v>8.9048998095208738</v>
      </c>
    </row>
    <row r="779" spans="7:17" x14ac:dyDescent="0.25">
      <c r="G779" s="3">
        <f t="shared" ca="1" si="81"/>
        <v>0</v>
      </c>
      <c r="H779" s="3">
        <f t="shared" ca="1" si="82"/>
        <v>2.2661340872896276</v>
      </c>
      <c r="I779" s="3">
        <f t="shared" ca="1" si="83"/>
        <v>7.5268421122168281</v>
      </c>
      <c r="O779" s="3">
        <f t="shared" ca="1" si="84"/>
        <v>-5.1979380064795011</v>
      </c>
      <c r="P779" s="3">
        <f t="shared" ca="1" si="85"/>
        <v>-4.5269677576351768</v>
      </c>
      <c r="Q779" s="3">
        <f t="shared" ca="1" si="86"/>
        <v>6.892894645783624</v>
      </c>
    </row>
    <row r="780" spans="7:17" x14ac:dyDescent="0.25">
      <c r="G780" s="3">
        <f t="shared" ca="1" si="81"/>
        <v>0</v>
      </c>
      <c r="H780" s="3">
        <f t="shared" ca="1" si="82"/>
        <v>3.3493361487996611</v>
      </c>
      <c r="I780" s="3">
        <f t="shared" ca="1" si="83"/>
        <v>9.150595812295041</v>
      </c>
      <c r="O780" s="3">
        <f t="shared" ca="1" si="84"/>
        <v>-10.578416259668</v>
      </c>
      <c r="P780" s="3">
        <f t="shared" ca="1" si="85"/>
        <v>1.6877663180012399</v>
      </c>
      <c r="Q780" s="3">
        <f t="shared" ca="1" si="86"/>
        <v>10.712210122425146</v>
      </c>
    </row>
    <row r="781" spans="7:17" x14ac:dyDescent="0.25">
      <c r="G781" s="3">
        <f t="shared" ca="1" si="81"/>
        <v>2</v>
      </c>
      <c r="H781" s="3">
        <f t="shared" ca="1" si="82"/>
        <v>6.335527168642658</v>
      </c>
      <c r="I781" s="3">
        <f t="shared" ca="1" si="83"/>
        <v>12.585236557811159</v>
      </c>
      <c r="O781" s="3">
        <f t="shared" ca="1" si="84"/>
        <v>-2.1077486784054642</v>
      </c>
      <c r="P781" s="3">
        <f t="shared" ca="1" si="85"/>
        <v>-4.7784158074466339</v>
      </c>
      <c r="Q781" s="3">
        <f t="shared" ca="1" si="86"/>
        <v>5.2226298088392067</v>
      </c>
    </row>
    <row r="782" spans="7:17" x14ac:dyDescent="0.25">
      <c r="G782" s="3">
        <f t="shared" ca="1" si="81"/>
        <v>1</v>
      </c>
      <c r="H782" s="3">
        <f t="shared" ca="1" si="82"/>
        <v>5.361445659702154</v>
      </c>
      <c r="I782" s="3">
        <f t="shared" ca="1" si="83"/>
        <v>11.57739787225756</v>
      </c>
      <c r="O782" s="3">
        <f t="shared" ca="1" si="84"/>
        <v>-8.7161334233654664</v>
      </c>
      <c r="P782" s="3">
        <f t="shared" ca="1" si="85"/>
        <v>-5.0543648947105915</v>
      </c>
      <c r="Q782" s="3">
        <f t="shared" ca="1" si="86"/>
        <v>10.075593597540117</v>
      </c>
    </row>
    <row r="783" spans="7:17" x14ac:dyDescent="0.25">
      <c r="G783" s="3">
        <f t="shared" ca="1" si="81"/>
        <v>0</v>
      </c>
      <c r="H783" s="3">
        <f t="shared" ca="1" si="82"/>
        <v>0.67685587017601945</v>
      </c>
      <c r="I783" s="3">
        <f t="shared" ca="1" si="83"/>
        <v>4.1135625380441816</v>
      </c>
      <c r="O783" s="3">
        <f t="shared" ca="1" si="84"/>
        <v>-6.1383737097326527</v>
      </c>
      <c r="P783" s="3">
        <f t="shared" ca="1" si="85"/>
        <v>-10.302965573551738</v>
      </c>
      <c r="Q783" s="3">
        <f t="shared" ca="1" si="86"/>
        <v>11.992945068252807</v>
      </c>
    </row>
    <row r="784" spans="7:17" x14ac:dyDescent="0.25">
      <c r="G784" s="3">
        <f t="shared" ca="1" si="81"/>
        <v>0</v>
      </c>
      <c r="H784" s="3">
        <f t="shared" ca="1" si="82"/>
        <v>2.7401602530993343</v>
      </c>
      <c r="I784" s="3">
        <f t="shared" ca="1" si="83"/>
        <v>8.2767147061792183</v>
      </c>
      <c r="O784" s="3">
        <f t="shared" ca="1" si="84"/>
        <v>5.2593433733797212E-2</v>
      </c>
      <c r="P784" s="3">
        <f t="shared" ca="1" si="85"/>
        <v>-4.2579690599276194</v>
      </c>
      <c r="Q784" s="3">
        <f t="shared" ca="1" si="86"/>
        <v>4.258293858410056</v>
      </c>
    </row>
    <row r="785" spans="7:17" x14ac:dyDescent="0.25">
      <c r="G785" s="3">
        <f t="shared" ca="1" si="81"/>
        <v>1</v>
      </c>
      <c r="H785" s="3">
        <f t="shared" ca="1" si="82"/>
        <v>7.5983526826925356</v>
      </c>
      <c r="I785" s="3">
        <f t="shared" ca="1" si="83"/>
        <v>13.78255480915325</v>
      </c>
      <c r="O785" s="3">
        <f t="shared" ca="1" si="84"/>
        <v>-13.528161873357996</v>
      </c>
      <c r="P785" s="3">
        <f t="shared" ca="1" si="85"/>
        <v>3.0092506786436437</v>
      </c>
      <c r="Q785" s="3">
        <f t="shared" ca="1" si="86"/>
        <v>13.858815004129832</v>
      </c>
    </row>
    <row r="786" spans="7:17" x14ac:dyDescent="0.25">
      <c r="G786" s="3">
        <f t="shared" ca="1" si="81"/>
        <v>2</v>
      </c>
      <c r="H786" s="3">
        <f t="shared" ca="1" si="82"/>
        <v>9.483973359393012</v>
      </c>
      <c r="I786" s="3">
        <f t="shared" ca="1" si="83"/>
        <v>15.398030198204747</v>
      </c>
      <c r="O786" s="3">
        <f t="shared" ca="1" si="84"/>
        <v>-2.8692278869115073</v>
      </c>
      <c r="P786" s="3">
        <f t="shared" ca="1" si="85"/>
        <v>-1.2483223950852889</v>
      </c>
      <c r="Q786" s="3">
        <f t="shared" ca="1" si="86"/>
        <v>3.1290218070672098</v>
      </c>
    </row>
    <row r="787" spans="7:17" x14ac:dyDescent="0.25">
      <c r="G787" s="3">
        <f t="shared" ca="1" si="81"/>
        <v>0</v>
      </c>
      <c r="H787" s="3">
        <f t="shared" ca="1" si="82"/>
        <v>0.46937389748603409</v>
      </c>
      <c r="I787" s="3">
        <f t="shared" ca="1" si="83"/>
        <v>3.4255433783782174</v>
      </c>
      <c r="O787" s="3">
        <f t="shared" ca="1" si="84"/>
        <v>-5.0531567538660367</v>
      </c>
      <c r="P787" s="3">
        <f t="shared" ca="1" si="85"/>
        <v>-5.2456799181662461</v>
      </c>
      <c r="Q787" s="3">
        <f t="shared" ca="1" si="86"/>
        <v>7.2836495648125856</v>
      </c>
    </row>
    <row r="788" spans="7:17" x14ac:dyDescent="0.25">
      <c r="G788" s="3">
        <f t="shared" ca="1" si="81"/>
        <v>0</v>
      </c>
      <c r="H788" s="3">
        <f t="shared" ca="1" si="82"/>
        <v>0.37862965192934728</v>
      </c>
      <c r="I788" s="3">
        <f t="shared" ca="1" si="83"/>
        <v>3.0766444868124889</v>
      </c>
      <c r="O788" s="3">
        <f t="shared" ca="1" si="84"/>
        <v>-10.351392790924407</v>
      </c>
      <c r="P788" s="3">
        <f t="shared" ca="1" si="85"/>
        <v>0.79188063423450705</v>
      </c>
      <c r="Q788" s="3">
        <f t="shared" ca="1" si="86"/>
        <v>10.381638004230231</v>
      </c>
    </row>
    <row r="789" spans="7:17" x14ac:dyDescent="0.25">
      <c r="G789" s="3">
        <f t="shared" ca="1" si="81"/>
        <v>0</v>
      </c>
      <c r="H789" s="3">
        <f t="shared" ca="1" si="82"/>
        <v>3.1517465091916996</v>
      </c>
      <c r="I789" s="3">
        <f t="shared" ca="1" si="83"/>
        <v>8.8765794498665134</v>
      </c>
      <c r="O789" s="3">
        <f t="shared" ca="1" si="84"/>
        <v>-7.2305965435070361</v>
      </c>
      <c r="P789" s="3">
        <f t="shared" ca="1" si="85"/>
        <v>3.3253304113407727</v>
      </c>
      <c r="Q789" s="3">
        <f t="shared" ca="1" si="86"/>
        <v>7.9586021837734604</v>
      </c>
    </row>
    <row r="790" spans="7:17" x14ac:dyDescent="0.25">
      <c r="G790" s="3">
        <f t="shared" ca="1" si="81"/>
        <v>2</v>
      </c>
      <c r="H790" s="3">
        <f t="shared" ca="1" si="82"/>
        <v>4.5348643265447093</v>
      </c>
      <c r="I790" s="3">
        <f t="shared" ca="1" si="83"/>
        <v>10.64761044383282</v>
      </c>
      <c r="O790" s="3">
        <f t="shared" ca="1" si="84"/>
        <v>2.9984744798411498</v>
      </c>
      <c r="P790" s="3">
        <f t="shared" ca="1" si="85"/>
        <v>3.7831320097359509</v>
      </c>
      <c r="Q790" s="3">
        <f t="shared" ca="1" si="86"/>
        <v>4.8273115716045742</v>
      </c>
    </row>
    <row r="791" spans="7:17" x14ac:dyDescent="0.25">
      <c r="G791" s="3">
        <f t="shared" ca="1" si="81"/>
        <v>0</v>
      </c>
      <c r="H791" s="3">
        <f t="shared" ca="1" si="82"/>
        <v>0.99357607727490382</v>
      </c>
      <c r="I791" s="3">
        <f t="shared" ca="1" si="83"/>
        <v>4.9839143182715926</v>
      </c>
      <c r="O791" s="3">
        <f t="shared" ca="1" si="84"/>
        <v>-1.0329283136174379</v>
      </c>
      <c r="P791" s="3">
        <f t="shared" ca="1" si="85"/>
        <v>-1.3858073062926604</v>
      </c>
      <c r="Q791" s="3">
        <f t="shared" ca="1" si="86"/>
        <v>1.7284104811203511</v>
      </c>
    </row>
    <row r="792" spans="7:17" x14ac:dyDescent="0.25">
      <c r="G792" s="3">
        <f t="shared" ca="1" si="81"/>
        <v>2</v>
      </c>
      <c r="H792" s="3">
        <f t="shared" ca="1" si="82"/>
        <v>5.3256320632413425</v>
      </c>
      <c r="I792" s="3">
        <f t="shared" ca="1" si="83"/>
        <v>11.538665502606165</v>
      </c>
      <c r="O792" s="3">
        <f t="shared" ca="1" si="84"/>
        <v>-7.8945081800722585</v>
      </c>
      <c r="P792" s="3">
        <f t="shared" ca="1" si="85"/>
        <v>-5.9794753361444721</v>
      </c>
      <c r="Q792" s="3">
        <f t="shared" ca="1" si="86"/>
        <v>9.9034026829563917</v>
      </c>
    </row>
    <row r="793" spans="7:17" x14ac:dyDescent="0.25">
      <c r="G793" s="3">
        <f t="shared" ca="1" si="81"/>
        <v>0</v>
      </c>
      <c r="H793" s="3">
        <f t="shared" ca="1" si="82"/>
        <v>2.2589491084111177</v>
      </c>
      <c r="I793" s="3">
        <f t="shared" ca="1" si="83"/>
        <v>7.5149003792650468</v>
      </c>
      <c r="O793" s="3">
        <f t="shared" ca="1" si="84"/>
        <v>-12.327312238289954</v>
      </c>
      <c r="P793" s="3">
        <f t="shared" ca="1" si="85"/>
        <v>2.3998770511806216</v>
      </c>
      <c r="Q793" s="3">
        <f t="shared" ca="1" si="86"/>
        <v>12.558743443556631</v>
      </c>
    </row>
    <row r="794" spans="7:17" x14ac:dyDescent="0.25">
      <c r="G794" s="3">
        <f t="shared" ca="1" si="81"/>
        <v>1</v>
      </c>
      <c r="H794" s="3">
        <f t="shared" ca="1" si="82"/>
        <v>3.4197012842622816</v>
      </c>
      <c r="I794" s="3">
        <f t="shared" ca="1" si="83"/>
        <v>9.2462171782062867</v>
      </c>
      <c r="O794" s="3">
        <f t="shared" ca="1" si="84"/>
        <v>-1.2753031821470895</v>
      </c>
      <c r="P794" s="3">
        <f t="shared" ca="1" si="85"/>
        <v>0.96388190784941097</v>
      </c>
      <c r="Q794" s="3">
        <f t="shared" ca="1" si="86"/>
        <v>1.5985826655740742</v>
      </c>
    </row>
    <row r="795" spans="7:17" x14ac:dyDescent="0.25">
      <c r="G795" s="3">
        <f t="shared" ca="1" si="81"/>
        <v>1</v>
      </c>
      <c r="H795" s="3">
        <f t="shared" ca="1" si="82"/>
        <v>4.1926639253406162</v>
      </c>
      <c r="I795" s="3">
        <f t="shared" ca="1" si="83"/>
        <v>10.23799775998781</v>
      </c>
      <c r="O795" s="3">
        <f t="shared" ca="1" si="84"/>
        <v>0.6499883857908948</v>
      </c>
      <c r="P795" s="3">
        <f t="shared" ca="1" si="85"/>
        <v>2.9418148887913729</v>
      </c>
      <c r="Q795" s="3">
        <f t="shared" ca="1" si="86"/>
        <v>3.012766127925905</v>
      </c>
    </row>
    <row r="796" spans="7:17" x14ac:dyDescent="0.25">
      <c r="G796" s="3">
        <f t="shared" ca="1" si="81"/>
        <v>0</v>
      </c>
      <c r="H796" s="3">
        <f t="shared" ca="1" si="82"/>
        <v>2.8723504984733066</v>
      </c>
      <c r="I796" s="3">
        <f t="shared" ca="1" si="83"/>
        <v>8.4740051015934998</v>
      </c>
      <c r="O796" s="3">
        <f t="shared" ca="1" si="84"/>
        <v>-9.100821653263047</v>
      </c>
      <c r="P796" s="3">
        <f t="shared" ca="1" si="85"/>
        <v>-6.829320718857387</v>
      </c>
      <c r="Q796" s="3">
        <f t="shared" ca="1" si="86"/>
        <v>11.378250139872842</v>
      </c>
    </row>
    <row r="797" spans="7:17" x14ac:dyDescent="0.25">
      <c r="G797" s="3">
        <f t="shared" ca="1" si="81"/>
        <v>2</v>
      </c>
      <c r="H797" s="3">
        <f t="shared" ca="1" si="82"/>
        <v>5.8069860091424435</v>
      </c>
      <c r="I797" s="3">
        <f t="shared" ca="1" si="83"/>
        <v>12.048844352408288</v>
      </c>
      <c r="O797" s="3">
        <f t="shared" ca="1" si="84"/>
        <v>-2.1882987819484798</v>
      </c>
      <c r="P797" s="3">
        <f t="shared" ca="1" si="85"/>
        <v>3.9275183633286086</v>
      </c>
      <c r="Q797" s="3">
        <f t="shared" ca="1" si="86"/>
        <v>4.4960040094911653</v>
      </c>
    </row>
    <row r="798" spans="7:17" x14ac:dyDescent="0.25">
      <c r="G798" s="3">
        <f t="shared" ca="1" si="81"/>
        <v>1</v>
      </c>
      <c r="H798" s="3">
        <f t="shared" ca="1" si="82"/>
        <v>2.5815492868023657</v>
      </c>
      <c r="I798" s="3">
        <f t="shared" ca="1" si="83"/>
        <v>8.0336001997895785</v>
      </c>
      <c r="O798" s="3">
        <f t="shared" ca="1" si="84"/>
        <v>-18.58855033701116</v>
      </c>
      <c r="P798" s="3">
        <f t="shared" ca="1" si="85"/>
        <v>5.2735006359294978</v>
      </c>
      <c r="Q798" s="3">
        <f t="shared" ca="1" si="86"/>
        <v>19.322112011598175</v>
      </c>
    </row>
    <row r="799" spans="7:17" x14ac:dyDescent="0.25">
      <c r="G799" s="3">
        <f t="shared" ca="1" si="81"/>
        <v>0</v>
      </c>
      <c r="H799" s="3">
        <f t="shared" ca="1" si="82"/>
        <v>1.0239660814448044</v>
      </c>
      <c r="I799" s="3">
        <f t="shared" ca="1" si="83"/>
        <v>5.0595604587869207</v>
      </c>
      <c r="O799" s="3">
        <f t="shared" ca="1" si="84"/>
        <v>-2.5606889129918118</v>
      </c>
      <c r="P799" s="3">
        <f t="shared" ca="1" si="85"/>
        <v>-6.8906388355939212</v>
      </c>
      <c r="Q799" s="3">
        <f t="shared" ca="1" si="86"/>
        <v>7.351056473168625</v>
      </c>
    </row>
    <row r="800" spans="7:17" x14ac:dyDescent="0.25">
      <c r="G800" s="3">
        <f t="shared" ca="1" si="81"/>
        <v>1</v>
      </c>
      <c r="H800" s="3">
        <f t="shared" ca="1" si="82"/>
        <v>3.3959846402510037</v>
      </c>
      <c r="I800" s="3">
        <f t="shared" ca="1" si="83"/>
        <v>9.2140987625635482</v>
      </c>
      <c r="O800" s="3">
        <f t="shared" ca="1" si="84"/>
        <v>-12.342136842203301</v>
      </c>
      <c r="P800" s="3">
        <f t="shared" ca="1" si="85"/>
        <v>1.9572561528496029</v>
      </c>
      <c r="Q800" s="3">
        <f t="shared" ca="1" si="86"/>
        <v>12.496367211295437</v>
      </c>
    </row>
    <row r="801" spans="7:17" x14ac:dyDescent="0.25">
      <c r="G801" s="3">
        <f t="shared" ca="1" si="81"/>
        <v>0</v>
      </c>
      <c r="H801" s="3">
        <f t="shared" ca="1" si="82"/>
        <v>0.19389275673519793</v>
      </c>
      <c r="I801" s="3">
        <f t="shared" ca="1" si="83"/>
        <v>2.2016627621822442</v>
      </c>
      <c r="O801" s="3">
        <f t="shared" ca="1" si="84"/>
        <v>-7.2354719521529898</v>
      </c>
      <c r="P801" s="3">
        <f t="shared" ca="1" si="85"/>
        <v>2.066854504202237</v>
      </c>
      <c r="Q801" s="3">
        <f t="shared" ca="1" si="86"/>
        <v>7.5248881660748737</v>
      </c>
    </row>
    <row r="802" spans="7:17" x14ac:dyDescent="0.25">
      <c r="G802" s="3">
        <f t="shared" ca="1" si="81"/>
        <v>0</v>
      </c>
      <c r="H802" s="3">
        <f t="shared" ca="1" si="82"/>
        <v>1.9242386043117818</v>
      </c>
      <c r="I802" s="3">
        <f t="shared" ca="1" si="83"/>
        <v>6.9358463872691525</v>
      </c>
      <c r="O802" s="3">
        <f t="shared" ca="1" si="84"/>
        <v>-7.2729011633186085</v>
      </c>
      <c r="P802" s="3">
        <f t="shared" ca="1" si="85"/>
        <v>0.26805039174828371</v>
      </c>
      <c r="Q802" s="3">
        <f t="shared" ca="1" si="86"/>
        <v>7.2778391259987041</v>
      </c>
    </row>
    <row r="803" spans="7:17" x14ac:dyDescent="0.25">
      <c r="G803" s="3">
        <f t="shared" ca="1" si="81"/>
        <v>1</v>
      </c>
      <c r="H803" s="3">
        <f t="shared" ca="1" si="82"/>
        <v>4.9984288697103727</v>
      </c>
      <c r="I803" s="3">
        <f t="shared" ca="1" si="83"/>
        <v>11.178583172422133</v>
      </c>
      <c r="O803" s="3">
        <f t="shared" ca="1" si="84"/>
        <v>-10.242321900205496</v>
      </c>
      <c r="P803" s="3">
        <f t="shared" ca="1" si="85"/>
        <v>3.4757930584626719</v>
      </c>
      <c r="Q803" s="3">
        <f t="shared" ca="1" si="86"/>
        <v>10.816020307520064</v>
      </c>
    </row>
    <row r="804" spans="7:17" x14ac:dyDescent="0.25">
      <c r="G804" s="3">
        <f t="shared" ca="1" si="81"/>
        <v>0</v>
      </c>
      <c r="H804" s="3">
        <f t="shared" ca="1" si="82"/>
        <v>0.48989096836597468</v>
      </c>
      <c r="I804" s="3">
        <f t="shared" ca="1" si="83"/>
        <v>3.4996105796430217</v>
      </c>
      <c r="O804" s="3">
        <f t="shared" ca="1" si="84"/>
        <v>-5.3403371854200286</v>
      </c>
      <c r="P804" s="3">
        <f t="shared" ca="1" si="85"/>
        <v>-6.953216735597465</v>
      </c>
      <c r="Q804" s="3">
        <f t="shared" ca="1" si="86"/>
        <v>8.7673498975558513</v>
      </c>
    </row>
    <row r="805" spans="7:17" x14ac:dyDescent="0.25">
      <c r="G805" s="3">
        <f t="shared" ca="1" si="81"/>
        <v>0</v>
      </c>
      <c r="H805" s="3">
        <f t="shared" ca="1" si="82"/>
        <v>2.2876736951844525</v>
      </c>
      <c r="I805" s="3">
        <f t="shared" ca="1" si="83"/>
        <v>7.5625288349606521</v>
      </c>
      <c r="O805" s="3">
        <f t="shared" ca="1" si="84"/>
        <v>-14.979685795883119</v>
      </c>
      <c r="P805" s="3">
        <f t="shared" ca="1" si="85"/>
        <v>-4.1552483766478723</v>
      </c>
      <c r="Q805" s="3">
        <f t="shared" ca="1" si="86"/>
        <v>15.545323271486421</v>
      </c>
    </row>
    <row r="806" spans="7:17" x14ac:dyDescent="0.25">
      <c r="G806" s="3">
        <f t="shared" ca="1" si="81"/>
        <v>1</v>
      </c>
      <c r="H806" s="3">
        <f t="shared" ca="1" si="82"/>
        <v>2.8130335776886199</v>
      </c>
      <c r="I806" s="3">
        <f t="shared" ca="1" si="83"/>
        <v>8.3860502885575112</v>
      </c>
      <c r="O806" s="3">
        <f t="shared" ca="1" si="84"/>
        <v>-4.3507912592649793</v>
      </c>
      <c r="P806" s="3">
        <f t="shared" ca="1" si="85"/>
        <v>-3.2328563891097866</v>
      </c>
      <c r="Q806" s="3">
        <f t="shared" ca="1" si="86"/>
        <v>5.4204008167574207</v>
      </c>
    </row>
    <row r="807" spans="7:17" x14ac:dyDescent="0.25">
      <c r="G807" s="3">
        <f t="shared" ca="1" si="81"/>
        <v>0</v>
      </c>
      <c r="H807" s="3">
        <f t="shared" ca="1" si="82"/>
        <v>0.84637046976128549</v>
      </c>
      <c r="I807" s="3">
        <f t="shared" ca="1" si="83"/>
        <v>4.5999197540861667</v>
      </c>
      <c r="O807" s="3">
        <f t="shared" ca="1" si="84"/>
        <v>-5.2515328249452073</v>
      </c>
      <c r="P807" s="3">
        <f t="shared" ca="1" si="85"/>
        <v>-7.2859687066461314</v>
      </c>
      <c r="Q807" s="3">
        <f t="shared" ca="1" si="86"/>
        <v>8.9813104280891931</v>
      </c>
    </row>
    <row r="808" spans="7:17" x14ac:dyDescent="0.25">
      <c r="G808" s="3">
        <f t="shared" ca="1" si="81"/>
        <v>0</v>
      </c>
      <c r="H808" s="3">
        <f t="shared" ca="1" si="82"/>
        <v>0.96937261755513859</v>
      </c>
      <c r="I808" s="3">
        <f t="shared" ca="1" si="83"/>
        <v>4.9228361174102133</v>
      </c>
      <c r="O808" s="3">
        <f t="shared" ca="1" si="84"/>
        <v>-4.5165476749213296</v>
      </c>
      <c r="P808" s="3">
        <f t="shared" ca="1" si="85"/>
        <v>5.5666560632237916</v>
      </c>
      <c r="Q808" s="3">
        <f t="shared" ca="1" si="86"/>
        <v>7.1684630588476539</v>
      </c>
    </row>
    <row r="809" spans="7:17" x14ac:dyDescent="0.25">
      <c r="G809" s="3">
        <f t="shared" ca="1" si="81"/>
        <v>0</v>
      </c>
      <c r="H809" s="3">
        <f t="shared" ca="1" si="82"/>
        <v>7.2548431575275254</v>
      </c>
      <c r="I809" s="3">
        <f t="shared" ca="1" si="83"/>
        <v>13.467408025978427</v>
      </c>
      <c r="O809" s="3">
        <f t="shared" ca="1" si="84"/>
        <v>-8.8470703181456134</v>
      </c>
      <c r="P809" s="3">
        <f t="shared" ca="1" si="85"/>
        <v>-3.3499090487920058</v>
      </c>
      <c r="Q809" s="3">
        <f t="shared" ca="1" si="86"/>
        <v>9.4600498861999505</v>
      </c>
    </row>
    <row r="810" spans="7:17" x14ac:dyDescent="0.25">
      <c r="G810" s="3">
        <f t="shared" ca="1" si="81"/>
        <v>1</v>
      </c>
      <c r="H810" s="3">
        <f t="shared" ca="1" si="82"/>
        <v>3.6827828337706165</v>
      </c>
      <c r="I810" s="3">
        <f t="shared" ca="1" si="83"/>
        <v>9.5952889922224553</v>
      </c>
      <c r="O810" s="3">
        <f t="shared" ca="1" si="84"/>
        <v>-8.9061389559485384</v>
      </c>
      <c r="P810" s="3">
        <f t="shared" ca="1" si="85"/>
        <v>1.5102764983504804</v>
      </c>
      <c r="Q810" s="3">
        <f t="shared" ca="1" si="86"/>
        <v>9.0332854601265602</v>
      </c>
    </row>
    <row r="811" spans="7:17" x14ac:dyDescent="0.25">
      <c r="G811" s="3">
        <f t="shared" ca="1" si="81"/>
        <v>0</v>
      </c>
      <c r="H811" s="3">
        <f t="shared" ca="1" si="82"/>
        <v>1.1799270912975242</v>
      </c>
      <c r="I811" s="3">
        <f t="shared" ca="1" si="83"/>
        <v>5.4312224482558342</v>
      </c>
      <c r="O811" s="3">
        <f t="shared" ca="1" si="84"/>
        <v>0.78781677707606246</v>
      </c>
      <c r="P811" s="3">
        <f t="shared" ca="1" si="85"/>
        <v>15.964397761193119</v>
      </c>
      <c r="Q811" s="3">
        <f t="shared" ca="1" si="86"/>
        <v>15.983824672206286</v>
      </c>
    </row>
    <row r="812" spans="7:17" x14ac:dyDescent="0.25">
      <c r="G812" s="3">
        <f t="shared" ca="1" si="81"/>
        <v>0</v>
      </c>
      <c r="H812" s="3">
        <f t="shared" ca="1" si="82"/>
        <v>3.4657273296340634</v>
      </c>
      <c r="I812" s="3">
        <f t="shared" ca="1" si="83"/>
        <v>9.3082320147733526</v>
      </c>
      <c r="O812" s="3">
        <f t="shared" ca="1" si="84"/>
        <v>-2.7655366228346518</v>
      </c>
      <c r="P812" s="3">
        <f t="shared" ca="1" si="85"/>
        <v>7.227329618002913</v>
      </c>
      <c r="Q812" s="3">
        <f t="shared" ca="1" si="86"/>
        <v>7.7383774926984419</v>
      </c>
    </row>
    <row r="813" spans="7:17" x14ac:dyDescent="0.25">
      <c r="G813" s="3">
        <f t="shared" ca="1" si="81"/>
        <v>0</v>
      </c>
      <c r="H813" s="3">
        <f t="shared" ca="1" si="82"/>
        <v>3.6067235695941191</v>
      </c>
      <c r="I813" s="3">
        <f t="shared" ca="1" si="83"/>
        <v>9.4956879287312805</v>
      </c>
      <c r="O813" s="3">
        <f t="shared" ca="1" si="84"/>
        <v>3.703645837201412</v>
      </c>
      <c r="P813" s="3">
        <f t="shared" ca="1" si="85"/>
        <v>0.46014934194584639</v>
      </c>
      <c r="Q813" s="3">
        <f t="shared" ca="1" si="86"/>
        <v>3.7321213678433001</v>
      </c>
    </row>
    <row r="814" spans="7:17" x14ac:dyDescent="0.25">
      <c r="G814" s="3">
        <f t="shared" ca="1" si="81"/>
        <v>1</v>
      </c>
      <c r="H814" s="3">
        <f t="shared" ca="1" si="82"/>
        <v>2.6417898777877618</v>
      </c>
      <c r="I814" s="3">
        <f t="shared" ca="1" si="83"/>
        <v>8.1267919220744194</v>
      </c>
      <c r="O814" s="3">
        <f t="shared" ca="1" si="84"/>
        <v>-5.6343325165480653</v>
      </c>
      <c r="P814" s="3">
        <f t="shared" ca="1" si="85"/>
        <v>2.8917391549451521</v>
      </c>
      <c r="Q814" s="3">
        <f t="shared" ca="1" si="86"/>
        <v>6.3330765230868442</v>
      </c>
    </row>
    <row r="815" spans="7:17" x14ac:dyDescent="0.25">
      <c r="G815" s="3">
        <f t="shared" ca="1" si="81"/>
        <v>0</v>
      </c>
      <c r="H815" s="3">
        <f t="shared" ca="1" si="82"/>
        <v>1.5008197306816111</v>
      </c>
      <c r="I815" s="3">
        <f t="shared" ca="1" si="83"/>
        <v>6.1253973966625441</v>
      </c>
      <c r="O815" s="3">
        <f t="shared" ca="1" si="84"/>
        <v>-5.9041504711215076</v>
      </c>
      <c r="P815" s="3">
        <f t="shared" ca="1" si="85"/>
        <v>-0.61355242378880737</v>
      </c>
      <c r="Q815" s="3">
        <f t="shared" ca="1" si="86"/>
        <v>5.9359446899698654</v>
      </c>
    </row>
    <row r="816" spans="7:17" x14ac:dyDescent="0.25">
      <c r="G816" s="3">
        <f t="shared" ca="1" si="81"/>
        <v>1</v>
      </c>
      <c r="H816" s="3">
        <f t="shared" ca="1" si="82"/>
        <v>3.6225729395054524</v>
      </c>
      <c r="I816" s="3">
        <f t="shared" ca="1" si="83"/>
        <v>9.5165289621603257</v>
      </c>
      <c r="O816" s="3">
        <f t="shared" ca="1" si="84"/>
        <v>-6.1958867485249787</v>
      </c>
      <c r="P816" s="3">
        <f t="shared" ca="1" si="85"/>
        <v>7.2591613186071164</v>
      </c>
      <c r="Q816" s="3">
        <f t="shared" ca="1" si="86"/>
        <v>9.5438166186337234</v>
      </c>
    </row>
    <row r="817" spans="7:17" x14ac:dyDescent="0.25">
      <c r="G817" s="3">
        <f t="shared" ca="1" si="81"/>
        <v>1</v>
      </c>
      <c r="H817" s="3">
        <f t="shared" ca="1" si="82"/>
        <v>4.8560760547511714</v>
      </c>
      <c r="I817" s="3">
        <f t="shared" ca="1" si="83"/>
        <v>11.018253099687776</v>
      </c>
      <c r="O817" s="3">
        <f t="shared" ca="1" si="84"/>
        <v>-3.976917470786046</v>
      </c>
      <c r="P817" s="3">
        <f t="shared" ca="1" si="85"/>
        <v>7.3927646643995493</v>
      </c>
      <c r="Q817" s="3">
        <f t="shared" ca="1" si="86"/>
        <v>8.3945721721025102</v>
      </c>
    </row>
    <row r="818" spans="7:17" x14ac:dyDescent="0.25">
      <c r="G818" s="3">
        <f t="shared" ca="1" si="81"/>
        <v>1</v>
      </c>
      <c r="H818" s="3">
        <f t="shared" ca="1" si="82"/>
        <v>7.7817696860365917</v>
      </c>
      <c r="I818" s="3">
        <f t="shared" ca="1" si="83"/>
        <v>13.947911748749874</v>
      </c>
      <c r="O818" s="3">
        <f t="shared" ca="1" si="84"/>
        <v>2.9872096115499245</v>
      </c>
      <c r="P818" s="3">
        <f t="shared" ca="1" si="85"/>
        <v>6.7640457133569312</v>
      </c>
      <c r="Q818" s="3">
        <f t="shared" ca="1" si="86"/>
        <v>7.3943042725951251</v>
      </c>
    </row>
    <row r="819" spans="7:17" x14ac:dyDescent="0.25">
      <c r="G819" s="3">
        <f t="shared" ca="1" si="81"/>
        <v>1</v>
      </c>
      <c r="H819" s="3">
        <f t="shared" ca="1" si="82"/>
        <v>8.1942394252275328</v>
      </c>
      <c r="I819" s="3">
        <f t="shared" ca="1" si="83"/>
        <v>14.312790979773593</v>
      </c>
      <c r="O819" s="3">
        <f t="shared" ca="1" si="84"/>
        <v>9.9610252580802481</v>
      </c>
      <c r="P819" s="3">
        <f t="shared" ca="1" si="85"/>
        <v>-3.1972519529860612</v>
      </c>
      <c r="Q819" s="3">
        <f t="shared" ca="1" si="86"/>
        <v>10.461569874688303</v>
      </c>
    </row>
    <row r="820" spans="7:17" x14ac:dyDescent="0.25">
      <c r="G820" s="3">
        <f t="shared" ca="1" si="81"/>
        <v>2</v>
      </c>
      <c r="H820" s="3">
        <f t="shared" ca="1" si="82"/>
        <v>14.087804260178673</v>
      </c>
      <c r="I820" s="3">
        <f t="shared" ca="1" si="83"/>
        <v>18.766861924798903</v>
      </c>
      <c r="O820" s="3">
        <f t="shared" ca="1" si="84"/>
        <v>-3.8995373935570083</v>
      </c>
      <c r="P820" s="3">
        <f t="shared" ca="1" si="85"/>
        <v>8.6071006165612491</v>
      </c>
      <c r="Q820" s="3">
        <f t="shared" ca="1" si="86"/>
        <v>9.4492630880592188</v>
      </c>
    </row>
    <row r="821" spans="7:17" x14ac:dyDescent="0.25">
      <c r="G821" s="3">
        <f t="shared" ca="1" si="81"/>
        <v>4</v>
      </c>
      <c r="H821" s="3">
        <f t="shared" ca="1" si="82"/>
        <v>11.522246765210705</v>
      </c>
      <c r="I821" s="3">
        <f t="shared" ca="1" si="83"/>
        <v>16.972217566666639</v>
      </c>
      <c r="O821" s="3">
        <f t="shared" ca="1" si="84"/>
        <v>-6.3678441344998236</v>
      </c>
      <c r="P821" s="3">
        <f t="shared" ca="1" si="85"/>
        <v>-4.0606746921818226</v>
      </c>
      <c r="Q821" s="3">
        <f t="shared" ca="1" si="86"/>
        <v>7.5523849131919745</v>
      </c>
    </row>
    <row r="822" spans="7:17" x14ac:dyDescent="0.25">
      <c r="G822" s="3">
        <f t="shared" ca="1" si="81"/>
        <v>0</v>
      </c>
      <c r="H822" s="3">
        <f t="shared" ca="1" si="82"/>
        <v>1.8972177397050871</v>
      </c>
      <c r="I822" s="3">
        <f t="shared" ca="1" si="83"/>
        <v>6.8869763679445839</v>
      </c>
      <c r="O822" s="3">
        <f t="shared" ca="1" si="84"/>
        <v>-3.4817544169918633</v>
      </c>
      <c r="P822" s="3">
        <f t="shared" ca="1" si="85"/>
        <v>-1.3719972240503155</v>
      </c>
      <c r="Q822" s="3">
        <f t="shared" ca="1" si="86"/>
        <v>3.7423241712930375</v>
      </c>
    </row>
    <row r="823" spans="7:17" x14ac:dyDescent="0.25">
      <c r="G823" s="3">
        <f t="shared" ca="1" si="81"/>
        <v>0</v>
      </c>
      <c r="H823" s="3">
        <f t="shared" ca="1" si="82"/>
        <v>0.46907137559228607</v>
      </c>
      <c r="I823" s="3">
        <f t="shared" ca="1" si="83"/>
        <v>3.4244392810805029</v>
      </c>
      <c r="O823" s="3">
        <f t="shared" ca="1" si="84"/>
        <v>-1.8935204844293345</v>
      </c>
      <c r="P823" s="3">
        <f t="shared" ca="1" si="85"/>
        <v>2.9191764711142443</v>
      </c>
      <c r="Q823" s="3">
        <f t="shared" ca="1" si="86"/>
        <v>3.4795130542161377</v>
      </c>
    </row>
    <row r="824" spans="7:17" x14ac:dyDescent="0.25">
      <c r="G824" s="3">
        <f t="shared" ca="1" si="81"/>
        <v>0</v>
      </c>
      <c r="H824" s="3">
        <f t="shared" ca="1" si="82"/>
        <v>5.1382997839423288</v>
      </c>
      <c r="I824" s="3">
        <f t="shared" ca="1" si="83"/>
        <v>11.33390906080326</v>
      </c>
      <c r="O824" s="3">
        <f t="shared" ca="1" si="84"/>
        <v>-3.3136238407074936</v>
      </c>
      <c r="P824" s="3">
        <f t="shared" ca="1" si="85"/>
        <v>7.6861749671789843</v>
      </c>
      <c r="Q824" s="3">
        <f t="shared" ca="1" si="86"/>
        <v>8.37002918655568</v>
      </c>
    </row>
    <row r="825" spans="7:17" x14ac:dyDescent="0.25">
      <c r="G825" s="3">
        <f t="shared" ca="1" si="81"/>
        <v>1</v>
      </c>
      <c r="H825" s="3">
        <f t="shared" ca="1" si="82"/>
        <v>5.169351877229218</v>
      </c>
      <c r="I825" s="3">
        <f t="shared" ca="1" si="83"/>
        <v>11.368104368395395</v>
      </c>
      <c r="O825" s="3">
        <f t="shared" ca="1" si="84"/>
        <v>-0.97854000867511193</v>
      </c>
      <c r="P825" s="3">
        <f t="shared" ca="1" si="85"/>
        <v>5.506621806039794</v>
      </c>
      <c r="Q825" s="3">
        <f t="shared" ca="1" si="86"/>
        <v>5.5928905105795561</v>
      </c>
    </row>
    <row r="826" spans="7:17" x14ac:dyDescent="0.25">
      <c r="G826" s="3">
        <f t="shared" ca="1" si="81"/>
        <v>0</v>
      </c>
      <c r="H826" s="3">
        <f t="shared" ca="1" si="82"/>
        <v>2.0846414032406213</v>
      </c>
      <c r="I826" s="3">
        <f t="shared" ca="1" si="83"/>
        <v>7.2191436528867836</v>
      </c>
      <c r="O826" s="3">
        <f t="shared" ca="1" si="84"/>
        <v>-9.1016481822238227</v>
      </c>
      <c r="P826" s="3">
        <f t="shared" ca="1" si="85"/>
        <v>-1.554696551540979</v>
      </c>
      <c r="Q826" s="3">
        <f t="shared" ca="1" si="86"/>
        <v>9.2334761060150932</v>
      </c>
    </row>
    <row r="827" spans="7:17" x14ac:dyDescent="0.25">
      <c r="G827" s="3">
        <f t="shared" ca="1" si="81"/>
        <v>0</v>
      </c>
      <c r="H827" s="3">
        <f t="shared" ca="1" si="82"/>
        <v>0.46407048045801991</v>
      </c>
      <c r="I827" s="3">
        <f t="shared" ca="1" si="83"/>
        <v>3.4061359355507963</v>
      </c>
      <c r="O827" s="3">
        <f t="shared" ca="1" si="84"/>
        <v>-6.5227290622894953</v>
      </c>
      <c r="P827" s="3">
        <f t="shared" ca="1" si="85"/>
        <v>4.4070384789800103</v>
      </c>
      <c r="Q827" s="3">
        <f t="shared" ca="1" si="86"/>
        <v>7.8719745029596249</v>
      </c>
    </row>
    <row r="828" spans="7:17" x14ac:dyDescent="0.25">
      <c r="G828" s="3">
        <f t="shared" ca="1" si="81"/>
        <v>2</v>
      </c>
      <c r="H828" s="3">
        <f t="shared" ca="1" si="82"/>
        <v>2.0904732606409988</v>
      </c>
      <c r="I828" s="3">
        <f t="shared" ca="1" si="83"/>
        <v>7.2292345041522186</v>
      </c>
      <c r="O828" s="3">
        <f t="shared" ca="1" si="84"/>
        <v>-6.7813772295433594</v>
      </c>
      <c r="P828" s="3">
        <f t="shared" ca="1" si="85"/>
        <v>3.296767332482589</v>
      </c>
      <c r="Q828" s="3">
        <f t="shared" ca="1" si="86"/>
        <v>7.5402753248070145</v>
      </c>
    </row>
    <row r="829" spans="7:17" x14ac:dyDescent="0.25">
      <c r="G829" s="3">
        <f t="shared" ca="1" si="81"/>
        <v>3</v>
      </c>
      <c r="H829" s="3">
        <f t="shared" ca="1" si="82"/>
        <v>10.13589902766838</v>
      </c>
      <c r="I829" s="3">
        <f t="shared" ca="1" si="83"/>
        <v>15.918463358368154</v>
      </c>
      <c r="O829" s="3">
        <f t="shared" ca="1" si="84"/>
        <v>7.5668282731163217</v>
      </c>
      <c r="P829" s="3">
        <f t="shared" ca="1" si="85"/>
        <v>-2.4496707059140697</v>
      </c>
      <c r="Q829" s="3">
        <f t="shared" ca="1" si="86"/>
        <v>7.9534757610899947</v>
      </c>
    </row>
    <row r="830" spans="7:17" x14ac:dyDescent="0.25">
      <c r="G830" s="3">
        <f t="shared" ca="1" si="81"/>
        <v>0</v>
      </c>
      <c r="H830" s="3">
        <f t="shared" ca="1" si="82"/>
        <v>2.1940811729439957</v>
      </c>
      <c r="I830" s="3">
        <f t="shared" ca="1" si="83"/>
        <v>7.406215587167301</v>
      </c>
      <c r="O830" s="3">
        <f t="shared" ca="1" si="84"/>
        <v>-7.4813421513728775</v>
      </c>
      <c r="P830" s="3">
        <f t="shared" ca="1" si="85"/>
        <v>-6.5585670611147959</v>
      </c>
      <c r="Q830" s="3">
        <f t="shared" ca="1" si="86"/>
        <v>9.9491347503714369</v>
      </c>
    </row>
    <row r="831" spans="7:17" x14ac:dyDescent="0.25">
      <c r="G831" s="3">
        <f t="shared" ca="1" si="81"/>
        <v>0</v>
      </c>
      <c r="H831" s="3">
        <f t="shared" ca="1" si="82"/>
        <v>1.7480382816573001</v>
      </c>
      <c r="I831" s="3">
        <f t="shared" ca="1" si="83"/>
        <v>6.6106699389269536</v>
      </c>
      <c r="O831" s="3">
        <f t="shared" ca="1" si="84"/>
        <v>-7.6709659412549964</v>
      </c>
      <c r="P831" s="3">
        <f t="shared" ca="1" si="85"/>
        <v>-2.473614765243306</v>
      </c>
      <c r="Q831" s="3">
        <f t="shared" ca="1" si="86"/>
        <v>8.0599310467722898</v>
      </c>
    </row>
    <row r="832" spans="7:17" x14ac:dyDescent="0.25">
      <c r="G832" s="3">
        <f t="shared" ca="1" si="81"/>
        <v>0</v>
      </c>
      <c r="H832" s="3">
        <f t="shared" ca="1" si="82"/>
        <v>4.4299041836652481E-2</v>
      </c>
      <c r="I832" s="3">
        <f t="shared" ca="1" si="83"/>
        <v>1.0523668780023019</v>
      </c>
      <c r="O832" s="3">
        <f t="shared" ca="1" si="84"/>
        <v>-3.439071040897189</v>
      </c>
      <c r="P832" s="3">
        <f t="shared" ca="1" si="85"/>
        <v>-6.6475603077968648</v>
      </c>
      <c r="Q832" s="3">
        <f t="shared" ca="1" si="86"/>
        <v>7.4844684293631722</v>
      </c>
    </row>
    <row r="833" spans="7:17" x14ac:dyDescent="0.25">
      <c r="G833" s="3">
        <f t="shared" ca="1" si="81"/>
        <v>1</v>
      </c>
      <c r="H833" s="3">
        <f t="shared" ca="1" si="82"/>
        <v>6.3993022208968942</v>
      </c>
      <c r="I833" s="3">
        <f t="shared" ca="1" si="83"/>
        <v>12.648421068355622</v>
      </c>
      <c r="O833" s="3">
        <f t="shared" ca="1" si="84"/>
        <v>-6.2661088245712886</v>
      </c>
      <c r="P833" s="3">
        <f t="shared" ca="1" si="85"/>
        <v>-1.0951401735167809</v>
      </c>
      <c r="Q833" s="3">
        <f t="shared" ca="1" si="86"/>
        <v>6.3610888848545848</v>
      </c>
    </row>
    <row r="834" spans="7:17" x14ac:dyDescent="0.25">
      <c r="G834" s="3">
        <f t="shared" ca="1" si="81"/>
        <v>0</v>
      </c>
      <c r="H834" s="3">
        <f t="shared" ca="1" si="82"/>
        <v>0.28269458738646053</v>
      </c>
      <c r="I834" s="3">
        <f t="shared" ca="1" si="83"/>
        <v>2.658451557704506</v>
      </c>
      <c r="O834" s="3">
        <f t="shared" ca="1" si="84"/>
        <v>-5.1095770401006835</v>
      </c>
      <c r="P834" s="3">
        <f t="shared" ca="1" si="85"/>
        <v>5.6908576828479251</v>
      </c>
      <c r="Q834" s="3">
        <f t="shared" ca="1" si="86"/>
        <v>7.6481134075766244</v>
      </c>
    </row>
    <row r="835" spans="7:17" x14ac:dyDescent="0.25">
      <c r="G835" s="3">
        <f t="shared" ca="1" si="81"/>
        <v>0</v>
      </c>
      <c r="H835" s="3">
        <f t="shared" ca="1" si="82"/>
        <v>1.1866763933779048</v>
      </c>
      <c r="I835" s="3">
        <f t="shared" ca="1" si="83"/>
        <v>5.4467338685167661</v>
      </c>
      <c r="O835" s="3">
        <f t="shared" ca="1" si="84"/>
        <v>-11.377707025013056</v>
      </c>
      <c r="P835" s="3">
        <f t="shared" ca="1" si="85"/>
        <v>4.5932527310465128</v>
      </c>
      <c r="Q835" s="3">
        <f t="shared" ca="1" si="86"/>
        <v>12.269889477835473</v>
      </c>
    </row>
    <row r="836" spans="7:17" x14ac:dyDescent="0.25">
      <c r="G836" s="3">
        <f t="shared" ref="G836:G899" ca="1" si="87">VLOOKUP(RAND(),$B$9:$C$169,2,TRUE)</f>
        <v>0</v>
      </c>
      <c r="H836" s="3">
        <f t="shared" ref="H836:H899" ca="1" si="88">_xlfn.CHISQ.INV(RAND(),2*G836+2)</f>
        <v>1.9527960902755113</v>
      </c>
      <c r="I836" s="3">
        <f t="shared" ref="I836:I899" ca="1" si="89">$C$4*SQRT(H836)</f>
        <v>6.9871240333121163</v>
      </c>
      <c r="O836" s="3">
        <f t="shared" ref="O836:O899" ca="1" si="90">_xlfn.NORM.INV(RAND(),$C$3*COS($N$2),$C$4)</f>
        <v>-7.4783575429095244</v>
      </c>
      <c r="P836" s="3">
        <f t="shared" ref="P836:P899" ca="1" si="91">_xlfn.NORM.INV(RAND(),$C$3*SIN($N$2),$C$4)</f>
        <v>0.87782225891912724</v>
      </c>
      <c r="Q836" s="3">
        <f t="shared" ref="Q836:Q899" ca="1" si="92">SQRT(O836^2+P836^2)</f>
        <v>7.5297014189040494</v>
      </c>
    </row>
    <row r="837" spans="7:17" x14ac:dyDescent="0.25">
      <c r="G837" s="3">
        <f t="shared" ca="1" si="87"/>
        <v>0</v>
      </c>
      <c r="H837" s="3">
        <f t="shared" ca="1" si="88"/>
        <v>2.0001428192163564</v>
      </c>
      <c r="I837" s="3">
        <f t="shared" ca="1" si="89"/>
        <v>7.0713202784493445</v>
      </c>
      <c r="O837" s="3">
        <f t="shared" ca="1" si="90"/>
        <v>-14.445806690809896</v>
      </c>
      <c r="P837" s="3">
        <f t="shared" ca="1" si="91"/>
        <v>-0.94632275743956817</v>
      </c>
      <c r="Q837" s="3">
        <f t="shared" ca="1" si="92"/>
        <v>14.476769588188381</v>
      </c>
    </row>
    <row r="838" spans="7:17" x14ac:dyDescent="0.25">
      <c r="G838" s="3">
        <f t="shared" ca="1" si="87"/>
        <v>0</v>
      </c>
      <c r="H838" s="3">
        <f t="shared" ca="1" si="88"/>
        <v>5.6760840727223769</v>
      </c>
      <c r="I838" s="3">
        <f t="shared" ca="1" si="89"/>
        <v>11.912266863114652</v>
      </c>
      <c r="O838" s="3">
        <f t="shared" ca="1" si="90"/>
        <v>-1.3267445262114181</v>
      </c>
      <c r="P838" s="3">
        <f t="shared" ca="1" si="91"/>
        <v>0.34849919351759012</v>
      </c>
      <c r="Q838" s="3">
        <f t="shared" ca="1" si="92"/>
        <v>1.3717516997308119</v>
      </c>
    </row>
    <row r="839" spans="7:17" x14ac:dyDescent="0.25">
      <c r="G839" s="3">
        <f t="shared" ca="1" si="87"/>
        <v>1</v>
      </c>
      <c r="H839" s="3">
        <f t="shared" ca="1" si="88"/>
        <v>2.598660016236725</v>
      </c>
      <c r="I839" s="3">
        <f t="shared" ca="1" si="89"/>
        <v>8.0601799239172163</v>
      </c>
      <c r="O839" s="3">
        <f t="shared" ca="1" si="90"/>
        <v>0.29441167544833746</v>
      </c>
      <c r="P839" s="3">
        <f t="shared" ca="1" si="91"/>
        <v>-6.3034595823016266</v>
      </c>
      <c r="Q839" s="3">
        <f t="shared" ca="1" si="92"/>
        <v>6.3103312861014276</v>
      </c>
    </row>
    <row r="840" spans="7:17" x14ac:dyDescent="0.25">
      <c r="G840" s="3">
        <f t="shared" ca="1" si="87"/>
        <v>0</v>
      </c>
      <c r="H840" s="3">
        <f t="shared" ca="1" si="88"/>
        <v>1.0328363410432115</v>
      </c>
      <c r="I840" s="3">
        <f t="shared" ca="1" si="89"/>
        <v>5.0814278038834999</v>
      </c>
      <c r="O840" s="3">
        <f t="shared" ca="1" si="90"/>
        <v>-7.2085382566048821</v>
      </c>
      <c r="P840" s="3">
        <f t="shared" ca="1" si="91"/>
        <v>-7.161990913830663</v>
      </c>
      <c r="Q840" s="3">
        <f t="shared" ca="1" si="92"/>
        <v>10.161551931015712</v>
      </c>
    </row>
    <row r="841" spans="7:17" x14ac:dyDescent="0.25">
      <c r="G841" s="3">
        <f t="shared" ca="1" si="87"/>
        <v>1</v>
      </c>
      <c r="H841" s="3">
        <f t="shared" ca="1" si="88"/>
        <v>5.2345980504418153</v>
      </c>
      <c r="I841" s="3">
        <f t="shared" ca="1" si="89"/>
        <v>11.43962198942978</v>
      </c>
      <c r="O841" s="3">
        <f t="shared" ca="1" si="90"/>
        <v>-9.7602259724259426</v>
      </c>
      <c r="P841" s="3">
        <f t="shared" ca="1" si="91"/>
        <v>10.660214145499014</v>
      </c>
      <c r="Q841" s="3">
        <f t="shared" ca="1" si="92"/>
        <v>14.453448607883006</v>
      </c>
    </row>
    <row r="842" spans="7:17" x14ac:dyDescent="0.25">
      <c r="G842" s="3">
        <f t="shared" ca="1" si="87"/>
        <v>1</v>
      </c>
      <c r="H842" s="3">
        <f t="shared" ca="1" si="88"/>
        <v>14.538537205399548</v>
      </c>
      <c r="I842" s="3">
        <f t="shared" ca="1" si="89"/>
        <v>19.064716891026436</v>
      </c>
      <c r="O842" s="3">
        <f t="shared" ca="1" si="90"/>
        <v>-11.307702765946898</v>
      </c>
      <c r="P842" s="3">
        <f t="shared" ca="1" si="91"/>
        <v>3.8090209841465792</v>
      </c>
      <c r="Q842" s="3">
        <f t="shared" ca="1" si="92"/>
        <v>11.932006650210688</v>
      </c>
    </row>
    <row r="843" spans="7:17" x14ac:dyDescent="0.25">
      <c r="G843" s="3">
        <f t="shared" ca="1" si="87"/>
        <v>0</v>
      </c>
      <c r="H843" s="3">
        <f t="shared" ca="1" si="88"/>
        <v>0.54949349260823888</v>
      </c>
      <c r="I843" s="3">
        <f t="shared" ca="1" si="89"/>
        <v>3.7063914141933219</v>
      </c>
      <c r="O843" s="3">
        <f t="shared" ca="1" si="90"/>
        <v>-3.6590064218536504</v>
      </c>
      <c r="P843" s="3">
        <f t="shared" ca="1" si="91"/>
        <v>3.844225505365042</v>
      </c>
      <c r="Q843" s="3">
        <f t="shared" ca="1" si="92"/>
        <v>5.3072024392579342</v>
      </c>
    </row>
    <row r="844" spans="7:17" x14ac:dyDescent="0.25">
      <c r="G844" s="3">
        <f t="shared" ca="1" si="87"/>
        <v>2</v>
      </c>
      <c r="H844" s="3">
        <f t="shared" ca="1" si="88"/>
        <v>7.6284385416702438</v>
      </c>
      <c r="I844" s="3">
        <f t="shared" ca="1" si="89"/>
        <v>13.809814029948271</v>
      </c>
      <c r="O844" s="3">
        <f t="shared" ca="1" si="90"/>
        <v>-10.327066917542563</v>
      </c>
      <c r="P844" s="3">
        <f t="shared" ca="1" si="91"/>
        <v>-3.4648911872268835</v>
      </c>
      <c r="Q844" s="3">
        <f t="shared" ca="1" si="92"/>
        <v>10.892831682291092</v>
      </c>
    </row>
    <row r="845" spans="7:17" x14ac:dyDescent="0.25">
      <c r="G845" s="3">
        <f t="shared" ca="1" si="87"/>
        <v>0</v>
      </c>
      <c r="H845" s="3">
        <f t="shared" ca="1" si="88"/>
        <v>3.9133738368521014</v>
      </c>
      <c r="I845" s="3">
        <f t="shared" ca="1" si="89"/>
        <v>9.8911246034666114</v>
      </c>
      <c r="O845" s="3">
        <f t="shared" ca="1" si="90"/>
        <v>-4.8811610042523172</v>
      </c>
      <c r="P845" s="3">
        <f t="shared" ca="1" si="91"/>
        <v>-6.038314566345238</v>
      </c>
      <c r="Q845" s="3">
        <f t="shared" ca="1" si="92"/>
        <v>7.7644687874683722</v>
      </c>
    </row>
    <row r="846" spans="7:17" x14ac:dyDescent="0.25">
      <c r="G846" s="3">
        <f t="shared" ca="1" si="87"/>
        <v>0</v>
      </c>
      <c r="H846" s="3">
        <f t="shared" ca="1" si="88"/>
        <v>0.23518637820979854</v>
      </c>
      <c r="I846" s="3">
        <f t="shared" ca="1" si="89"/>
        <v>2.424800910434703</v>
      </c>
      <c r="O846" s="3">
        <f t="shared" ca="1" si="90"/>
        <v>-3.4618578637262716</v>
      </c>
      <c r="P846" s="3">
        <f t="shared" ca="1" si="91"/>
        <v>-6.6935859621386742</v>
      </c>
      <c r="Q846" s="3">
        <f t="shared" ca="1" si="92"/>
        <v>7.5358179981461433</v>
      </c>
    </row>
    <row r="847" spans="7:17" x14ac:dyDescent="0.25">
      <c r="G847" s="3">
        <f t="shared" ca="1" si="87"/>
        <v>0</v>
      </c>
      <c r="H847" s="3">
        <f t="shared" ca="1" si="88"/>
        <v>8.6088357001691271</v>
      </c>
      <c r="I847" s="3">
        <f t="shared" ca="1" si="89"/>
        <v>14.670408736781269</v>
      </c>
      <c r="O847" s="3">
        <f t="shared" ca="1" si="90"/>
        <v>3.7867330220435385</v>
      </c>
      <c r="P847" s="3">
        <f t="shared" ca="1" si="91"/>
        <v>6.2320184942868426</v>
      </c>
      <c r="Q847" s="3">
        <f t="shared" ca="1" si="92"/>
        <v>7.2922836953431975</v>
      </c>
    </row>
    <row r="848" spans="7:17" x14ac:dyDescent="0.25">
      <c r="G848" s="3">
        <f t="shared" ca="1" si="87"/>
        <v>1</v>
      </c>
      <c r="H848" s="3">
        <f t="shared" ca="1" si="88"/>
        <v>6.7670812715942956</v>
      </c>
      <c r="I848" s="3">
        <f t="shared" ca="1" si="89"/>
        <v>13.006807132800017</v>
      </c>
      <c r="O848" s="3">
        <f t="shared" ca="1" si="90"/>
        <v>-7.9881830168279997</v>
      </c>
      <c r="P848" s="3">
        <f t="shared" ca="1" si="91"/>
        <v>1.4664087694226395</v>
      </c>
      <c r="Q848" s="3">
        <f t="shared" ca="1" si="92"/>
        <v>8.1216637820940907</v>
      </c>
    </row>
    <row r="849" spans="7:17" x14ac:dyDescent="0.25">
      <c r="G849" s="3">
        <f t="shared" ca="1" si="87"/>
        <v>0</v>
      </c>
      <c r="H849" s="3">
        <f t="shared" ca="1" si="88"/>
        <v>0.83755416569916052</v>
      </c>
      <c r="I849" s="3">
        <f t="shared" ca="1" si="89"/>
        <v>4.5758992714524442</v>
      </c>
      <c r="O849" s="3">
        <f t="shared" ca="1" si="90"/>
        <v>-10.065197264688786</v>
      </c>
      <c r="P849" s="3">
        <f t="shared" ca="1" si="91"/>
        <v>-1.5752783466212763</v>
      </c>
      <c r="Q849" s="3">
        <f t="shared" ca="1" si="92"/>
        <v>10.187722897999949</v>
      </c>
    </row>
    <row r="850" spans="7:17" x14ac:dyDescent="0.25">
      <c r="G850" s="3">
        <f t="shared" ca="1" si="87"/>
        <v>1</v>
      </c>
      <c r="H850" s="3">
        <f t="shared" ca="1" si="88"/>
        <v>2.0500957307676337</v>
      </c>
      <c r="I850" s="3">
        <f t="shared" ca="1" si="89"/>
        <v>7.1590776828576761</v>
      </c>
      <c r="O850" s="3">
        <f t="shared" ca="1" si="90"/>
        <v>-4.722007344382722</v>
      </c>
      <c r="P850" s="3">
        <f t="shared" ca="1" si="91"/>
        <v>-3.6021735450051247</v>
      </c>
      <c r="Q850" s="3">
        <f t="shared" ca="1" si="92"/>
        <v>5.9391083176466104</v>
      </c>
    </row>
    <row r="851" spans="7:17" x14ac:dyDescent="0.25">
      <c r="G851" s="3">
        <f t="shared" ca="1" si="87"/>
        <v>0</v>
      </c>
      <c r="H851" s="3">
        <f t="shared" ca="1" si="88"/>
        <v>1.1438024524667521</v>
      </c>
      <c r="I851" s="3">
        <f t="shared" ca="1" si="89"/>
        <v>5.3474350217341406</v>
      </c>
      <c r="O851" s="3">
        <f t="shared" ca="1" si="90"/>
        <v>-5.1662247707221658</v>
      </c>
      <c r="P851" s="3">
        <f t="shared" ca="1" si="91"/>
        <v>7.9895050705864383</v>
      </c>
      <c r="Q851" s="3">
        <f t="shared" ca="1" si="92"/>
        <v>9.5143086798016867</v>
      </c>
    </row>
    <row r="852" spans="7:17" x14ac:dyDescent="0.25">
      <c r="G852" s="3">
        <f t="shared" ca="1" si="87"/>
        <v>1</v>
      </c>
      <c r="H852" s="3">
        <f t="shared" ca="1" si="88"/>
        <v>1.133220119932421</v>
      </c>
      <c r="I852" s="3">
        <f t="shared" ca="1" si="89"/>
        <v>5.3226406039024017</v>
      </c>
      <c r="O852" s="3">
        <f t="shared" ca="1" si="90"/>
        <v>-4.6700834732179066</v>
      </c>
      <c r="P852" s="3">
        <f t="shared" ca="1" si="91"/>
        <v>-3.1055663605744743</v>
      </c>
      <c r="Q852" s="3">
        <f t="shared" ca="1" si="92"/>
        <v>5.6084063749656021</v>
      </c>
    </row>
    <row r="853" spans="7:17" x14ac:dyDescent="0.25">
      <c r="G853" s="3">
        <f t="shared" ca="1" si="87"/>
        <v>1</v>
      </c>
      <c r="H853" s="3">
        <f t="shared" ca="1" si="88"/>
        <v>2.3605085258183371</v>
      </c>
      <c r="I853" s="3">
        <f t="shared" ca="1" si="89"/>
        <v>7.6819732585748071</v>
      </c>
      <c r="O853" s="3">
        <f t="shared" ca="1" si="90"/>
        <v>-10.767030136855302</v>
      </c>
      <c r="P853" s="3">
        <f t="shared" ca="1" si="91"/>
        <v>4.9854124195377461</v>
      </c>
      <c r="Q853" s="3">
        <f t="shared" ca="1" si="92"/>
        <v>11.865212807229017</v>
      </c>
    </row>
    <row r="854" spans="7:17" x14ac:dyDescent="0.25">
      <c r="G854" s="3">
        <f t="shared" ca="1" si="87"/>
        <v>0</v>
      </c>
      <c r="H854" s="3">
        <f t="shared" ca="1" si="88"/>
        <v>4.411410479498076</v>
      </c>
      <c r="I854" s="3">
        <f t="shared" ca="1" si="89"/>
        <v>10.501679008018286</v>
      </c>
      <c r="O854" s="3">
        <f t="shared" ca="1" si="90"/>
        <v>-9.509168644983637</v>
      </c>
      <c r="P854" s="3">
        <f t="shared" ca="1" si="91"/>
        <v>5.2451576108016438</v>
      </c>
      <c r="Q854" s="3">
        <f t="shared" ca="1" si="92"/>
        <v>10.859832718826306</v>
      </c>
    </row>
    <row r="855" spans="7:17" x14ac:dyDescent="0.25">
      <c r="G855" s="3">
        <f t="shared" ca="1" si="87"/>
        <v>1</v>
      </c>
      <c r="H855" s="3">
        <f t="shared" ca="1" si="88"/>
        <v>6.2666411206221175</v>
      </c>
      <c r="I855" s="3">
        <f t="shared" ca="1" si="89"/>
        <v>12.516630058268596</v>
      </c>
      <c r="O855" s="3">
        <f t="shared" ca="1" si="90"/>
        <v>-4.5500567426087386</v>
      </c>
      <c r="P855" s="3">
        <f t="shared" ca="1" si="91"/>
        <v>-9.2435489239132433</v>
      </c>
      <c r="Q855" s="3">
        <f t="shared" ca="1" si="92"/>
        <v>10.302728428418218</v>
      </c>
    </row>
    <row r="856" spans="7:17" x14ac:dyDescent="0.25">
      <c r="G856" s="3">
        <f t="shared" ca="1" si="87"/>
        <v>1</v>
      </c>
      <c r="H856" s="3">
        <f t="shared" ca="1" si="88"/>
        <v>0.76660998517865175</v>
      </c>
      <c r="I856" s="3">
        <f t="shared" ca="1" si="89"/>
        <v>4.3778133388104035</v>
      </c>
      <c r="O856" s="3">
        <f t="shared" ca="1" si="90"/>
        <v>-9.4733199558878205</v>
      </c>
      <c r="P856" s="3">
        <f t="shared" ca="1" si="91"/>
        <v>-2.3646384756778653</v>
      </c>
      <c r="Q856" s="3">
        <f t="shared" ca="1" si="92"/>
        <v>9.7639800341499345</v>
      </c>
    </row>
    <row r="857" spans="7:17" x14ac:dyDescent="0.25">
      <c r="G857" s="3">
        <f t="shared" ca="1" si="87"/>
        <v>1</v>
      </c>
      <c r="H857" s="3">
        <f t="shared" ca="1" si="88"/>
        <v>1.2192082283057661</v>
      </c>
      <c r="I857" s="3">
        <f t="shared" ca="1" si="89"/>
        <v>5.5208881267097007</v>
      </c>
      <c r="O857" s="3">
        <f t="shared" ca="1" si="90"/>
        <v>-2.6273673322410875</v>
      </c>
      <c r="P857" s="3">
        <f t="shared" ca="1" si="91"/>
        <v>-4.682630003342136</v>
      </c>
      <c r="Q857" s="3">
        <f t="shared" ca="1" si="92"/>
        <v>5.3693652182290244</v>
      </c>
    </row>
    <row r="858" spans="7:17" x14ac:dyDescent="0.25">
      <c r="G858" s="3">
        <f t="shared" ca="1" si="87"/>
        <v>0</v>
      </c>
      <c r="H858" s="3">
        <f t="shared" ca="1" si="88"/>
        <v>9.8744589277617614</v>
      </c>
      <c r="I858" s="3">
        <f t="shared" ca="1" si="89"/>
        <v>15.711825902613739</v>
      </c>
      <c r="O858" s="3">
        <f t="shared" ca="1" si="90"/>
        <v>-1.3898210505996271</v>
      </c>
      <c r="P858" s="3">
        <f t="shared" ca="1" si="91"/>
        <v>6.8114959018422514</v>
      </c>
      <c r="Q858" s="3">
        <f t="shared" ca="1" si="92"/>
        <v>6.9518399703606262</v>
      </c>
    </row>
    <row r="859" spans="7:17" x14ac:dyDescent="0.25">
      <c r="G859" s="3">
        <f t="shared" ca="1" si="87"/>
        <v>0</v>
      </c>
      <c r="H859" s="3">
        <f t="shared" ca="1" si="88"/>
        <v>0.12388900973895718</v>
      </c>
      <c r="I859" s="3">
        <f t="shared" ca="1" si="89"/>
        <v>1.7598935318575182</v>
      </c>
      <c r="O859" s="3">
        <f t="shared" ca="1" si="90"/>
        <v>-4.5479908732235836</v>
      </c>
      <c r="P859" s="3">
        <f t="shared" ca="1" si="91"/>
        <v>3.3775224918674382</v>
      </c>
      <c r="Q859" s="3">
        <f t="shared" ca="1" si="92"/>
        <v>5.6649694761750871</v>
      </c>
    </row>
    <row r="860" spans="7:17" x14ac:dyDescent="0.25">
      <c r="G860" s="3">
        <f t="shared" ca="1" si="87"/>
        <v>0</v>
      </c>
      <c r="H860" s="3">
        <f t="shared" ca="1" si="88"/>
        <v>0.10623463650396434</v>
      </c>
      <c r="I860" s="3">
        <f t="shared" ca="1" si="89"/>
        <v>1.6296827644051184</v>
      </c>
      <c r="O860" s="3">
        <f t="shared" ca="1" si="90"/>
        <v>-7.2537863835585004</v>
      </c>
      <c r="P860" s="3">
        <f t="shared" ca="1" si="91"/>
        <v>-1.3415181457455108</v>
      </c>
      <c r="Q860" s="3">
        <f t="shared" ca="1" si="92"/>
        <v>7.3767938722498663</v>
      </c>
    </row>
    <row r="861" spans="7:17" x14ac:dyDescent="0.25">
      <c r="G861" s="3">
        <f t="shared" ca="1" si="87"/>
        <v>2</v>
      </c>
      <c r="H861" s="3">
        <f t="shared" ca="1" si="88"/>
        <v>2.0545556820149584</v>
      </c>
      <c r="I861" s="3">
        <f t="shared" ca="1" si="89"/>
        <v>7.1668606830587933</v>
      </c>
      <c r="O861" s="3">
        <f t="shared" ca="1" si="90"/>
        <v>-5.9349700328295274</v>
      </c>
      <c r="P861" s="3">
        <f t="shared" ca="1" si="91"/>
        <v>4.0281161460887791</v>
      </c>
      <c r="Q861" s="3">
        <f t="shared" ca="1" si="92"/>
        <v>7.1728368848709811</v>
      </c>
    </row>
    <row r="862" spans="7:17" x14ac:dyDescent="0.25">
      <c r="G862" s="3">
        <f t="shared" ca="1" si="87"/>
        <v>0</v>
      </c>
      <c r="H862" s="3">
        <f t="shared" ca="1" si="88"/>
        <v>1.3101024095585108</v>
      </c>
      <c r="I862" s="3">
        <f t="shared" ca="1" si="89"/>
        <v>5.7229852558750114</v>
      </c>
      <c r="O862" s="3">
        <f t="shared" ca="1" si="90"/>
        <v>0.16766656987800665</v>
      </c>
      <c r="P862" s="3">
        <f t="shared" ca="1" si="91"/>
        <v>-0.4943868337101015</v>
      </c>
      <c r="Q862" s="3">
        <f t="shared" ca="1" si="92"/>
        <v>0.52204446170853691</v>
      </c>
    </row>
    <row r="863" spans="7:17" x14ac:dyDescent="0.25">
      <c r="G863" s="3">
        <f t="shared" ca="1" si="87"/>
        <v>0</v>
      </c>
      <c r="H863" s="3">
        <f t="shared" ca="1" si="88"/>
        <v>3.9600724501301032</v>
      </c>
      <c r="I863" s="3">
        <f t="shared" ca="1" si="89"/>
        <v>9.9499653895504867</v>
      </c>
      <c r="O863" s="3">
        <f t="shared" ca="1" si="90"/>
        <v>2.0474649568107122</v>
      </c>
      <c r="P863" s="3">
        <f t="shared" ca="1" si="91"/>
        <v>8.1609099230405633</v>
      </c>
      <c r="Q863" s="3">
        <f t="shared" ca="1" si="92"/>
        <v>8.4138316789290375</v>
      </c>
    </row>
    <row r="864" spans="7:17" x14ac:dyDescent="0.25">
      <c r="G864" s="3">
        <f t="shared" ca="1" si="87"/>
        <v>2</v>
      </c>
      <c r="H864" s="3">
        <f t="shared" ca="1" si="88"/>
        <v>1.3076576459899198</v>
      </c>
      <c r="I864" s="3">
        <f t="shared" ca="1" si="89"/>
        <v>5.7176429715178951</v>
      </c>
      <c r="O864" s="3">
        <f t="shared" ca="1" si="90"/>
        <v>0.88466441263632412</v>
      </c>
      <c r="P864" s="3">
        <f t="shared" ca="1" si="91"/>
        <v>2.0844701452157905</v>
      </c>
      <c r="Q864" s="3">
        <f t="shared" ca="1" si="92"/>
        <v>2.2644308135337479</v>
      </c>
    </row>
    <row r="865" spans="7:17" x14ac:dyDescent="0.25">
      <c r="G865" s="3">
        <f t="shared" ca="1" si="87"/>
        <v>0</v>
      </c>
      <c r="H865" s="3">
        <f t="shared" ca="1" si="88"/>
        <v>1.8266610454787018</v>
      </c>
      <c r="I865" s="3">
        <f t="shared" ca="1" si="89"/>
        <v>6.7577012465014716</v>
      </c>
      <c r="O865" s="3">
        <f t="shared" ca="1" si="90"/>
        <v>-2.3594074847751569</v>
      </c>
      <c r="P865" s="3">
        <f t="shared" ca="1" si="91"/>
        <v>4.3749263994874799</v>
      </c>
      <c r="Q865" s="3">
        <f t="shared" ca="1" si="92"/>
        <v>4.9705919848792171</v>
      </c>
    </row>
    <row r="866" spans="7:17" x14ac:dyDescent="0.25">
      <c r="G866" s="3">
        <f t="shared" ca="1" si="87"/>
        <v>0</v>
      </c>
      <c r="H866" s="3">
        <f t="shared" ca="1" si="88"/>
        <v>0.76723878279509061</v>
      </c>
      <c r="I866" s="3">
        <f t="shared" ca="1" si="89"/>
        <v>4.3796083808803346</v>
      </c>
      <c r="O866" s="3">
        <f t="shared" ca="1" si="90"/>
        <v>-15.678900441175465</v>
      </c>
      <c r="P866" s="3">
        <f t="shared" ca="1" si="91"/>
        <v>0.36456460846324495</v>
      </c>
      <c r="Q866" s="3">
        <f t="shared" ca="1" si="92"/>
        <v>15.683138282819423</v>
      </c>
    </row>
    <row r="867" spans="7:17" x14ac:dyDescent="0.25">
      <c r="G867" s="3">
        <f t="shared" ca="1" si="87"/>
        <v>1</v>
      </c>
      <c r="H867" s="3">
        <f t="shared" ca="1" si="88"/>
        <v>3.5722316890281545</v>
      </c>
      <c r="I867" s="3">
        <f t="shared" ca="1" si="89"/>
        <v>9.4501741902307739</v>
      </c>
      <c r="O867" s="3">
        <f t="shared" ca="1" si="90"/>
        <v>-6.1369904852040129</v>
      </c>
      <c r="P867" s="3">
        <f t="shared" ca="1" si="91"/>
        <v>-3.1867561661357682</v>
      </c>
      <c r="Q867" s="3">
        <f t="shared" ca="1" si="92"/>
        <v>6.9150608875040955</v>
      </c>
    </row>
    <row r="868" spans="7:17" x14ac:dyDescent="0.25">
      <c r="G868" s="3">
        <f t="shared" ca="1" si="87"/>
        <v>0</v>
      </c>
      <c r="H868" s="3">
        <f t="shared" ca="1" si="88"/>
        <v>2.2896130868524209</v>
      </c>
      <c r="I868" s="3">
        <f t="shared" ca="1" si="89"/>
        <v>7.5657337496974169</v>
      </c>
      <c r="O868" s="3">
        <f t="shared" ca="1" si="90"/>
        <v>-3.2791422584570449</v>
      </c>
      <c r="P868" s="3">
        <f t="shared" ca="1" si="91"/>
        <v>-2.4355555791058374</v>
      </c>
      <c r="Q868" s="3">
        <f t="shared" ca="1" si="92"/>
        <v>4.0846915342669803</v>
      </c>
    </row>
    <row r="869" spans="7:17" x14ac:dyDescent="0.25">
      <c r="G869" s="3">
        <f t="shared" ca="1" si="87"/>
        <v>0</v>
      </c>
      <c r="H869" s="3">
        <f t="shared" ca="1" si="88"/>
        <v>1.0746046612176425</v>
      </c>
      <c r="I869" s="3">
        <f t="shared" ca="1" si="89"/>
        <v>5.1831570042244586</v>
      </c>
      <c r="O869" s="3">
        <f t="shared" ca="1" si="90"/>
        <v>-15.07879051520392</v>
      </c>
      <c r="P869" s="3">
        <f t="shared" ca="1" si="91"/>
        <v>-5.7540282948789008</v>
      </c>
      <c r="Q869" s="3">
        <f t="shared" ca="1" si="92"/>
        <v>16.139354541606387</v>
      </c>
    </row>
    <row r="870" spans="7:17" x14ac:dyDescent="0.25">
      <c r="G870" s="3">
        <f t="shared" ca="1" si="87"/>
        <v>0</v>
      </c>
      <c r="H870" s="3">
        <f t="shared" ca="1" si="88"/>
        <v>2.1017312947763296</v>
      </c>
      <c r="I870" s="3">
        <f t="shared" ca="1" si="89"/>
        <v>7.2486745250016735</v>
      </c>
      <c r="O870" s="3">
        <f t="shared" ca="1" si="90"/>
        <v>-8.0332270016280596</v>
      </c>
      <c r="P870" s="3">
        <f t="shared" ca="1" si="91"/>
        <v>-6.5634606183061308</v>
      </c>
      <c r="Q870" s="3">
        <f t="shared" ca="1" si="92"/>
        <v>10.373608405359324</v>
      </c>
    </row>
    <row r="871" spans="7:17" x14ac:dyDescent="0.25">
      <c r="G871" s="3">
        <f t="shared" ca="1" si="87"/>
        <v>0</v>
      </c>
      <c r="H871" s="3">
        <f t="shared" ca="1" si="88"/>
        <v>0.58655237374353164</v>
      </c>
      <c r="I871" s="3">
        <f t="shared" ca="1" si="89"/>
        <v>3.8293353657767155</v>
      </c>
      <c r="O871" s="3">
        <f t="shared" ca="1" si="90"/>
        <v>2.2518507229822085</v>
      </c>
      <c r="P871" s="3">
        <f t="shared" ca="1" si="91"/>
        <v>2.7080804515817269</v>
      </c>
      <c r="Q871" s="3">
        <f t="shared" ca="1" si="92"/>
        <v>3.522006730662874</v>
      </c>
    </row>
    <row r="872" spans="7:17" x14ac:dyDescent="0.25">
      <c r="G872" s="3">
        <f t="shared" ca="1" si="87"/>
        <v>0</v>
      </c>
      <c r="H872" s="3">
        <f t="shared" ca="1" si="88"/>
        <v>0.5018856317476198</v>
      </c>
      <c r="I872" s="3">
        <f t="shared" ca="1" si="89"/>
        <v>3.5421943472500903</v>
      </c>
      <c r="O872" s="3">
        <f t="shared" ca="1" si="90"/>
        <v>-15.220652438881135</v>
      </c>
      <c r="P872" s="3">
        <f t="shared" ca="1" si="91"/>
        <v>-5.1158437440214444</v>
      </c>
      <c r="Q872" s="3">
        <f t="shared" ca="1" si="92"/>
        <v>16.057400719869378</v>
      </c>
    </row>
    <row r="873" spans="7:17" x14ac:dyDescent="0.25">
      <c r="G873" s="3">
        <f t="shared" ca="1" si="87"/>
        <v>1</v>
      </c>
      <c r="H873" s="3">
        <f t="shared" ca="1" si="88"/>
        <v>5.4234313159687888</v>
      </c>
      <c r="I873" s="3">
        <f t="shared" ca="1" si="89"/>
        <v>11.644130834854945</v>
      </c>
      <c r="O873" s="3">
        <f t="shared" ca="1" si="90"/>
        <v>5.6198203498496113</v>
      </c>
      <c r="P873" s="3">
        <f t="shared" ca="1" si="91"/>
        <v>8.6586894570074584</v>
      </c>
      <c r="Q873" s="3">
        <f t="shared" ca="1" si="92"/>
        <v>10.322561885378839</v>
      </c>
    </row>
    <row r="874" spans="7:17" x14ac:dyDescent="0.25">
      <c r="G874" s="3">
        <f t="shared" ca="1" si="87"/>
        <v>0</v>
      </c>
      <c r="H874" s="3">
        <f t="shared" ca="1" si="88"/>
        <v>1.5198815600809799</v>
      </c>
      <c r="I874" s="3">
        <f t="shared" ca="1" si="89"/>
        <v>6.1641738296404736</v>
      </c>
      <c r="O874" s="3">
        <f t="shared" ca="1" si="90"/>
        <v>-2.7900724118261349</v>
      </c>
      <c r="P874" s="3">
        <f t="shared" ca="1" si="91"/>
        <v>-0.80258210459584911</v>
      </c>
      <c r="Q874" s="3">
        <f t="shared" ca="1" si="92"/>
        <v>2.9032123756023789</v>
      </c>
    </row>
    <row r="875" spans="7:17" x14ac:dyDescent="0.25">
      <c r="G875" s="3">
        <f t="shared" ca="1" si="87"/>
        <v>0</v>
      </c>
      <c r="H875" s="3">
        <f t="shared" ca="1" si="88"/>
        <v>2.5009264170262986</v>
      </c>
      <c r="I875" s="3">
        <f t="shared" ca="1" si="89"/>
        <v>7.9071588086782132</v>
      </c>
      <c r="O875" s="3">
        <f t="shared" ca="1" si="90"/>
        <v>-4.9300012810842881</v>
      </c>
      <c r="P875" s="3">
        <f t="shared" ca="1" si="91"/>
        <v>-1.7945488127090021</v>
      </c>
      <c r="Q875" s="3">
        <f t="shared" ca="1" si="92"/>
        <v>5.2464576690075386</v>
      </c>
    </row>
    <row r="876" spans="7:17" x14ac:dyDescent="0.25">
      <c r="G876" s="3">
        <f t="shared" ca="1" si="87"/>
        <v>0</v>
      </c>
      <c r="H876" s="3">
        <f t="shared" ca="1" si="88"/>
        <v>7.46234185512776</v>
      </c>
      <c r="I876" s="3">
        <f t="shared" ca="1" si="89"/>
        <v>13.65864365075076</v>
      </c>
      <c r="O876" s="3">
        <f t="shared" ca="1" si="90"/>
        <v>-9.0960809639701878</v>
      </c>
      <c r="P876" s="3">
        <f t="shared" ca="1" si="91"/>
        <v>13.206510225317192</v>
      </c>
      <c r="Q876" s="3">
        <f t="shared" ca="1" si="92"/>
        <v>16.0359159774086</v>
      </c>
    </row>
    <row r="877" spans="7:17" x14ac:dyDescent="0.25">
      <c r="G877" s="3">
        <f t="shared" ca="1" si="87"/>
        <v>0</v>
      </c>
      <c r="H877" s="3">
        <f t="shared" ca="1" si="88"/>
        <v>2.5247387590351238</v>
      </c>
      <c r="I877" s="3">
        <f t="shared" ca="1" si="89"/>
        <v>7.9447132720997615</v>
      </c>
      <c r="O877" s="3">
        <f t="shared" ca="1" si="90"/>
        <v>-1.7470979654440848</v>
      </c>
      <c r="P877" s="3">
        <f t="shared" ca="1" si="91"/>
        <v>-2.0178955813723913</v>
      </c>
      <c r="Q877" s="3">
        <f t="shared" ca="1" si="92"/>
        <v>2.66912979792686</v>
      </c>
    </row>
    <row r="878" spans="7:17" x14ac:dyDescent="0.25">
      <c r="G878" s="3">
        <f t="shared" ca="1" si="87"/>
        <v>0</v>
      </c>
      <c r="H878" s="3">
        <f t="shared" ca="1" si="88"/>
        <v>2.6662492014115471</v>
      </c>
      <c r="I878" s="3">
        <f t="shared" ca="1" si="89"/>
        <v>8.1643266737244584</v>
      </c>
      <c r="O878" s="3">
        <f t="shared" ca="1" si="90"/>
        <v>-11.748457818289761</v>
      </c>
      <c r="P878" s="3">
        <f t="shared" ca="1" si="91"/>
        <v>-2.001573379117894</v>
      </c>
      <c r="Q878" s="3">
        <f t="shared" ca="1" si="92"/>
        <v>11.917741275096017</v>
      </c>
    </row>
    <row r="879" spans="7:17" x14ac:dyDescent="0.25">
      <c r="G879" s="3">
        <f t="shared" ca="1" si="87"/>
        <v>0</v>
      </c>
      <c r="H879" s="3">
        <f t="shared" ca="1" si="88"/>
        <v>1.4239312294936912</v>
      </c>
      <c r="I879" s="3">
        <f t="shared" ca="1" si="89"/>
        <v>5.966429479792942</v>
      </c>
      <c r="O879" s="3">
        <f t="shared" ca="1" si="90"/>
        <v>-12.611779933035248</v>
      </c>
      <c r="P879" s="3">
        <f t="shared" ca="1" si="91"/>
        <v>0.44935404915299026</v>
      </c>
      <c r="Q879" s="3">
        <f t="shared" ca="1" si="92"/>
        <v>12.619782571058852</v>
      </c>
    </row>
    <row r="880" spans="7:17" x14ac:dyDescent="0.25">
      <c r="G880" s="3">
        <f t="shared" ca="1" si="87"/>
        <v>1</v>
      </c>
      <c r="H880" s="3">
        <f t="shared" ca="1" si="88"/>
        <v>3.2467564923117154</v>
      </c>
      <c r="I880" s="3">
        <f t="shared" ca="1" si="89"/>
        <v>9.0093791299840902</v>
      </c>
      <c r="O880" s="3">
        <f t="shared" ca="1" si="90"/>
        <v>2.4510456090383173</v>
      </c>
      <c r="P880" s="3">
        <f t="shared" ca="1" si="91"/>
        <v>-1.2107235797853486</v>
      </c>
      <c r="Q880" s="3">
        <f t="shared" ca="1" si="92"/>
        <v>2.7337659307691773</v>
      </c>
    </row>
    <row r="881" spans="7:17" x14ac:dyDescent="0.25">
      <c r="G881" s="3">
        <f t="shared" ca="1" si="87"/>
        <v>0</v>
      </c>
      <c r="H881" s="3">
        <f t="shared" ca="1" si="88"/>
        <v>1.1825958342254033</v>
      </c>
      <c r="I881" s="3">
        <f t="shared" ca="1" si="89"/>
        <v>5.4373611113880491</v>
      </c>
      <c r="O881" s="3">
        <f t="shared" ca="1" si="90"/>
        <v>-8.8876050188569362</v>
      </c>
      <c r="P881" s="3">
        <f t="shared" ca="1" si="91"/>
        <v>1.1541891198855279</v>
      </c>
      <c r="Q881" s="3">
        <f t="shared" ca="1" si="92"/>
        <v>8.9622360767652811</v>
      </c>
    </row>
    <row r="882" spans="7:17" x14ac:dyDescent="0.25">
      <c r="G882" s="3">
        <f t="shared" ca="1" si="87"/>
        <v>1</v>
      </c>
      <c r="H882" s="3">
        <f t="shared" ca="1" si="88"/>
        <v>0.45356139752379754</v>
      </c>
      <c r="I882" s="3">
        <f t="shared" ca="1" si="89"/>
        <v>3.3673483541348883</v>
      </c>
      <c r="O882" s="3">
        <f t="shared" ca="1" si="90"/>
        <v>-0.59081285591454069</v>
      </c>
      <c r="P882" s="3">
        <f t="shared" ca="1" si="91"/>
        <v>5.2341769017823569</v>
      </c>
      <c r="Q882" s="3">
        <f t="shared" ca="1" si="92"/>
        <v>5.2674156537970163</v>
      </c>
    </row>
    <row r="883" spans="7:17" x14ac:dyDescent="0.25">
      <c r="G883" s="3">
        <f t="shared" ca="1" si="87"/>
        <v>0</v>
      </c>
      <c r="H883" s="3">
        <f t="shared" ca="1" si="88"/>
        <v>1.1356337473216636</v>
      </c>
      <c r="I883" s="3">
        <f t="shared" ca="1" si="89"/>
        <v>5.3283058924053517</v>
      </c>
      <c r="O883" s="3">
        <f t="shared" ca="1" si="90"/>
        <v>-4.5561799270381877</v>
      </c>
      <c r="P883" s="3">
        <f t="shared" ca="1" si="91"/>
        <v>-4.8073288281129809</v>
      </c>
      <c r="Q883" s="3">
        <f t="shared" ca="1" si="92"/>
        <v>6.6233817638085632</v>
      </c>
    </row>
    <row r="884" spans="7:17" x14ac:dyDescent="0.25">
      <c r="G884" s="3">
        <f t="shared" ca="1" si="87"/>
        <v>1</v>
      </c>
      <c r="H884" s="3">
        <f t="shared" ca="1" si="88"/>
        <v>2.9697451309591485</v>
      </c>
      <c r="I884" s="3">
        <f t="shared" ca="1" si="89"/>
        <v>8.6164742368313689</v>
      </c>
      <c r="O884" s="3">
        <f t="shared" ca="1" si="90"/>
        <v>-7.8051803567737235</v>
      </c>
      <c r="P884" s="3">
        <f t="shared" ca="1" si="91"/>
        <v>-10.656544822801521</v>
      </c>
      <c r="Q884" s="3">
        <f t="shared" ca="1" si="92"/>
        <v>13.209193312316399</v>
      </c>
    </row>
    <row r="885" spans="7:17" x14ac:dyDescent="0.25">
      <c r="G885" s="3">
        <f t="shared" ca="1" si="87"/>
        <v>0</v>
      </c>
      <c r="H885" s="3">
        <f t="shared" ca="1" si="88"/>
        <v>7.3693174692591574</v>
      </c>
      <c r="I885" s="3">
        <f t="shared" ca="1" si="89"/>
        <v>13.573243412371227</v>
      </c>
      <c r="O885" s="3">
        <f t="shared" ca="1" si="90"/>
        <v>-1.2490097672977312</v>
      </c>
      <c r="P885" s="3">
        <f t="shared" ca="1" si="91"/>
        <v>-0.72134009303268765</v>
      </c>
      <c r="Q885" s="3">
        <f t="shared" ca="1" si="92"/>
        <v>1.4423442476127324</v>
      </c>
    </row>
    <row r="886" spans="7:17" x14ac:dyDescent="0.25">
      <c r="G886" s="3">
        <f t="shared" ca="1" si="87"/>
        <v>1</v>
      </c>
      <c r="H886" s="3">
        <f t="shared" ca="1" si="88"/>
        <v>8.721990081183927</v>
      </c>
      <c r="I886" s="3">
        <f t="shared" ca="1" si="89"/>
        <v>14.766507780433333</v>
      </c>
      <c r="O886" s="3">
        <f t="shared" ca="1" si="90"/>
        <v>-5.7043584067494226</v>
      </c>
      <c r="P886" s="3">
        <f t="shared" ca="1" si="91"/>
        <v>-2.9208861558523522</v>
      </c>
      <c r="Q886" s="3">
        <f t="shared" ca="1" si="92"/>
        <v>6.40868791314593</v>
      </c>
    </row>
    <row r="887" spans="7:17" x14ac:dyDescent="0.25">
      <c r="G887" s="3">
        <f t="shared" ca="1" si="87"/>
        <v>0</v>
      </c>
      <c r="H887" s="3">
        <f t="shared" ca="1" si="88"/>
        <v>1.1162329664525585</v>
      </c>
      <c r="I887" s="3">
        <f t="shared" ca="1" si="89"/>
        <v>5.2825963466191475</v>
      </c>
      <c r="O887" s="3">
        <f t="shared" ca="1" si="90"/>
        <v>-4.1406608876609958</v>
      </c>
      <c r="P887" s="3">
        <f t="shared" ca="1" si="91"/>
        <v>-4.7251182652565955</v>
      </c>
      <c r="Q887" s="3">
        <f t="shared" ca="1" si="92"/>
        <v>6.2826598831440048</v>
      </c>
    </row>
    <row r="888" spans="7:17" x14ac:dyDescent="0.25">
      <c r="G888" s="3">
        <f t="shared" ca="1" si="87"/>
        <v>0</v>
      </c>
      <c r="H888" s="3">
        <f t="shared" ca="1" si="88"/>
        <v>1.3347364314273473</v>
      </c>
      <c r="I888" s="3">
        <f t="shared" ca="1" si="89"/>
        <v>5.7765396896138164</v>
      </c>
      <c r="O888" s="3">
        <f t="shared" ca="1" si="90"/>
        <v>-5.7506570992717965</v>
      </c>
      <c r="P888" s="3">
        <f t="shared" ca="1" si="91"/>
        <v>-1.4053120115987632</v>
      </c>
      <c r="Q888" s="3">
        <f t="shared" ca="1" si="92"/>
        <v>5.9198782861938026</v>
      </c>
    </row>
    <row r="889" spans="7:17" x14ac:dyDescent="0.25">
      <c r="G889" s="3">
        <f t="shared" ca="1" si="87"/>
        <v>0</v>
      </c>
      <c r="H889" s="3">
        <f t="shared" ca="1" si="88"/>
        <v>9.2286004686558593E-2</v>
      </c>
      <c r="I889" s="3">
        <f t="shared" ca="1" si="89"/>
        <v>1.5189305833921327</v>
      </c>
      <c r="O889" s="3">
        <f t="shared" ca="1" si="90"/>
        <v>1.9115034157111799</v>
      </c>
      <c r="P889" s="3">
        <f t="shared" ca="1" si="91"/>
        <v>0.15931770126996836</v>
      </c>
      <c r="Q889" s="3">
        <f t="shared" ca="1" si="92"/>
        <v>1.9181312359203828</v>
      </c>
    </row>
    <row r="890" spans="7:17" x14ac:dyDescent="0.25">
      <c r="G890" s="3">
        <f t="shared" ca="1" si="87"/>
        <v>0</v>
      </c>
      <c r="H890" s="3">
        <f t="shared" ca="1" si="88"/>
        <v>2.0980627125873617</v>
      </c>
      <c r="I890" s="3">
        <f t="shared" ca="1" si="89"/>
        <v>7.242345463638423</v>
      </c>
      <c r="O890" s="3">
        <f t="shared" ca="1" si="90"/>
        <v>-9.3715892522326634</v>
      </c>
      <c r="P890" s="3">
        <f t="shared" ca="1" si="91"/>
        <v>-4.0595269648795433</v>
      </c>
      <c r="Q890" s="3">
        <f t="shared" ca="1" si="92"/>
        <v>10.213052643120317</v>
      </c>
    </row>
    <row r="891" spans="7:17" x14ac:dyDescent="0.25">
      <c r="G891" s="3">
        <f t="shared" ca="1" si="87"/>
        <v>1</v>
      </c>
      <c r="H891" s="3">
        <f t="shared" ca="1" si="88"/>
        <v>4.1396669574762806</v>
      </c>
      <c r="I891" s="3">
        <f t="shared" ca="1" si="89"/>
        <v>10.173085762781469</v>
      </c>
      <c r="O891" s="3">
        <f t="shared" ca="1" si="90"/>
        <v>-7.3864769357774005</v>
      </c>
      <c r="P891" s="3">
        <f t="shared" ca="1" si="91"/>
        <v>-9.3537976395093523</v>
      </c>
      <c r="Q891" s="3">
        <f t="shared" ca="1" si="92"/>
        <v>11.918622898794233</v>
      </c>
    </row>
    <row r="892" spans="7:17" x14ac:dyDescent="0.25">
      <c r="G892" s="3">
        <f t="shared" ca="1" si="87"/>
        <v>0</v>
      </c>
      <c r="H892" s="3">
        <f t="shared" ca="1" si="88"/>
        <v>3.8560399555578395</v>
      </c>
      <c r="I892" s="3">
        <f t="shared" ca="1" si="89"/>
        <v>9.8184010352473372</v>
      </c>
      <c r="O892" s="3">
        <f t="shared" ca="1" si="90"/>
        <v>-12.216249783657478</v>
      </c>
      <c r="P892" s="3">
        <f t="shared" ca="1" si="91"/>
        <v>-0.439264910525966</v>
      </c>
      <c r="Q892" s="3">
        <f t="shared" ca="1" si="92"/>
        <v>12.22414465058111</v>
      </c>
    </row>
    <row r="893" spans="7:17" x14ac:dyDescent="0.25">
      <c r="G893" s="3">
        <f t="shared" ca="1" si="87"/>
        <v>0</v>
      </c>
      <c r="H893" s="3">
        <f t="shared" ca="1" si="88"/>
        <v>1.4450508265820925</v>
      </c>
      <c r="I893" s="3">
        <f t="shared" ca="1" si="89"/>
        <v>6.0105133445116241</v>
      </c>
      <c r="O893" s="3">
        <f t="shared" ca="1" si="90"/>
        <v>-3.2512595412346972</v>
      </c>
      <c r="P893" s="3">
        <f t="shared" ca="1" si="91"/>
        <v>4.9861931537939848</v>
      </c>
      <c r="Q893" s="3">
        <f t="shared" ca="1" si="92"/>
        <v>5.9525465786847613</v>
      </c>
    </row>
    <row r="894" spans="7:17" x14ac:dyDescent="0.25">
      <c r="G894" s="3">
        <f t="shared" ca="1" si="87"/>
        <v>1</v>
      </c>
      <c r="H894" s="3">
        <f t="shared" ca="1" si="88"/>
        <v>2.7409912525617788</v>
      </c>
      <c r="I894" s="3">
        <f t="shared" ca="1" si="89"/>
        <v>8.2779696371782165</v>
      </c>
      <c r="O894" s="3">
        <f t="shared" ca="1" si="90"/>
        <v>-4.5088287414209196</v>
      </c>
      <c r="P894" s="3">
        <f t="shared" ca="1" si="91"/>
        <v>1.0340144125294424</v>
      </c>
      <c r="Q894" s="3">
        <f t="shared" ca="1" si="92"/>
        <v>4.6258753144439551</v>
      </c>
    </row>
    <row r="895" spans="7:17" x14ac:dyDescent="0.25">
      <c r="G895" s="3">
        <f t="shared" ca="1" si="87"/>
        <v>1</v>
      </c>
      <c r="H895" s="3">
        <f t="shared" ca="1" si="88"/>
        <v>2.8382912192604866</v>
      </c>
      <c r="I895" s="3">
        <f t="shared" ca="1" si="89"/>
        <v>8.4236144547048308</v>
      </c>
      <c r="O895" s="3">
        <f t="shared" ca="1" si="90"/>
        <v>-9.9016873018094103</v>
      </c>
      <c r="P895" s="3">
        <f t="shared" ca="1" si="91"/>
        <v>-2.2702268408546087</v>
      </c>
      <c r="Q895" s="3">
        <f t="shared" ca="1" si="92"/>
        <v>10.158609222317315</v>
      </c>
    </row>
    <row r="896" spans="7:17" x14ac:dyDescent="0.25">
      <c r="G896" s="3">
        <f t="shared" ca="1" si="87"/>
        <v>0</v>
      </c>
      <c r="H896" s="3">
        <f t="shared" ca="1" si="88"/>
        <v>0.38792450797513689</v>
      </c>
      <c r="I896" s="3">
        <f t="shared" ca="1" si="89"/>
        <v>3.114179297885467</v>
      </c>
      <c r="O896" s="3">
        <f t="shared" ca="1" si="90"/>
        <v>-2.1952751032091049</v>
      </c>
      <c r="P896" s="3">
        <f t="shared" ca="1" si="91"/>
        <v>-10.121201890521919</v>
      </c>
      <c r="Q896" s="3">
        <f t="shared" ca="1" si="92"/>
        <v>10.356541917429496</v>
      </c>
    </row>
    <row r="897" spans="7:17" x14ac:dyDescent="0.25">
      <c r="G897" s="3">
        <f t="shared" ca="1" si="87"/>
        <v>0</v>
      </c>
      <c r="H897" s="3">
        <f t="shared" ca="1" si="88"/>
        <v>0.26150478754917145</v>
      </c>
      <c r="I897" s="3">
        <f t="shared" ca="1" si="89"/>
        <v>2.5568769404743135</v>
      </c>
      <c r="O897" s="3">
        <f t="shared" ca="1" si="90"/>
        <v>-13.397044186656048</v>
      </c>
      <c r="P897" s="3">
        <f t="shared" ca="1" si="91"/>
        <v>2.7701037987972712</v>
      </c>
      <c r="Q897" s="3">
        <f t="shared" ca="1" si="92"/>
        <v>13.68043376488208</v>
      </c>
    </row>
    <row r="898" spans="7:17" x14ac:dyDescent="0.25">
      <c r="G898" s="3">
        <f t="shared" ca="1" si="87"/>
        <v>2</v>
      </c>
      <c r="H898" s="3">
        <f t="shared" ca="1" si="88"/>
        <v>9.6620707334336391</v>
      </c>
      <c r="I898" s="3">
        <f t="shared" ca="1" si="89"/>
        <v>15.541935797571709</v>
      </c>
      <c r="O898" s="3">
        <f t="shared" ca="1" si="90"/>
        <v>-15.470911054836311</v>
      </c>
      <c r="P898" s="3">
        <f t="shared" ca="1" si="91"/>
        <v>-10.211845034931265</v>
      </c>
      <c r="Q898" s="3">
        <f t="shared" ca="1" si="92"/>
        <v>18.537283185086931</v>
      </c>
    </row>
    <row r="899" spans="7:17" x14ac:dyDescent="0.25">
      <c r="G899" s="3">
        <f t="shared" ca="1" si="87"/>
        <v>0</v>
      </c>
      <c r="H899" s="3">
        <f t="shared" ca="1" si="88"/>
        <v>1.2190670505008865</v>
      </c>
      <c r="I899" s="3">
        <f t="shared" ca="1" si="89"/>
        <v>5.5205684727681952</v>
      </c>
      <c r="O899" s="3">
        <f t="shared" ca="1" si="90"/>
        <v>1.9565098807486212</v>
      </c>
      <c r="P899" s="3">
        <f t="shared" ca="1" si="91"/>
        <v>6.8310330741628684</v>
      </c>
      <c r="Q899" s="3">
        <f t="shared" ca="1" si="92"/>
        <v>7.1056979793524855</v>
      </c>
    </row>
    <row r="900" spans="7:17" x14ac:dyDescent="0.25">
      <c r="G900" s="3">
        <f t="shared" ref="G900:G963" ca="1" si="93">VLOOKUP(RAND(),$B$9:$C$169,2,TRUE)</f>
        <v>1</v>
      </c>
      <c r="H900" s="3">
        <f t="shared" ref="H900:H963" ca="1" si="94">_xlfn.CHISQ.INV(RAND(),2*G900+2)</f>
        <v>2.3892363475370879</v>
      </c>
      <c r="I900" s="3">
        <f t="shared" ref="I900:I963" ca="1" si="95">$C$4*SQRT(H900)</f>
        <v>7.7285774039228716</v>
      </c>
      <c r="O900" s="3">
        <f t="shared" ref="O900:O963" ca="1" si="96">_xlfn.NORM.INV(RAND(),$C$3*COS($N$2),$C$4)</f>
        <v>-5.5395024233126833</v>
      </c>
      <c r="P900" s="3">
        <f t="shared" ref="P900:P963" ca="1" si="97">_xlfn.NORM.INV(RAND(),$C$3*SIN($N$2),$C$4)</f>
        <v>1.2176040274223177</v>
      </c>
      <c r="Q900" s="3">
        <f t="shared" ref="Q900:Q963" ca="1" si="98">SQRT(O900^2+P900^2)</f>
        <v>5.6717410612158714</v>
      </c>
    </row>
    <row r="901" spans="7:17" x14ac:dyDescent="0.25">
      <c r="G901" s="3">
        <f t="shared" ca="1" si="93"/>
        <v>0</v>
      </c>
      <c r="H901" s="3">
        <f t="shared" ca="1" si="94"/>
        <v>3.4544252390757402</v>
      </c>
      <c r="I901" s="3">
        <f t="shared" ca="1" si="95"/>
        <v>9.2930420733414039</v>
      </c>
      <c r="O901" s="3">
        <f t="shared" ca="1" si="96"/>
        <v>-8.8640950352958576</v>
      </c>
      <c r="P901" s="3">
        <f t="shared" ca="1" si="97"/>
        <v>1.7073986586812855</v>
      </c>
      <c r="Q901" s="3">
        <f t="shared" ca="1" si="98"/>
        <v>9.0270366662833119</v>
      </c>
    </row>
    <row r="902" spans="7:17" x14ac:dyDescent="0.25">
      <c r="G902" s="3">
        <f t="shared" ca="1" si="93"/>
        <v>0</v>
      </c>
      <c r="H902" s="3">
        <f t="shared" ca="1" si="94"/>
        <v>1.3135159968515961</v>
      </c>
      <c r="I902" s="3">
        <f t="shared" ca="1" si="95"/>
        <v>5.7304362766974304</v>
      </c>
      <c r="O902" s="3">
        <f t="shared" ca="1" si="96"/>
        <v>-10.111677248006803</v>
      </c>
      <c r="P902" s="3">
        <f t="shared" ca="1" si="97"/>
        <v>-3.1130307004250248</v>
      </c>
      <c r="Q902" s="3">
        <f t="shared" ca="1" si="98"/>
        <v>10.58002726412589</v>
      </c>
    </row>
    <row r="903" spans="7:17" x14ac:dyDescent="0.25">
      <c r="G903" s="3">
        <f t="shared" ca="1" si="93"/>
        <v>0</v>
      </c>
      <c r="H903" s="3">
        <f t="shared" ca="1" si="94"/>
        <v>2.1561863533393812</v>
      </c>
      <c r="I903" s="3">
        <f t="shared" ca="1" si="95"/>
        <v>7.3419792177235514</v>
      </c>
      <c r="O903" s="3">
        <f t="shared" ca="1" si="96"/>
        <v>-1.6727716200254377</v>
      </c>
      <c r="P903" s="3">
        <f t="shared" ca="1" si="97"/>
        <v>5.6602642137071708</v>
      </c>
      <c r="Q903" s="3">
        <f t="shared" ca="1" si="98"/>
        <v>5.9022670103729284</v>
      </c>
    </row>
    <row r="904" spans="7:17" x14ac:dyDescent="0.25">
      <c r="G904" s="3">
        <f t="shared" ca="1" si="93"/>
        <v>0</v>
      </c>
      <c r="H904" s="3">
        <f t="shared" ca="1" si="94"/>
        <v>3.1554385944720158</v>
      </c>
      <c r="I904" s="3">
        <f t="shared" ca="1" si="95"/>
        <v>8.8817771229523874</v>
      </c>
      <c r="O904" s="3">
        <f t="shared" ca="1" si="96"/>
        <v>-10.084265677547295</v>
      </c>
      <c r="P904" s="3">
        <f t="shared" ca="1" si="97"/>
        <v>2.976598011278706</v>
      </c>
      <c r="Q904" s="3">
        <f t="shared" ca="1" si="98"/>
        <v>10.514397271175687</v>
      </c>
    </row>
    <row r="905" spans="7:17" x14ac:dyDescent="0.25">
      <c r="G905" s="3">
        <f t="shared" ca="1" si="93"/>
        <v>0</v>
      </c>
      <c r="H905" s="3">
        <f t="shared" ca="1" si="94"/>
        <v>0.67398693608876814</v>
      </c>
      <c r="I905" s="3">
        <f t="shared" ca="1" si="95"/>
        <v>4.1048353684671941</v>
      </c>
      <c r="O905" s="3">
        <f t="shared" ca="1" si="96"/>
        <v>-6.6047907019960128</v>
      </c>
      <c r="P905" s="3">
        <f t="shared" ca="1" si="97"/>
        <v>5.4968751408496077</v>
      </c>
      <c r="Q905" s="3">
        <f t="shared" ca="1" si="98"/>
        <v>8.5929562160680977</v>
      </c>
    </row>
    <row r="906" spans="7:17" x14ac:dyDescent="0.25">
      <c r="G906" s="3">
        <f t="shared" ca="1" si="93"/>
        <v>0</v>
      </c>
      <c r="H906" s="3">
        <f t="shared" ca="1" si="94"/>
        <v>0.73394122330298439</v>
      </c>
      <c r="I906" s="3">
        <f t="shared" ca="1" si="95"/>
        <v>4.2835184816427034</v>
      </c>
      <c r="O906" s="3">
        <f t="shared" ca="1" si="96"/>
        <v>-3.603909886130459</v>
      </c>
      <c r="P906" s="3">
        <f t="shared" ca="1" si="97"/>
        <v>0.77618665623877003</v>
      </c>
      <c r="Q906" s="3">
        <f t="shared" ca="1" si="98"/>
        <v>3.686547462419544</v>
      </c>
    </row>
    <row r="907" spans="7:17" x14ac:dyDescent="0.25">
      <c r="G907" s="3">
        <f t="shared" ca="1" si="93"/>
        <v>2</v>
      </c>
      <c r="H907" s="3">
        <f t="shared" ca="1" si="94"/>
        <v>5.5785933038572129</v>
      </c>
      <c r="I907" s="3">
        <f t="shared" ca="1" si="95"/>
        <v>11.80952296227203</v>
      </c>
      <c r="O907" s="3">
        <f t="shared" ca="1" si="96"/>
        <v>-6.8675781046856121</v>
      </c>
      <c r="P907" s="3">
        <f t="shared" ca="1" si="97"/>
        <v>2.3545528493358372</v>
      </c>
      <c r="Q907" s="3">
        <f t="shared" ca="1" si="98"/>
        <v>7.2599964286680425</v>
      </c>
    </row>
    <row r="908" spans="7:17" x14ac:dyDescent="0.25">
      <c r="G908" s="3">
        <f t="shared" ca="1" si="93"/>
        <v>1</v>
      </c>
      <c r="H908" s="3">
        <f t="shared" ca="1" si="94"/>
        <v>2.1101163465665826</v>
      </c>
      <c r="I908" s="3">
        <f t="shared" ca="1" si="95"/>
        <v>7.263119761105731</v>
      </c>
      <c r="O908" s="3">
        <f t="shared" ca="1" si="96"/>
        <v>-4.6401086804818448</v>
      </c>
      <c r="P908" s="3">
        <f t="shared" ca="1" si="97"/>
        <v>4.6324380670185432</v>
      </c>
      <c r="Q908" s="3">
        <f t="shared" ca="1" si="98"/>
        <v>6.5566829274752534</v>
      </c>
    </row>
    <row r="909" spans="7:17" x14ac:dyDescent="0.25">
      <c r="G909" s="3">
        <f t="shared" ca="1" si="93"/>
        <v>3</v>
      </c>
      <c r="H909" s="3">
        <f t="shared" ca="1" si="94"/>
        <v>11.258520300611924</v>
      </c>
      <c r="I909" s="3">
        <f t="shared" ca="1" si="95"/>
        <v>16.77685928638904</v>
      </c>
      <c r="O909" s="3">
        <f t="shared" ca="1" si="96"/>
        <v>-8.3402792669366299</v>
      </c>
      <c r="P909" s="3">
        <f t="shared" ca="1" si="97"/>
        <v>4.8084066351365475</v>
      </c>
      <c r="Q909" s="3">
        <f t="shared" ca="1" si="98"/>
        <v>9.6270988682633867</v>
      </c>
    </row>
    <row r="910" spans="7:17" x14ac:dyDescent="0.25">
      <c r="G910" s="3">
        <f t="shared" ca="1" si="93"/>
        <v>0</v>
      </c>
      <c r="H910" s="3">
        <f t="shared" ca="1" si="94"/>
        <v>0.57348653831452834</v>
      </c>
      <c r="I910" s="3">
        <f t="shared" ca="1" si="95"/>
        <v>3.7864446989046607</v>
      </c>
      <c r="O910" s="3">
        <f t="shared" ca="1" si="96"/>
        <v>-9.4191643154197155</v>
      </c>
      <c r="P910" s="3">
        <f t="shared" ca="1" si="97"/>
        <v>4.1612973031681459</v>
      </c>
      <c r="Q910" s="3">
        <f t="shared" ca="1" si="98"/>
        <v>10.297429370781362</v>
      </c>
    </row>
    <row r="911" spans="7:17" x14ac:dyDescent="0.25">
      <c r="G911" s="3">
        <f t="shared" ca="1" si="93"/>
        <v>0</v>
      </c>
      <c r="H911" s="3">
        <f t="shared" ca="1" si="94"/>
        <v>0.21240794360819262</v>
      </c>
      <c r="I911" s="3">
        <f t="shared" ca="1" si="95"/>
        <v>2.3043868143618633</v>
      </c>
      <c r="O911" s="3">
        <f t="shared" ca="1" si="96"/>
        <v>2.759334755206365</v>
      </c>
      <c r="P911" s="3">
        <f t="shared" ca="1" si="97"/>
        <v>-3.1938901134605291</v>
      </c>
      <c r="Q911" s="3">
        <f t="shared" ca="1" si="98"/>
        <v>4.2207656116101351</v>
      </c>
    </row>
    <row r="912" spans="7:17" x14ac:dyDescent="0.25">
      <c r="G912" s="3">
        <f t="shared" ca="1" si="93"/>
        <v>1</v>
      </c>
      <c r="H912" s="3">
        <f t="shared" ca="1" si="94"/>
        <v>4.2536231812020695</v>
      </c>
      <c r="I912" s="3">
        <f t="shared" ca="1" si="95"/>
        <v>10.312156880597371</v>
      </c>
      <c r="O912" s="3">
        <f t="shared" ca="1" si="96"/>
        <v>-11.510653566046427</v>
      </c>
      <c r="P912" s="3">
        <f t="shared" ca="1" si="97"/>
        <v>3.7635022954539301</v>
      </c>
      <c r="Q912" s="3">
        <f t="shared" ca="1" si="98"/>
        <v>12.11028880933169</v>
      </c>
    </row>
    <row r="913" spans="7:17" x14ac:dyDescent="0.25">
      <c r="G913" s="3">
        <f t="shared" ca="1" si="93"/>
        <v>0</v>
      </c>
      <c r="H913" s="3">
        <f t="shared" ca="1" si="94"/>
        <v>1.822355014889111</v>
      </c>
      <c r="I913" s="3">
        <f t="shared" ca="1" si="95"/>
        <v>6.7497315037138907</v>
      </c>
      <c r="O913" s="3">
        <f t="shared" ca="1" si="96"/>
        <v>-0.14310010116767735</v>
      </c>
      <c r="P913" s="3">
        <f t="shared" ca="1" si="97"/>
        <v>9.198963444172314</v>
      </c>
      <c r="Q913" s="3">
        <f t="shared" ca="1" si="98"/>
        <v>9.2000764174094094</v>
      </c>
    </row>
    <row r="914" spans="7:17" x14ac:dyDescent="0.25">
      <c r="G914" s="3">
        <f t="shared" ca="1" si="93"/>
        <v>0</v>
      </c>
      <c r="H914" s="3">
        <f t="shared" ca="1" si="94"/>
        <v>2.5422483215754079</v>
      </c>
      <c r="I914" s="3">
        <f t="shared" ca="1" si="95"/>
        <v>7.9722147512084245</v>
      </c>
      <c r="O914" s="3">
        <f t="shared" ca="1" si="96"/>
        <v>-0.5042791435481746</v>
      </c>
      <c r="P914" s="3">
        <f t="shared" ca="1" si="97"/>
        <v>-4.9749801236281934</v>
      </c>
      <c r="Q914" s="3">
        <f t="shared" ca="1" si="98"/>
        <v>5.0004724461907877</v>
      </c>
    </row>
    <row r="915" spans="7:17" x14ac:dyDescent="0.25">
      <c r="G915" s="3">
        <f t="shared" ca="1" si="93"/>
        <v>0</v>
      </c>
      <c r="H915" s="3">
        <f t="shared" ca="1" si="94"/>
        <v>4.202409871105675</v>
      </c>
      <c r="I915" s="3">
        <f t="shared" ca="1" si="95"/>
        <v>10.249890086124918</v>
      </c>
      <c r="O915" s="3">
        <f t="shared" ca="1" si="96"/>
        <v>-9.0708609262651727</v>
      </c>
      <c r="P915" s="3">
        <f t="shared" ca="1" si="97"/>
        <v>-1.7316112967150581</v>
      </c>
      <c r="Q915" s="3">
        <f t="shared" ca="1" si="98"/>
        <v>9.2346627240281745</v>
      </c>
    </row>
    <row r="916" spans="7:17" x14ac:dyDescent="0.25">
      <c r="G916" s="3">
        <f t="shared" ca="1" si="93"/>
        <v>0</v>
      </c>
      <c r="H916" s="3">
        <f t="shared" ca="1" si="94"/>
        <v>6.5481374234039574E-2</v>
      </c>
      <c r="I916" s="3">
        <f t="shared" ca="1" si="95"/>
        <v>1.2794664340462352</v>
      </c>
      <c r="O916" s="3">
        <f t="shared" ca="1" si="96"/>
        <v>-4.7355971104079888</v>
      </c>
      <c r="P916" s="3">
        <f t="shared" ca="1" si="97"/>
        <v>-4.0561027158181133</v>
      </c>
      <c r="Q916" s="3">
        <f t="shared" ca="1" si="98"/>
        <v>6.2352104401833603</v>
      </c>
    </row>
    <row r="917" spans="7:17" x14ac:dyDescent="0.25">
      <c r="G917" s="3">
        <f t="shared" ca="1" si="93"/>
        <v>0</v>
      </c>
      <c r="H917" s="3">
        <f t="shared" ca="1" si="94"/>
        <v>2.6287749156581404</v>
      </c>
      <c r="I917" s="3">
        <f t="shared" ca="1" si="95"/>
        <v>8.1067486017178005</v>
      </c>
      <c r="O917" s="3">
        <f t="shared" ca="1" si="96"/>
        <v>-6.5681238361838963</v>
      </c>
      <c r="P917" s="3">
        <f t="shared" ca="1" si="97"/>
        <v>-6.8571816292884753</v>
      </c>
      <c r="Q917" s="3">
        <f t="shared" ca="1" si="98"/>
        <v>9.4953246718844948</v>
      </c>
    </row>
    <row r="918" spans="7:17" x14ac:dyDescent="0.25">
      <c r="G918" s="3">
        <f t="shared" ca="1" si="93"/>
        <v>0</v>
      </c>
      <c r="H918" s="3">
        <f t="shared" ca="1" si="94"/>
        <v>1.2092612289531604E-2</v>
      </c>
      <c r="I918" s="3">
        <f t="shared" ca="1" si="95"/>
        <v>0.549832071853116</v>
      </c>
      <c r="O918" s="3">
        <f t="shared" ca="1" si="96"/>
        <v>-10.581142653401677</v>
      </c>
      <c r="P918" s="3">
        <f t="shared" ca="1" si="97"/>
        <v>6.1803216455440797</v>
      </c>
      <c r="Q918" s="3">
        <f t="shared" ca="1" si="98"/>
        <v>12.253854719802131</v>
      </c>
    </row>
    <row r="919" spans="7:17" x14ac:dyDescent="0.25">
      <c r="G919" s="3">
        <f t="shared" ca="1" si="93"/>
        <v>0</v>
      </c>
      <c r="H919" s="3">
        <f t="shared" ca="1" si="94"/>
        <v>1.283152457996054</v>
      </c>
      <c r="I919" s="3">
        <f t="shared" ca="1" si="95"/>
        <v>5.6638159795231129</v>
      </c>
      <c r="O919" s="3">
        <f t="shared" ca="1" si="96"/>
        <v>-9.3014158599025709</v>
      </c>
      <c r="P919" s="3">
        <f t="shared" ca="1" si="97"/>
        <v>-3.3334116423980764</v>
      </c>
      <c r="Q919" s="3">
        <f t="shared" ca="1" si="98"/>
        <v>9.8806867259579754</v>
      </c>
    </row>
    <row r="920" spans="7:17" x14ac:dyDescent="0.25">
      <c r="G920" s="3">
        <f t="shared" ca="1" si="93"/>
        <v>0</v>
      </c>
      <c r="H920" s="3">
        <f t="shared" ca="1" si="94"/>
        <v>1.1343490206895392</v>
      </c>
      <c r="I920" s="3">
        <f t="shared" ca="1" si="95"/>
        <v>5.3252911204213502</v>
      </c>
      <c r="O920" s="3">
        <f t="shared" ca="1" si="96"/>
        <v>-3.5334866860679002</v>
      </c>
      <c r="P920" s="3">
        <f t="shared" ca="1" si="97"/>
        <v>1.6236841379019611</v>
      </c>
      <c r="Q920" s="3">
        <f t="shared" ca="1" si="98"/>
        <v>3.8886859400436986</v>
      </c>
    </row>
    <row r="921" spans="7:17" x14ac:dyDescent="0.25">
      <c r="G921" s="3">
        <f t="shared" ca="1" si="93"/>
        <v>3</v>
      </c>
      <c r="H921" s="3">
        <f t="shared" ca="1" si="94"/>
        <v>4.6203686052004587</v>
      </c>
      <c r="I921" s="3">
        <f t="shared" ca="1" si="95"/>
        <v>10.747521348199847</v>
      </c>
      <c r="O921" s="3">
        <f t="shared" ca="1" si="96"/>
        <v>-9.2435727757456405</v>
      </c>
      <c r="P921" s="3">
        <f t="shared" ca="1" si="97"/>
        <v>2.7693991482336355</v>
      </c>
      <c r="Q921" s="3">
        <f t="shared" ca="1" si="98"/>
        <v>9.6495186047151158</v>
      </c>
    </row>
    <row r="922" spans="7:17" x14ac:dyDescent="0.25">
      <c r="G922" s="3">
        <f t="shared" ca="1" si="93"/>
        <v>1</v>
      </c>
      <c r="H922" s="3">
        <f t="shared" ca="1" si="94"/>
        <v>3.5402495670535532</v>
      </c>
      <c r="I922" s="3">
        <f t="shared" ca="1" si="95"/>
        <v>9.4077754637501219</v>
      </c>
      <c r="O922" s="3">
        <f t="shared" ca="1" si="96"/>
        <v>-6.5681213385230031E-2</v>
      </c>
      <c r="P922" s="3">
        <f t="shared" ca="1" si="97"/>
        <v>-4.8090495062614778E-2</v>
      </c>
      <c r="Q922" s="3">
        <f t="shared" ca="1" si="98"/>
        <v>8.1404652859179347E-2</v>
      </c>
    </row>
    <row r="923" spans="7:17" x14ac:dyDescent="0.25">
      <c r="G923" s="3">
        <f t="shared" ca="1" si="93"/>
        <v>0</v>
      </c>
      <c r="H923" s="3">
        <f t="shared" ca="1" si="94"/>
        <v>0.22793818588752973</v>
      </c>
      <c r="I923" s="3">
        <f t="shared" ca="1" si="95"/>
        <v>2.3871436167914664</v>
      </c>
      <c r="O923" s="3">
        <f t="shared" ca="1" si="96"/>
        <v>-6.2044969283781715</v>
      </c>
      <c r="P923" s="3">
        <f t="shared" ca="1" si="97"/>
        <v>0.17845960096725028</v>
      </c>
      <c r="Q923" s="3">
        <f t="shared" ca="1" si="98"/>
        <v>6.2070629095757965</v>
      </c>
    </row>
    <row r="924" spans="7:17" x14ac:dyDescent="0.25">
      <c r="G924" s="3">
        <f t="shared" ca="1" si="93"/>
        <v>0</v>
      </c>
      <c r="H924" s="3">
        <f t="shared" ca="1" si="94"/>
        <v>0.19108721328146519</v>
      </c>
      <c r="I924" s="3">
        <f t="shared" ca="1" si="95"/>
        <v>2.1856761727293068</v>
      </c>
      <c r="O924" s="3">
        <f t="shared" ca="1" si="96"/>
        <v>-4.3706305203706544</v>
      </c>
      <c r="P924" s="3">
        <f t="shared" ca="1" si="97"/>
        <v>6.1739816666422609</v>
      </c>
      <c r="Q924" s="3">
        <f t="shared" ca="1" si="98"/>
        <v>7.5644207158003978</v>
      </c>
    </row>
    <row r="925" spans="7:17" x14ac:dyDescent="0.25">
      <c r="G925" s="3">
        <f t="shared" ca="1" si="93"/>
        <v>1</v>
      </c>
      <c r="H925" s="3">
        <f t="shared" ca="1" si="94"/>
        <v>6.6741473650611596</v>
      </c>
      <c r="I925" s="3">
        <f t="shared" ca="1" si="95"/>
        <v>12.917185611677528</v>
      </c>
      <c r="O925" s="3">
        <f t="shared" ca="1" si="96"/>
        <v>-4.1668561799689305</v>
      </c>
      <c r="P925" s="3">
        <f t="shared" ca="1" si="97"/>
        <v>-10.242546434754535</v>
      </c>
      <c r="Q925" s="3">
        <f t="shared" ca="1" si="98"/>
        <v>11.057687275947359</v>
      </c>
    </row>
    <row r="926" spans="7:17" x14ac:dyDescent="0.25">
      <c r="G926" s="3">
        <f t="shared" ca="1" si="93"/>
        <v>2</v>
      </c>
      <c r="H926" s="3">
        <f t="shared" ca="1" si="94"/>
        <v>4.8620405994564271</v>
      </c>
      <c r="I926" s="3">
        <f t="shared" ca="1" si="95"/>
        <v>11.025017686444347</v>
      </c>
      <c r="O926" s="3">
        <f t="shared" ca="1" si="96"/>
        <v>-1.6656862264656387</v>
      </c>
      <c r="P926" s="3">
        <f t="shared" ca="1" si="97"/>
        <v>-7.552071405526843</v>
      </c>
      <c r="Q926" s="3">
        <f t="shared" ca="1" si="98"/>
        <v>7.733582166060792</v>
      </c>
    </row>
    <row r="927" spans="7:17" x14ac:dyDescent="0.25">
      <c r="G927" s="3">
        <f t="shared" ca="1" si="93"/>
        <v>2</v>
      </c>
      <c r="H927" s="3">
        <f t="shared" ca="1" si="94"/>
        <v>3.4142029587539633</v>
      </c>
      <c r="I927" s="3">
        <f t="shared" ca="1" si="95"/>
        <v>9.2387809785084247</v>
      </c>
      <c r="O927" s="3">
        <f t="shared" ca="1" si="96"/>
        <v>-12.891142721724934</v>
      </c>
      <c r="P927" s="3">
        <f t="shared" ca="1" si="97"/>
        <v>11.239436371259547</v>
      </c>
      <c r="Q927" s="3">
        <f t="shared" ca="1" si="98"/>
        <v>17.102821130312794</v>
      </c>
    </row>
    <row r="928" spans="7:17" x14ac:dyDescent="0.25">
      <c r="G928" s="3">
        <f t="shared" ca="1" si="93"/>
        <v>1</v>
      </c>
      <c r="H928" s="3">
        <f t="shared" ca="1" si="94"/>
        <v>4.1669512229104662</v>
      </c>
      <c r="I928" s="3">
        <f t="shared" ca="1" si="95"/>
        <v>10.206555764446774</v>
      </c>
      <c r="O928" s="3">
        <f t="shared" ca="1" si="96"/>
        <v>-14.909954363296759</v>
      </c>
      <c r="P928" s="3">
        <f t="shared" ca="1" si="97"/>
        <v>8.3791549987481844</v>
      </c>
      <c r="Q928" s="3">
        <f t="shared" ca="1" si="98"/>
        <v>17.103127714211769</v>
      </c>
    </row>
    <row r="929" spans="7:17" x14ac:dyDescent="0.25">
      <c r="G929" s="3">
        <f t="shared" ca="1" si="93"/>
        <v>1</v>
      </c>
      <c r="H929" s="3">
        <f t="shared" ca="1" si="94"/>
        <v>5.2209209719169554</v>
      </c>
      <c r="I929" s="3">
        <f t="shared" ca="1" si="95"/>
        <v>11.424667360493428</v>
      </c>
      <c r="O929" s="3">
        <f t="shared" ca="1" si="96"/>
        <v>-13.872377838910278</v>
      </c>
      <c r="P929" s="3">
        <f t="shared" ca="1" si="97"/>
        <v>5.5817690748164273</v>
      </c>
      <c r="Q929" s="3">
        <f t="shared" ca="1" si="98"/>
        <v>14.953227508135695</v>
      </c>
    </row>
    <row r="930" spans="7:17" x14ac:dyDescent="0.25">
      <c r="G930" s="3">
        <f t="shared" ca="1" si="93"/>
        <v>1</v>
      </c>
      <c r="H930" s="3">
        <f t="shared" ca="1" si="94"/>
        <v>5.8831979879132135</v>
      </c>
      <c r="I930" s="3">
        <f t="shared" ca="1" si="95"/>
        <v>12.127652274773975</v>
      </c>
      <c r="O930" s="3">
        <f t="shared" ca="1" si="96"/>
        <v>-7.4197883134517486</v>
      </c>
      <c r="P930" s="3">
        <f t="shared" ca="1" si="97"/>
        <v>6.4144630660470003</v>
      </c>
      <c r="Q930" s="3">
        <f t="shared" ca="1" si="98"/>
        <v>9.8080882460404197</v>
      </c>
    </row>
    <row r="931" spans="7:17" x14ac:dyDescent="0.25">
      <c r="G931" s="3">
        <f t="shared" ca="1" si="93"/>
        <v>0</v>
      </c>
      <c r="H931" s="3">
        <f t="shared" ca="1" si="94"/>
        <v>0.86703649190062948</v>
      </c>
      <c r="I931" s="3">
        <f t="shared" ca="1" si="95"/>
        <v>4.6557397153960114</v>
      </c>
      <c r="O931" s="3">
        <f t="shared" ca="1" si="96"/>
        <v>1.6855447143965874</v>
      </c>
      <c r="P931" s="3">
        <f t="shared" ca="1" si="97"/>
        <v>-4.6270207422138094</v>
      </c>
      <c r="Q931" s="3">
        <f t="shared" ca="1" si="98"/>
        <v>4.9244676801769254</v>
      </c>
    </row>
    <row r="932" spans="7:17" x14ac:dyDescent="0.25">
      <c r="G932" s="3">
        <f t="shared" ca="1" si="93"/>
        <v>2</v>
      </c>
      <c r="H932" s="3">
        <f t="shared" ca="1" si="94"/>
        <v>5.3653175807927713</v>
      </c>
      <c r="I932" s="3">
        <f t="shared" ca="1" si="95"/>
        <v>11.581577592013071</v>
      </c>
      <c r="O932" s="3">
        <f t="shared" ca="1" si="96"/>
        <v>-3.6796728237694567</v>
      </c>
      <c r="P932" s="3">
        <f t="shared" ca="1" si="97"/>
        <v>-3.4945362913037932</v>
      </c>
      <c r="Q932" s="3">
        <f t="shared" ca="1" si="98"/>
        <v>5.0746207721589167</v>
      </c>
    </row>
    <row r="933" spans="7:17" x14ac:dyDescent="0.25">
      <c r="G933" s="3">
        <f t="shared" ca="1" si="93"/>
        <v>0</v>
      </c>
      <c r="H933" s="3">
        <f t="shared" ca="1" si="94"/>
        <v>4.5321673619921414</v>
      </c>
      <c r="I933" s="3">
        <f t="shared" ca="1" si="95"/>
        <v>10.644443811200448</v>
      </c>
      <c r="O933" s="3">
        <f t="shared" ca="1" si="96"/>
        <v>-1.8795337989232577</v>
      </c>
      <c r="P933" s="3">
        <f t="shared" ca="1" si="97"/>
        <v>1.7114508797615906</v>
      </c>
      <c r="Q933" s="3">
        <f t="shared" ca="1" si="98"/>
        <v>2.5419896567711708</v>
      </c>
    </row>
    <row r="934" spans="7:17" x14ac:dyDescent="0.25">
      <c r="G934" s="3">
        <f t="shared" ca="1" si="93"/>
        <v>0</v>
      </c>
      <c r="H934" s="3">
        <f t="shared" ca="1" si="94"/>
        <v>9.2829979251546675</v>
      </c>
      <c r="I934" s="3">
        <f t="shared" ca="1" si="95"/>
        <v>15.23400630592185</v>
      </c>
      <c r="O934" s="3">
        <f t="shared" ca="1" si="96"/>
        <v>0.16225259859704799</v>
      </c>
      <c r="P934" s="3">
        <f t="shared" ca="1" si="97"/>
        <v>-2.8148585675460844</v>
      </c>
      <c r="Q934" s="3">
        <f t="shared" ca="1" si="98"/>
        <v>2.8195309292573985</v>
      </c>
    </row>
    <row r="935" spans="7:17" x14ac:dyDescent="0.25">
      <c r="G935" s="3">
        <f t="shared" ca="1" si="93"/>
        <v>0</v>
      </c>
      <c r="H935" s="3">
        <f t="shared" ca="1" si="94"/>
        <v>0.30407523950290583</v>
      </c>
      <c r="I935" s="3">
        <f t="shared" ca="1" si="95"/>
        <v>2.7571508822646336</v>
      </c>
      <c r="O935" s="3">
        <f t="shared" ca="1" si="96"/>
        <v>-4.176599261498871</v>
      </c>
      <c r="P935" s="3">
        <f t="shared" ca="1" si="97"/>
        <v>-0.89253428967355475</v>
      </c>
      <c r="Q935" s="3">
        <f t="shared" ca="1" si="98"/>
        <v>4.2709014094680287</v>
      </c>
    </row>
    <row r="936" spans="7:17" x14ac:dyDescent="0.25">
      <c r="G936" s="3">
        <f t="shared" ca="1" si="93"/>
        <v>1</v>
      </c>
      <c r="H936" s="3">
        <f t="shared" ca="1" si="94"/>
        <v>2.2499783461522775</v>
      </c>
      <c r="I936" s="3">
        <f t="shared" ca="1" si="95"/>
        <v>7.4999639101669651</v>
      </c>
      <c r="O936" s="3">
        <f t="shared" ca="1" si="96"/>
        <v>-2.6041856659675067</v>
      </c>
      <c r="P936" s="3">
        <f t="shared" ca="1" si="97"/>
        <v>0.8425869241329893</v>
      </c>
      <c r="Q936" s="3">
        <f t="shared" ca="1" si="98"/>
        <v>2.7371035251795863</v>
      </c>
    </row>
    <row r="937" spans="7:17" x14ac:dyDescent="0.25">
      <c r="G937" s="3">
        <f t="shared" ca="1" si="93"/>
        <v>3</v>
      </c>
      <c r="H937" s="3">
        <f t="shared" ca="1" si="94"/>
        <v>11.067754989804397</v>
      </c>
      <c r="I937" s="3">
        <f t="shared" ca="1" si="95"/>
        <v>16.634117792810954</v>
      </c>
      <c r="O937" s="3">
        <f t="shared" ca="1" si="96"/>
        <v>-14.828850536798084</v>
      </c>
      <c r="P937" s="3">
        <f t="shared" ca="1" si="97"/>
        <v>-2.5418231265861944</v>
      </c>
      <c r="Q937" s="3">
        <f t="shared" ca="1" si="98"/>
        <v>15.045121237449209</v>
      </c>
    </row>
    <row r="938" spans="7:17" x14ac:dyDescent="0.25">
      <c r="G938" s="3">
        <f t="shared" ca="1" si="93"/>
        <v>2</v>
      </c>
      <c r="H938" s="3">
        <f t="shared" ca="1" si="94"/>
        <v>3.3458230413282073</v>
      </c>
      <c r="I938" s="3">
        <f t="shared" ca="1" si="95"/>
        <v>9.1457955385633447</v>
      </c>
      <c r="O938" s="3">
        <f t="shared" ca="1" si="96"/>
        <v>-7.0793056904933849</v>
      </c>
      <c r="P938" s="3">
        <f t="shared" ca="1" si="97"/>
        <v>3.4132169302230024</v>
      </c>
      <c r="Q938" s="3">
        <f t="shared" ca="1" si="98"/>
        <v>7.8591741851299464</v>
      </c>
    </row>
    <row r="939" spans="7:17" x14ac:dyDescent="0.25">
      <c r="G939" s="3">
        <f t="shared" ca="1" si="93"/>
        <v>0</v>
      </c>
      <c r="H939" s="3">
        <f t="shared" ca="1" si="94"/>
        <v>0.70008546830498242</v>
      </c>
      <c r="I939" s="3">
        <f t="shared" ca="1" si="95"/>
        <v>4.1835555102836341</v>
      </c>
      <c r="O939" s="3">
        <f t="shared" ca="1" si="96"/>
        <v>-10.617578531609109</v>
      </c>
      <c r="P939" s="3">
        <f t="shared" ca="1" si="97"/>
        <v>1.4157689345995168</v>
      </c>
      <c r="Q939" s="3">
        <f t="shared" ca="1" si="98"/>
        <v>10.711553367792353</v>
      </c>
    </row>
    <row r="940" spans="7:17" x14ac:dyDescent="0.25">
      <c r="G940" s="3">
        <f t="shared" ca="1" si="93"/>
        <v>0</v>
      </c>
      <c r="H940" s="3">
        <f t="shared" ca="1" si="94"/>
        <v>6.2098345589547099</v>
      </c>
      <c r="I940" s="3">
        <f t="shared" ca="1" si="95"/>
        <v>12.459769820260234</v>
      </c>
      <c r="O940" s="3">
        <f t="shared" ca="1" si="96"/>
        <v>-6.0557792997087674</v>
      </c>
      <c r="P940" s="3">
        <f t="shared" ca="1" si="97"/>
        <v>-1.0796861070036587</v>
      </c>
      <c r="Q940" s="3">
        <f t="shared" ca="1" si="98"/>
        <v>6.1512750724088034</v>
      </c>
    </row>
    <row r="941" spans="7:17" x14ac:dyDescent="0.25">
      <c r="G941" s="3">
        <f t="shared" ca="1" si="93"/>
        <v>1</v>
      </c>
      <c r="H941" s="3">
        <f t="shared" ca="1" si="94"/>
        <v>1.3621158575573185</v>
      </c>
      <c r="I941" s="3">
        <f t="shared" ca="1" si="95"/>
        <v>5.8354859642477894</v>
      </c>
      <c r="O941" s="3">
        <f t="shared" ca="1" si="96"/>
        <v>-1.930925554105158</v>
      </c>
      <c r="P941" s="3">
        <f t="shared" ca="1" si="97"/>
        <v>6.981507160432356</v>
      </c>
      <c r="Q941" s="3">
        <f t="shared" ca="1" si="98"/>
        <v>7.2436120635125514</v>
      </c>
    </row>
    <row r="942" spans="7:17" x14ac:dyDescent="0.25">
      <c r="G942" s="3">
        <f t="shared" ca="1" si="93"/>
        <v>1</v>
      </c>
      <c r="H942" s="3">
        <f t="shared" ca="1" si="94"/>
        <v>0.68329891382550467</v>
      </c>
      <c r="I942" s="3">
        <f t="shared" ca="1" si="95"/>
        <v>4.1330948265963627</v>
      </c>
      <c r="O942" s="3">
        <f t="shared" ca="1" si="96"/>
        <v>-11.008086020712209</v>
      </c>
      <c r="P942" s="3">
        <f t="shared" ca="1" si="97"/>
        <v>-3.8433630034030544</v>
      </c>
      <c r="Q942" s="3">
        <f t="shared" ca="1" si="98"/>
        <v>11.659734002768971</v>
      </c>
    </row>
    <row r="943" spans="7:17" x14ac:dyDescent="0.25">
      <c r="G943" s="3">
        <f t="shared" ca="1" si="93"/>
        <v>2</v>
      </c>
      <c r="H943" s="3">
        <f t="shared" ca="1" si="94"/>
        <v>2.9797947696819986</v>
      </c>
      <c r="I943" s="3">
        <f t="shared" ca="1" si="95"/>
        <v>8.6310410288707331</v>
      </c>
      <c r="O943" s="3">
        <f t="shared" ca="1" si="96"/>
        <v>-3.6504873432106764</v>
      </c>
      <c r="P943" s="3">
        <f t="shared" ca="1" si="97"/>
        <v>1.4961080424304005</v>
      </c>
      <c r="Q943" s="3">
        <f t="shared" ca="1" si="98"/>
        <v>3.9451739020689907</v>
      </c>
    </row>
    <row r="944" spans="7:17" x14ac:dyDescent="0.25">
      <c r="G944" s="3">
        <f t="shared" ca="1" si="93"/>
        <v>0</v>
      </c>
      <c r="H944" s="3">
        <f t="shared" ca="1" si="94"/>
        <v>0.58313125349219008</v>
      </c>
      <c r="I944" s="3">
        <f t="shared" ca="1" si="95"/>
        <v>3.8181515602847345</v>
      </c>
      <c r="O944" s="3">
        <f t="shared" ca="1" si="96"/>
        <v>-5.1317169800818059</v>
      </c>
      <c r="P944" s="3">
        <f t="shared" ca="1" si="97"/>
        <v>-6.4659573305361766</v>
      </c>
      <c r="Q944" s="3">
        <f t="shared" ca="1" si="98"/>
        <v>8.2548848183348049</v>
      </c>
    </row>
    <row r="945" spans="7:17" x14ac:dyDescent="0.25">
      <c r="G945" s="3">
        <f t="shared" ca="1" si="93"/>
        <v>0</v>
      </c>
      <c r="H945" s="3">
        <f t="shared" ca="1" si="94"/>
        <v>0.13505146309624119</v>
      </c>
      <c r="I945" s="3">
        <f t="shared" ca="1" si="95"/>
        <v>1.8374674357402989</v>
      </c>
      <c r="O945" s="3">
        <f t="shared" ca="1" si="96"/>
        <v>-5.6140398742620965</v>
      </c>
      <c r="P945" s="3">
        <f t="shared" ca="1" si="97"/>
        <v>6.182306496539673</v>
      </c>
      <c r="Q945" s="3">
        <f t="shared" ca="1" si="98"/>
        <v>8.3509494865530964</v>
      </c>
    </row>
    <row r="946" spans="7:17" x14ac:dyDescent="0.25">
      <c r="G946" s="3">
        <f t="shared" ca="1" si="93"/>
        <v>0</v>
      </c>
      <c r="H946" s="3">
        <f t="shared" ca="1" si="94"/>
        <v>4.1781621156493172</v>
      </c>
      <c r="I946" s="3">
        <f t="shared" ca="1" si="95"/>
        <v>10.220276556494589</v>
      </c>
      <c r="O946" s="3">
        <f t="shared" ca="1" si="96"/>
        <v>0.24904547804872124</v>
      </c>
      <c r="P946" s="3">
        <f t="shared" ca="1" si="97"/>
        <v>-2.3004466271881863</v>
      </c>
      <c r="Q946" s="3">
        <f t="shared" ca="1" si="98"/>
        <v>2.3138881422138837</v>
      </c>
    </row>
    <row r="947" spans="7:17" x14ac:dyDescent="0.25">
      <c r="G947" s="3">
        <f t="shared" ca="1" si="93"/>
        <v>1</v>
      </c>
      <c r="H947" s="3">
        <f t="shared" ca="1" si="94"/>
        <v>5.8027766129307459</v>
      </c>
      <c r="I947" s="3">
        <f t="shared" ca="1" si="95"/>
        <v>12.044476548329888</v>
      </c>
      <c r="O947" s="3">
        <f t="shared" ca="1" si="96"/>
        <v>-6.918258635138522</v>
      </c>
      <c r="P947" s="3">
        <f t="shared" ca="1" si="97"/>
        <v>0.68024900429722157</v>
      </c>
      <c r="Q947" s="3">
        <f t="shared" ca="1" si="98"/>
        <v>6.9516214835472798</v>
      </c>
    </row>
    <row r="948" spans="7:17" x14ac:dyDescent="0.25">
      <c r="G948" s="3">
        <f t="shared" ca="1" si="93"/>
        <v>2</v>
      </c>
      <c r="H948" s="3">
        <f t="shared" ca="1" si="94"/>
        <v>5.2542717512382566</v>
      </c>
      <c r="I948" s="3">
        <f t="shared" ca="1" si="95"/>
        <v>11.461099152391816</v>
      </c>
      <c r="O948" s="3">
        <f t="shared" ca="1" si="96"/>
        <v>-3.0132062648372724</v>
      </c>
      <c r="P948" s="3">
        <f t="shared" ca="1" si="97"/>
        <v>-4.0408284714230103</v>
      </c>
      <c r="Q948" s="3">
        <f t="shared" ca="1" si="98"/>
        <v>5.0406057899738013</v>
      </c>
    </row>
    <row r="949" spans="7:17" x14ac:dyDescent="0.25">
      <c r="G949" s="3">
        <f t="shared" ca="1" si="93"/>
        <v>1</v>
      </c>
      <c r="H949" s="3">
        <f t="shared" ca="1" si="94"/>
        <v>1.8209674440688046</v>
      </c>
      <c r="I949" s="3">
        <f t="shared" ca="1" si="95"/>
        <v>6.7471613365711143</v>
      </c>
      <c r="O949" s="3">
        <f t="shared" ca="1" si="96"/>
        <v>-6.1658871465636231</v>
      </c>
      <c r="P949" s="3">
        <f t="shared" ca="1" si="97"/>
        <v>-0.15296566172475357</v>
      </c>
      <c r="Q949" s="3">
        <f t="shared" ca="1" si="98"/>
        <v>6.1677842697216141</v>
      </c>
    </row>
    <row r="950" spans="7:17" x14ac:dyDescent="0.25">
      <c r="G950" s="3">
        <f t="shared" ca="1" si="93"/>
        <v>1</v>
      </c>
      <c r="H950" s="3">
        <f t="shared" ca="1" si="94"/>
        <v>4.7082149943365428</v>
      </c>
      <c r="I950" s="3">
        <f t="shared" ca="1" si="95"/>
        <v>10.849210794265801</v>
      </c>
      <c r="O950" s="3">
        <f t="shared" ca="1" si="96"/>
        <v>2.4168300921803887</v>
      </c>
      <c r="P950" s="3">
        <f t="shared" ca="1" si="97"/>
        <v>-1.8333979338523014</v>
      </c>
      <c r="Q950" s="3">
        <f t="shared" ca="1" si="98"/>
        <v>3.0335483642629724</v>
      </c>
    </row>
    <row r="951" spans="7:17" x14ac:dyDescent="0.25">
      <c r="G951" s="3">
        <f t="shared" ca="1" si="93"/>
        <v>0</v>
      </c>
      <c r="H951" s="3">
        <f t="shared" ca="1" si="94"/>
        <v>1.8385557054694592</v>
      </c>
      <c r="I951" s="3">
        <f t="shared" ca="1" si="95"/>
        <v>6.7796675904307051</v>
      </c>
      <c r="O951" s="3">
        <f t="shared" ca="1" si="96"/>
        <v>6.4678061598891041</v>
      </c>
      <c r="P951" s="3">
        <f t="shared" ca="1" si="97"/>
        <v>2.9428946116381831</v>
      </c>
      <c r="Q951" s="3">
        <f t="shared" ca="1" si="98"/>
        <v>7.1058528845669535</v>
      </c>
    </row>
    <row r="952" spans="7:17" x14ac:dyDescent="0.25">
      <c r="G952" s="3">
        <f t="shared" ca="1" si="93"/>
        <v>0</v>
      </c>
      <c r="H952" s="3">
        <f t="shared" ca="1" si="94"/>
        <v>3.0426001264879194</v>
      </c>
      <c r="I952" s="3">
        <f t="shared" ca="1" si="95"/>
        <v>8.7215252772779355</v>
      </c>
      <c r="O952" s="3">
        <f t="shared" ca="1" si="96"/>
        <v>-5.0741220657392985</v>
      </c>
      <c r="P952" s="3">
        <f t="shared" ca="1" si="97"/>
        <v>-3.278230593038467</v>
      </c>
      <c r="Q952" s="3">
        <f t="shared" ca="1" si="98"/>
        <v>6.0409858929777167</v>
      </c>
    </row>
    <row r="953" spans="7:17" x14ac:dyDescent="0.25">
      <c r="G953" s="3">
        <f t="shared" ca="1" si="93"/>
        <v>2</v>
      </c>
      <c r="H953" s="3">
        <f t="shared" ca="1" si="94"/>
        <v>2.2278274752361695</v>
      </c>
      <c r="I953" s="3">
        <f t="shared" ca="1" si="95"/>
        <v>7.462954299800062</v>
      </c>
      <c r="O953" s="3">
        <f t="shared" ca="1" si="96"/>
        <v>-6.8120850786679661</v>
      </c>
      <c r="P953" s="3">
        <f t="shared" ca="1" si="97"/>
        <v>1.0758727056908484</v>
      </c>
      <c r="Q953" s="3">
        <f t="shared" ca="1" si="98"/>
        <v>6.8965212388465318</v>
      </c>
    </row>
    <row r="954" spans="7:17" x14ac:dyDescent="0.25">
      <c r="G954" s="3">
        <f t="shared" ca="1" si="93"/>
        <v>0</v>
      </c>
      <c r="H954" s="3">
        <f t="shared" ca="1" si="94"/>
        <v>2.1444601212372838</v>
      </c>
      <c r="I954" s="3">
        <f t="shared" ca="1" si="95"/>
        <v>7.3219876420909156</v>
      </c>
      <c r="O954" s="3">
        <f t="shared" ca="1" si="96"/>
        <v>-8.5371281464168494</v>
      </c>
      <c r="P954" s="3">
        <f t="shared" ca="1" si="97"/>
        <v>-5.5062580492944537</v>
      </c>
      <c r="Q954" s="3">
        <f t="shared" ca="1" si="98"/>
        <v>10.158810692879495</v>
      </c>
    </row>
    <row r="955" spans="7:17" x14ac:dyDescent="0.25">
      <c r="G955" s="3">
        <f t="shared" ca="1" si="93"/>
        <v>0</v>
      </c>
      <c r="H955" s="3">
        <f t="shared" ca="1" si="94"/>
        <v>2.932471270093497</v>
      </c>
      <c r="I955" s="3">
        <f t="shared" ca="1" si="95"/>
        <v>8.5622299520824257</v>
      </c>
      <c r="O955" s="3">
        <f t="shared" ca="1" si="96"/>
        <v>-1.2566695837140491</v>
      </c>
      <c r="P955" s="3">
        <f t="shared" ca="1" si="97"/>
        <v>6.8448402011668072</v>
      </c>
      <c r="Q955" s="3">
        <f t="shared" ca="1" si="98"/>
        <v>6.959242474733963</v>
      </c>
    </row>
    <row r="956" spans="7:17" x14ac:dyDescent="0.25">
      <c r="G956" s="3">
        <f t="shared" ca="1" si="93"/>
        <v>1</v>
      </c>
      <c r="H956" s="3">
        <f t="shared" ca="1" si="94"/>
        <v>7.6817796720004035</v>
      </c>
      <c r="I956" s="3">
        <f t="shared" ca="1" si="95"/>
        <v>13.858011827098796</v>
      </c>
      <c r="O956" s="3">
        <f t="shared" ca="1" si="96"/>
        <v>-19.102737834872716</v>
      </c>
      <c r="P956" s="3">
        <f t="shared" ca="1" si="97"/>
        <v>-4.3704008207122644</v>
      </c>
      <c r="Q956" s="3">
        <f t="shared" ca="1" si="98"/>
        <v>19.596300572341708</v>
      </c>
    </row>
    <row r="957" spans="7:17" x14ac:dyDescent="0.25">
      <c r="G957" s="3">
        <f t="shared" ca="1" si="93"/>
        <v>1</v>
      </c>
      <c r="H957" s="3">
        <f t="shared" ca="1" si="94"/>
        <v>2.95693642578216</v>
      </c>
      <c r="I957" s="3">
        <f t="shared" ca="1" si="95"/>
        <v>8.5978724487255569</v>
      </c>
      <c r="O957" s="3">
        <f t="shared" ca="1" si="96"/>
        <v>-11.406595115032445</v>
      </c>
      <c r="P957" s="3">
        <f t="shared" ca="1" si="97"/>
        <v>0.43536110335333167</v>
      </c>
      <c r="Q957" s="3">
        <f t="shared" ca="1" si="98"/>
        <v>11.414900411681</v>
      </c>
    </row>
    <row r="958" spans="7:17" x14ac:dyDescent="0.25">
      <c r="G958" s="3">
        <f t="shared" ca="1" si="93"/>
        <v>1</v>
      </c>
      <c r="H958" s="3">
        <f t="shared" ca="1" si="94"/>
        <v>7.298252573407721</v>
      </c>
      <c r="I958" s="3">
        <f t="shared" ca="1" si="95"/>
        <v>13.50763911034023</v>
      </c>
      <c r="O958" s="3">
        <f t="shared" ca="1" si="96"/>
        <v>-3.0646301929839712</v>
      </c>
      <c r="P958" s="3">
        <f t="shared" ca="1" si="97"/>
        <v>5.1692257091190204</v>
      </c>
      <c r="Q958" s="3">
        <f t="shared" ca="1" si="98"/>
        <v>6.0093970289510761</v>
      </c>
    </row>
    <row r="959" spans="7:17" x14ac:dyDescent="0.25">
      <c r="G959" s="3">
        <f t="shared" ca="1" si="93"/>
        <v>1</v>
      </c>
      <c r="H959" s="3">
        <f t="shared" ca="1" si="94"/>
        <v>2.8462620318218952</v>
      </c>
      <c r="I959" s="3">
        <f t="shared" ca="1" si="95"/>
        <v>8.435434238706824</v>
      </c>
      <c r="O959" s="3">
        <f t="shared" ca="1" si="96"/>
        <v>-4.4552575372188894</v>
      </c>
      <c r="P959" s="3">
        <f t="shared" ca="1" si="97"/>
        <v>2.6477095682311904</v>
      </c>
      <c r="Q959" s="3">
        <f t="shared" ca="1" si="98"/>
        <v>5.1826330837373309</v>
      </c>
    </row>
    <row r="960" spans="7:17" x14ac:dyDescent="0.25">
      <c r="G960" s="3">
        <f t="shared" ca="1" si="93"/>
        <v>0</v>
      </c>
      <c r="H960" s="3">
        <f t="shared" ca="1" si="94"/>
        <v>10.915005501475203</v>
      </c>
      <c r="I960" s="3">
        <f t="shared" ca="1" si="95"/>
        <v>16.518932699689774</v>
      </c>
      <c r="O960" s="3">
        <f t="shared" ca="1" si="96"/>
        <v>-7.6674083498732708</v>
      </c>
      <c r="P960" s="3">
        <f t="shared" ca="1" si="97"/>
        <v>-6.7720274333017825</v>
      </c>
      <c r="Q960" s="3">
        <f t="shared" ca="1" si="98"/>
        <v>10.229834131651318</v>
      </c>
    </row>
    <row r="961" spans="7:17" x14ac:dyDescent="0.25">
      <c r="G961" s="3">
        <f t="shared" ca="1" si="93"/>
        <v>0</v>
      </c>
      <c r="H961" s="3">
        <f t="shared" ca="1" si="94"/>
        <v>1.3351525654559506</v>
      </c>
      <c r="I961" s="3">
        <f t="shared" ca="1" si="95"/>
        <v>5.7774401023635686</v>
      </c>
      <c r="O961" s="3">
        <f t="shared" ca="1" si="96"/>
        <v>0.2459776298227716</v>
      </c>
      <c r="P961" s="3">
        <f t="shared" ca="1" si="97"/>
        <v>-0.84385762018655841</v>
      </c>
      <c r="Q961" s="3">
        <f t="shared" ca="1" si="98"/>
        <v>0.87897706313654755</v>
      </c>
    </row>
    <row r="962" spans="7:17" x14ac:dyDescent="0.25">
      <c r="G962" s="3">
        <f t="shared" ca="1" si="93"/>
        <v>0</v>
      </c>
      <c r="H962" s="3">
        <f t="shared" ca="1" si="94"/>
        <v>0.38725512842044402</v>
      </c>
      <c r="I962" s="3">
        <f t="shared" ca="1" si="95"/>
        <v>3.1114913161555027</v>
      </c>
      <c r="O962" s="3">
        <f t="shared" ca="1" si="96"/>
        <v>-6.0046906886852449</v>
      </c>
      <c r="P962" s="3">
        <f t="shared" ca="1" si="97"/>
        <v>-7.9607755004251901</v>
      </c>
      <c r="Q962" s="3">
        <f t="shared" ca="1" si="98"/>
        <v>9.9714721498359111</v>
      </c>
    </row>
    <row r="963" spans="7:17" x14ac:dyDescent="0.25">
      <c r="G963" s="3">
        <f t="shared" ca="1" si="93"/>
        <v>1</v>
      </c>
      <c r="H963" s="3">
        <f t="shared" ca="1" si="94"/>
        <v>3.738830000532579</v>
      </c>
      <c r="I963" s="3">
        <f t="shared" ca="1" si="95"/>
        <v>9.6680272037947059</v>
      </c>
      <c r="O963" s="3">
        <f t="shared" ca="1" si="96"/>
        <v>-0.71828825197088619</v>
      </c>
      <c r="P963" s="3">
        <f t="shared" ca="1" si="97"/>
        <v>-9.5485420957719405E-2</v>
      </c>
      <c r="Q963" s="3">
        <f t="shared" ca="1" si="98"/>
        <v>0.72460712012432238</v>
      </c>
    </row>
    <row r="964" spans="7:17" x14ac:dyDescent="0.25">
      <c r="G964" s="3">
        <f t="shared" ref="G964:G1027" ca="1" si="99">VLOOKUP(RAND(),$B$9:$C$169,2,TRUE)</f>
        <v>0</v>
      </c>
      <c r="H964" s="3">
        <f t="shared" ref="H964:H1027" ca="1" si="100">_xlfn.CHISQ.INV(RAND(),2*G964+2)</f>
        <v>0.48162331729641833</v>
      </c>
      <c r="I964" s="3">
        <f t="shared" ref="I964:I1027" ca="1" si="101">$C$4*SQRT(H964)</f>
        <v>3.4699543127266756</v>
      </c>
      <c r="O964" s="3">
        <f t="shared" ref="O964:O1027" ca="1" si="102">_xlfn.NORM.INV(RAND(),$C$3*COS($N$2),$C$4)</f>
        <v>-7.5475088127319445</v>
      </c>
      <c r="P964" s="3">
        <f t="shared" ref="P964:P1027" ca="1" si="103">_xlfn.NORM.INV(RAND(),$C$3*SIN($N$2),$C$4)</f>
        <v>0.33127772374747966</v>
      </c>
      <c r="Q964" s="3">
        <f t="shared" ref="Q964:Q1027" ca="1" si="104">SQRT(O964^2+P964^2)</f>
        <v>7.5547755895537811</v>
      </c>
    </row>
    <row r="965" spans="7:17" x14ac:dyDescent="0.25">
      <c r="G965" s="3">
        <f t="shared" ca="1" si="99"/>
        <v>1</v>
      </c>
      <c r="H965" s="3">
        <f t="shared" ca="1" si="100"/>
        <v>4.7858706525056878</v>
      </c>
      <c r="I965" s="3">
        <f t="shared" ca="1" si="101"/>
        <v>10.938316429535316</v>
      </c>
      <c r="O965" s="3">
        <f t="shared" ca="1" si="102"/>
        <v>-4.6591848249419137</v>
      </c>
      <c r="P965" s="3">
        <f t="shared" ca="1" si="103"/>
        <v>-1.1781937891190473</v>
      </c>
      <c r="Q965" s="3">
        <f t="shared" ca="1" si="104"/>
        <v>4.8058447579679164</v>
      </c>
    </row>
    <row r="966" spans="7:17" x14ac:dyDescent="0.25">
      <c r="G966" s="3">
        <f t="shared" ca="1" si="99"/>
        <v>0</v>
      </c>
      <c r="H966" s="3">
        <f t="shared" ca="1" si="100"/>
        <v>2.5311302415485701</v>
      </c>
      <c r="I966" s="3">
        <f t="shared" ca="1" si="101"/>
        <v>7.9547631038714322</v>
      </c>
      <c r="O966" s="3">
        <f t="shared" ca="1" si="102"/>
        <v>-17.056752563273808</v>
      </c>
      <c r="P966" s="3">
        <f t="shared" ca="1" si="103"/>
        <v>2.1344430035969162</v>
      </c>
      <c r="Q966" s="3">
        <f t="shared" ca="1" si="104"/>
        <v>17.189783446581036</v>
      </c>
    </row>
    <row r="967" spans="7:17" x14ac:dyDescent="0.25">
      <c r="G967" s="3">
        <f t="shared" ca="1" si="99"/>
        <v>1</v>
      </c>
      <c r="H967" s="3">
        <f t="shared" ca="1" si="100"/>
        <v>2.0074317688916623</v>
      </c>
      <c r="I967" s="3">
        <f t="shared" ca="1" si="101"/>
        <v>7.0841932654531359</v>
      </c>
      <c r="O967" s="3">
        <f t="shared" ca="1" si="102"/>
        <v>5.0596537832607424</v>
      </c>
      <c r="P967" s="3">
        <f t="shared" ca="1" si="103"/>
        <v>3.0025323420323335</v>
      </c>
      <c r="Q967" s="3">
        <f t="shared" ca="1" si="104"/>
        <v>5.8834765973372338</v>
      </c>
    </row>
    <row r="968" spans="7:17" x14ac:dyDescent="0.25">
      <c r="G968" s="3">
        <f t="shared" ca="1" si="99"/>
        <v>3</v>
      </c>
      <c r="H968" s="3">
        <f t="shared" ca="1" si="100"/>
        <v>13.800372727742694</v>
      </c>
      <c r="I968" s="3">
        <f t="shared" ca="1" si="101"/>
        <v>18.574426456651828</v>
      </c>
      <c r="O968" s="3">
        <f t="shared" ca="1" si="102"/>
        <v>3.1477372338112737</v>
      </c>
      <c r="P968" s="3">
        <f t="shared" ca="1" si="103"/>
        <v>3.2073966210496785</v>
      </c>
      <c r="Q968" s="3">
        <f t="shared" ca="1" si="104"/>
        <v>4.4939562501033254</v>
      </c>
    </row>
    <row r="969" spans="7:17" x14ac:dyDescent="0.25">
      <c r="G969" s="3">
        <f t="shared" ca="1" si="99"/>
        <v>0</v>
      </c>
      <c r="H969" s="3">
        <f t="shared" ca="1" si="100"/>
        <v>4.0329373086359297</v>
      </c>
      <c r="I969" s="3">
        <f t="shared" ca="1" si="101"/>
        <v>10.041087227780579</v>
      </c>
      <c r="O969" s="3">
        <f t="shared" ca="1" si="102"/>
        <v>-9.2744200402304742</v>
      </c>
      <c r="P969" s="3">
        <f t="shared" ca="1" si="103"/>
        <v>7.2963802405872071</v>
      </c>
      <c r="Q969" s="3">
        <f t="shared" ca="1" si="104"/>
        <v>11.800509806693102</v>
      </c>
    </row>
    <row r="970" spans="7:17" x14ac:dyDescent="0.25">
      <c r="G970" s="3">
        <f t="shared" ca="1" si="99"/>
        <v>1</v>
      </c>
      <c r="H970" s="3">
        <f t="shared" ca="1" si="100"/>
        <v>0.56985211308099171</v>
      </c>
      <c r="I970" s="3">
        <f t="shared" ca="1" si="101"/>
        <v>3.7744274833443008</v>
      </c>
      <c r="O970" s="3">
        <f t="shared" ca="1" si="102"/>
        <v>-5.3872770811997448</v>
      </c>
      <c r="P970" s="3">
        <f t="shared" ca="1" si="103"/>
        <v>5.6047617576730957</v>
      </c>
      <c r="Q970" s="3">
        <f t="shared" ca="1" si="104"/>
        <v>7.7740664204710042</v>
      </c>
    </row>
    <row r="971" spans="7:17" x14ac:dyDescent="0.25">
      <c r="G971" s="3">
        <f t="shared" ca="1" si="99"/>
        <v>0</v>
      </c>
      <c r="H971" s="3">
        <f t="shared" ca="1" si="100"/>
        <v>1.0224091989588326</v>
      </c>
      <c r="I971" s="3">
        <f t="shared" ca="1" si="101"/>
        <v>5.0557126079288581</v>
      </c>
      <c r="O971" s="3">
        <f t="shared" ca="1" si="102"/>
        <v>-1.1746231942490781</v>
      </c>
      <c r="P971" s="3">
        <f t="shared" ca="1" si="103"/>
        <v>1.9745146170929802</v>
      </c>
      <c r="Q971" s="3">
        <f t="shared" ca="1" si="104"/>
        <v>2.2974872407875839</v>
      </c>
    </row>
    <row r="972" spans="7:17" x14ac:dyDescent="0.25">
      <c r="G972" s="3">
        <f t="shared" ca="1" si="99"/>
        <v>0</v>
      </c>
      <c r="H972" s="3">
        <f t="shared" ca="1" si="100"/>
        <v>1.7094139965685901E-2</v>
      </c>
      <c r="I972" s="3">
        <f t="shared" ca="1" si="101"/>
        <v>0.65372279992527982</v>
      </c>
      <c r="O972" s="3">
        <f t="shared" ca="1" si="102"/>
        <v>-1.1000039219490549</v>
      </c>
      <c r="P972" s="3">
        <f t="shared" ca="1" si="103"/>
        <v>-1.067775062068905</v>
      </c>
      <c r="Q972" s="3">
        <f t="shared" ca="1" si="104"/>
        <v>1.5330206167822913</v>
      </c>
    </row>
    <row r="973" spans="7:17" x14ac:dyDescent="0.25">
      <c r="G973" s="3">
        <f t="shared" ca="1" si="99"/>
        <v>0</v>
      </c>
      <c r="H973" s="3">
        <f t="shared" ca="1" si="100"/>
        <v>0.89908349086861228</v>
      </c>
      <c r="I973" s="3">
        <f t="shared" ca="1" si="101"/>
        <v>4.7410006614337554</v>
      </c>
      <c r="O973" s="3">
        <f t="shared" ca="1" si="102"/>
        <v>-7.5525050074064328</v>
      </c>
      <c r="P973" s="3">
        <f t="shared" ca="1" si="103"/>
        <v>4.0925433298784766</v>
      </c>
      <c r="Q973" s="3">
        <f t="shared" ca="1" si="104"/>
        <v>8.5900665185918115</v>
      </c>
    </row>
    <row r="974" spans="7:17" x14ac:dyDescent="0.25">
      <c r="G974" s="3">
        <f t="shared" ca="1" si="99"/>
        <v>0</v>
      </c>
      <c r="H974" s="3">
        <f t="shared" ca="1" si="100"/>
        <v>1.9489296666141485</v>
      </c>
      <c r="I974" s="3">
        <f t="shared" ca="1" si="101"/>
        <v>6.9802035547220047</v>
      </c>
      <c r="O974" s="3">
        <f t="shared" ca="1" si="102"/>
        <v>-16.653881850421339</v>
      </c>
      <c r="P974" s="3">
        <f t="shared" ca="1" si="103"/>
        <v>5.3409181539888122</v>
      </c>
      <c r="Q974" s="3">
        <f t="shared" ca="1" si="104"/>
        <v>17.489344968162776</v>
      </c>
    </row>
    <row r="975" spans="7:17" x14ac:dyDescent="0.25">
      <c r="G975" s="3">
        <f t="shared" ca="1" si="99"/>
        <v>0</v>
      </c>
      <c r="H975" s="3">
        <f t="shared" ca="1" si="100"/>
        <v>2.3958572438634991</v>
      </c>
      <c r="I975" s="3">
        <f t="shared" ca="1" si="101"/>
        <v>7.7392784609799046</v>
      </c>
      <c r="O975" s="3">
        <f t="shared" ca="1" si="102"/>
        <v>-9.7073245595099618</v>
      </c>
      <c r="P975" s="3">
        <f t="shared" ca="1" si="103"/>
        <v>-3.3345524688036146</v>
      </c>
      <c r="Q975" s="3">
        <f t="shared" ca="1" si="104"/>
        <v>10.26408253429743</v>
      </c>
    </row>
    <row r="976" spans="7:17" x14ac:dyDescent="0.25">
      <c r="G976" s="3">
        <f t="shared" ca="1" si="99"/>
        <v>1</v>
      </c>
      <c r="H976" s="3">
        <f t="shared" ca="1" si="100"/>
        <v>2.8514526946308023</v>
      </c>
      <c r="I976" s="3">
        <f t="shared" ca="1" si="101"/>
        <v>8.4431224890895713</v>
      </c>
      <c r="O976" s="3">
        <f t="shared" ca="1" si="102"/>
        <v>-14.436817507852535</v>
      </c>
      <c r="P976" s="3">
        <f t="shared" ca="1" si="103"/>
        <v>-3.5851827846042226</v>
      </c>
      <c r="Q976" s="3">
        <f t="shared" ca="1" si="104"/>
        <v>14.875323033603673</v>
      </c>
    </row>
    <row r="977" spans="7:17" x14ac:dyDescent="0.25">
      <c r="G977" s="3">
        <f t="shared" ca="1" si="99"/>
        <v>0</v>
      </c>
      <c r="H977" s="3">
        <f t="shared" ca="1" si="100"/>
        <v>0.80375145785522217</v>
      </c>
      <c r="I977" s="3">
        <f t="shared" ca="1" si="101"/>
        <v>4.4826093345707205</v>
      </c>
      <c r="O977" s="3">
        <f t="shared" ca="1" si="102"/>
        <v>-7.5177816726725961</v>
      </c>
      <c r="P977" s="3">
        <f t="shared" ca="1" si="103"/>
        <v>8.9652447845992249</v>
      </c>
      <c r="Q977" s="3">
        <f t="shared" ca="1" si="104"/>
        <v>11.70011347490936</v>
      </c>
    </row>
    <row r="978" spans="7:17" x14ac:dyDescent="0.25">
      <c r="G978" s="3">
        <f t="shared" ca="1" si="99"/>
        <v>1</v>
      </c>
      <c r="H978" s="3">
        <f t="shared" ca="1" si="100"/>
        <v>0.73559057740071565</v>
      </c>
      <c r="I978" s="3">
        <f t="shared" ca="1" si="101"/>
        <v>4.2883288627410439</v>
      </c>
      <c r="O978" s="3">
        <f t="shared" ca="1" si="102"/>
        <v>-9.6168105143319735</v>
      </c>
      <c r="P978" s="3">
        <f t="shared" ca="1" si="103"/>
        <v>-3.1108825706691459</v>
      </c>
      <c r="Q978" s="3">
        <f t="shared" ca="1" si="104"/>
        <v>10.107454419242218</v>
      </c>
    </row>
    <row r="979" spans="7:17" x14ac:dyDescent="0.25">
      <c r="G979" s="3">
        <f t="shared" ca="1" si="99"/>
        <v>0</v>
      </c>
      <c r="H979" s="3">
        <f t="shared" ca="1" si="100"/>
        <v>1.7681478052895958</v>
      </c>
      <c r="I979" s="3">
        <f t="shared" ca="1" si="101"/>
        <v>6.6485859498272184</v>
      </c>
      <c r="O979" s="3">
        <f t="shared" ca="1" si="102"/>
        <v>-0.38529976623516049</v>
      </c>
      <c r="P979" s="3">
        <f t="shared" ca="1" si="103"/>
        <v>-1.1994325974067268</v>
      </c>
      <c r="Q979" s="3">
        <f t="shared" ca="1" si="104"/>
        <v>1.2597993751318963</v>
      </c>
    </row>
    <row r="980" spans="7:17" x14ac:dyDescent="0.25">
      <c r="G980" s="3">
        <f t="shared" ca="1" si="99"/>
        <v>1</v>
      </c>
      <c r="H980" s="3">
        <f t="shared" ca="1" si="100"/>
        <v>1.7204040200869035</v>
      </c>
      <c r="I980" s="3">
        <f t="shared" ca="1" si="101"/>
        <v>6.5582086351512627</v>
      </c>
      <c r="O980" s="3">
        <f t="shared" ca="1" si="102"/>
        <v>-2.6343716131855857</v>
      </c>
      <c r="P980" s="3">
        <f t="shared" ca="1" si="103"/>
        <v>1.6554037713995133</v>
      </c>
      <c r="Q980" s="3">
        <f t="shared" ca="1" si="104"/>
        <v>3.1113141022278286</v>
      </c>
    </row>
    <row r="981" spans="7:17" x14ac:dyDescent="0.25">
      <c r="G981" s="3">
        <f t="shared" ca="1" si="99"/>
        <v>0</v>
      </c>
      <c r="H981" s="3">
        <f t="shared" ca="1" si="100"/>
        <v>1.7532951616942332</v>
      </c>
      <c r="I981" s="3">
        <f t="shared" ca="1" si="101"/>
        <v>6.6206026192753651</v>
      </c>
      <c r="O981" s="3">
        <f t="shared" ca="1" si="102"/>
        <v>-0.70322326238384303</v>
      </c>
      <c r="P981" s="3">
        <f t="shared" ca="1" si="103"/>
        <v>8.0831527316915022</v>
      </c>
      <c r="Q981" s="3">
        <f t="shared" ca="1" si="104"/>
        <v>8.1136848004226518</v>
      </c>
    </row>
    <row r="982" spans="7:17" x14ac:dyDescent="0.25">
      <c r="G982" s="3">
        <f t="shared" ca="1" si="99"/>
        <v>0</v>
      </c>
      <c r="H982" s="3">
        <f t="shared" ca="1" si="100"/>
        <v>2.1964381103142389E-2</v>
      </c>
      <c r="I982" s="3">
        <f t="shared" ca="1" si="101"/>
        <v>0.74101924912822592</v>
      </c>
      <c r="O982" s="3">
        <f t="shared" ca="1" si="102"/>
        <v>-6.8974690399332506</v>
      </c>
      <c r="P982" s="3">
        <f t="shared" ca="1" si="103"/>
        <v>-6.8148898895588816</v>
      </c>
      <c r="Q982" s="3">
        <f t="shared" ca="1" si="104"/>
        <v>9.6962778097396516</v>
      </c>
    </row>
    <row r="983" spans="7:17" x14ac:dyDescent="0.25">
      <c r="G983" s="3">
        <f t="shared" ca="1" si="99"/>
        <v>0</v>
      </c>
      <c r="H983" s="3">
        <f t="shared" ca="1" si="100"/>
        <v>1.1522008603831948</v>
      </c>
      <c r="I983" s="3">
        <f t="shared" ca="1" si="101"/>
        <v>5.3670309771399562</v>
      </c>
      <c r="O983" s="3">
        <f t="shared" ca="1" si="102"/>
        <v>-9.5307675662801721</v>
      </c>
      <c r="P983" s="3">
        <f t="shared" ca="1" si="103"/>
        <v>4.10642953543831</v>
      </c>
      <c r="Q983" s="3">
        <f t="shared" ca="1" si="104"/>
        <v>10.377778853491636</v>
      </c>
    </row>
    <row r="984" spans="7:17" x14ac:dyDescent="0.25">
      <c r="G984" s="3">
        <f t="shared" ca="1" si="99"/>
        <v>0</v>
      </c>
      <c r="H984" s="3">
        <f t="shared" ca="1" si="100"/>
        <v>0.86509881653141452</v>
      </c>
      <c r="I984" s="3">
        <f t="shared" ca="1" si="101"/>
        <v>4.6505344223309821</v>
      </c>
      <c r="O984" s="3">
        <f t="shared" ca="1" si="102"/>
        <v>-14.601779873467528</v>
      </c>
      <c r="P984" s="3">
        <f t="shared" ca="1" si="103"/>
        <v>-3.4823605958330375</v>
      </c>
      <c r="Q984" s="3">
        <f t="shared" ca="1" si="104"/>
        <v>15.011289444701678</v>
      </c>
    </row>
    <row r="985" spans="7:17" x14ac:dyDescent="0.25">
      <c r="G985" s="3">
        <f t="shared" ca="1" si="99"/>
        <v>2</v>
      </c>
      <c r="H985" s="3">
        <f t="shared" ca="1" si="100"/>
        <v>2.121897610393491</v>
      </c>
      <c r="I985" s="3">
        <f t="shared" ca="1" si="101"/>
        <v>7.2833673709237869</v>
      </c>
      <c r="O985" s="3">
        <f t="shared" ca="1" si="102"/>
        <v>4.1920782087934469</v>
      </c>
      <c r="P985" s="3">
        <f t="shared" ca="1" si="103"/>
        <v>6.3741146523269618</v>
      </c>
      <c r="Q985" s="3">
        <f t="shared" ca="1" si="104"/>
        <v>7.6290797157750383</v>
      </c>
    </row>
    <row r="986" spans="7:17" x14ac:dyDescent="0.25">
      <c r="G986" s="3">
        <f t="shared" ca="1" si="99"/>
        <v>0</v>
      </c>
      <c r="H986" s="3">
        <f t="shared" ca="1" si="100"/>
        <v>4.3930541139643564</v>
      </c>
      <c r="I986" s="3">
        <f t="shared" ca="1" si="101"/>
        <v>10.479806908961105</v>
      </c>
      <c r="O986" s="3">
        <f t="shared" ca="1" si="102"/>
        <v>-3.2443275434292973</v>
      </c>
      <c r="P986" s="3">
        <f t="shared" ca="1" si="103"/>
        <v>-4.5980661687239488</v>
      </c>
      <c r="Q986" s="3">
        <f t="shared" ca="1" si="104"/>
        <v>5.627421585505898</v>
      </c>
    </row>
    <row r="987" spans="7:17" x14ac:dyDescent="0.25">
      <c r="G987" s="3">
        <f t="shared" ca="1" si="99"/>
        <v>1</v>
      </c>
      <c r="H987" s="3">
        <f t="shared" ca="1" si="100"/>
        <v>0.34996758241172349</v>
      </c>
      <c r="I987" s="3">
        <f t="shared" ca="1" si="101"/>
        <v>2.9579028990643161</v>
      </c>
      <c r="O987" s="3">
        <f t="shared" ca="1" si="102"/>
        <v>-8.2978528929289777</v>
      </c>
      <c r="P987" s="3">
        <f t="shared" ca="1" si="103"/>
        <v>-3.9455383070222911</v>
      </c>
      <c r="Q987" s="3">
        <f t="shared" ca="1" si="104"/>
        <v>9.1881246816132247</v>
      </c>
    </row>
    <row r="988" spans="7:17" x14ac:dyDescent="0.25">
      <c r="G988" s="3">
        <f t="shared" ca="1" si="99"/>
        <v>0</v>
      </c>
      <c r="H988" s="3">
        <f t="shared" ca="1" si="100"/>
        <v>0.93423073075337659</v>
      </c>
      <c r="I988" s="3">
        <f t="shared" ca="1" si="101"/>
        <v>4.8327805939059987</v>
      </c>
      <c r="O988" s="3">
        <f t="shared" ca="1" si="102"/>
        <v>-0.97517553499391152</v>
      </c>
      <c r="P988" s="3">
        <f t="shared" ca="1" si="103"/>
        <v>-8.1633080487776546</v>
      </c>
      <c r="Q988" s="3">
        <f t="shared" ca="1" si="104"/>
        <v>8.2213481633664376</v>
      </c>
    </row>
    <row r="989" spans="7:17" x14ac:dyDescent="0.25">
      <c r="G989" s="3">
        <f t="shared" ca="1" si="99"/>
        <v>1</v>
      </c>
      <c r="H989" s="3">
        <f t="shared" ca="1" si="100"/>
        <v>0.49752314702711115</v>
      </c>
      <c r="I989" s="3">
        <f t="shared" ca="1" si="101"/>
        <v>3.526766036424557</v>
      </c>
      <c r="O989" s="3">
        <f t="shared" ca="1" si="102"/>
        <v>-5.4090941183275074</v>
      </c>
      <c r="P989" s="3">
        <f t="shared" ca="1" si="103"/>
        <v>-2.3041484424436365</v>
      </c>
      <c r="Q989" s="3">
        <f t="shared" ca="1" si="104"/>
        <v>5.8794046659284023</v>
      </c>
    </row>
    <row r="990" spans="7:17" x14ac:dyDescent="0.25">
      <c r="G990" s="3">
        <f t="shared" ca="1" si="99"/>
        <v>0</v>
      </c>
      <c r="H990" s="3">
        <f t="shared" ca="1" si="100"/>
        <v>2.8134656037067147</v>
      </c>
      <c r="I990" s="3">
        <f t="shared" ca="1" si="101"/>
        <v>8.3866942291148234</v>
      </c>
      <c r="O990" s="3">
        <f t="shared" ca="1" si="102"/>
        <v>-7.0944599167596314</v>
      </c>
      <c r="P990" s="3">
        <f t="shared" ca="1" si="103"/>
        <v>-3.0905525603950772</v>
      </c>
      <c r="Q990" s="3">
        <f t="shared" ca="1" si="104"/>
        <v>7.7384027188479694</v>
      </c>
    </row>
    <row r="991" spans="7:17" x14ac:dyDescent="0.25">
      <c r="G991" s="3">
        <f t="shared" ca="1" si="99"/>
        <v>0</v>
      </c>
      <c r="H991" s="3">
        <f t="shared" ca="1" si="100"/>
        <v>0.30964835989873057</v>
      </c>
      <c r="I991" s="3">
        <f t="shared" ca="1" si="101"/>
        <v>2.7823028227474205</v>
      </c>
      <c r="O991" s="3">
        <f t="shared" ca="1" si="102"/>
        <v>-7.5802906309549405</v>
      </c>
      <c r="P991" s="3">
        <f t="shared" ca="1" si="103"/>
        <v>0.17419649192441081</v>
      </c>
      <c r="Q991" s="3">
        <f t="shared" ca="1" si="104"/>
        <v>7.5822919007079923</v>
      </c>
    </row>
    <row r="992" spans="7:17" x14ac:dyDescent="0.25">
      <c r="G992" s="3">
        <f t="shared" ca="1" si="99"/>
        <v>0</v>
      </c>
      <c r="H992" s="3">
        <f t="shared" ca="1" si="100"/>
        <v>1.6361226235950586</v>
      </c>
      <c r="I992" s="3">
        <f t="shared" ca="1" si="101"/>
        <v>6.3955504524533673</v>
      </c>
      <c r="O992" s="3">
        <f t="shared" ca="1" si="102"/>
        <v>-4.966208176849964</v>
      </c>
      <c r="P992" s="3">
        <f t="shared" ca="1" si="103"/>
        <v>-7.1090908440550038</v>
      </c>
      <c r="Q992" s="3">
        <f t="shared" ca="1" si="104"/>
        <v>8.6719315198425164</v>
      </c>
    </row>
    <row r="993" spans="7:17" x14ac:dyDescent="0.25">
      <c r="G993" s="3">
        <f t="shared" ca="1" si="99"/>
        <v>0</v>
      </c>
      <c r="H993" s="3">
        <f t="shared" ca="1" si="100"/>
        <v>0.27770528223379465</v>
      </c>
      <c r="I993" s="3">
        <f t="shared" ca="1" si="101"/>
        <v>2.6348874844753558</v>
      </c>
      <c r="O993" s="3">
        <f t="shared" ca="1" si="102"/>
        <v>-5.7935473177448911</v>
      </c>
      <c r="P993" s="3">
        <f t="shared" ca="1" si="103"/>
        <v>0.44980411845658014</v>
      </c>
      <c r="Q993" s="3">
        <f t="shared" ca="1" si="104"/>
        <v>5.8109822119784127</v>
      </c>
    </row>
    <row r="994" spans="7:17" x14ac:dyDescent="0.25">
      <c r="G994" s="3">
        <f t="shared" ca="1" si="99"/>
        <v>1</v>
      </c>
      <c r="H994" s="3">
        <f t="shared" ca="1" si="100"/>
        <v>10.195910450264401</v>
      </c>
      <c r="I994" s="3">
        <f t="shared" ca="1" si="101"/>
        <v>15.965517882505724</v>
      </c>
      <c r="O994" s="3">
        <f t="shared" ca="1" si="102"/>
        <v>-7.4684603389840722</v>
      </c>
      <c r="P994" s="3">
        <f t="shared" ca="1" si="103"/>
        <v>-2.1395031066075143</v>
      </c>
      <c r="Q994" s="3">
        <f t="shared" ca="1" si="104"/>
        <v>7.7688720788902996</v>
      </c>
    </row>
    <row r="995" spans="7:17" x14ac:dyDescent="0.25">
      <c r="G995" s="3">
        <f t="shared" ca="1" si="99"/>
        <v>0</v>
      </c>
      <c r="H995" s="3">
        <f t="shared" ca="1" si="100"/>
        <v>6.7206819209288268E-2</v>
      </c>
      <c r="I995" s="3">
        <f t="shared" ca="1" si="101"/>
        <v>1.2962139021906094</v>
      </c>
      <c r="O995" s="3">
        <f t="shared" ca="1" si="102"/>
        <v>-5.0043048990667875</v>
      </c>
      <c r="P995" s="3">
        <f t="shared" ca="1" si="103"/>
        <v>3.9520657423210164</v>
      </c>
      <c r="Q995" s="3">
        <f t="shared" ca="1" si="104"/>
        <v>6.3766677155432223</v>
      </c>
    </row>
    <row r="996" spans="7:17" x14ac:dyDescent="0.25">
      <c r="G996" s="3">
        <f t="shared" ca="1" si="99"/>
        <v>1</v>
      </c>
      <c r="H996" s="3">
        <f t="shared" ca="1" si="100"/>
        <v>5.3198382567099989</v>
      </c>
      <c r="I996" s="3">
        <f t="shared" ca="1" si="101"/>
        <v>11.532387281814202</v>
      </c>
      <c r="O996" s="3">
        <f t="shared" ca="1" si="102"/>
        <v>-14.316637947693906</v>
      </c>
      <c r="P996" s="3">
        <f t="shared" ca="1" si="103"/>
        <v>-1.223951987834125</v>
      </c>
      <c r="Q996" s="3">
        <f t="shared" ca="1" si="104"/>
        <v>14.368861492612151</v>
      </c>
    </row>
    <row r="997" spans="7:17" x14ac:dyDescent="0.25">
      <c r="G997" s="3">
        <f t="shared" ca="1" si="99"/>
        <v>2</v>
      </c>
      <c r="H997" s="3">
        <f t="shared" ca="1" si="100"/>
        <v>5.5521586479075618</v>
      </c>
      <c r="I997" s="3">
        <f t="shared" ca="1" si="101"/>
        <v>11.781509504205692</v>
      </c>
      <c r="O997" s="3">
        <f t="shared" ca="1" si="102"/>
        <v>-12.813819244532377</v>
      </c>
      <c r="P997" s="3">
        <f t="shared" ca="1" si="103"/>
        <v>0.62470379752826999</v>
      </c>
      <c r="Q997" s="3">
        <f t="shared" ca="1" si="104"/>
        <v>12.829038095905496</v>
      </c>
    </row>
    <row r="998" spans="7:17" x14ac:dyDescent="0.25">
      <c r="G998" s="3">
        <f t="shared" ca="1" si="99"/>
        <v>1</v>
      </c>
      <c r="H998" s="3">
        <f t="shared" ca="1" si="100"/>
        <v>0.71525540225072459</v>
      </c>
      <c r="I998" s="3">
        <f t="shared" ca="1" si="101"/>
        <v>4.2286386764853905</v>
      </c>
      <c r="O998" s="3">
        <f t="shared" ca="1" si="102"/>
        <v>-12.315688545082512</v>
      </c>
      <c r="P998" s="3">
        <f t="shared" ca="1" si="103"/>
        <v>2.9215981682336509</v>
      </c>
      <c r="Q998" s="3">
        <f t="shared" ca="1" si="104"/>
        <v>12.657484749984999</v>
      </c>
    </row>
    <row r="999" spans="7:17" x14ac:dyDescent="0.25">
      <c r="G999" s="3">
        <f t="shared" ca="1" si="99"/>
        <v>1</v>
      </c>
      <c r="H999" s="3">
        <f t="shared" ca="1" si="100"/>
        <v>1.3037560609449252</v>
      </c>
      <c r="I999" s="3">
        <f t="shared" ca="1" si="101"/>
        <v>5.7091068936938925</v>
      </c>
      <c r="O999" s="3">
        <f t="shared" ca="1" si="102"/>
        <v>-9.2426810089254623</v>
      </c>
      <c r="P999" s="3">
        <f t="shared" ca="1" si="103"/>
        <v>-2.1291687058042399</v>
      </c>
      <c r="Q999" s="3">
        <f t="shared" ca="1" si="104"/>
        <v>9.4847515313015709</v>
      </c>
    </row>
    <row r="1000" spans="7:17" x14ac:dyDescent="0.25">
      <c r="G1000" s="3">
        <f t="shared" ca="1" si="99"/>
        <v>0</v>
      </c>
      <c r="H1000" s="3">
        <f t="shared" ca="1" si="100"/>
        <v>5.0885468893545669</v>
      </c>
      <c r="I1000" s="3">
        <f t="shared" ca="1" si="101"/>
        <v>11.278903857816333</v>
      </c>
      <c r="O1000" s="3">
        <f t="shared" ca="1" si="102"/>
        <v>-3.9640308627129093</v>
      </c>
      <c r="P1000" s="3">
        <f t="shared" ca="1" si="103"/>
        <v>1.2319206073805926</v>
      </c>
      <c r="Q1000" s="3">
        <f t="shared" ca="1" si="104"/>
        <v>4.1510443340717789</v>
      </c>
    </row>
    <row r="1001" spans="7:17" x14ac:dyDescent="0.25">
      <c r="G1001" s="3">
        <f t="shared" ca="1" si="99"/>
        <v>1</v>
      </c>
      <c r="H1001" s="3">
        <f t="shared" ca="1" si="100"/>
        <v>1.2293052708178682</v>
      </c>
      <c r="I1001" s="3">
        <f t="shared" ca="1" si="101"/>
        <v>5.5437019914896855</v>
      </c>
      <c r="O1001" s="3">
        <f t="shared" ca="1" si="102"/>
        <v>0.91391125087040948</v>
      </c>
      <c r="P1001" s="3">
        <f t="shared" ca="1" si="103"/>
        <v>5.7726579845179238</v>
      </c>
      <c r="Q1001" s="3">
        <f t="shared" ca="1" si="104"/>
        <v>5.8445542157367365</v>
      </c>
    </row>
    <row r="1002" spans="7:17" x14ac:dyDescent="0.25">
      <c r="G1002" s="3">
        <f t="shared" ca="1" si="99"/>
        <v>0</v>
      </c>
      <c r="H1002" s="3">
        <f t="shared" ca="1" si="100"/>
        <v>0.8693397712533939</v>
      </c>
      <c r="I1002" s="3">
        <f t="shared" ca="1" si="101"/>
        <v>4.6619195918993332</v>
      </c>
      <c r="O1002" s="3">
        <f t="shared" ca="1" si="102"/>
        <v>-3.3293111407401366</v>
      </c>
      <c r="P1002" s="3">
        <f t="shared" ca="1" si="103"/>
        <v>-9.7679158953502583</v>
      </c>
      <c r="Q1002" s="3">
        <f t="shared" ca="1" si="104"/>
        <v>10.319713833750074</v>
      </c>
    </row>
    <row r="1003" spans="7:17" x14ac:dyDescent="0.25">
      <c r="G1003" s="3">
        <f t="shared" ca="1" si="99"/>
        <v>0</v>
      </c>
      <c r="H1003" s="3">
        <f t="shared" ca="1" si="100"/>
        <v>0.19334474878025881</v>
      </c>
      <c r="I1003" s="3">
        <f t="shared" ca="1" si="101"/>
        <v>2.1985492306306154</v>
      </c>
      <c r="O1003" s="3">
        <f t="shared" ca="1" si="102"/>
        <v>-3.4097282253446251</v>
      </c>
      <c r="P1003" s="3">
        <f t="shared" ca="1" si="103"/>
        <v>7.8470458584152167</v>
      </c>
      <c r="Q1003" s="3">
        <f t="shared" ca="1" si="104"/>
        <v>8.5558386657757399</v>
      </c>
    </row>
    <row r="1004" spans="7:17" x14ac:dyDescent="0.25">
      <c r="G1004" s="3">
        <f t="shared" ca="1" si="99"/>
        <v>1</v>
      </c>
      <c r="H1004" s="3">
        <f t="shared" ca="1" si="100"/>
        <v>0.95065756606904472</v>
      </c>
      <c r="I1004" s="3">
        <f t="shared" ca="1" si="101"/>
        <v>4.875083502026003</v>
      </c>
      <c r="O1004" s="3">
        <f t="shared" ca="1" si="102"/>
        <v>-12.338396493605572</v>
      </c>
      <c r="P1004" s="3">
        <f t="shared" ca="1" si="103"/>
        <v>0.22157747086877752</v>
      </c>
      <c r="Q1004" s="3">
        <f t="shared" ca="1" si="104"/>
        <v>12.340385918155675</v>
      </c>
    </row>
    <row r="1005" spans="7:17" x14ac:dyDescent="0.25">
      <c r="G1005" s="3">
        <f t="shared" ca="1" si="99"/>
        <v>0</v>
      </c>
      <c r="H1005" s="3">
        <f t="shared" ca="1" si="100"/>
        <v>0.97187288899932289</v>
      </c>
      <c r="I1005" s="3">
        <f t="shared" ca="1" si="101"/>
        <v>4.9291806849600341</v>
      </c>
      <c r="O1005" s="3">
        <f t="shared" ca="1" si="102"/>
        <v>-8.8297001195724221</v>
      </c>
      <c r="P1005" s="3">
        <f t="shared" ca="1" si="103"/>
        <v>13.030714487406126</v>
      </c>
      <c r="Q1005" s="3">
        <f t="shared" ca="1" si="104"/>
        <v>15.740493138840128</v>
      </c>
    </row>
    <row r="1006" spans="7:17" x14ac:dyDescent="0.25">
      <c r="G1006" s="3">
        <f t="shared" ca="1" si="99"/>
        <v>0</v>
      </c>
      <c r="H1006" s="3">
        <f t="shared" ca="1" si="100"/>
        <v>2.559350464816605</v>
      </c>
      <c r="I1006" s="3">
        <f t="shared" ca="1" si="101"/>
        <v>7.9989850368915638</v>
      </c>
      <c r="O1006" s="3">
        <f t="shared" ca="1" si="102"/>
        <v>6.4403979480810385</v>
      </c>
      <c r="P1006" s="3">
        <f t="shared" ca="1" si="103"/>
        <v>0.15280711949493767</v>
      </c>
      <c r="Q1006" s="3">
        <f t="shared" ca="1" si="104"/>
        <v>6.4422104704375176</v>
      </c>
    </row>
    <row r="1007" spans="7:17" x14ac:dyDescent="0.25">
      <c r="G1007" s="3">
        <f t="shared" ca="1" si="99"/>
        <v>1</v>
      </c>
      <c r="H1007" s="3">
        <f t="shared" ca="1" si="100"/>
        <v>7.1308518099340414</v>
      </c>
      <c r="I1007" s="3">
        <f t="shared" ca="1" si="101"/>
        <v>13.351827412318924</v>
      </c>
      <c r="O1007" s="3">
        <f t="shared" ca="1" si="102"/>
        <v>-13.377131705969779</v>
      </c>
      <c r="P1007" s="3">
        <f t="shared" ca="1" si="103"/>
        <v>-0.50886702255469962</v>
      </c>
      <c r="Q1007" s="3">
        <f t="shared" ca="1" si="104"/>
        <v>13.386806875633399</v>
      </c>
    </row>
    <row r="1008" spans="7:17" x14ac:dyDescent="0.25">
      <c r="G1008" s="3">
        <f t="shared" ca="1" si="99"/>
        <v>0</v>
      </c>
      <c r="H1008" s="3">
        <f t="shared" ca="1" si="100"/>
        <v>0.24288536336513145</v>
      </c>
      <c r="I1008" s="3">
        <f t="shared" ca="1" si="101"/>
        <v>2.4641700599042036</v>
      </c>
      <c r="O1008" s="3">
        <f t="shared" ca="1" si="102"/>
        <v>-2.4528891916473827</v>
      </c>
      <c r="P1008" s="3">
        <f t="shared" ca="1" si="103"/>
        <v>-1.6774556346620124</v>
      </c>
      <c r="Q1008" s="3">
        <f t="shared" ca="1" si="104"/>
        <v>2.9716195572044355</v>
      </c>
    </row>
    <row r="1009" spans="7:17" x14ac:dyDescent="0.25">
      <c r="G1009" s="3">
        <f t="shared" ca="1" si="99"/>
        <v>0</v>
      </c>
      <c r="H1009" s="3">
        <f t="shared" ca="1" si="100"/>
        <v>2.0160609266311242</v>
      </c>
      <c r="I1009" s="3">
        <f t="shared" ca="1" si="101"/>
        <v>7.0994030147455431</v>
      </c>
      <c r="O1009" s="3">
        <f t="shared" ca="1" si="102"/>
        <v>5.0916996511147659</v>
      </c>
      <c r="P1009" s="3">
        <f t="shared" ca="1" si="103"/>
        <v>-3.2916948511701132</v>
      </c>
      <c r="Q1009" s="3">
        <f t="shared" ca="1" si="104"/>
        <v>6.0630570119686382</v>
      </c>
    </row>
    <row r="1010" spans="7:17" x14ac:dyDescent="0.25">
      <c r="G1010" s="3">
        <f t="shared" ca="1" si="99"/>
        <v>0</v>
      </c>
      <c r="H1010" s="3">
        <f t="shared" ca="1" si="100"/>
        <v>0.71930426705378636</v>
      </c>
      <c r="I1010" s="3">
        <f t="shared" ca="1" si="101"/>
        <v>4.2405903688454343</v>
      </c>
      <c r="O1010" s="3">
        <f t="shared" ca="1" si="102"/>
        <v>-6.5366659855075824</v>
      </c>
      <c r="P1010" s="3">
        <f t="shared" ca="1" si="103"/>
        <v>1.6898436044648597</v>
      </c>
      <c r="Q1010" s="3">
        <f t="shared" ca="1" si="104"/>
        <v>6.7515608279599029</v>
      </c>
    </row>
    <row r="1011" spans="7:17" x14ac:dyDescent="0.25">
      <c r="G1011" s="3">
        <f t="shared" ca="1" si="99"/>
        <v>1</v>
      </c>
      <c r="H1011" s="3">
        <f t="shared" ca="1" si="100"/>
        <v>4.2182070861751413</v>
      </c>
      <c r="I1011" s="3">
        <f t="shared" ca="1" si="101"/>
        <v>10.269137118296674</v>
      </c>
      <c r="O1011" s="3">
        <f t="shared" ca="1" si="102"/>
        <v>-1.1760675202208515</v>
      </c>
      <c r="P1011" s="3">
        <f t="shared" ca="1" si="103"/>
        <v>8.3818891741443462</v>
      </c>
      <c r="Q1011" s="3">
        <f t="shared" ca="1" si="104"/>
        <v>8.463994384435555</v>
      </c>
    </row>
    <row r="1012" spans="7:17" x14ac:dyDescent="0.25">
      <c r="G1012" s="3">
        <f t="shared" ca="1" si="99"/>
        <v>0</v>
      </c>
      <c r="H1012" s="3">
        <f t="shared" ca="1" si="100"/>
        <v>1.8842000004399273</v>
      </c>
      <c r="I1012" s="3">
        <f t="shared" ca="1" si="101"/>
        <v>6.8633082410014321</v>
      </c>
      <c r="O1012" s="3">
        <f t="shared" ca="1" si="102"/>
        <v>-9.3443098602133929</v>
      </c>
      <c r="P1012" s="3">
        <f t="shared" ca="1" si="103"/>
        <v>2.3671918712677686</v>
      </c>
      <c r="Q1012" s="3">
        <f t="shared" ca="1" si="104"/>
        <v>9.639487751902454</v>
      </c>
    </row>
    <row r="1013" spans="7:17" x14ac:dyDescent="0.25">
      <c r="G1013" s="3">
        <f t="shared" ca="1" si="99"/>
        <v>0</v>
      </c>
      <c r="H1013" s="3">
        <f t="shared" ca="1" si="100"/>
        <v>1.5283002563143857</v>
      </c>
      <c r="I1013" s="3">
        <f t="shared" ca="1" si="101"/>
        <v>6.1812220804513762</v>
      </c>
      <c r="O1013" s="3">
        <f t="shared" ca="1" si="102"/>
        <v>-7.8935004524928072</v>
      </c>
      <c r="P1013" s="3">
        <f t="shared" ca="1" si="103"/>
        <v>6.7245297817153071</v>
      </c>
      <c r="Q1013" s="3">
        <f t="shared" ca="1" si="104"/>
        <v>10.369505782759383</v>
      </c>
    </row>
    <row r="1014" spans="7:17" x14ac:dyDescent="0.25">
      <c r="G1014" s="3">
        <f t="shared" ca="1" si="99"/>
        <v>1</v>
      </c>
      <c r="H1014" s="3">
        <f t="shared" ca="1" si="100"/>
        <v>0.47365723591450637</v>
      </c>
      <c r="I1014" s="3">
        <f t="shared" ca="1" si="101"/>
        <v>3.4411380236576767</v>
      </c>
      <c r="O1014" s="3">
        <f t="shared" ca="1" si="102"/>
        <v>-7.9487812703488503</v>
      </c>
      <c r="P1014" s="3">
        <f t="shared" ca="1" si="103"/>
        <v>4.1290767736279932</v>
      </c>
      <c r="Q1014" s="3">
        <f t="shared" ca="1" si="104"/>
        <v>8.9572539701832081</v>
      </c>
    </row>
    <row r="1015" spans="7:17" x14ac:dyDescent="0.25">
      <c r="G1015" s="3">
        <f t="shared" ca="1" si="99"/>
        <v>0</v>
      </c>
      <c r="H1015" s="3">
        <f t="shared" ca="1" si="100"/>
        <v>8.6562155488077561</v>
      </c>
      <c r="I1015" s="3">
        <f t="shared" ca="1" si="101"/>
        <v>14.710723596077589</v>
      </c>
      <c r="O1015" s="3">
        <f t="shared" ca="1" si="102"/>
        <v>-3.8401278869693494</v>
      </c>
      <c r="P1015" s="3">
        <f t="shared" ca="1" si="103"/>
        <v>-0.27137007307601102</v>
      </c>
      <c r="Q1015" s="3">
        <f t="shared" ca="1" si="104"/>
        <v>3.849704391877506</v>
      </c>
    </row>
    <row r="1016" spans="7:17" x14ac:dyDescent="0.25">
      <c r="G1016" s="3">
        <f t="shared" ca="1" si="99"/>
        <v>0</v>
      </c>
      <c r="H1016" s="3">
        <f t="shared" ca="1" si="100"/>
        <v>3.066917107961137</v>
      </c>
      <c r="I1016" s="3">
        <f t="shared" ca="1" si="101"/>
        <v>8.7563078805526491</v>
      </c>
      <c r="O1016" s="3">
        <f t="shared" ca="1" si="102"/>
        <v>-6.3128757025026552</v>
      </c>
      <c r="P1016" s="3">
        <f t="shared" ca="1" si="103"/>
        <v>-0.55026368556783234</v>
      </c>
      <c r="Q1016" s="3">
        <f t="shared" ca="1" si="104"/>
        <v>6.3368122710794488</v>
      </c>
    </row>
    <row r="1017" spans="7:17" x14ac:dyDescent="0.25">
      <c r="G1017" s="3">
        <f t="shared" ca="1" si="99"/>
        <v>2</v>
      </c>
      <c r="H1017" s="3">
        <f t="shared" ca="1" si="100"/>
        <v>3.5605409050130468</v>
      </c>
      <c r="I1017" s="3">
        <f t="shared" ca="1" si="101"/>
        <v>9.434697802543873</v>
      </c>
      <c r="O1017" s="3">
        <f t="shared" ca="1" si="102"/>
        <v>-8.3939221712194652</v>
      </c>
      <c r="P1017" s="3">
        <f t="shared" ca="1" si="103"/>
        <v>10.32349885785527</v>
      </c>
      <c r="Q1017" s="3">
        <f t="shared" ca="1" si="104"/>
        <v>13.305358247135954</v>
      </c>
    </row>
    <row r="1018" spans="7:17" x14ac:dyDescent="0.25">
      <c r="G1018" s="3">
        <f t="shared" ca="1" si="99"/>
        <v>0</v>
      </c>
      <c r="H1018" s="3">
        <f t="shared" ca="1" si="100"/>
        <v>3.452632180268095</v>
      </c>
      <c r="I1018" s="3">
        <f t="shared" ca="1" si="101"/>
        <v>9.2906299305645774</v>
      </c>
      <c r="O1018" s="3">
        <f t="shared" ca="1" si="102"/>
        <v>-13.914769215005677</v>
      </c>
      <c r="P1018" s="3">
        <f t="shared" ca="1" si="103"/>
        <v>-3.4023313434142217</v>
      </c>
      <c r="Q1018" s="3">
        <f t="shared" ca="1" si="104"/>
        <v>14.32468711271728</v>
      </c>
    </row>
    <row r="1019" spans="7:17" x14ac:dyDescent="0.25">
      <c r="G1019" s="3">
        <f t="shared" ca="1" si="99"/>
        <v>0</v>
      </c>
      <c r="H1019" s="3">
        <f t="shared" ca="1" si="100"/>
        <v>1.6959494926232399</v>
      </c>
      <c r="I1019" s="3">
        <f t="shared" ca="1" si="101"/>
        <v>6.511431280108928</v>
      </c>
      <c r="O1019" s="3">
        <f t="shared" ca="1" si="102"/>
        <v>-5.0935944706214666</v>
      </c>
      <c r="P1019" s="3">
        <f t="shared" ca="1" si="103"/>
        <v>9.5375386732410306</v>
      </c>
      <c r="Q1019" s="3">
        <f t="shared" ca="1" si="104"/>
        <v>10.812462650789314</v>
      </c>
    </row>
    <row r="1020" spans="7:17" x14ac:dyDescent="0.25">
      <c r="G1020" s="3">
        <f t="shared" ca="1" si="99"/>
        <v>0</v>
      </c>
      <c r="H1020" s="3">
        <f t="shared" ca="1" si="100"/>
        <v>3.3102905217766674</v>
      </c>
      <c r="I1020" s="3">
        <f t="shared" ca="1" si="101"/>
        <v>9.0971019035963696</v>
      </c>
      <c r="O1020" s="3">
        <f t="shared" ca="1" si="102"/>
        <v>-6.7487432185668776</v>
      </c>
      <c r="P1020" s="3">
        <f t="shared" ca="1" si="103"/>
        <v>-5.516545403584284</v>
      </c>
      <c r="Q1020" s="3">
        <f t="shared" ca="1" si="104"/>
        <v>8.7165250082793495</v>
      </c>
    </row>
    <row r="1021" spans="7:17" x14ac:dyDescent="0.25">
      <c r="G1021" s="3">
        <f t="shared" ca="1" si="99"/>
        <v>1</v>
      </c>
      <c r="H1021" s="3">
        <f t="shared" ca="1" si="100"/>
        <v>1.83130946961041</v>
      </c>
      <c r="I1021" s="3">
        <f t="shared" ca="1" si="101"/>
        <v>6.7662941659567419</v>
      </c>
      <c r="O1021" s="3">
        <f t="shared" ca="1" si="102"/>
        <v>-5.4884273072619276</v>
      </c>
      <c r="P1021" s="3">
        <f t="shared" ca="1" si="103"/>
        <v>5.2618987992111084</v>
      </c>
      <c r="Q1021" s="3">
        <f t="shared" ca="1" si="104"/>
        <v>7.6033159397882262</v>
      </c>
    </row>
    <row r="1022" spans="7:17" x14ac:dyDescent="0.25">
      <c r="G1022" s="3">
        <f t="shared" ca="1" si="99"/>
        <v>1</v>
      </c>
      <c r="H1022" s="3">
        <f t="shared" ca="1" si="100"/>
        <v>2.53242916024002</v>
      </c>
      <c r="I1022" s="3">
        <f t="shared" ca="1" si="101"/>
        <v>7.9568039441725915</v>
      </c>
      <c r="O1022" s="3">
        <f t="shared" ca="1" si="102"/>
        <v>-8.4099761987005213</v>
      </c>
      <c r="P1022" s="3">
        <f t="shared" ca="1" si="103"/>
        <v>-8.8433776078326147</v>
      </c>
      <c r="Q1022" s="3">
        <f t="shared" ca="1" si="104"/>
        <v>12.203811993693796</v>
      </c>
    </row>
    <row r="1023" spans="7:17" x14ac:dyDescent="0.25">
      <c r="G1023" s="3">
        <f t="shared" ca="1" si="99"/>
        <v>0</v>
      </c>
      <c r="H1023" s="3">
        <f t="shared" ca="1" si="100"/>
        <v>0.21377505897317928</v>
      </c>
      <c r="I1023" s="3">
        <f t="shared" ca="1" si="101"/>
        <v>2.3117907505502053</v>
      </c>
      <c r="O1023" s="3">
        <f t="shared" ca="1" si="102"/>
        <v>-0.39106283140551756</v>
      </c>
      <c r="P1023" s="3">
        <f t="shared" ca="1" si="103"/>
        <v>10.131178604739649</v>
      </c>
      <c r="Q1023" s="3">
        <f t="shared" ca="1" si="104"/>
        <v>10.138723295328724</v>
      </c>
    </row>
    <row r="1024" spans="7:17" x14ac:dyDescent="0.25">
      <c r="G1024" s="3">
        <f t="shared" ca="1" si="99"/>
        <v>1</v>
      </c>
      <c r="H1024" s="3">
        <f t="shared" ca="1" si="100"/>
        <v>5.44137242119199</v>
      </c>
      <c r="I1024" s="3">
        <f t="shared" ca="1" si="101"/>
        <v>11.663374748750883</v>
      </c>
      <c r="O1024" s="3">
        <f t="shared" ca="1" si="102"/>
        <v>-5.8560125022149796</v>
      </c>
      <c r="P1024" s="3">
        <f t="shared" ca="1" si="103"/>
        <v>-0.58261083931235746</v>
      </c>
      <c r="Q1024" s="3">
        <f t="shared" ca="1" si="104"/>
        <v>5.8849229235549378</v>
      </c>
    </row>
    <row r="1025" spans="7:17" x14ac:dyDescent="0.25">
      <c r="G1025" s="3">
        <f t="shared" ca="1" si="99"/>
        <v>1</v>
      </c>
      <c r="H1025" s="3">
        <f t="shared" ca="1" si="100"/>
        <v>8.4933238860905416</v>
      </c>
      <c r="I1025" s="3">
        <f t="shared" ca="1" si="101"/>
        <v>14.571653892138103</v>
      </c>
      <c r="O1025" s="3">
        <f t="shared" ca="1" si="102"/>
        <v>-4.0278893678252787</v>
      </c>
      <c r="P1025" s="3">
        <f t="shared" ca="1" si="103"/>
        <v>-1.2408470793505817</v>
      </c>
      <c r="Q1025" s="3">
        <f t="shared" ca="1" si="104"/>
        <v>4.2146879165334168</v>
      </c>
    </row>
    <row r="1026" spans="7:17" x14ac:dyDescent="0.25">
      <c r="G1026" s="3">
        <f t="shared" ca="1" si="99"/>
        <v>1</v>
      </c>
      <c r="H1026" s="3">
        <f t="shared" ca="1" si="100"/>
        <v>2.763811012366757</v>
      </c>
      <c r="I1026" s="3">
        <f t="shared" ca="1" si="101"/>
        <v>8.3123567842801922</v>
      </c>
      <c r="O1026" s="3">
        <f t="shared" ca="1" si="102"/>
        <v>-4.5061015063481147</v>
      </c>
      <c r="P1026" s="3">
        <f t="shared" ca="1" si="103"/>
        <v>-3.0253958070606464</v>
      </c>
      <c r="Q1026" s="3">
        <f t="shared" ca="1" si="104"/>
        <v>5.4275197443116587</v>
      </c>
    </row>
    <row r="1027" spans="7:17" x14ac:dyDescent="0.25">
      <c r="G1027" s="3">
        <f t="shared" ca="1" si="99"/>
        <v>0</v>
      </c>
      <c r="H1027" s="3">
        <f t="shared" ca="1" si="100"/>
        <v>1.147987778120616</v>
      </c>
      <c r="I1027" s="3">
        <f t="shared" ca="1" si="101"/>
        <v>5.3572095771040544</v>
      </c>
      <c r="O1027" s="3">
        <f t="shared" ca="1" si="102"/>
        <v>-1.2624510015880563</v>
      </c>
      <c r="P1027" s="3">
        <f t="shared" ca="1" si="103"/>
        <v>6.5464612207046908</v>
      </c>
      <c r="Q1027" s="3">
        <f t="shared" ca="1" si="104"/>
        <v>6.6670785990267909</v>
      </c>
    </row>
    <row r="1028" spans="7:17" x14ac:dyDescent="0.25">
      <c r="G1028" s="3">
        <f t="shared" ref="G1028:G1091" ca="1" si="105">VLOOKUP(RAND(),$B$9:$C$169,2,TRUE)</f>
        <v>1</v>
      </c>
      <c r="H1028" s="3">
        <f t="shared" ref="H1028:H1091" ca="1" si="106">_xlfn.CHISQ.INV(RAND(),2*G1028+2)</f>
        <v>1.2950591788334487</v>
      </c>
      <c r="I1028" s="3">
        <f t="shared" ref="I1028:I1091" ca="1" si="107">$C$4*SQRT(H1028)</f>
        <v>5.6900333453184802</v>
      </c>
      <c r="O1028" s="3">
        <f t="shared" ref="O1028:O1091" ca="1" si="108">_xlfn.NORM.INV(RAND(),$C$3*COS($N$2),$C$4)</f>
        <v>-11.478320204768282</v>
      </c>
      <c r="P1028" s="3">
        <f t="shared" ref="P1028:P1091" ca="1" si="109">_xlfn.NORM.INV(RAND(),$C$3*SIN($N$2),$C$4)</f>
        <v>5.2370064511027401</v>
      </c>
      <c r="Q1028" s="3">
        <f t="shared" ref="Q1028:Q1091" ca="1" si="110">SQRT(O1028^2+P1028^2)</f>
        <v>12.616579223073245</v>
      </c>
    </row>
    <row r="1029" spans="7:17" x14ac:dyDescent="0.25">
      <c r="G1029" s="3">
        <f t="shared" ca="1" si="105"/>
        <v>3</v>
      </c>
      <c r="H1029" s="3">
        <f t="shared" ca="1" si="106"/>
        <v>6.235185376017272</v>
      </c>
      <c r="I1029" s="3">
        <f t="shared" ca="1" si="107"/>
        <v>12.485176586673967</v>
      </c>
      <c r="O1029" s="3">
        <f t="shared" ca="1" si="108"/>
        <v>-4.4500126974020393</v>
      </c>
      <c r="P1029" s="3">
        <f t="shared" ca="1" si="109"/>
        <v>-3.8757557977146795</v>
      </c>
      <c r="Q1029" s="3">
        <f t="shared" ca="1" si="110"/>
        <v>5.9011944562569978</v>
      </c>
    </row>
    <row r="1030" spans="7:17" x14ac:dyDescent="0.25">
      <c r="G1030" s="3">
        <f t="shared" ca="1" si="105"/>
        <v>0</v>
      </c>
      <c r="H1030" s="3">
        <f t="shared" ca="1" si="106"/>
        <v>0.55857863045182199</v>
      </c>
      <c r="I1030" s="3">
        <f t="shared" ca="1" si="107"/>
        <v>3.7369059074715203</v>
      </c>
      <c r="O1030" s="3">
        <f t="shared" ca="1" si="108"/>
        <v>-2.7447617321219346</v>
      </c>
      <c r="P1030" s="3">
        <f t="shared" ca="1" si="109"/>
        <v>-3.5056128641444202</v>
      </c>
      <c r="Q1030" s="3">
        <f t="shared" ca="1" si="110"/>
        <v>4.4523071007485377</v>
      </c>
    </row>
    <row r="1031" spans="7:17" x14ac:dyDescent="0.25">
      <c r="G1031" s="3">
        <f t="shared" ca="1" si="105"/>
        <v>0</v>
      </c>
      <c r="H1031" s="3">
        <f t="shared" ca="1" si="106"/>
        <v>4.5710277612847712</v>
      </c>
      <c r="I1031" s="3">
        <f t="shared" ca="1" si="107"/>
        <v>10.689981011775432</v>
      </c>
      <c r="O1031" s="3">
        <f t="shared" ca="1" si="108"/>
        <v>0.64875322682066106</v>
      </c>
      <c r="P1031" s="3">
        <f t="shared" ca="1" si="109"/>
        <v>-8.5888884354591237</v>
      </c>
      <c r="Q1031" s="3">
        <f t="shared" ca="1" si="110"/>
        <v>8.6133550551497464</v>
      </c>
    </row>
    <row r="1032" spans="7:17" x14ac:dyDescent="0.25">
      <c r="G1032" s="3">
        <f t="shared" ca="1" si="105"/>
        <v>0</v>
      </c>
      <c r="H1032" s="3">
        <f t="shared" ca="1" si="106"/>
        <v>0.75594384781497426</v>
      </c>
      <c r="I1032" s="3">
        <f t="shared" ca="1" si="107"/>
        <v>4.3472515679880273</v>
      </c>
      <c r="O1032" s="3">
        <f t="shared" ca="1" si="108"/>
        <v>-1.5697629536061624</v>
      </c>
      <c r="P1032" s="3">
        <f t="shared" ca="1" si="109"/>
        <v>0.42283683537710109</v>
      </c>
      <c r="Q1032" s="3">
        <f t="shared" ca="1" si="110"/>
        <v>1.625714218387126</v>
      </c>
    </row>
    <row r="1033" spans="7:17" x14ac:dyDescent="0.25">
      <c r="G1033" s="3">
        <f t="shared" ca="1" si="105"/>
        <v>0</v>
      </c>
      <c r="H1033" s="3">
        <f t="shared" ca="1" si="106"/>
        <v>2.3027422176811596</v>
      </c>
      <c r="I1033" s="3">
        <f t="shared" ca="1" si="107"/>
        <v>7.5873945094498012</v>
      </c>
      <c r="O1033" s="3">
        <f t="shared" ca="1" si="108"/>
        <v>-2.2491208187110079</v>
      </c>
      <c r="P1033" s="3">
        <f t="shared" ca="1" si="109"/>
        <v>1.2214598896720683</v>
      </c>
      <c r="Q1033" s="3">
        <f t="shared" ca="1" si="110"/>
        <v>2.5593961630113022</v>
      </c>
    </row>
    <row r="1034" spans="7:17" x14ac:dyDescent="0.25">
      <c r="G1034" s="3">
        <f t="shared" ca="1" si="105"/>
        <v>0</v>
      </c>
      <c r="H1034" s="3">
        <f t="shared" ca="1" si="106"/>
        <v>0.50470898962579414</v>
      </c>
      <c r="I1034" s="3">
        <f t="shared" ca="1" si="107"/>
        <v>3.5521436824324621</v>
      </c>
      <c r="O1034" s="3">
        <f t="shared" ca="1" si="108"/>
        <v>-16.848274778754543</v>
      </c>
      <c r="P1034" s="3">
        <f t="shared" ca="1" si="109"/>
        <v>10.224436091625348</v>
      </c>
      <c r="Q1034" s="3">
        <f t="shared" ca="1" si="110"/>
        <v>19.707954140705411</v>
      </c>
    </row>
    <row r="1035" spans="7:17" x14ac:dyDescent="0.25">
      <c r="G1035" s="3">
        <f t="shared" ca="1" si="105"/>
        <v>0</v>
      </c>
      <c r="H1035" s="3">
        <f t="shared" ca="1" si="106"/>
        <v>0.58005413422688512</v>
      </c>
      <c r="I1035" s="3">
        <f t="shared" ca="1" si="107"/>
        <v>3.8080642530913429</v>
      </c>
      <c r="O1035" s="3">
        <f t="shared" ca="1" si="108"/>
        <v>1.5906489325523143</v>
      </c>
      <c r="P1035" s="3">
        <f t="shared" ca="1" si="109"/>
        <v>3.6186298812489448</v>
      </c>
      <c r="Q1035" s="3">
        <f t="shared" ca="1" si="110"/>
        <v>3.9528023279817028</v>
      </c>
    </row>
    <row r="1036" spans="7:17" x14ac:dyDescent="0.25">
      <c r="G1036" s="3">
        <f t="shared" ca="1" si="105"/>
        <v>1</v>
      </c>
      <c r="H1036" s="3">
        <f t="shared" ca="1" si="106"/>
        <v>1.7778455162310958</v>
      </c>
      <c r="I1036" s="3">
        <f t="shared" ca="1" si="107"/>
        <v>6.6667936750568035</v>
      </c>
      <c r="O1036" s="3">
        <f t="shared" ca="1" si="108"/>
        <v>-4.4135011605449783</v>
      </c>
      <c r="P1036" s="3">
        <f t="shared" ca="1" si="109"/>
        <v>7.026174767163778</v>
      </c>
      <c r="Q1036" s="3">
        <f t="shared" ca="1" si="110"/>
        <v>8.2973564677468712</v>
      </c>
    </row>
    <row r="1037" spans="7:17" x14ac:dyDescent="0.25">
      <c r="G1037" s="3">
        <f t="shared" ca="1" si="105"/>
        <v>0</v>
      </c>
      <c r="H1037" s="3">
        <f t="shared" ca="1" si="106"/>
        <v>0.4084121106091313</v>
      </c>
      <c r="I1037" s="3">
        <f t="shared" ca="1" si="107"/>
        <v>3.1953564378998918</v>
      </c>
      <c r="O1037" s="3">
        <f t="shared" ca="1" si="108"/>
        <v>-4.7981203471099274</v>
      </c>
      <c r="P1037" s="3">
        <f t="shared" ca="1" si="109"/>
        <v>-3.9177094774493177</v>
      </c>
      <c r="Q1037" s="3">
        <f t="shared" ca="1" si="110"/>
        <v>6.1943850715826905</v>
      </c>
    </row>
    <row r="1038" spans="7:17" x14ac:dyDescent="0.25">
      <c r="G1038" s="3">
        <f t="shared" ca="1" si="105"/>
        <v>0</v>
      </c>
      <c r="H1038" s="3">
        <f t="shared" ca="1" si="106"/>
        <v>4.4099872130906563</v>
      </c>
      <c r="I1038" s="3">
        <f t="shared" ca="1" si="107"/>
        <v>10.499984777477842</v>
      </c>
      <c r="O1038" s="3">
        <f t="shared" ca="1" si="108"/>
        <v>1.9940244945481398</v>
      </c>
      <c r="P1038" s="3">
        <f t="shared" ca="1" si="109"/>
        <v>-1.9747353790418956</v>
      </c>
      <c r="Q1038" s="3">
        <f t="shared" ca="1" si="110"/>
        <v>2.8063701648388624</v>
      </c>
    </row>
    <row r="1039" spans="7:17" x14ac:dyDescent="0.25">
      <c r="G1039" s="3">
        <f t="shared" ca="1" si="105"/>
        <v>1</v>
      </c>
      <c r="H1039" s="3">
        <f t="shared" ca="1" si="106"/>
        <v>2.9836394671370594</v>
      </c>
      <c r="I1039" s="3">
        <f t="shared" ca="1" si="107"/>
        <v>8.6366073592833015</v>
      </c>
      <c r="O1039" s="3">
        <f t="shared" ca="1" si="108"/>
        <v>-12.844478798794906</v>
      </c>
      <c r="P1039" s="3">
        <f t="shared" ca="1" si="109"/>
        <v>-2.6102144644643435</v>
      </c>
      <c r="Q1039" s="3">
        <f t="shared" ca="1" si="110"/>
        <v>13.107015494123393</v>
      </c>
    </row>
    <row r="1040" spans="7:17" x14ac:dyDescent="0.25">
      <c r="G1040" s="3">
        <f t="shared" ca="1" si="105"/>
        <v>0</v>
      </c>
      <c r="H1040" s="3">
        <f t="shared" ca="1" si="106"/>
        <v>0.16527422234227634</v>
      </c>
      <c r="I1040" s="3">
        <f t="shared" ca="1" si="107"/>
        <v>2.0326966223607763</v>
      </c>
      <c r="O1040" s="3">
        <f t="shared" ca="1" si="108"/>
        <v>-4.0527848000459947</v>
      </c>
      <c r="P1040" s="3">
        <f t="shared" ca="1" si="109"/>
        <v>-9.4027107776896894</v>
      </c>
      <c r="Q1040" s="3">
        <f t="shared" ca="1" si="110"/>
        <v>10.238946948019883</v>
      </c>
    </row>
    <row r="1041" spans="7:17" x14ac:dyDescent="0.25">
      <c r="G1041" s="3">
        <f t="shared" ca="1" si="105"/>
        <v>3</v>
      </c>
      <c r="H1041" s="3">
        <f t="shared" ca="1" si="106"/>
        <v>14.901270115582076</v>
      </c>
      <c r="I1041" s="3">
        <f t="shared" ca="1" si="107"/>
        <v>19.301081650766413</v>
      </c>
      <c r="O1041" s="3">
        <f t="shared" ca="1" si="108"/>
        <v>-2.9395385524462201</v>
      </c>
      <c r="P1041" s="3">
        <f t="shared" ca="1" si="109"/>
        <v>0.78727458404151973</v>
      </c>
      <c r="Q1041" s="3">
        <f t="shared" ca="1" si="110"/>
        <v>3.0431378825145874</v>
      </c>
    </row>
    <row r="1042" spans="7:17" x14ac:dyDescent="0.25">
      <c r="G1042" s="3">
        <f t="shared" ca="1" si="105"/>
        <v>0</v>
      </c>
      <c r="H1042" s="3">
        <f t="shared" ca="1" si="106"/>
        <v>0.46347901019058607</v>
      </c>
      <c r="I1042" s="3">
        <f t="shared" ca="1" si="107"/>
        <v>3.4039646377077206</v>
      </c>
      <c r="O1042" s="3">
        <f t="shared" ca="1" si="108"/>
        <v>-12.649385603397823</v>
      </c>
      <c r="P1042" s="3">
        <f t="shared" ca="1" si="109"/>
        <v>7.7009135207745745</v>
      </c>
      <c r="Q1042" s="3">
        <f t="shared" ca="1" si="110"/>
        <v>14.809153426104301</v>
      </c>
    </row>
    <row r="1043" spans="7:17" x14ac:dyDescent="0.25">
      <c r="G1043" s="3">
        <f t="shared" ca="1" si="105"/>
        <v>0</v>
      </c>
      <c r="H1043" s="3">
        <f t="shared" ca="1" si="106"/>
        <v>4.0781709019457368</v>
      </c>
      <c r="I1043" s="3">
        <f t="shared" ca="1" si="107"/>
        <v>10.097240838399539</v>
      </c>
      <c r="O1043" s="3">
        <f t="shared" ca="1" si="108"/>
        <v>-5.8036366131865398</v>
      </c>
      <c r="P1043" s="3">
        <f t="shared" ca="1" si="109"/>
        <v>-4.0838985877927607</v>
      </c>
      <c r="Q1043" s="3">
        <f t="shared" ca="1" si="110"/>
        <v>7.0965079872635268</v>
      </c>
    </row>
    <row r="1044" spans="7:17" x14ac:dyDescent="0.25">
      <c r="G1044" s="3">
        <f t="shared" ca="1" si="105"/>
        <v>0</v>
      </c>
      <c r="H1044" s="3">
        <f t="shared" ca="1" si="106"/>
        <v>1.1714721733331694</v>
      </c>
      <c r="I1044" s="3">
        <f t="shared" ca="1" si="107"/>
        <v>5.4117284053552828</v>
      </c>
      <c r="O1044" s="3">
        <f t="shared" ca="1" si="108"/>
        <v>-2.7099361479765265</v>
      </c>
      <c r="P1044" s="3">
        <f t="shared" ca="1" si="109"/>
        <v>4.76052782072105</v>
      </c>
      <c r="Q1044" s="3">
        <f t="shared" ca="1" si="110"/>
        <v>5.4778078697567478</v>
      </c>
    </row>
    <row r="1045" spans="7:17" x14ac:dyDescent="0.25">
      <c r="G1045" s="3">
        <f t="shared" ca="1" si="105"/>
        <v>0</v>
      </c>
      <c r="H1045" s="3">
        <f t="shared" ca="1" si="106"/>
        <v>0.84055434401452866</v>
      </c>
      <c r="I1045" s="3">
        <f t="shared" ca="1" si="107"/>
        <v>4.5840875428337116</v>
      </c>
      <c r="O1045" s="3">
        <f t="shared" ca="1" si="108"/>
        <v>4.1719135858121597</v>
      </c>
      <c r="P1045" s="3">
        <f t="shared" ca="1" si="109"/>
        <v>-7.8130936440356518</v>
      </c>
      <c r="Q1045" s="3">
        <f t="shared" ca="1" si="110"/>
        <v>8.8571606769864104</v>
      </c>
    </row>
    <row r="1046" spans="7:17" x14ac:dyDescent="0.25">
      <c r="G1046" s="3">
        <f t="shared" ca="1" si="105"/>
        <v>0</v>
      </c>
      <c r="H1046" s="3">
        <f t="shared" ca="1" si="106"/>
        <v>2.3764396072565792</v>
      </c>
      <c r="I1046" s="3">
        <f t="shared" ca="1" si="107"/>
        <v>7.707852501275207</v>
      </c>
      <c r="O1046" s="3">
        <f t="shared" ca="1" si="108"/>
        <v>-2.2452324886688539</v>
      </c>
      <c r="P1046" s="3">
        <f t="shared" ca="1" si="109"/>
        <v>-0.17714991722822443</v>
      </c>
      <c r="Q1046" s="3">
        <f t="shared" ca="1" si="110"/>
        <v>2.2522102524738008</v>
      </c>
    </row>
    <row r="1047" spans="7:17" x14ac:dyDescent="0.25">
      <c r="G1047" s="3">
        <f t="shared" ca="1" si="105"/>
        <v>0</v>
      </c>
      <c r="H1047" s="3">
        <f t="shared" ca="1" si="106"/>
        <v>0.69433920024125884</v>
      </c>
      <c r="I1047" s="3">
        <f t="shared" ca="1" si="107"/>
        <v>4.1663509220937538</v>
      </c>
      <c r="O1047" s="3">
        <f t="shared" ca="1" si="108"/>
        <v>-2.7342648242018002</v>
      </c>
      <c r="P1047" s="3">
        <f t="shared" ca="1" si="109"/>
        <v>-3.0142642556160788</v>
      </c>
      <c r="Q1047" s="3">
        <f t="shared" ca="1" si="110"/>
        <v>4.069642875185985</v>
      </c>
    </row>
    <row r="1048" spans="7:17" x14ac:dyDescent="0.25">
      <c r="G1048" s="3">
        <f t="shared" ca="1" si="105"/>
        <v>1</v>
      </c>
      <c r="H1048" s="3">
        <f t="shared" ca="1" si="106"/>
        <v>1.598797809454308</v>
      </c>
      <c r="I1048" s="3">
        <f t="shared" ca="1" si="107"/>
        <v>6.3221788361574918</v>
      </c>
      <c r="O1048" s="3">
        <f t="shared" ca="1" si="108"/>
        <v>-6.8511279324364622</v>
      </c>
      <c r="P1048" s="3">
        <f t="shared" ca="1" si="109"/>
        <v>-1.2194340965136754</v>
      </c>
      <c r="Q1048" s="3">
        <f t="shared" ca="1" si="110"/>
        <v>6.9588054623154427</v>
      </c>
    </row>
    <row r="1049" spans="7:17" x14ac:dyDescent="0.25">
      <c r="G1049" s="3">
        <f t="shared" ca="1" si="105"/>
        <v>1</v>
      </c>
      <c r="H1049" s="3">
        <f t="shared" ca="1" si="106"/>
        <v>2.2211536027568592</v>
      </c>
      <c r="I1049" s="3">
        <f t="shared" ca="1" si="107"/>
        <v>7.4517675801732768</v>
      </c>
      <c r="O1049" s="3">
        <f t="shared" ca="1" si="108"/>
        <v>-4.0611242134421923</v>
      </c>
      <c r="P1049" s="3">
        <f t="shared" ca="1" si="109"/>
        <v>-4.1088984115841694</v>
      </c>
      <c r="Q1049" s="3">
        <f t="shared" ca="1" si="110"/>
        <v>5.7771771682825666</v>
      </c>
    </row>
    <row r="1050" spans="7:17" x14ac:dyDescent="0.25">
      <c r="G1050" s="3">
        <f t="shared" ca="1" si="105"/>
        <v>0</v>
      </c>
      <c r="H1050" s="3">
        <f t="shared" ca="1" si="106"/>
        <v>0.87621146149973694</v>
      </c>
      <c r="I1050" s="3">
        <f t="shared" ca="1" si="107"/>
        <v>4.6803083805977383</v>
      </c>
      <c r="O1050" s="3">
        <f t="shared" ca="1" si="108"/>
        <v>1.8790673964521858</v>
      </c>
      <c r="P1050" s="3">
        <f t="shared" ca="1" si="109"/>
        <v>-8.8533581078693064</v>
      </c>
      <c r="Q1050" s="3">
        <f t="shared" ca="1" si="110"/>
        <v>9.0505714773479795</v>
      </c>
    </row>
    <row r="1051" spans="7:17" x14ac:dyDescent="0.25">
      <c r="G1051" s="3">
        <f t="shared" ca="1" si="105"/>
        <v>1</v>
      </c>
      <c r="H1051" s="3">
        <f t="shared" ca="1" si="106"/>
        <v>5.0084520204148832</v>
      </c>
      <c r="I1051" s="3">
        <f t="shared" ca="1" si="107"/>
        <v>11.189785543538003</v>
      </c>
      <c r="O1051" s="3">
        <f t="shared" ca="1" si="108"/>
        <v>-6.0841875624101256</v>
      </c>
      <c r="P1051" s="3">
        <f t="shared" ca="1" si="109"/>
        <v>-3.1536446989130842</v>
      </c>
      <c r="Q1051" s="3">
        <f t="shared" ca="1" si="110"/>
        <v>6.8529419362466992</v>
      </c>
    </row>
    <row r="1052" spans="7:17" x14ac:dyDescent="0.25">
      <c r="G1052" s="3">
        <f t="shared" ca="1" si="105"/>
        <v>0</v>
      </c>
      <c r="H1052" s="3">
        <f t="shared" ca="1" si="106"/>
        <v>0.54304704688341721</v>
      </c>
      <c r="I1052" s="3">
        <f t="shared" ca="1" si="107"/>
        <v>3.6845862959205378</v>
      </c>
      <c r="O1052" s="3">
        <f t="shared" ca="1" si="108"/>
        <v>-2.6582608904226124</v>
      </c>
      <c r="P1052" s="3">
        <f t="shared" ca="1" si="109"/>
        <v>0.5613550040563503</v>
      </c>
      <c r="Q1052" s="3">
        <f t="shared" ca="1" si="110"/>
        <v>2.71688615921417</v>
      </c>
    </row>
    <row r="1053" spans="7:17" x14ac:dyDescent="0.25">
      <c r="G1053" s="3">
        <f t="shared" ca="1" si="105"/>
        <v>2</v>
      </c>
      <c r="H1053" s="3">
        <f t="shared" ca="1" si="106"/>
        <v>6.6443526531727484</v>
      </c>
      <c r="I1053" s="3">
        <f t="shared" ca="1" si="107"/>
        <v>12.888320927464473</v>
      </c>
      <c r="O1053" s="3">
        <f t="shared" ca="1" si="108"/>
        <v>-7.2206100983236876</v>
      </c>
      <c r="P1053" s="3">
        <f t="shared" ca="1" si="109"/>
        <v>1.4378417715761431</v>
      </c>
      <c r="Q1053" s="3">
        <f t="shared" ca="1" si="110"/>
        <v>7.3623772758602399</v>
      </c>
    </row>
    <row r="1054" spans="7:17" x14ac:dyDescent="0.25">
      <c r="G1054" s="3">
        <f t="shared" ca="1" si="105"/>
        <v>0</v>
      </c>
      <c r="H1054" s="3">
        <f t="shared" ca="1" si="106"/>
        <v>1.4580550233023761</v>
      </c>
      <c r="I1054" s="3">
        <f t="shared" ca="1" si="107"/>
        <v>6.0374974602528333</v>
      </c>
      <c r="O1054" s="3">
        <f t="shared" ca="1" si="108"/>
        <v>-7.8702633003884106</v>
      </c>
      <c r="P1054" s="3">
        <f t="shared" ca="1" si="109"/>
        <v>-3.8539728539531128</v>
      </c>
      <c r="Q1054" s="3">
        <f t="shared" ca="1" si="110"/>
        <v>8.7632272124171351</v>
      </c>
    </row>
    <row r="1055" spans="7:17" x14ac:dyDescent="0.25">
      <c r="G1055" s="3">
        <f t="shared" ca="1" si="105"/>
        <v>0</v>
      </c>
      <c r="H1055" s="3">
        <f t="shared" ca="1" si="106"/>
        <v>3.6379919533975196</v>
      </c>
      <c r="I1055" s="3">
        <f t="shared" ca="1" si="107"/>
        <v>9.5367603951728803</v>
      </c>
      <c r="O1055" s="3">
        <f t="shared" ca="1" si="108"/>
        <v>-4.2120081032057612</v>
      </c>
      <c r="P1055" s="3">
        <f t="shared" ca="1" si="109"/>
        <v>-1.6009823399286749</v>
      </c>
      <c r="Q1055" s="3">
        <f t="shared" ca="1" si="110"/>
        <v>4.506013394813035</v>
      </c>
    </row>
    <row r="1056" spans="7:17" x14ac:dyDescent="0.25">
      <c r="G1056" s="3">
        <f t="shared" ca="1" si="105"/>
        <v>0</v>
      </c>
      <c r="H1056" s="3">
        <f t="shared" ca="1" si="106"/>
        <v>0.83911874172365397</v>
      </c>
      <c r="I1056" s="3">
        <f t="shared" ca="1" si="107"/>
        <v>4.5801712351277164</v>
      </c>
      <c r="O1056" s="3">
        <f t="shared" ca="1" si="108"/>
        <v>-2.5524357490288878</v>
      </c>
      <c r="P1056" s="3">
        <f t="shared" ca="1" si="109"/>
        <v>3.1057361275460247</v>
      </c>
      <c r="Q1056" s="3">
        <f t="shared" ca="1" si="110"/>
        <v>4.0200155655003673</v>
      </c>
    </row>
    <row r="1057" spans="7:17" x14ac:dyDescent="0.25">
      <c r="G1057" s="3">
        <f t="shared" ca="1" si="105"/>
        <v>0</v>
      </c>
      <c r="H1057" s="3">
        <f t="shared" ca="1" si="106"/>
        <v>2.0817643338524436</v>
      </c>
      <c r="I1057" s="3">
        <f t="shared" ca="1" si="107"/>
        <v>7.2141602661925308</v>
      </c>
      <c r="O1057" s="3">
        <f t="shared" ca="1" si="108"/>
        <v>-10.884908856658356</v>
      </c>
      <c r="P1057" s="3">
        <f t="shared" ca="1" si="109"/>
        <v>1.8706687810204861</v>
      </c>
      <c r="Q1057" s="3">
        <f t="shared" ca="1" si="110"/>
        <v>11.044484709847001</v>
      </c>
    </row>
    <row r="1058" spans="7:17" x14ac:dyDescent="0.25">
      <c r="G1058" s="3">
        <f t="shared" ca="1" si="105"/>
        <v>0</v>
      </c>
      <c r="H1058" s="3">
        <f t="shared" ca="1" si="106"/>
        <v>2.2829609024255353</v>
      </c>
      <c r="I1058" s="3">
        <f t="shared" ca="1" si="107"/>
        <v>7.5547351085685577</v>
      </c>
      <c r="O1058" s="3">
        <f t="shared" ca="1" si="108"/>
        <v>-5.9122224926250739</v>
      </c>
      <c r="P1058" s="3">
        <f t="shared" ca="1" si="109"/>
        <v>-1.4881950081196318</v>
      </c>
      <c r="Q1058" s="3">
        <f t="shared" ca="1" si="110"/>
        <v>6.0966465523674591</v>
      </c>
    </row>
    <row r="1059" spans="7:17" x14ac:dyDescent="0.25">
      <c r="G1059" s="3">
        <f t="shared" ca="1" si="105"/>
        <v>2</v>
      </c>
      <c r="H1059" s="3">
        <f t="shared" ca="1" si="106"/>
        <v>3.0287654847525665</v>
      </c>
      <c r="I1059" s="3">
        <f t="shared" ca="1" si="107"/>
        <v>8.7016743859336732</v>
      </c>
      <c r="O1059" s="3">
        <f t="shared" ca="1" si="108"/>
        <v>-12.418771957386024</v>
      </c>
      <c r="P1059" s="3">
        <f t="shared" ca="1" si="109"/>
        <v>0.81519680026213326</v>
      </c>
      <c r="Q1059" s="3">
        <f t="shared" ca="1" si="110"/>
        <v>12.44549889529203</v>
      </c>
    </row>
    <row r="1060" spans="7:17" x14ac:dyDescent="0.25">
      <c r="G1060" s="3">
        <f t="shared" ca="1" si="105"/>
        <v>0</v>
      </c>
      <c r="H1060" s="3">
        <f t="shared" ca="1" si="106"/>
        <v>5.605137825721858</v>
      </c>
      <c r="I1060" s="3">
        <f t="shared" ca="1" si="107"/>
        <v>11.837586140892341</v>
      </c>
      <c r="O1060" s="3">
        <f t="shared" ca="1" si="108"/>
        <v>-5.9011597626762811</v>
      </c>
      <c r="P1060" s="3">
        <f t="shared" ca="1" si="109"/>
        <v>7.2106402236293432</v>
      </c>
      <c r="Q1060" s="3">
        <f t="shared" ca="1" si="110"/>
        <v>9.3175650778114232</v>
      </c>
    </row>
    <row r="1061" spans="7:17" x14ac:dyDescent="0.25">
      <c r="G1061" s="3">
        <f t="shared" ca="1" si="105"/>
        <v>1</v>
      </c>
      <c r="H1061" s="3">
        <f t="shared" ca="1" si="106"/>
        <v>3.9293739949840321</v>
      </c>
      <c r="I1061" s="3">
        <f t="shared" ca="1" si="107"/>
        <v>9.9113243249628766</v>
      </c>
      <c r="O1061" s="3">
        <f t="shared" ca="1" si="108"/>
        <v>7.1433602106272645</v>
      </c>
      <c r="P1061" s="3">
        <f t="shared" ca="1" si="109"/>
        <v>-4.8544917205036331</v>
      </c>
      <c r="Q1061" s="3">
        <f t="shared" ca="1" si="110"/>
        <v>8.636763569949748</v>
      </c>
    </row>
    <row r="1062" spans="7:17" x14ac:dyDescent="0.25">
      <c r="G1062" s="3">
        <f t="shared" ca="1" si="105"/>
        <v>2</v>
      </c>
      <c r="H1062" s="3">
        <f t="shared" ca="1" si="106"/>
        <v>11.260598402094596</v>
      </c>
      <c r="I1062" s="3">
        <f t="shared" ca="1" si="107"/>
        <v>16.778407554126371</v>
      </c>
      <c r="O1062" s="3">
        <f t="shared" ca="1" si="108"/>
        <v>-6.3312422561610919</v>
      </c>
      <c r="P1062" s="3">
        <f t="shared" ca="1" si="109"/>
        <v>-3.3626082546723395</v>
      </c>
      <c r="Q1062" s="3">
        <f t="shared" ca="1" si="110"/>
        <v>7.1688048362743384</v>
      </c>
    </row>
    <row r="1063" spans="7:17" x14ac:dyDescent="0.25">
      <c r="G1063" s="3">
        <f t="shared" ca="1" si="105"/>
        <v>1</v>
      </c>
      <c r="H1063" s="3">
        <f t="shared" ca="1" si="106"/>
        <v>7.9339214912522866</v>
      </c>
      <c r="I1063" s="3">
        <f t="shared" ca="1" si="107"/>
        <v>14.083608815971393</v>
      </c>
      <c r="O1063" s="3">
        <f t="shared" ca="1" si="108"/>
        <v>-12.066406367334677</v>
      </c>
      <c r="P1063" s="3">
        <f t="shared" ca="1" si="109"/>
        <v>5.9976852317094425</v>
      </c>
      <c r="Q1063" s="3">
        <f t="shared" ca="1" si="110"/>
        <v>13.474805778204017</v>
      </c>
    </row>
    <row r="1064" spans="7:17" x14ac:dyDescent="0.25">
      <c r="G1064" s="3">
        <f t="shared" ca="1" si="105"/>
        <v>0</v>
      </c>
      <c r="H1064" s="3">
        <f t="shared" ca="1" si="106"/>
        <v>1.3720551761987823</v>
      </c>
      <c r="I1064" s="3">
        <f t="shared" ca="1" si="107"/>
        <v>5.8567379491462273</v>
      </c>
      <c r="O1064" s="3">
        <f t="shared" ca="1" si="108"/>
        <v>-1.7343752100093521</v>
      </c>
      <c r="P1064" s="3">
        <f t="shared" ca="1" si="109"/>
        <v>-4.9535441173943324</v>
      </c>
      <c r="Q1064" s="3">
        <f t="shared" ca="1" si="110"/>
        <v>5.2483956302918875</v>
      </c>
    </row>
    <row r="1065" spans="7:17" x14ac:dyDescent="0.25">
      <c r="G1065" s="3">
        <f t="shared" ca="1" si="105"/>
        <v>0</v>
      </c>
      <c r="H1065" s="3">
        <f t="shared" ca="1" si="106"/>
        <v>0.53960127170037475</v>
      </c>
      <c r="I1065" s="3">
        <f t="shared" ca="1" si="107"/>
        <v>3.6728778624546403</v>
      </c>
      <c r="O1065" s="3">
        <f t="shared" ca="1" si="108"/>
        <v>-9.6802078689131008</v>
      </c>
      <c r="P1065" s="3">
        <f t="shared" ca="1" si="109"/>
        <v>0.15986025726159309</v>
      </c>
      <c r="Q1065" s="3">
        <f t="shared" ca="1" si="110"/>
        <v>9.6815277558461226</v>
      </c>
    </row>
    <row r="1066" spans="7:17" x14ac:dyDescent="0.25">
      <c r="G1066" s="3">
        <f t="shared" ca="1" si="105"/>
        <v>0</v>
      </c>
      <c r="H1066" s="3">
        <f t="shared" ca="1" si="106"/>
        <v>3.1255247479390658</v>
      </c>
      <c r="I1066" s="3">
        <f t="shared" ca="1" si="107"/>
        <v>8.8395768393332403</v>
      </c>
      <c r="O1066" s="3">
        <f t="shared" ca="1" si="108"/>
        <v>-11.301744806772351</v>
      </c>
      <c r="P1066" s="3">
        <f t="shared" ca="1" si="109"/>
        <v>-0.3488512927336041</v>
      </c>
      <c r="Q1066" s="3">
        <f t="shared" ca="1" si="110"/>
        <v>11.307127526558093</v>
      </c>
    </row>
    <row r="1067" spans="7:17" x14ac:dyDescent="0.25">
      <c r="G1067" s="3">
        <f t="shared" ca="1" si="105"/>
        <v>0</v>
      </c>
      <c r="H1067" s="3">
        <f t="shared" ca="1" si="106"/>
        <v>4.1332086144828502</v>
      </c>
      <c r="I1067" s="3">
        <f t="shared" ca="1" si="107"/>
        <v>10.165147090036191</v>
      </c>
      <c r="O1067" s="3">
        <f t="shared" ca="1" si="108"/>
        <v>-1.7658166648889861</v>
      </c>
      <c r="P1067" s="3">
        <f t="shared" ca="1" si="109"/>
        <v>6.196058456645706</v>
      </c>
      <c r="Q1067" s="3">
        <f t="shared" ca="1" si="110"/>
        <v>6.4427671766229793</v>
      </c>
    </row>
    <row r="1068" spans="7:17" x14ac:dyDescent="0.25">
      <c r="G1068" s="3">
        <f t="shared" ca="1" si="105"/>
        <v>0</v>
      </c>
      <c r="H1068" s="3">
        <f t="shared" ca="1" si="106"/>
        <v>4.9767530349301721</v>
      </c>
      <c r="I1068" s="3">
        <f t="shared" ca="1" si="107"/>
        <v>11.154318709506839</v>
      </c>
      <c r="O1068" s="3">
        <f t="shared" ca="1" si="108"/>
        <v>-13.523388171632378</v>
      </c>
      <c r="P1068" s="3">
        <f t="shared" ca="1" si="109"/>
        <v>3.0979848358183615</v>
      </c>
      <c r="Q1068" s="3">
        <f t="shared" ca="1" si="110"/>
        <v>13.873699495217815</v>
      </c>
    </row>
    <row r="1069" spans="7:17" x14ac:dyDescent="0.25">
      <c r="G1069" s="3">
        <f t="shared" ca="1" si="105"/>
        <v>0</v>
      </c>
      <c r="H1069" s="3">
        <f t="shared" ca="1" si="106"/>
        <v>2.0126997646463303</v>
      </c>
      <c r="I1069" s="3">
        <f t="shared" ca="1" si="107"/>
        <v>7.093482509752052</v>
      </c>
      <c r="O1069" s="3">
        <f t="shared" ca="1" si="108"/>
        <v>-8.067070050798602</v>
      </c>
      <c r="P1069" s="3">
        <f t="shared" ca="1" si="109"/>
        <v>3.1847712773039025</v>
      </c>
      <c r="Q1069" s="3">
        <f t="shared" ca="1" si="110"/>
        <v>8.6729687704517691</v>
      </c>
    </row>
    <row r="1070" spans="7:17" x14ac:dyDescent="0.25">
      <c r="G1070" s="3">
        <f t="shared" ca="1" si="105"/>
        <v>0</v>
      </c>
      <c r="H1070" s="3">
        <f t="shared" ca="1" si="106"/>
        <v>1.1451859747918831</v>
      </c>
      <c r="I1070" s="3">
        <f t="shared" ca="1" si="107"/>
        <v>5.3506681236829747</v>
      </c>
      <c r="O1070" s="3">
        <f t="shared" ca="1" si="108"/>
        <v>-3.3331301048580158</v>
      </c>
      <c r="P1070" s="3">
        <f t="shared" ca="1" si="109"/>
        <v>8.0468534171961288</v>
      </c>
      <c r="Q1070" s="3">
        <f t="shared" ca="1" si="110"/>
        <v>8.7098568423224858</v>
      </c>
    </row>
    <row r="1071" spans="7:17" x14ac:dyDescent="0.25">
      <c r="G1071" s="3">
        <f t="shared" ca="1" si="105"/>
        <v>0</v>
      </c>
      <c r="H1071" s="3">
        <f t="shared" ca="1" si="106"/>
        <v>0.95108916654781162</v>
      </c>
      <c r="I1071" s="3">
        <f t="shared" ca="1" si="107"/>
        <v>4.8761900253881914</v>
      </c>
      <c r="O1071" s="3">
        <f t="shared" ca="1" si="108"/>
        <v>-7.6151279338948701</v>
      </c>
      <c r="P1071" s="3">
        <f t="shared" ca="1" si="109"/>
        <v>2.8257739624480691</v>
      </c>
      <c r="Q1071" s="3">
        <f t="shared" ca="1" si="110"/>
        <v>8.1225101992201534</v>
      </c>
    </row>
    <row r="1072" spans="7:17" x14ac:dyDescent="0.25">
      <c r="G1072" s="3">
        <f t="shared" ca="1" si="105"/>
        <v>1</v>
      </c>
      <c r="H1072" s="3">
        <f t="shared" ca="1" si="106"/>
        <v>1.0607805260865633</v>
      </c>
      <c r="I1072" s="3">
        <f t="shared" ca="1" si="107"/>
        <v>5.1497100066085357</v>
      </c>
      <c r="O1072" s="3">
        <f t="shared" ca="1" si="108"/>
        <v>-6.7358720381738273</v>
      </c>
      <c r="P1072" s="3">
        <f t="shared" ca="1" si="109"/>
        <v>-1.0867160970720022</v>
      </c>
      <c r="Q1072" s="3">
        <f t="shared" ca="1" si="110"/>
        <v>6.8229703201968741</v>
      </c>
    </row>
    <row r="1073" spans="7:17" x14ac:dyDescent="0.25">
      <c r="G1073" s="3">
        <f t="shared" ca="1" si="105"/>
        <v>0</v>
      </c>
      <c r="H1073" s="3">
        <f t="shared" ca="1" si="106"/>
        <v>6.9091666229756026</v>
      </c>
      <c r="I1073" s="3">
        <f t="shared" ca="1" si="107"/>
        <v>13.142646825293225</v>
      </c>
      <c r="O1073" s="3">
        <f t="shared" ca="1" si="108"/>
        <v>-3.1080796379547357</v>
      </c>
      <c r="P1073" s="3">
        <f t="shared" ca="1" si="109"/>
        <v>6.1856266383159584</v>
      </c>
      <c r="Q1073" s="3">
        <f t="shared" ca="1" si="110"/>
        <v>6.9225815953669212</v>
      </c>
    </row>
    <row r="1074" spans="7:17" x14ac:dyDescent="0.25">
      <c r="G1074" s="3">
        <f t="shared" ca="1" si="105"/>
        <v>1</v>
      </c>
      <c r="H1074" s="3">
        <f t="shared" ca="1" si="106"/>
        <v>0.95394161255269094</v>
      </c>
      <c r="I1074" s="3">
        <f t="shared" ca="1" si="107"/>
        <v>4.8834967301941825</v>
      </c>
      <c r="O1074" s="3">
        <f t="shared" ca="1" si="108"/>
        <v>-8.3262263213588117</v>
      </c>
      <c r="P1074" s="3">
        <f t="shared" ca="1" si="109"/>
        <v>3.3963204224215526</v>
      </c>
      <c r="Q1074" s="3">
        <f t="shared" ca="1" si="110"/>
        <v>8.992276528568615</v>
      </c>
    </row>
    <row r="1075" spans="7:17" x14ac:dyDescent="0.25">
      <c r="G1075" s="3">
        <f t="shared" ca="1" si="105"/>
        <v>0</v>
      </c>
      <c r="H1075" s="3">
        <f t="shared" ca="1" si="106"/>
        <v>2.0450947369717316E-2</v>
      </c>
      <c r="I1075" s="3">
        <f t="shared" ca="1" si="107"/>
        <v>0.71503404411463722</v>
      </c>
      <c r="O1075" s="3">
        <f t="shared" ca="1" si="108"/>
        <v>-10.332866140631083</v>
      </c>
      <c r="P1075" s="3">
        <f t="shared" ca="1" si="109"/>
        <v>-1.75102376981751</v>
      </c>
      <c r="Q1075" s="3">
        <f t="shared" ca="1" si="110"/>
        <v>10.480181626415938</v>
      </c>
    </row>
    <row r="1076" spans="7:17" x14ac:dyDescent="0.25">
      <c r="G1076" s="3">
        <f t="shared" ca="1" si="105"/>
        <v>1</v>
      </c>
      <c r="H1076" s="3">
        <f t="shared" ca="1" si="106"/>
        <v>7.0370557705743941</v>
      </c>
      <c r="I1076" s="3">
        <f t="shared" ca="1" si="107"/>
        <v>13.263724750776451</v>
      </c>
      <c r="O1076" s="3">
        <f t="shared" ca="1" si="108"/>
        <v>-10.309262950886154</v>
      </c>
      <c r="P1076" s="3">
        <f t="shared" ca="1" si="109"/>
        <v>1.4242871973380791</v>
      </c>
      <c r="Q1076" s="3">
        <f t="shared" ca="1" si="110"/>
        <v>10.407184855234149</v>
      </c>
    </row>
    <row r="1077" spans="7:17" x14ac:dyDescent="0.25">
      <c r="G1077" s="3">
        <f t="shared" ca="1" si="105"/>
        <v>0</v>
      </c>
      <c r="H1077" s="3">
        <f t="shared" ca="1" si="106"/>
        <v>0.21001043611484471</v>
      </c>
      <c r="I1077" s="3">
        <f t="shared" ca="1" si="107"/>
        <v>2.2913447804446885</v>
      </c>
      <c r="O1077" s="3">
        <f t="shared" ca="1" si="108"/>
        <v>-3.7287188056114204</v>
      </c>
      <c r="P1077" s="3">
        <f t="shared" ca="1" si="109"/>
        <v>1.000477982298873</v>
      </c>
      <c r="Q1077" s="3">
        <f t="shared" ca="1" si="110"/>
        <v>3.8606087763959041</v>
      </c>
    </row>
    <row r="1078" spans="7:17" x14ac:dyDescent="0.25">
      <c r="G1078" s="3">
        <f t="shared" ca="1" si="105"/>
        <v>0</v>
      </c>
      <c r="H1078" s="3">
        <f t="shared" ca="1" si="106"/>
        <v>4.5252329985923003</v>
      </c>
      <c r="I1078" s="3">
        <f t="shared" ca="1" si="107"/>
        <v>10.636297521450192</v>
      </c>
      <c r="O1078" s="3">
        <f t="shared" ca="1" si="108"/>
        <v>4.9596944363816693</v>
      </c>
      <c r="P1078" s="3">
        <f t="shared" ca="1" si="109"/>
        <v>-0.48487384438117775</v>
      </c>
      <c r="Q1078" s="3">
        <f t="shared" ca="1" si="110"/>
        <v>4.9833393971553122</v>
      </c>
    </row>
    <row r="1079" spans="7:17" x14ac:dyDescent="0.25">
      <c r="G1079" s="3">
        <f t="shared" ca="1" si="105"/>
        <v>1</v>
      </c>
      <c r="H1079" s="3">
        <f t="shared" ca="1" si="106"/>
        <v>1.4776992484858802</v>
      </c>
      <c r="I1079" s="3">
        <f t="shared" ca="1" si="107"/>
        <v>6.078032676133537</v>
      </c>
      <c r="O1079" s="3">
        <f t="shared" ca="1" si="108"/>
        <v>-7.9120003108017896</v>
      </c>
      <c r="P1079" s="3">
        <f t="shared" ca="1" si="109"/>
        <v>-2.9140166353146926</v>
      </c>
      <c r="Q1079" s="3">
        <f t="shared" ca="1" si="110"/>
        <v>8.4315622436781172</v>
      </c>
    </row>
    <row r="1080" spans="7:17" x14ac:dyDescent="0.25">
      <c r="G1080" s="3">
        <f t="shared" ca="1" si="105"/>
        <v>1</v>
      </c>
      <c r="H1080" s="3">
        <f t="shared" ca="1" si="106"/>
        <v>2.0783575932593994</v>
      </c>
      <c r="I1080" s="3">
        <f t="shared" ca="1" si="107"/>
        <v>7.2082549782513228</v>
      </c>
      <c r="O1080" s="3">
        <f t="shared" ca="1" si="108"/>
        <v>-2.4098314157323726</v>
      </c>
      <c r="P1080" s="3">
        <f t="shared" ca="1" si="109"/>
        <v>-1.119389885465272</v>
      </c>
      <c r="Q1080" s="3">
        <f t="shared" ca="1" si="110"/>
        <v>2.6571264870029512</v>
      </c>
    </row>
    <row r="1081" spans="7:17" x14ac:dyDescent="0.25">
      <c r="G1081" s="3">
        <f t="shared" ca="1" si="105"/>
        <v>0</v>
      </c>
      <c r="H1081" s="3">
        <f t="shared" ca="1" si="106"/>
        <v>2.2165490899334452</v>
      </c>
      <c r="I1081" s="3">
        <f t="shared" ca="1" si="107"/>
        <v>7.4440397129741411</v>
      </c>
      <c r="O1081" s="3">
        <f t="shared" ca="1" si="108"/>
        <v>3.6369267884987231</v>
      </c>
      <c r="P1081" s="3">
        <f t="shared" ca="1" si="109"/>
        <v>-2.492200685081829</v>
      </c>
      <c r="Q1081" s="3">
        <f t="shared" ca="1" si="110"/>
        <v>4.4088888304902829</v>
      </c>
    </row>
    <row r="1082" spans="7:17" x14ac:dyDescent="0.25">
      <c r="G1082" s="3">
        <f t="shared" ca="1" si="105"/>
        <v>0</v>
      </c>
      <c r="H1082" s="3">
        <f t="shared" ca="1" si="106"/>
        <v>2.2575931877636952</v>
      </c>
      <c r="I1082" s="3">
        <f t="shared" ca="1" si="107"/>
        <v>7.5126446537881977</v>
      </c>
      <c r="O1082" s="3">
        <f t="shared" ca="1" si="108"/>
        <v>-5.972925057397255</v>
      </c>
      <c r="P1082" s="3">
        <f t="shared" ca="1" si="109"/>
        <v>-4.9110866663144694</v>
      </c>
      <c r="Q1082" s="3">
        <f t="shared" ca="1" si="110"/>
        <v>7.7326971998996425</v>
      </c>
    </row>
    <row r="1083" spans="7:17" x14ac:dyDescent="0.25">
      <c r="G1083" s="3">
        <f t="shared" ca="1" si="105"/>
        <v>0</v>
      </c>
      <c r="H1083" s="3">
        <f t="shared" ca="1" si="106"/>
        <v>0.62650183426325279</v>
      </c>
      <c r="I1083" s="3">
        <f t="shared" ca="1" si="107"/>
        <v>3.9575934425584092</v>
      </c>
      <c r="O1083" s="3">
        <f t="shared" ca="1" si="108"/>
        <v>-9.6986801111523029</v>
      </c>
      <c r="P1083" s="3">
        <f t="shared" ca="1" si="109"/>
        <v>8.262150137083955</v>
      </c>
      <c r="Q1083" s="3">
        <f t="shared" ca="1" si="110"/>
        <v>12.740781796505962</v>
      </c>
    </row>
    <row r="1084" spans="7:17" x14ac:dyDescent="0.25">
      <c r="G1084" s="3">
        <f t="shared" ca="1" si="105"/>
        <v>0</v>
      </c>
      <c r="H1084" s="3">
        <f t="shared" ca="1" si="106"/>
        <v>1.5167244786433538</v>
      </c>
      <c r="I1084" s="3">
        <f t="shared" ca="1" si="107"/>
        <v>6.1577684242007544</v>
      </c>
      <c r="O1084" s="3">
        <f t="shared" ca="1" si="108"/>
        <v>1.0512016423395476</v>
      </c>
      <c r="P1084" s="3">
        <f t="shared" ca="1" si="109"/>
        <v>0.35314662990284568</v>
      </c>
      <c r="Q1084" s="3">
        <f t="shared" ca="1" si="110"/>
        <v>1.1089352709103897</v>
      </c>
    </row>
    <row r="1085" spans="7:17" x14ac:dyDescent="0.25">
      <c r="G1085" s="3">
        <f t="shared" ca="1" si="105"/>
        <v>1</v>
      </c>
      <c r="H1085" s="3">
        <f t="shared" ca="1" si="106"/>
        <v>4.612394023677858</v>
      </c>
      <c r="I1085" s="3">
        <f t="shared" ca="1" si="107"/>
        <v>10.738242434958639</v>
      </c>
      <c r="O1085" s="3">
        <f t="shared" ca="1" si="108"/>
        <v>-4.5796519460743124</v>
      </c>
      <c r="P1085" s="3">
        <f t="shared" ca="1" si="109"/>
        <v>-2.5548930167384034</v>
      </c>
      <c r="Q1085" s="3">
        <f t="shared" ca="1" si="110"/>
        <v>5.2441100554966322</v>
      </c>
    </row>
    <row r="1086" spans="7:17" x14ac:dyDescent="0.25">
      <c r="G1086" s="3">
        <f t="shared" ca="1" si="105"/>
        <v>0</v>
      </c>
      <c r="H1086" s="3">
        <f t="shared" ca="1" si="106"/>
        <v>5.9362499290308426</v>
      </c>
      <c r="I1086" s="3">
        <f t="shared" ca="1" si="107"/>
        <v>12.182210317744932</v>
      </c>
      <c r="O1086" s="3">
        <f t="shared" ca="1" si="108"/>
        <v>2.104215457240536</v>
      </c>
      <c r="P1086" s="3">
        <f t="shared" ca="1" si="109"/>
        <v>11.46971750346445</v>
      </c>
      <c r="Q1086" s="3">
        <f t="shared" ca="1" si="110"/>
        <v>11.661138121974577</v>
      </c>
    </row>
    <row r="1087" spans="7:17" x14ac:dyDescent="0.25">
      <c r="G1087" s="3">
        <f t="shared" ca="1" si="105"/>
        <v>0</v>
      </c>
      <c r="H1087" s="3">
        <f t="shared" ca="1" si="106"/>
        <v>0.88614497067656006</v>
      </c>
      <c r="I1087" s="3">
        <f t="shared" ca="1" si="107"/>
        <v>4.7067636723032953</v>
      </c>
      <c r="O1087" s="3">
        <f t="shared" ca="1" si="108"/>
        <v>9.5731612639546491</v>
      </c>
      <c r="P1087" s="3">
        <f t="shared" ca="1" si="109"/>
        <v>8.0900404976337565</v>
      </c>
      <c r="Q1087" s="3">
        <f t="shared" ca="1" si="110"/>
        <v>12.533721388280338</v>
      </c>
    </row>
    <row r="1088" spans="7:17" x14ac:dyDescent="0.25">
      <c r="G1088" s="3">
        <f t="shared" ca="1" si="105"/>
        <v>1</v>
      </c>
      <c r="H1088" s="3">
        <f t="shared" ca="1" si="106"/>
        <v>0.49099596756080682</v>
      </c>
      <c r="I1088" s="3">
        <f t="shared" ca="1" si="107"/>
        <v>3.5035552213459074</v>
      </c>
      <c r="O1088" s="3">
        <f t="shared" ca="1" si="108"/>
        <v>-5.5708338298740507</v>
      </c>
      <c r="P1088" s="3">
        <f t="shared" ca="1" si="109"/>
        <v>4.8046488412008683</v>
      </c>
      <c r="Q1088" s="3">
        <f t="shared" ca="1" si="110"/>
        <v>7.3565508254427243</v>
      </c>
    </row>
    <row r="1089" spans="7:17" x14ac:dyDescent="0.25">
      <c r="G1089" s="3">
        <f t="shared" ca="1" si="105"/>
        <v>2</v>
      </c>
      <c r="H1089" s="3">
        <f t="shared" ca="1" si="106"/>
        <v>4.5431211980801702</v>
      </c>
      <c r="I1089" s="3">
        <f t="shared" ca="1" si="107"/>
        <v>10.657299374231927</v>
      </c>
      <c r="O1089" s="3">
        <f t="shared" ca="1" si="108"/>
        <v>-13.458678969789114</v>
      </c>
      <c r="P1089" s="3">
        <f t="shared" ca="1" si="109"/>
        <v>-1.48280659006364</v>
      </c>
      <c r="Q1089" s="3">
        <f t="shared" ca="1" si="110"/>
        <v>13.540116505975121</v>
      </c>
    </row>
    <row r="1090" spans="7:17" x14ac:dyDescent="0.25">
      <c r="G1090" s="3">
        <f t="shared" ca="1" si="105"/>
        <v>1</v>
      </c>
      <c r="H1090" s="3">
        <f t="shared" ca="1" si="106"/>
        <v>8.4060820157798517</v>
      </c>
      <c r="I1090" s="3">
        <f t="shared" ca="1" si="107"/>
        <v>14.496622033925568</v>
      </c>
      <c r="O1090" s="3">
        <f t="shared" ca="1" si="108"/>
        <v>-10.956863383443265</v>
      </c>
      <c r="P1090" s="3">
        <f t="shared" ca="1" si="109"/>
        <v>-1.3049231529447913</v>
      </c>
      <c r="Q1090" s="3">
        <f t="shared" ca="1" si="110"/>
        <v>11.034295611344259</v>
      </c>
    </row>
    <row r="1091" spans="7:17" x14ac:dyDescent="0.25">
      <c r="G1091" s="3">
        <f t="shared" ca="1" si="105"/>
        <v>1</v>
      </c>
      <c r="H1091" s="3">
        <f t="shared" ca="1" si="106"/>
        <v>5.7377451154010917</v>
      </c>
      <c r="I1091" s="3">
        <f t="shared" ca="1" si="107"/>
        <v>11.976795392968324</v>
      </c>
      <c r="O1091" s="3">
        <f t="shared" ca="1" si="108"/>
        <v>-11.534121146816485</v>
      </c>
      <c r="P1091" s="3">
        <f t="shared" ca="1" si="109"/>
        <v>-0.31530077445700294</v>
      </c>
      <c r="Q1091" s="3">
        <f t="shared" ca="1" si="110"/>
        <v>11.538429928192675</v>
      </c>
    </row>
    <row r="1092" spans="7:17" x14ac:dyDescent="0.25">
      <c r="G1092" s="3">
        <f t="shared" ref="G1092:G1155" ca="1" si="111">VLOOKUP(RAND(),$B$9:$C$169,2,TRUE)</f>
        <v>0</v>
      </c>
      <c r="H1092" s="3">
        <f t="shared" ref="H1092:H1155" ca="1" si="112">_xlfn.CHISQ.INV(RAND(),2*G1092+2)</f>
        <v>3.3147958605978252</v>
      </c>
      <c r="I1092" s="3">
        <f t="shared" ref="I1092:I1155" ca="1" si="113">$C$4*SQRT(H1092)</f>
        <v>9.1032904224212032</v>
      </c>
      <c r="O1092" s="3">
        <f t="shared" ref="O1092:O1155" ca="1" si="114">_xlfn.NORM.INV(RAND(),$C$3*COS($N$2),$C$4)</f>
        <v>4.4423016792441654</v>
      </c>
      <c r="P1092" s="3">
        <f t="shared" ref="P1092:P1155" ca="1" si="115">_xlfn.NORM.INV(RAND(),$C$3*SIN($N$2),$C$4)</f>
        <v>-3.7793251635292084</v>
      </c>
      <c r="Q1092" s="3">
        <f t="shared" ref="Q1092:Q1155" ca="1" si="116">SQRT(O1092^2+P1092^2)</f>
        <v>5.8324388467518986</v>
      </c>
    </row>
    <row r="1093" spans="7:17" x14ac:dyDescent="0.25">
      <c r="G1093" s="3">
        <f t="shared" ca="1" si="111"/>
        <v>1</v>
      </c>
      <c r="H1093" s="3">
        <f t="shared" ca="1" si="112"/>
        <v>1.1468780087312698</v>
      </c>
      <c r="I1093" s="3">
        <f t="shared" ca="1" si="113"/>
        <v>5.3546195213368559</v>
      </c>
      <c r="O1093" s="3">
        <f t="shared" ca="1" si="114"/>
        <v>-1.556759402277168</v>
      </c>
      <c r="P1093" s="3">
        <f t="shared" ca="1" si="115"/>
        <v>0.67636764389732562</v>
      </c>
      <c r="Q1093" s="3">
        <f t="shared" ca="1" si="116"/>
        <v>1.697342931257436</v>
      </c>
    </row>
    <row r="1094" spans="7:17" x14ac:dyDescent="0.25">
      <c r="G1094" s="3">
        <f t="shared" ca="1" si="111"/>
        <v>0</v>
      </c>
      <c r="H1094" s="3">
        <f t="shared" ca="1" si="112"/>
        <v>0.39988724236401241</v>
      </c>
      <c r="I1094" s="3">
        <f t="shared" ca="1" si="113"/>
        <v>3.1618319150613159</v>
      </c>
      <c r="O1094" s="3">
        <f t="shared" ca="1" si="114"/>
        <v>-0.34292966863162366</v>
      </c>
      <c r="P1094" s="3">
        <f t="shared" ca="1" si="115"/>
        <v>2.8666259762228394</v>
      </c>
      <c r="Q1094" s="3">
        <f t="shared" ca="1" si="116"/>
        <v>2.887065161229192</v>
      </c>
    </row>
    <row r="1095" spans="7:17" x14ac:dyDescent="0.25">
      <c r="G1095" s="3">
        <f t="shared" ca="1" si="111"/>
        <v>1</v>
      </c>
      <c r="H1095" s="3">
        <f t="shared" ca="1" si="112"/>
        <v>7.3999383881205993</v>
      </c>
      <c r="I1095" s="3">
        <f t="shared" ca="1" si="113"/>
        <v>13.601413886174296</v>
      </c>
      <c r="O1095" s="3">
        <f t="shared" ca="1" si="114"/>
        <v>-3.2366451694975411</v>
      </c>
      <c r="P1095" s="3">
        <f t="shared" ca="1" si="115"/>
        <v>2.2805865256583666</v>
      </c>
      <c r="Q1095" s="3">
        <f t="shared" ca="1" si="116"/>
        <v>3.9594124380072189</v>
      </c>
    </row>
    <row r="1096" spans="7:17" x14ac:dyDescent="0.25">
      <c r="G1096" s="3">
        <f t="shared" ca="1" si="111"/>
        <v>0</v>
      </c>
      <c r="H1096" s="3">
        <f t="shared" ca="1" si="112"/>
        <v>1.5490403817371323</v>
      </c>
      <c r="I1096" s="3">
        <f t="shared" ca="1" si="113"/>
        <v>6.2230225408099162</v>
      </c>
      <c r="O1096" s="3">
        <f t="shared" ca="1" si="114"/>
        <v>4.3607256419313316</v>
      </c>
      <c r="P1096" s="3">
        <f t="shared" ca="1" si="115"/>
        <v>6.1411911291904024</v>
      </c>
      <c r="Q1096" s="3">
        <f t="shared" ca="1" si="116"/>
        <v>7.5319424194190647</v>
      </c>
    </row>
    <row r="1097" spans="7:17" x14ac:dyDescent="0.25">
      <c r="G1097" s="3">
        <f t="shared" ca="1" si="111"/>
        <v>0</v>
      </c>
      <c r="H1097" s="3">
        <f t="shared" ca="1" si="112"/>
        <v>2.0171624346456509</v>
      </c>
      <c r="I1097" s="3">
        <f t="shared" ca="1" si="113"/>
        <v>7.1013421876530689</v>
      </c>
      <c r="O1097" s="3">
        <f t="shared" ca="1" si="114"/>
        <v>-7.1332137769255892</v>
      </c>
      <c r="P1097" s="3">
        <f t="shared" ca="1" si="115"/>
        <v>-10.872321864760789</v>
      </c>
      <c r="Q1097" s="3">
        <f t="shared" ca="1" si="116"/>
        <v>13.003465750263524</v>
      </c>
    </row>
    <row r="1098" spans="7:17" x14ac:dyDescent="0.25">
      <c r="G1098" s="3">
        <f t="shared" ca="1" si="111"/>
        <v>0</v>
      </c>
      <c r="H1098" s="3">
        <f t="shared" ca="1" si="112"/>
        <v>0.57537377906318921</v>
      </c>
      <c r="I1098" s="3">
        <f t="shared" ca="1" si="113"/>
        <v>3.7926698349025494</v>
      </c>
      <c r="O1098" s="3">
        <f t="shared" ca="1" si="114"/>
        <v>-1.9105363386477419</v>
      </c>
      <c r="P1098" s="3">
        <f t="shared" ca="1" si="115"/>
        <v>4.6225135671957318</v>
      </c>
      <c r="Q1098" s="3">
        <f t="shared" ca="1" si="116"/>
        <v>5.0017777619764479</v>
      </c>
    </row>
    <row r="1099" spans="7:17" x14ac:dyDescent="0.25">
      <c r="G1099" s="3">
        <f t="shared" ca="1" si="111"/>
        <v>0</v>
      </c>
      <c r="H1099" s="3">
        <f t="shared" ca="1" si="112"/>
        <v>1.0998221873434191</v>
      </c>
      <c r="I1099" s="3">
        <f t="shared" ca="1" si="113"/>
        <v>5.2436203794311309</v>
      </c>
      <c r="O1099" s="3">
        <f t="shared" ca="1" si="114"/>
        <v>8.7994023862088877</v>
      </c>
      <c r="P1099" s="3">
        <f t="shared" ca="1" si="115"/>
        <v>-2.9964563747852759</v>
      </c>
      <c r="Q1099" s="3">
        <f t="shared" ca="1" si="116"/>
        <v>9.2956028938638511</v>
      </c>
    </row>
    <row r="1100" spans="7:17" x14ac:dyDescent="0.25">
      <c r="G1100" s="3">
        <f t="shared" ca="1" si="111"/>
        <v>0</v>
      </c>
      <c r="H1100" s="3">
        <f t="shared" ca="1" si="112"/>
        <v>1.2163189188668524</v>
      </c>
      <c r="I1100" s="3">
        <f t="shared" ca="1" si="113"/>
        <v>5.514342478634358</v>
      </c>
      <c r="O1100" s="3">
        <f t="shared" ca="1" si="114"/>
        <v>0.29687810139317605</v>
      </c>
      <c r="P1100" s="3">
        <f t="shared" ca="1" si="115"/>
        <v>-1.4862998173774418</v>
      </c>
      <c r="Q1100" s="3">
        <f t="shared" ca="1" si="116"/>
        <v>1.5156595113095268</v>
      </c>
    </row>
    <row r="1101" spans="7:17" x14ac:dyDescent="0.25">
      <c r="G1101" s="3">
        <f t="shared" ca="1" si="111"/>
        <v>0</v>
      </c>
      <c r="H1101" s="3">
        <f t="shared" ca="1" si="112"/>
        <v>2.058538702983725</v>
      </c>
      <c r="I1101" s="3">
        <f t="shared" ca="1" si="113"/>
        <v>7.1738042609617612</v>
      </c>
      <c r="O1101" s="3">
        <f t="shared" ca="1" si="114"/>
        <v>-12.366492285875644</v>
      </c>
      <c r="P1101" s="3">
        <f t="shared" ca="1" si="115"/>
        <v>-4.4966329831768155</v>
      </c>
      <c r="Q1101" s="3">
        <f t="shared" ca="1" si="116"/>
        <v>13.15864125364072</v>
      </c>
    </row>
    <row r="1102" spans="7:17" x14ac:dyDescent="0.25">
      <c r="G1102" s="3">
        <f t="shared" ca="1" si="111"/>
        <v>0</v>
      </c>
      <c r="H1102" s="3">
        <f t="shared" ca="1" si="112"/>
        <v>1.0013803010753428</v>
      </c>
      <c r="I1102" s="3">
        <f t="shared" ca="1" si="113"/>
        <v>5.0034495627400482</v>
      </c>
      <c r="O1102" s="3">
        <f t="shared" ca="1" si="114"/>
        <v>-7.2637385984024947</v>
      </c>
      <c r="P1102" s="3">
        <f t="shared" ca="1" si="115"/>
        <v>-1.2217412264147933</v>
      </c>
      <c r="Q1102" s="3">
        <f t="shared" ca="1" si="116"/>
        <v>7.3657688023887751</v>
      </c>
    </row>
    <row r="1103" spans="7:17" x14ac:dyDescent="0.25">
      <c r="G1103" s="3">
        <f t="shared" ca="1" si="111"/>
        <v>1</v>
      </c>
      <c r="H1103" s="3">
        <f t="shared" ca="1" si="112"/>
        <v>4.4360210457561617</v>
      </c>
      <c r="I1103" s="3">
        <f t="shared" ca="1" si="113"/>
        <v>10.53093187443087</v>
      </c>
      <c r="O1103" s="3">
        <f t="shared" ca="1" si="114"/>
        <v>3.199846038634826</v>
      </c>
      <c r="P1103" s="3">
        <f t="shared" ca="1" si="115"/>
        <v>1.3437651476517487</v>
      </c>
      <c r="Q1103" s="3">
        <f t="shared" ca="1" si="116"/>
        <v>3.4705503083820171</v>
      </c>
    </row>
    <row r="1104" spans="7:17" x14ac:dyDescent="0.25">
      <c r="G1104" s="3">
        <f t="shared" ca="1" si="111"/>
        <v>0</v>
      </c>
      <c r="H1104" s="3">
        <f t="shared" ca="1" si="112"/>
        <v>1.8295110736851854</v>
      </c>
      <c r="I1104" s="3">
        <f t="shared" ca="1" si="113"/>
        <v>6.7629710070448805</v>
      </c>
      <c r="O1104" s="3">
        <f t="shared" ca="1" si="114"/>
        <v>-1.9421287328612964</v>
      </c>
      <c r="P1104" s="3">
        <f t="shared" ca="1" si="115"/>
        <v>-1.6787736515386193</v>
      </c>
      <c r="Q1104" s="3">
        <f t="shared" ca="1" si="116"/>
        <v>2.5671277701169717</v>
      </c>
    </row>
    <row r="1105" spans="7:17" x14ac:dyDescent="0.25">
      <c r="G1105" s="3">
        <f t="shared" ca="1" si="111"/>
        <v>0</v>
      </c>
      <c r="H1105" s="3">
        <f t="shared" ca="1" si="112"/>
        <v>1.3796150849094699</v>
      </c>
      <c r="I1105" s="3">
        <f t="shared" ca="1" si="113"/>
        <v>5.8728508513954916</v>
      </c>
      <c r="O1105" s="3">
        <f t="shared" ca="1" si="114"/>
        <v>0.83925589208655094</v>
      </c>
      <c r="P1105" s="3">
        <f t="shared" ca="1" si="115"/>
        <v>5.6914774129177115</v>
      </c>
      <c r="Q1105" s="3">
        <f t="shared" ca="1" si="116"/>
        <v>5.7530223008566965</v>
      </c>
    </row>
    <row r="1106" spans="7:17" x14ac:dyDescent="0.25">
      <c r="G1106" s="3">
        <f t="shared" ca="1" si="111"/>
        <v>0</v>
      </c>
      <c r="H1106" s="3">
        <f t="shared" ca="1" si="112"/>
        <v>2.216867071253251</v>
      </c>
      <c r="I1106" s="3">
        <f t="shared" ca="1" si="113"/>
        <v>7.4445736467128381</v>
      </c>
      <c r="O1106" s="3">
        <f t="shared" ca="1" si="114"/>
        <v>3.1438491406458944</v>
      </c>
      <c r="P1106" s="3">
        <f t="shared" ca="1" si="115"/>
        <v>0.37253928959299837</v>
      </c>
      <c r="Q1106" s="3">
        <f t="shared" ca="1" si="116"/>
        <v>3.1658447437343455</v>
      </c>
    </row>
    <row r="1107" spans="7:17" x14ac:dyDescent="0.25">
      <c r="G1107" s="3">
        <f t="shared" ca="1" si="111"/>
        <v>0</v>
      </c>
      <c r="H1107" s="3">
        <f t="shared" ca="1" si="112"/>
        <v>2.1838069669771492</v>
      </c>
      <c r="I1107" s="3">
        <f t="shared" ca="1" si="113"/>
        <v>7.3888547268456106</v>
      </c>
      <c r="O1107" s="3">
        <f t="shared" ca="1" si="114"/>
        <v>-9.1900208809784694</v>
      </c>
      <c r="P1107" s="3">
        <f t="shared" ca="1" si="115"/>
        <v>2.1271677457032823</v>
      </c>
      <c r="Q1107" s="3">
        <f t="shared" ca="1" si="116"/>
        <v>9.4329913819095932</v>
      </c>
    </row>
    <row r="1108" spans="7:17" x14ac:dyDescent="0.25">
      <c r="G1108" s="3">
        <f t="shared" ca="1" si="111"/>
        <v>0</v>
      </c>
      <c r="H1108" s="3">
        <f t="shared" ca="1" si="112"/>
        <v>4.0587578490294964</v>
      </c>
      <c r="I1108" s="3">
        <f t="shared" ca="1" si="113"/>
        <v>10.073179548967516</v>
      </c>
      <c r="O1108" s="3">
        <f t="shared" ca="1" si="114"/>
        <v>-12.97553849506656</v>
      </c>
      <c r="P1108" s="3">
        <f t="shared" ca="1" si="115"/>
        <v>17.435600428713293</v>
      </c>
      <c r="Q1108" s="3">
        <f t="shared" ca="1" si="116"/>
        <v>21.733954116697252</v>
      </c>
    </row>
    <row r="1109" spans="7:17" x14ac:dyDescent="0.25">
      <c r="G1109" s="3">
        <f t="shared" ca="1" si="111"/>
        <v>0</v>
      </c>
      <c r="H1109" s="3">
        <f t="shared" ca="1" si="112"/>
        <v>1.5426238355577748</v>
      </c>
      <c r="I1109" s="3">
        <f t="shared" ca="1" si="113"/>
        <v>6.2101204407760378</v>
      </c>
      <c r="O1109" s="3">
        <f t="shared" ca="1" si="114"/>
        <v>-7.9737535033592231</v>
      </c>
      <c r="P1109" s="3">
        <f t="shared" ca="1" si="115"/>
        <v>1.7426118669623285E-2</v>
      </c>
      <c r="Q1109" s="3">
        <f t="shared" ca="1" si="116"/>
        <v>7.973772545159874</v>
      </c>
    </row>
    <row r="1110" spans="7:17" x14ac:dyDescent="0.25">
      <c r="G1110" s="3">
        <f t="shared" ca="1" si="111"/>
        <v>0</v>
      </c>
      <c r="H1110" s="3">
        <f t="shared" ca="1" si="112"/>
        <v>1.3429542326255797</v>
      </c>
      <c r="I1110" s="3">
        <f t="shared" ca="1" si="113"/>
        <v>5.7942951094709949</v>
      </c>
      <c r="O1110" s="3">
        <f t="shared" ca="1" si="114"/>
        <v>-5.0710488088398886</v>
      </c>
      <c r="P1110" s="3">
        <f t="shared" ca="1" si="115"/>
        <v>0.81262913698427863</v>
      </c>
      <c r="Q1110" s="3">
        <f t="shared" ca="1" si="116"/>
        <v>5.1357474758706996</v>
      </c>
    </row>
    <row r="1111" spans="7:17" x14ac:dyDescent="0.25">
      <c r="G1111" s="3">
        <f t="shared" ca="1" si="111"/>
        <v>0</v>
      </c>
      <c r="H1111" s="3">
        <f t="shared" ca="1" si="112"/>
        <v>0.43385769650927036</v>
      </c>
      <c r="I1111" s="3">
        <f t="shared" ca="1" si="113"/>
        <v>3.2933937530656365</v>
      </c>
      <c r="O1111" s="3">
        <f t="shared" ca="1" si="114"/>
        <v>-2.3226482573006875</v>
      </c>
      <c r="P1111" s="3">
        <f t="shared" ca="1" si="115"/>
        <v>-9.0442394790436875</v>
      </c>
      <c r="Q1111" s="3">
        <f t="shared" ca="1" si="116"/>
        <v>9.3377172093308953</v>
      </c>
    </row>
    <row r="1112" spans="7:17" x14ac:dyDescent="0.25">
      <c r="G1112" s="3">
        <f t="shared" ca="1" si="111"/>
        <v>2</v>
      </c>
      <c r="H1112" s="3">
        <f t="shared" ca="1" si="112"/>
        <v>5.325784802494165</v>
      </c>
      <c r="I1112" s="3">
        <f t="shared" ca="1" si="113"/>
        <v>11.538830966018789</v>
      </c>
      <c r="O1112" s="3">
        <f t="shared" ca="1" si="114"/>
        <v>-11.460961920244365</v>
      </c>
      <c r="P1112" s="3">
        <f t="shared" ca="1" si="115"/>
        <v>-2.0684824799368817</v>
      </c>
      <c r="Q1112" s="3">
        <f t="shared" ca="1" si="116"/>
        <v>11.646126734116249</v>
      </c>
    </row>
    <row r="1113" spans="7:17" x14ac:dyDescent="0.25">
      <c r="G1113" s="3">
        <f t="shared" ca="1" si="111"/>
        <v>0</v>
      </c>
      <c r="H1113" s="3">
        <f t="shared" ca="1" si="112"/>
        <v>2.1105360609502211</v>
      </c>
      <c r="I1113" s="3">
        <f t="shared" ca="1" si="113"/>
        <v>7.2638420635195207</v>
      </c>
      <c r="O1113" s="3">
        <f t="shared" ca="1" si="114"/>
        <v>-10.433404635133577</v>
      </c>
      <c r="P1113" s="3">
        <f t="shared" ca="1" si="115"/>
        <v>-8.7957638564397929</v>
      </c>
      <c r="Q1113" s="3">
        <f t="shared" ca="1" si="116"/>
        <v>13.646295984576891</v>
      </c>
    </row>
    <row r="1114" spans="7:17" x14ac:dyDescent="0.25">
      <c r="G1114" s="3">
        <f t="shared" ca="1" si="111"/>
        <v>0</v>
      </c>
      <c r="H1114" s="3">
        <f t="shared" ca="1" si="112"/>
        <v>3.0848173200335323</v>
      </c>
      <c r="I1114" s="3">
        <f t="shared" ca="1" si="113"/>
        <v>8.7818240133151324</v>
      </c>
      <c r="O1114" s="3">
        <f t="shared" ca="1" si="114"/>
        <v>-8.3193133784712217</v>
      </c>
      <c r="P1114" s="3">
        <f t="shared" ca="1" si="115"/>
        <v>7.5441500009460247</v>
      </c>
      <c r="Q1114" s="3">
        <f t="shared" ca="1" si="116"/>
        <v>11.230546483853052</v>
      </c>
    </row>
    <row r="1115" spans="7:17" x14ac:dyDescent="0.25">
      <c r="G1115" s="3">
        <f t="shared" ca="1" si="111"/>
        <v>0</v>
      </c>
      <c r="H1115" s="3">
        <f t="shared" ca="1" si="112"/>
        <v>0.86057019719337691</v>
      </c>
      <c r="I1115" s="3">
        <f t="shared" ca="1" si="113"/>
        <v>4.6383461416580829</v>
      </c>
      <c r="O1115" s="3">
        <f t="shared" ca="1" si="114"/>
        <v>-5.5507994937654832</v>
      </c>
      <c r="P1115" s="3">
        <f t="shared" ca="1" si="115"/>
        <v>0.54825200754554559</v>
      </c>
      <c r="Q1115" s="3">
        <f t="shared" ca="1" si="116"/>
        <v>5.5778091831618681</v>
      </c>
    </row>
    <row r="1116" spans="7:17" x14ac:dyDescent="0.25">
      <c r="G1116" s="3">
        <f t="shared" ca="1" si="111"/>
        <v>0</v>
      </c>
      <c r="H1116" s="3">
        <f t="shared" ca="1" si="112"/>
        <v>2.6644422133510068</v>
      </c>
      <c r="I1116" s="3">
        <f t="shared" ca="1" si="113"/>
        <v>8.161559614055097</v>
      </c>
      <c r="O1116" s="3">
        <f t="shared" ca="1" si="114"/>
        <v>-14.218937855792085</v>
      </c>
      <c r="P1116" s="3">
        <f t="shared" ca="1" si="115"/>
        <v>8.9114422531400557</v>
      </c>
      <c r="Q1116" s="3">
        <f t="shared" ca="1" si="116"/>
        <v>16.780703107376851</v>
      </c>
    </row>
    <row r="1117" spans="7:17" x14ac:dyDescent="0.25">
      <c r="G1117" s="3">
        <f t="shared" ca="1" si="111"/>
        <v>0</v>
      </c>
      <c r="H1117" s="3">
        <f t="shared" ca="1" si="112"/>
        <v>1.2133145412281796</v>
      </c>
      <c r="I1117" s="3">
        <f t="shared" ca="1" si="113"/>
        <v>5.5075278964980736</v>
      </c>
      <c r="O1117" s="3">
        <f t="shared" ca="1" si="114"/>
        <v>-14.692564194573539</v>
      </c>
      <c r="P1117" s="3">
        <f t="shared" ca="1" si="115"/>
        <v>3.895913667930206</v>
      </c>
      <c r="Q1117" s="3">
        <f t="shared" ca="1" si="116"/>
        <v>15.200315323032934</v>
      </c>
    </row>
    <row r="1118" spans="7:17" x14ac:dyDescent="0.25">
      <c r="G1118" s="3">
        <f t="shared" ca="1" si="111"/>
        <v>0</v>
      </c>
      <c r="H1118" s="3">
        <f t="shared" ca="1" si="112"/>
        <v>0.59176290839687506</v>
      </c>
      <c r="I1118" s="3">
        <f t="shared" ca="1" si="113"/>
        <v>3.8463063723424162</v>
      </c>
      <c r="O1118" s="3">
        <f t="shared" ca="1" si="114"/>
        <v>-1.987151288974772</v>
      </c>
      <c r="P1118" s="3">
        <f t="shared" ca="1" si="115"/>
        <v>-3.7324564348384417</v>
      </c>
      <c r="Q1118" s="3">
        <f t="shared" ca="1" si="116"/>
        <v>4.2284750541112324</v>
      </c>
    </row>
    <row r="1119" spans="7:17" x14ac:dyDescent="0.25">
      <c r="G1119" s="3">
        <f t="shared" ca="1" si="111"/>
        <v>1</v>
      </c>
      <c r="H1119" s="3">
        <f t="shared" ca="1" si="112"/>
        <v>0.40122512603014959</v>
      </c>
      <c r="I1119" s="3">
        <f t="shared" ca="1" si="113"/>
        <v>3.1671166935800992</v>
      </c>
      <c r="O1119" s="3">
        <f t="shared" ca="1" si="114"/>
        <v>6.1968351819249801</v>
      </c>
      <c r="P1119" s="3">
        <f t="shared" ca="1" si="115"/>
        <v>1.5678603120799701</v>
      </c>
      <c r="Q1119" s="3">
        <f t="shared" ca="1" si="116"/>
        <v>6.3921007681464701</v>
      </c>
    </row>
    <row r="1120" spans="7:17" x14ac:dyDescent="0.25">
      <c r="G1120" s="3">
        <f t="shared" ca="1" si="111"/>
        <v>0</v>
      </c>
      <c r="H1120" s="3">
        <f t="shared" ca="1" si="112"/>
        <v>3.914120735357129</v>
      </c>
      <c r="I1120" s="3">
        <f t="shared" ca="1" si="113"/>
        <v>9.8920684583118526</v>
      </c>
      <c r="O1120" s="3">
        <f t="shared" ca="1" si="114"/>
        <v>1.9406863108139714</v>
      </c>
      <c r="P1120" s="3">
        <f t="shared" ca="1" si="115"/>
        <v>2.0542448737481811</v>
      </c>
      <c r="Q1120" s="3">
        <f t="shared" ca="1" si="116"/>
        <v>2.8259839628528365</v>
      </c>
    </row>
    <row r="1121" spans="7:17" x14ac:dyDescent="0.25">
      <c r="G1121" s="3">
        <f t="shared" ca="1" si="111"/>
        <v>0</v>
      </c>
      <c r="H1121" s="3">
        <f t="shared" ca="1" si="112"/>
        <v>4.0524431533884151</v>
      </c>
      <c r="I1121" s="3">
        <f t="shared" ca="1" si="113"/>
        <v>10.065340472865802</v>
      </c>
      <c r="O1121" s="3">
        <f t="shared" ca="1" si="114"/>
        <v>-6.4467138197412011</v>
      </c>
      <c r="P1121" s="3">
        <f t="shared" ca="1" si="115"/>
        <v>-4.798548533716172</v>
      </c>
      <c r="Q1121" s="3">
        <f t="shared" ca="1" si="116"/>
        <v>8.0365531855436512</v>
      </c>
    </row>
    <row r="1122" spans="7:17" x14ac:dyDescent="0.25">
      <c r="G1122" s="3">
        <f t="shared" ca="1" si="111"/>
        <v>1</v>
      </c>
      <c r="H1122" s="3">
        <f t="shared" ca="1" si="112"/>
        <v>2.9035603615352721</v>
      </c>
      <c r="I1122" s="3">
        <f t="shared" ca="1" si="113"/>
        <v>8.5199183704060104</v>
      </c>
      <c r="O1122" s="3">
        <f t="shared" ca="1" si="114"/>
        <v>-6.6672538377748669</v>
      </c>
      <c r="P1122" s="3">
        <f t="shared" ca="1" si="115"/>
        <v>-5.0500876918986739</v>
      </c>
      <c r="Q1122" s="3">
        <f t="shared" ca="1" si="116"/>
        <v>8.3639499898785967</v>
      </c>
    </row>
    <row r="1123" spans="7:17" x14ac:dyDescent="0.25">
      <c r="G1123" s="3">
        <f t="shared" ca="1" si="111"/>
        <v>0</v>
      </c>
      <c r="H1123" s="3">
        <f t="shared" ca="1" si="112"/>
        <v>0.34878951176753042</v>
      </c>
      <c r="I1123" s="3">
        <f t="shared" ca="1" si="113"/>
        <v>2.9529202146668747</v>
      </c>
      <c r="O1123" s="3">
        <f t="shared" ca="1" si="114"/>
        <v>-2.8783793561055173</v>
      </c>
      <c r="P1123" s="3">
        <f t="shared" ca="1" si="115"/>
        <v>2.2105238434955461</v>
      </c>
      <c r="Q1123" s="3">
        <f t="shared" ca="1" si="116"/>
        <v>3.6292538324450017</v>
      </c>
    </row>
    <row r="1124" spans="7:17" x14ac:dyDescent="0.25">
      <c r="G1124" s="3">
        <f t="shared" ca="1" si="111"/>
        <v>0</v>
      </c>
      <c r="H1124" s="3">
        <f t="shared" ca="1" si="112"/>
        <v>1.4672736719642632</v>
      </c>
      <c r="I1124" s="3">
        <f t="shared" ca="1" si="113"/>
        <v>6.056553623894251</v>
      </c>
      <c r="O1124" s="3">
        <f t="shared" ca="1" si="114"/>
        <v>-1.9520821155088042</v>
      </c>
      <c r="P1124" s="3">
        <f t="shared" ca="1" si="115"/>
        <v>5.7399642627315837</v>
      </c>
      <c r="Q1124" s="3">
        <f t="shared" ca="1" si="116"/>
        <v>6.062822306741726</v>
      </c>
    </row>
    <row r="1125" spans="7:17" x14ac:dyDescent="0.25">
      <c r="G1125" s="3">
        <f t="shared" ca="1" si="111"/>
        <v>1</v>
      </c>
      <c r="H1125" s="3">
        <f t="shared" ca="1" si="112"/>
        <v>4.8786483530211315</v>
      </c>
      <c r="I1125" s="3">
        <f t="shared" ca="1" si="113"/>
        <v>11.043831256657642</v>
      </c>
      <c r="O1125" s="3">
        <f t="shared" ca="1" si="114"/>
        <v>0.92367104852254123</v>
      </c>
      <c r="P1125" s="3">
        <f t="shared" ca="1" si="115"/>
        <v>-4.4780724270291365</v>
      </c>
      <c r="Q1125" s="3">
        <f t="shared" ca="1" si="116"/>
        <v>4.5723408520797477</v>
      </c>
    </row>
    <row r="1126" spans="7:17" x14ac:dyDescent="0.25">
      <c r="G1126" s="3">
        <f t="shared" ca="1" si="111"/>
        <v>3</v>
      </c>
      <c r="H1126" s="3">
        <f t="shared" ca="1" si="112"/>
        <v>6.1875328699820251</v>
      </c>
      <c r="I1126" s="3">
        <f t="shared" ca="1" si="113"/>
        <v>12.437375999363798</v>
      </c>
      <c r="O1126" s="3">
        <f t="shared" ca="1" si="114"/>
        <v>-2.7956224944645065</v>
      </c>
      <c r="P1126" s="3">
        <f t="shared" ca="1" si="115"/>
        <v>-8.6810337222948757</v>
      </c>
      <c r="Q1126" s="3">
        <f t="shared" ca="1" si="116"/>
        <v>9.1200795840374536</v>
      </c>
    </row>
    <row r="1127" spans="7:17" x14ac:dyDescent="0.25">
      <c r="G1127" s="3">
        <f t="shared" ca="1" si="111"/>
        <v>1</v>
      </c>
      <c r="H1127" s="3">
        <f t="shared" ca="1" si="112"/>
        <v>0.88920009219440566</v>
      </c>
      <c r="I1127" s="3">
        <f t="shared" ca="1" si="113"/>
        <v>4.7148703380750714</v>
      </c>
      <c r="O1127" s="3">
        <f t="shared" ca="1" si="114"/>
        <v>-7.096666927621567</v>
      </c>
      <c r="P1127" s="3">
        <f t="shared" ca="1" si="115"/>
        <v>9.542331185478135</v>
      </c>
      <c r="Q1127" s="3">
        <f t="shared" ca="1" si="116"/>
        <v>11.891962240729924</v>
      </c>
    </row>
    <row r="1128" spans="7:17" x14ac:dyDescent="0.25">
      <c r="G1128" s="3">
        <f t="shared" ca="1" si="111"/>
        <v>0</v>
      </c>
      <c r="H1128" s="3">
        <f t="shared" ca="1" si="112"/>
        <v>0.63274950964764387</v>
      </c>
      <c r="I1128" s="3">
        <f t="shared" ca="1" si="113"/>
        <v>3.9772776796687328</v>
      </c>
      <c r="O1128" s="3">
        <f t="shared" ca="1" si="114"/>
        <v>-16.154849713695256</v>
      </c>
      <c r="P1128" s="3">
        <f t="shared" ca="1" si="115"/>
        <v>0.3371208614282814</v>
      </c>
      <c r="Q1128" s="3">
        <f t="shared" ca="1" si="116"/>
        <v>16.158366865103968</v>
      </c>
    </row>
    <row r="1129" spans="7:17" x14ac:dyDescent="0.25">
      <c r="G1129" s="3">
        <f t="shared" ca="1" si="111"/>
        <v>0</v>
      </c>
      <c r="H1129" s="3">
        <f t="shared" ca="1" si="112"/>
        <v>4.8663207440723166</v>
      </c>
      <c r="I1129" s="3">
        <f t="shared" ca="1" si="113"/>
        <v>11.029869382808117</v>
      </c>
      <c r="O1129" s="3">
        <f t="shared" ca="1" si="114"/>
        <v>-3.0897652258753281</v>
      </c>
      <c r="P1129" s="3">
        <f t="shared" ca="1" si="115"/>
        <v>5.9422490893002831</v>
      </c>
      <c r="Q1129" s="3">
        <f t="shared" ca="1" si="116"/>
        <v>6.6975348741397731</v>
      </c>
    </row>
    <row r="1130" spans="7:17" x14ac:dyDescent="0.25">
      <c r="G1130" s="3">
        <f t="shared" ca="1" si="111"/>
        <v>0</v>
      </c>
      <c r="H1130" s="3">
        <f t="shared" ca="1" si="112"/>
        <v>0.49520894754914502</v>
      </c>
      <c r="I1130" s="3">
        <f t="shared" ca="1" si="113"/>
        <v>3.5185542043186753</v>
      </c>
      <c r="O1130" s="3">
        <f t="shared" ca="1" si="114"/>
        <v>-0.5190282803074151</v>
      </c>
      <c r="P1130" s="3">
        <f t="shared" ca="1" si="115"/>
        <v>-4.6889415561468537</v>
      </c>
      <c r="Q1130" s="3">
        <f t="shared" ca="1" si="116"/>
        <v>4.7175802349000646</v>
      </c>
    </row>
    <row r="1131" spans="7:17" x14ac:dyDescent="0.25">
      <c r="G1131" s="3">
        <f t="shared" ca="1" si="111"/>
        <v>1</v>
      </c>
      <c r="H1131" s="3">
        <f t="shared" ca="1" si="112"/>
        <v>3.7274387979865136</v>
      </c>
      <c r="I1131" s="3">
        <f t="shared" ca="1" si="113"/>
        <v>9.6532880382625503</v>
      </c>
      <c r="O1131" s="3">
        <f t="shared" ca="1" si="114"/>
        <v>-7.3469697849027433</v>
      </c>
      <c r="P1131" s="3">
        <f t="shared" ca="1" si="115"/>
        <v>11.022494839575064</v>
      </c>
      <c r="Q1131" s="3">
        <f t="shared" ca="1" si="116"/>
        <v>13.246635705292599</v>
      </c>
    </row>
    <row r="1132" spans="7:17" x14ac:dyDescent="0.25">
      <c r="G1132" s="3">
        <f t="shared" ca="1" si="111"/>
        <v>0</v>
      </c>
      <c r="H1132" s="3">
        <f t="shared" ca="1" si="112"/>
        <v>5.1404208095515189</v>
      </c>
      <c r="I1132" s="3">
        <f t="shared" ca="1" si="113"/>
        <v>11.336248067098214</v>
      </c>
      <c r="O1132" s="3">
        <f t="shared" ca="1" si="114"/>
        <v>-5.7458978243883259</v>
      </c>
      <c r="P1132" s="3">
        <f t="shared" ca="1" si="115"/>
        <v>-7.7254953873005361</v>
      </c>
      <c r="Q1132" s="3">
        <f t="shared" ca="1" si="116"/>
        <v>9.6280122968093647</v>
      </c>
    </row>
    <row r="1133" spans="7:17" x14ac:dyDescent="0.25">
      <c r="G1133" s="3">
        <f t="shared" ca="1" si="111"/>
        <v>1</v>
      </c>
      <c r="H1133" s="3">
        <f t="shared" ca="1" si="112"/>
        <v>1.3305760395584141</v>
      </c>
      <c r="I1133" s="3">
        <f t="shared" ca="1" si="113"/>
        <v>5.7675298862650335</v>
      </c>
      <c r="O1133" s="3">
        <f t="shared" ca="1" si="114"/>
        <v>-12.925271072834871</v>
      </c>
      <c r="P1133" s="3">
        <f t="shared" ca="1" si="115"/>
        <v>-4.9286164860660158</v>
      </c>
      <c r="Q1133" s="3">
        <f t="shared" ca="1" si="116"/>
        <v>13.833072427085156</v>
      </c>
    </row>
    <row r="1134" spans="7:17" x14ac:dyDescent="0.25">
      <c r="G1134" s="3">
        <f t="shared" ca="1" si="111"/>
        <v>1</v>
      </c>
      <c r="H1134" s="3">
        <f t="shared" ca="1" si="112"/>
        <v>5.6831065050866076</v>
      </c>
      <c r="I1134" s="3">
        <f t="shared" ca="1" si="113"/>
        <v>11.919633493827115</v>
      </c>
      <c r="O1134" s="3">
        <f t="shared" ca="1" si="114"/>
        <v>-4.1295437542416549</v>
      </c>
      <c r="P1134" s="3">
        <f t="shared" ca="1" si="115"/>
        <v>-2.513462810567447</v>
      </c>
      <c r="Q1134" s="3">
        <f t="shared" ca="1" si="116"/>
        <v>4.8343176269564525</v>
      </c>
    </row>
    <row r="1135" spans="7:17" x14ac:dyDescent="0.25">
      <c r="G1135" s="3">
        <f t="shared" ca="1" si="111"/>
        <v>2</v>
      </c>
      <c r="H1135" s="3">
        <f t="shared" ca="1" si="112"/>
        <v>3.4752800874758076</v>
      </c>
      <c r="I1135" s="3">
        <f t="shared" ca="1" si="113"/>
        <v>9.3210515601457331</v>
      </c>
      <c r="O1135" s="3">
        <f t="shared" ca="1" si="114"/>
        <v>-5.2486175871368319</v>
      </c>
      <c r="P1135" s="3">
        <f t="shared" ca="1" si="115"/>
        <v>2.2539202419541602</v>
      </c>
      <c r="Q1135" s="3">
        <f t="shared" ca="1" si="116"/>
        <v>5.7121049564142954</v>
      </c>
    </row>
    <row r="1136" spans="7:17" x14ac:dyDescent="0.25">
      <c r="G1136" s="3">
        <f t="shared" ca="1" si="111"/>
        <v>0</v>
      </c>
      <c r="H1136" s="3">
        <f t="shared" ca="1" si="112"/>
        <v>0.41218080676910801</v>
      </c>
      <c r="I1136" s="3">
        <f t="shared" ca="1" si="113"/>
        <v>3.2100654462530356</v>
      </c>
      <c r="O1136" s="3">
        <f t="shared" ca="1" si="114"/>
        <v>0.42863430186924134</v>
      </c>
      <c r="P1136" s="3">
        <f t="shared" ca="1" si="115"/>
        <v>-6.9266485811570488</v>
      </c>
      <c r="Q1136" s="3">
        <f t="shared" ca="1" si="116"/>
        <v>6.9398982652185826</v>
      </c>
    </row>
    <row r="1137" spans="7:17" x14ac:dyDescent="0.25">
      <c r="G1137" s="3">
        <f t="shared" ca="1" si="111"/>
        <v>1</v>
      </c>
      <c r="H1137" s="3">
        <f t="shared" ca="1" si="112"/>
        <v>2.2305545339256403</v>
      </c>
      <c r="I1137" s="3">
        <f t="shared" ca="1" si="113"/>
        <v>7.4675205622844452</v>
      </c>
      <c r="O1137" s="3">
        <f t="shared" ca="1" si="114"/>
        <v>-1.9534440111982221</v>
      </c>
      <c r="P1137" s="3">
        <f t="shared" ca="1" si="115"/>
        <v>3.5271935589335284</v>
      </c>
      <c r="Q1137" s="3">
        <f t="shared" ca="1" si="116"/>
        <v>4.0320017245864825</v>
      </c>
    </row>
    <row r="1138" spans="7:17" x14ac:dyDescent="0.25">
      <c r="G1138" s="3">
        <f t="shared" ca="1" si="111"/>
        <v>0</v>
      </c>
      <c r="H1138" s="3">
        <f t="shared" ca="1" si="112"/>
        <v>0.85445364651183131</v>
      </c>
      <c r="I1138" s="3">
        <f t="shared" ca="1" si="113"/>
        <v>4.6218330955147851</v>
      </c>
      <c r="O1138" s="3">
        <f t="shared" ca="1" si="114"/>
        <v>-0.37825034132530444</v>
      </c>
      <c r="P1138" s="3">
        <f t="shared" ca="1" si="115"/>
        <v>-3.8385792971773594</v>
      </c>
      <c r="Q1138" s="3">
        <f t="shared" ca="1" si="116"/>
        <v>3.8571705097689599</v>
      </c>
    </row>
    <row r="1139" spans="7:17" x14ac:dyDescent="0.25">
      <c r="G1139" s="3">
        <f t="shared" ca="1" si="111"/>
        <v>0</v>
      </c>
      <c r="H1139" s="3">
        <f t="shared" ca="1" si="112"/>
        <v>4.0491814847918688</v>
      </c>
      <c r="I1139" s="3">
        <f t="shared" ca="1" si="113"/>
        <v>10.06128903867674</v>
      </c>
      <c r="O1139" s="3">
        <f t="shared" ca="1" si="114"/>
        <v>-8.8261502395532716</v>
      </c>
      <c r="P1139" s="3">
        <f t="shared" ca="1" si="115"/>
        <v>3.9702167523316731</v>
      </c>
      <c r="Q1139" s="3">
        <f t="shared" ca="1" si="116"/>
        <v>9.6779930311847888</v>
      </c>
    </row>
    <row r="1140" spans="7:17" x14ac:dyDescent="0.25">
      <c r="G1140" s="3">
        <f t="shared" ca="1" si="111"/>
        <v>1</v>
      </c>
      <c r="H1140" s="3">
        <f t="shared" ca="1" si="112"/>
        <v>2.2739072352808569</v>
      </c>
      <c r="I1140" s="3">
        <f t="shared" ca="1" si="113"/>
        <v>7.5397401070608154</v>
      </c>
      <c r="O1140" s="3">
        <f t="shared" ca="1" si="114"/>
        <v>-16.643794871601216</v>
      </c>
      <c r="P1140" s="3">
        <f t="shared" ca="1" si="115"/>
        <v>4.0678155134261713</v>
      </c>
      <c r="Q1140" s="3">
        <f t="shared" ca="1" si="116"/>
        <v>17.133681180038618</v>
      </c>
    </row>
    <row r="1141" spans="7:17" x14ac:dyDescent="0.25">
      <c r="G1141" s="3">
        <f t="shared" ca="1" si="111"/>
        <v>1</v>
      </c>
      <c r="H1141" s="3">
        <f t="shared" ca="1" si="112"/>
        <v>2.0914539562574115</v>
      </c>
      <c r="I1141" s="3">
        <f t="shared" ca="1" si="113"/>
        <v>7.2309300167015369</v>
      </c>
      <c r="O1141" s="3">
        <f t="shared" ca="1" si="114"/>
        <v>-11.855924973797237</v>
      </c>
      <c r="P1141" s="3">
        <f t="shared" ca="1" si="115"/>
        <v>-2.7599801889662294</v>
      </c>
      <c r="Q1141" s="3">
        <f t="shared" ca="1" si="116"/>
        <v>12.172939153211729</v>
      </c>
    </row>
    <row r="1142" spans="7:17" x14ac:dyDescent="0.25">
      <c r="G1142" s="3">
        <f t="shared" ca="1" si="111"/>
        <v>1</v>
      </c>
      <c r="H1142" s="3">
        <f t="shared" ca="1" si="112"/>
        <v>4.4103080663367482</v>
      </c>
      <c r="I1142" s="3">
        <f t="shared" ca="1" si="113"/>
        <v>10.500366739234334</v>
      </c>
      <c r="O1142" s="3">
        <f t="shared" ca="1" si="114"/>
        <v>-2.6307696133804801</v>
      </c>
      <c r="P1142" s="3">
        <f t="shared" ca="1" si="115"/>
        <v>4.3310709419691191</v>
      </c>
      <c r="Q1142" s="3">
        <f t="shared" ca="1" si="116"/>
        <v>5.0674573765405615</v>
      </c>
    </row>
    <row r="1143" spans="7:17" x14ac:dyDescent="0.25">
      <c r="G1143" s="3">
        <f t="shared" ca="1" si="111"/>
        <v>0</v>
      </c>
      <c r="H1143" s="3">
        <f t="shared" ca="1" si="112"/>
        <v>0.53278966597941302</v>
      </c>
      <c r="I1143" s="3">
        <f t="shared" ca="1" si="113"/>
        <v>3.6496221242048232</v>
      </c>
      <c r="O1143" s="3">
        <f t="shared" ca="1" si="114"/>
        <v>-2.9598012148907609</v>
      </c>
      <c r="P1143" s="3">
        <f t="shared" ca="1" si="115"/>
        <v>-0.47516584846499815</v>
      </c>
      <c r="Q1143" s="3">
        <f t="shared" ca="1" si="116"/>
        <v>2.9977000876032087</v>
      </c>
    </row>
    <row r="1144" spans="7:17" x14ac:dyDescent="0.25">
      <c r="G1144" s="3">
        <f t="shared" ca="1" si="111"/>
        <v>1</v>
      </c>
      <c r="H1144" s="3">
        <f t="shared" ca="1" si="112"/>
        <v>11.349212844187004</v>
      </c>
      <c r="I1144" s="3">
        <f t="shared" ca="1" si="113"/>
        <v>16.844296396842317</v>
      </c>
      <c r="O1144" s="3">
        <f t="shared" ca="1" si="114"/>
        <v>-10.238181496278948</v>
      </c>
      <c r="P1144" s="3">
        <f t="shared" ca="1" si="115"/>
        <v>-6.4722620204891745</v>
      </c>
      <c r="Q1144" s="3">
        <f t="shared" ca="1" si="116"/>
        <v>12.112412476984725</v>
      </c>
    </row>
    <row r="1145" spans="7:17" x14ac:dyDescent="0.25">
      <c r="G1145" s="3">
        <f t="shared" ca="1" si="111"/>
        <v>0</v>
      </c>
      <c r="H1145" s="3">
        <f t="shared" ca="1" si="112"/>
        <v>1.6956414547542245</v>
      </c>
      <c r="I1145" s="3">
        <f t="shared" ca="1" si="113"/>
        <v>6.5108399127037062</v>
      </c>
      <c r="O1145" s="3">
        <f t="shared" ca="1" si="114"/>
        <v>-9.1884515075083399</v>
      </c>
      <c r="P1145" s="3">
        <f t="shared" ca="1" si="115"/>
        <v>-8.4078302114984886</v>
      </c>
      <c r="Q1145" s="3">
        <f t="shared" ca="1" si="116"/>
        <v>12.454687871288426</v>
      </c>
    </row>
    <row r="1146" spans="7:17" x14ac:dyDescent="0.25">
      <c r="G1146" s="3">
        <f t="shared" ca="1" si="111"/>
        <v>1</v>
      </c>
      <c r="H1146" s="3">
        <f t="shared" ca="1" si="112"/>
        <v>4.2719188483963135</v>
      </c>
      <c r="I1146" s="3">
        <f t="shared" ca="1" si="113"/>
        <v>10.33431038869589</v>
      </c>
      <c r="O1146" s="3">
        <f t="shared" ca="1" si="114"/>
        <v>-3.437731061464615</v>
      </c>
      <c r="P1146" s="3">
        <f t="shared" ca="1" si="115"/>
        <v>-10.613546399014391</v>
      </c>
      <c r="Q1146" s="3">
        <f t="shared" ca="1" si="116"/>
        <v>11.156404529013367</v>
      </c>
    </row>
    <row r="1147" spans="7:17" x14ac:dyDescent="0.25">
      <c r="G1147" s="3">
        <f t="shared" ca="1" si="111"/>
        <v>3</v>
      </c>
      <c r="H1147" s="3">
        <f t="shared" ca="1" si="112"/>
        <v>3.3689497493213962</v>
      </c>
      <c r="I1147" s="3">
        <f t="shared" ca="1" si="113"/>
        <v>9.1773494938917359</v>
      </c>
      <c r="O1147" s="3">
        <f t="shared" ca="1" si="114"/>
        <v>-5.6269123921139421</v>
      </c>
      <c r="P1147" s="3">
        <f t="shared" ca="1" si="115"/>
        <v>-6.5234972481787343</v>
      </c>
      <c r="Q1147" s="3">
        <f t="shared" ca="1" si="116"/>
        <v>8.6149961935871442</v>
      </c>
    </row>
    <row r="1148" spans="7:17" x14ac:dyDescent="0.25">
      <c r="G1148" s="3">
        <f t="shared" ca="1" si="111"/>
        <v>0</v>
      </c>
      <c r="H1148" s="3">
        <f t="shared" ca="1" si="112"/>
        <v>1.6748564913032455</v>
      </c>
      <c r="I1148" s="3">
        <f t="shared" ca="1" si="113"/>
        <v>6.4708123356021643</v>
      </c>
      <c r="O1148" s="3">
        <f t="shared" ca="1" si="114"/>
        <v>-2.2248766939673486</v>
      </c>
      <c r="P1148" s="3">
        <f t="shared" ca="1" si="115"/>
        <v>-0.18594329777701274</v>
      </c>
      <c r="Q1148" s="3">
        <f t="shared" ca="1" si="116"/>
        <v>2.2326332464933127</v>
      </c>
    </row>
    <row r="1149" spans="7:17" x14ac:dyDescent="0.25">
      <c r="G1149" s="3">
        <f t="shared" ca="1" si="111"/>
        <v>0</v>
      </c>
      <c r="H1149" s="3">
        <f t="shared" ca="1" si="112"/>
        <v>0.29813141764142176</v>
      </c>
      <c r="I1149" s="3">
        <f t="shared" ca="1" si="113"/>
        <v>2.730070592683556</v>
      </c>
      <c r="O1149" s="3">
        <f t="shared" ca="1" si="114"/>
        <v>-5.2516818479047149</v>
      </c>
      <c r="P1149" s="3">
        <f t="shared" ca="1" si="115"/>
        <v>-8.6624064519936042</v>
      </c>
      <c r="Q1149" s="3">
        <f t="shared" ca="1" si="116"/>
        <v>10.13002703703955</v>
      </c>
    </row>
    <row r="1150" spans="7:17" x14ac:dyDescent="0.25">
      <c r="G1150" s="3">
        <f t="shared" ca="1" si="111"/>
        <v>2</v>
      </c>
      <c r="H1150" s="3">
        <f t="shared" ca="1" si="112"/>
        <v>3.0986307833726445</v>
      </c>
      <c r="I1150" s="3">
        <f t="shared" ca="1" si="113"/>
        <v>8.8014640591390307</v>
      </c>
      <c r="O1150" s="3">
        <f t="shared" ca="1" si="114"/>
        <v>-7.7974038912197301</v>
      </c>
      <c r="P1150" s="3">
        <f t="shared" ca="1" si="115"/>
        <v>3.5056201314290356</v>
      </c>
      <c r="Q1150" s="3">
        <f t="shared" ca="1" si="116"/>
        <v>8.5492034686682423</v>
      </c>
    </row>
    <row r="1151" spans="7:17" x14ac:dyDescent="0.25">
      <c r="G1151" s="3">
        <f t="shared" ca="1" si="111"/>
        <v>0</v>
      </c>
      <c r="H1151" s="3">
        <f t="shared" ca="1" si="112"/>
        <v>2.6500019068886056</v>
      </c>
      <c r="I1151" s="3">
        <f t="shared" ca="1" si="113"/>
        <v>8.1394132265302233</v>
      </c>
      <c r="O1151" s="3">
        <f t="shared" ca="1" si="114"/>
        <v>-11.466996758483525</v>
      </c>
      <c r="P1151" s="3">
        <f t="shared" ca="1" si="115"/>
        <v>2.7214847822138388</v>
      </c>
      <c r="Q1151" s="3">
        <f t="shared" ca="1" si="116"/>
        <v>11.785520526429588</v>
      </c>
    </row>
    <row r="1152" spans="7:17" x14ac:dyDescent="0.25">
      <c r="G1152" s="3">
        <f t="shared" ca="1" si="111"/>
        <v>0</v>
      </c>
      <c r="H1152" s="3">
        <f t="shared" ca="1" si="112"/>
        <v>0.32270213219789617</v>
      </c>
      <c r="I1152" s="3">
        <f t="shared" ca="1" si="113"/>
        <v>2.8403438708979243</v>
      </c>
      <c r="O1152" s="3">
        <f t="shared" ca="1" si="114"/>
        <v>-8.1770522017901772</v>
      </c>
      <c r="P1152" s="3">
        <f t="shared" ca="1" si="115"/>
        <v>2.7459791076686852</v>
      </c>
      <c r="Q1152" s="3">
        <f t="shared" ca="1" si="116"/>
        <v>8.625809177726719</v>
      </c>
    </row>
    <row r="1153" spans="7:17" x14ac:dyDescent="0.25">
      <c r="G1153" s="3">
        <f t="shared" ca="1" si="111"/>
        <v>1</v>
      </c>
      <c r="H1153" s="3">
        <f t="shared" ca="1" si="112"/>
        <v>6.9815363445711238</v>
      </c>
      <c r="I1153" s="3">
        <f t="shared" ca="1" si="113"/>
        <v>13.211298521124943</v>
      </c>
      <c r="O1153" s="3">
        <f t="shared" ca="1" si="114"/>
        <v>0.74140909921209364</v>
      </c>
      <c r="P1153" s="3">
        <f t="shared" ca="1" si="115"/>
        <v>-2.1846194989890195</v>
      </c>
      <c r="Q1153" s="3">
        <f t="shared" ca="1" si="116"/>
        <v>2.3070001750666433</v>
      </c>
    </row>
    <row r="1154" spans="7:17" x14ac:dyDescent="0.25">
      <c r="G1154" s="3">
        <f t="shared" ca="1" si="111"/>
        <v>0</v>
      </c>
      <c r="H1154" s="3">
        <f t="shared" ca="1" si="112"/>
        <v>0.52292787873084368</v>
      </c>
      <c r="I1154" s="3">
        <f t="shared" ca="1" si="113"/>
        <v>3.615687620394092</v>
      </c>
      <c r="O1154" s="3">
        <f t="shared" ca="1" si="114"/>
        <v>2.4718226357969453</v>
      </c>
      <c r="P1154" s="3">
        <f t="shared" ca="1" si="115"/>
        <v>0.19907490421586371</v>
      </c>
      <c r="Q1154" s="3">
        <f t="shared" ca="1" si="116"/>
        <v>2.4798261955884557</v>
      </c>
    </row>
    <row r="1155" spans="7:17" x14ac:dyDescent="0.25">
      <c r="G1155" s="3">
        <f t="shared" ca="1" si="111"/>
        <v>1</v>
      </c>
      <c r="H1155" s="3">
        <f t="shared" ca="1" si="112"/>
        <v>3.1896754227130537</v>
      </c>
      <c r="I1155" s="3">
        <f t="shared" ca="1" si="113"/>
        <v>8.9298312172082142</v>
      </c>
      <c r="O1155" s="3">
        <f t="shared" ca="1" si="114"/>
        <v>-4.8154959192869082</v>
      </c>
      <c r="P1155" s="3">
        <f t="shared" ca="1" si="115"/>
        <v>5.9314868388071194</v>
      </c>
      <c r="Q1155" s="3">
        <f t="shared" ca="1" si="116"/>
        <v>7.6401267703887576</v>
      </c>
    </row>
    <row r="1156" spans="7:17" x14ac:dyDescent="0.25">
      <c r="G1156" s="3">
        <f t="shared" ref="G1156:G1219" ca="1" si="117">VLOOKUP(RAND(),$B$9:$C$169,2,TRUE)</f>
        <v>0</v>
      </c>
      <c r="H1156" s="3">
        <f t="shared" ref="H1156:H1219" ca="1" si="118">_xlfn.CHISQ.INV(RAND(),2*G1156+2)</f>
        <v>1.5655838559263415</v>
      </c>
      <c r="I1156" s="3">
        <f t="shared" ref="I1156:I1219" ca="1" si="119">$C$4*SQRT(H1156)</f>
        <v>6.2561646715986097</v>
      </c>
      <c r="O1156" s="3">
        <f t="shared" ref="O1156:O1219" ca="1" si="120">_xlfn.NORM.INV(RAND(),$C$3*COS($N$2),$C$4)</f>
        <v>3.5658052998079341</v>
      </c>
      <c r="P1156" s="3">
        <f t="shared" ref="P1156:P1219" ca="1" si="121">_xlfn.NORM.INV(RAND(),$C$3*SIN($N$2),$C$4)</f>
        <v>3.0604401370921246</v>
      </c>
      <c r="Q1156" s="3">
        <f t="shared" ref="Q1156:Q1219" ca="1" si="122">SQRT(O1156^2+P1156^2)</f>
        <v>4.699070255791332</v>
      </c>
    </row>
    <row r="1157" spans="7:17" x14ac:dyDescent="0.25">
      <c r="G1157" s="3">
        <f t="shared" ca="1" si="117"/>
        <v>1</v>
      </c>
      <c r="H1157" s="3">
        <f t="shared" ca="1" si="118"/>
        <v>3.7100525514978382</v>
      </c>
      <c r="I1157" s="3">
        <f t="shared" ca="1" si="119"/>
        <v>9.6307483503332154</v>
      </c>
      <c r="O1157" s="3">
        <f t="shared" ca="1" si="120"/>
        <v>-6.5049919252786887</v>
      </c>
      <c r="P1157" s="3">
        <f t="shared" ca="1" si="121"/>
        <v>4.0181225384979475</v>
      </c>
      <c r="Q1157" s="3">
        <f t="shared" ca="1" si="122"/>
        <v>7.6459288959763505</v>
      </c>
    </row>
    <row r="1158" spans="7:17" x14ac:dyDescent="0.25">
      <c r="G1158" s="3">
        <f t="shared" ca="1" si="117"/>
        <v>2</v>
      </c>
      <c r="H1158" s="3">
        <f t="shared" ca="1" si="118"/>
        <v>3.0986661501999504</v>
      </c>
      <c r="I1158" s="3">
        <f t="shared" ca="1" si="119"/>
        <v>8.801514287609761</v>
      </c>
      <c r="O1158" s="3">
        <f t="shared" ca="1" si="120"/>
        <v>-14.65521123948626</v>
      </c>
      <c r="P1158" s="3">
        <f t="shared" ca="1" si="121"/>
        <v>-2.8961571426170076</v>
      </c>
      <c r="Q1158" s="3">
        <f t="shared" ca="1" si="122"/>
        <v>14.938639250905549</v>
      </c>
    </row>
    <row r="1159" spans="7:17" x14ac:dyDescent="0.25">
      <c r="G1159" s="3">
        <f t="shared" ca="1" si="117"/>
        <v>0</v>
      </c>
      <c r="H1159" s="3">
        <f t="shared" ca="1" si="118"/>
        <v>3.5294637838022003</v>
      </c>
      <c r="I1159" s="3">
        <f t="shared" ca="1" si="119"/>
        <v>9.3934335892183221</v>
      </c>
      <c r="O1159" s="3">
        <f t="shared" ca="1" si="120"/>
        <v>-3.5533302006373368</v>
      </c>
      <c r="P1159" s="3">
        <f t="shared" ca="1" si="121"/>
        <v>-2.5268590692900372</v>
      </c>
      <c r="Q1159" s="3">
        <f t="shared" ca="1" si="122"/>
        <v>4.3601803025579908</v>
      </c>
    </row>
    <row r="1160" spans="7:17" x14ac:dyDescent="0.25">
      <c r="G1160" s="3">
        <f t="shared" ca="1" si="117"/>
        <v>0</v>
      </c>
      <c r="H1160" s="3">
        <f t="shared" ca="1" si="118"/>
        <v>1.6791356939047795</v>
      </c>
      <c r="I1160" s="3">
        <f t="shared" ca="1" si="119"/>
        <v>6.4790734173660578</v>
      </c>
      <c r="O1160" s="3">
        <f t="shared" ca="1" si="120"/>
        <v>1.9473161907007341</v>
      </c>
      <c r="P1160" s="3">
        <f t="shared" ca="1" si="121"/>
        <v>-0.2678821050500006</v>
      </c>
      <c r="Q1160" s="3">
        <f t="shared" ca="1" si="122"/>
        <v>1.9656554043807468</v>
      </c>
    </row>
    <row r="1161" spans="7:17" x14ac:dyDescent="0.25">
      <c r="G1161" s="3">
        <f t="shared" ca="1" si="117"/>
        <v>0</v>
      </c>
      <c r="H1161" s="3">
        <f t="shared" ca="1" si="118"/>
        <v>8.063506960982691</v>
      </c>
      <c r="I1161" s="3">
        <f t="shared" ca="1" si="119"/>
        <v>14.198157416530051</v>
      </c>
      <c r="O1161" s="3">
        <f t="shared" ca="1" si="120"/>
        <v>-8.51182034140448</v>
      </c>
      <c r="P1161" s="3">
        <f t="shared" ca="1" si="121"/>
        <v>6.3579944185822832</v>
      </c>
      <c r="Q1161" s="3">
        <f t="shared" ca="1" si="122"/>
        <v>10.624273083419427</v>
      </c>
    </row>
    <row r="1162" spans="7:17" x14ac:dyDescent="0.25">
      <c r="G1162" s="3">
        <f t="shared" ca="1" si="117"/>
        <v>0</v>
      </c>
      <c r="H1162" s="3">
        <f t="shared" ca="1" si="118"/>
        <v>1.3443097136483337</v>
      </c>
      <c r="I1162" s="3">
        <f t="shared" ca="1" si="119"/>
        <v>5.797218543509322</v>
      </c>
      <c r="O1162" s="3">
        <f t="shared" ca="1" si="120"/>
        <v>-7.6590967881238488</v>
      </c>
      <c r="P1162" s="3">
        <f t="shared" ca="1" si="121"/>
        <v>-2.6120810833827561</v>
      </c>
      <c r="Q1162" s="3">
        <f t="shared" ca="1" si="122"/>
        <v>8.0922636632783469</v>
      </c>
    </row>
    <row r="1163" spans="7:17" x14ac:dyDescent="0.25">
      <c r="G1163" s="3">
        <f t="shared" ca="1" si="117"/>
        <v>0</v>
      </c>
      <c r="H1163" s="3">
        <f t="shared" ca="1" si="118"/>
        <v>5.4839143773186976</v>
      </c>
      <c r="I1163" s="3">
        <f t="shared" ca="1" si="119"/>
        <v>11.708879512274752</v>
      </c>
      <c r="O1163" s="3">
        <f t="shared" ca="1" si="120"/>
        <v>-8.6862134159783331</v>
      </c>
      <c r="P1163" s="3">
        <f t="shared" ca="1" si="121"/>
        <v>-3.6002796770724959</v>
      </c>
      <c r="Q1163" s="3">
        <f t="shared" ca="1" si="122"/>
        <v>9.4027824212337929</v>
      </c>
    </row>
    <row r="1164" spans="7:17" x14ac:dyDescent="0.25">
      <c r="G1164" s="3">
        <f t="shared" ca="1" si="117"/>
        <v>0</v>
      </c>
      <c r="H1164" s="3">
        <f t="shared" ca="1" si="118"/>
        <v>0.41630428425374383</v>
      </c>
      <c r="I1164" s="3">
        <f t="shared" ca="1" si="119"/>
        <v>3.2260823154940725</v>
      </c>
      <c r="O1164" s="3">
        <f t="shared" ca="1" si="120"/>
        <v>-4.575398819436141</v>
      </c>
      <c r="P1164" s="3">
        <f t="shared" ca="1" si="121"/>
        <v>8.2499609815845751</v>
      </c>
      <c r="Q1164" s="3">
        <f t="shared" ca="1" si="122"/>
        <v>9.4337760496296266</v>
      </c>
    </row>
    <row r="1165" spans="7:17" x14ac:dyDescent="0.25">
      <c r="G1165" s="3">
        <f t="shared" ca="1" si="117"/>
        <v>0</v>
      </c>
      <c r="H1165" s="3">
        <f t="shared" ca="1" si="118"/>
        <v>2.3521926285085599</v>
      </c>
      <c r="I1165" s="3">
        <f t="shared" ca="1" si="119"/>
        <v>7.6684298075104005</v>
      </c>
      <c r="O1165" s="3">
        <f t="shared" ca="1" si="120"/>
        <v>-9.1323396380907838</v>
      </c>
      <c r="P1165" s="3">
        <f t="shared" ca="1" si="121"/>
        <v>5.2183249015156958</v>
      </c>
      <c r="Q1165" s="3">
        <f t="shared" ca="1" si="122"/>
        <v>10.518105439822463</v>
      </c>
    </row>
    <row r="1166" spans="7:17" x14ac:dyDescent="0.25">
      <c r="G1166" s="3">
        <f t="shared" ca="1" si="117"/>
        <v>0</v>
      </c>
      <c r="H1166" s="3">
        <f t="shared" ca="1" si="118"/>
        <v>0.2286971260793754</v>
      </c>
      <c r="I1166" s="3">
        <f t="shared" ca="1" si="119"/>
        <v>2.3911144163306748</v>
      </c>
      <c r="O1166" s="3">
        <f t="shared" ca="1" si="120"/>
        <v>1.7237221541797627</v>
      </c>
      <c r="P1166" s="3">
        <f t="shared" ca="1" si="121"/>
        <v>-1.6597992541224733</v>
      </c>
      <c r="Q1166" s="3">
        <f t="shared" ca="1" si="122"/>
        <v>2.3929378656362226</v>
      </c>
    </row>
    <row r="1167" spans="7:17" x14ac:dyDescent="0.25">
      <c r="G1167" s="3">
        <f t="shared" ca="1" si="117"/>
        <v>0</v>
      </c>
      <c r="H1167" s="3">
        <f t="shared" ca="1" si="118"/>
        <v>1.9759429176458938</v>
      </c>
      <c r="I1167" s="3">
        <f t="shared" ca="1" si="119"/>
        <v>7.0284118363359553</v>
      </c>
      <c r="O1167" s="3">
        <f t="shared" ca="1" si="120"/>
        <v>3.8402425088370951</v>
      </c>
      <c r="P1167" s="3">
        <f t="shared" ca="1" si="121"/>
        <v>8.8048907778992742</v>
      </c>
      <c r="Q1167" s="3">
        <f t="shared" ca="1" si="122"/>
        <v>9.6059129778181482</v>
      </c>
    </row>
    <row r="1168" spans="7:17" x14ac:dyDescent="0.25">
      <c r="G1168" s="3">
        <f t="shared" ca="1" si="117"/>
        <v>0</v>
      </c>
      <c r="H1168" s="3">
        <f t="shared" ca="1" si="118"/>
        <v>0.85974696906849213</v>
      </c>
      <c r="I1168" s="3">
        <f t="shared" ca="1" si="119"/>
        <v>4.6361270718901029</v>
      </c>
      <c r="O1168" s="3">
        <f t="shared" ca="1" si="120"/>
        <v>-4.5390700876312309</v>
      </c>
      <c r="P1168" s="3">
        <f t="shared" ca="1" si="121"/>
        <v>-5.6145557765443144</v>
      </c>
      <c r="Q1168" s="3">
        <f t="shared" ca="1" si="122"/>
        <v>7.2198610671089591</v>
      </c>
    </row>
    <row r="1169" spans="7:17" x14ac:dyDescent="0.25">
      <c r="G1169" s="3">
        <f t="shared" ca="1" si="117"/>
        <v>0</v>
      </c>
      <c r="H1169" s="3">
        <f t="shared" ca="1" si="118"/>
        <v>3.8806891440454598</v>
      </c>
      <c r="I1169" s="3">
        <f t="shared" ca="1" si="119"/>
        <v>9.8497324126666754</v>
      </c>
      <c r="O1169" s="3">
        <f t="shared" ca="1" si="120"/>
        <v>-7.4019679328339043</v>
      </c>
      <c r="P1169" s="3">
        <f t="shared" ca="1" si="121"/>
        <v>-2.4609901134463632</v>
      </c>
      <c r="Q1169" s="3">
        <f t="shared" ca="1" si="122"/>
        <v>7.8003590697596845</v>
      </c>
    </row>
    <row r="1170" spans="7:17" x14ac:dyDescent="0.25">
      <c r="G1170" s="3">
        <f t="shared" ca="1" si="117"/>
        <v>0</v>
      </c>
      <c r="H1170" s="3">
        <f t="shared" ca="1" si="118"/>
        <v>6.120019325829551</v>
      </c>
      <c r="I1170" s="3">
        <f t="shared" ca="1" si="119"/>
        <v>12.369336406846521</v>
      </c>
      <c r="O1170" s="3">
        <f t="shared" ca="1" si="120"/>
        <v>8.4434488854200573E-2</v>
      </c>
      <c r="P1170" s="3">
        <f t="shared" ca="1" si="121"/>
        <v>5.4283058053533946</v>
      </c>
      <c r="Q1170" s="3">
        <f t="shared" ca="1" si="122"/>
        <v>5.4289624330383273</v>
      </c>
    </row>
    <row r="1171" spans="7:17" x14ac:dyDescent="0.25">
      <c r="G1171" s="3">
        <f t="shared" ca="1" si="117"/>
        <v>0</v>
      </c>
      <c r="H1171" s="3">
        <f t="shared" ca="1" si="118"/>
        <v>0.34321253762107207</v>
      </c>
      <c r="I1171" s="3">
        <f t="shared" ca="1" si="119"/>
        <v>2.9292172061024768</v>
      </c>
      <c r="O1171" s="3">
        <f t="shared" ca="1" si="120"/>
        <v>-3.7081100747650915</v>
      </c>
      <c r="P1171" s="3">
        <f t="shared" ca="1" si="121"/>
        <v>-6.3254568126407733</v>
      </c>
      <c r="Q1171" s="3">
        <f t="shared" ca="1" si="122"/>
        <v>7.332222324449658</v>
      </c>
    </row>
    <row r="1172" spans="7:17" x14ac:dyDescent="0.25">
      <c r="G1172" s="3">
        <f t="shared" ca="1" si="117"/>
        <v>1</v>
      </c>
      <c r="H1172" s="3">
        <f t="shared" ca="1" si="118"/>
        <v>0.84583273661450442</v>
      </c>
      <c r="I1172" s="3">
        <f t="shared" ca="1" si="119"/>
        <v>4.5984582650452115</v>
      </c>
      <c r="O1172" s="3">
        <f t="shared" ca="1" si="120"/>
        <v>-12.096222276436944</v>
      </c>
      <c r="P1172" s="3">
        <f t="shared" ca="1" si="121"/>
        <v>0.34911516776259405</v>
      </c>
      <c r="Q1172" s="3">
        <f t="shared" ca="1" si="122"/>
        <v>12.101259222135987</v>
      </c>
    </row>
    <row r="1173" spans="7:17" x14ac:dyDescent="0.25">
      <c r="G1173" s="3">
        <f t="shared" ca="1" si="117"/>
        <v>1</v>
      </c>
      <c r="H1173" s="3">
        <f t="shared" ca="1" si="118"/>
        <v>2.1534392593287213</v>
      </c>
      <c r="I1173" s="3">
        <f t="shared" ca="1" si="119"/>
        <v>7.3373006946163812</v>
      </c>
      <c r="O1173" s="3">
        <f t="shared" ca="1" si="120"/>
        <v>-6.1542047292486393</v>
      </c>
      <c r="P1173" s="3">
        <f t="shared" ca="1" si="121"/>
        <v>-5.1333108611346736</v>
      </c>
      <c r="Q1173" s="3">
        <f t="shared" ca="1" si="122"/>
        <v>8.0140574147275441</v>
      </c>
    </row>
    <row r="1174" spans="7:17" x14ac:dyDescent="0.25">
      <c r="G1174" s="3">
        <f t="shared" ca="1" si="117"/>
        <v>1</v>
      </c>
      <c r="H1174" s="3">
        <f t="shared" ca="1" si="118"/>
        <v>4.4195532049549167</v>
      </c>
      <c r="I1174" s="3">
        <f t="shared" ca="1" si="119"/>
        <v>10.511366710560189</v>
      </c>
      <c r="O1174" s="3">
        <f t="shared" ca="1" si="120"/>
        <v>-6.4184446446982495</v>
      </c>
      <c r="P1174" s="3">
        <f t="shared" ca="1" si="121"/>
        <v>7.1649465288614662</v>
      </c>
      <c r="Q1174" s="3">
        <f t="shared" ca="1" si="122"/>
        <v>9.6194017703025381</v>
      </c>
    </row>
    <row r="1175" spans="7:17" x14ac:dyDescent="0.25">
      <c r="G1175" s="3">
        <f t="shared" ca="1" si="117"/>
        <v>0</v>
      </c>
      <c r="H1175" s="3">
        <f t="shared" ca="1" si="118"/>
        <v>2.9186239239325285E-2</v>
      </c>
      <c r="I1175" s="3">
        <f t="shared" ca="1" si="119"/>
        <v>0.85419902890551924</v>
      </c>
      <c r="O1175" s="3">
        <f t="shared" ca="1" si="120"/>
        <v>-4.0805556152121429</v>
      </c>
      <c r="P1175" s="3">
        <f t="shared" ca="1" si="121"/>
        <v>-3.2605610718395113</v>
      </c>
      <c r="Q1175" s="3">
        <f t="shared" ca="1" si="122"/>
        <v>5.2232358392125633</v>
      </c>
    </row>
    <row r="1176" spans="7:17" x14ac:dyDescent="0.25">
      <c r="G1176" s="3">
        <f t="shared" ca="1" si="117"/>
        <v>0</v>
      </c>
      <c r="H1176" s="3">
        <f t="shared" ca="1" si="118"/>
        <v>0.58805399715405948</v>
      </c>
      <c r="I1176" s="3">
        <f t="shared" ca="1" si="119"/>
        <v>3.8342339428954371</v>
      </c>
      <c r="O1176" s="3">
        <f t="shared" ca="1" si="120"/>
        <v>3.3935260701543442</v>
      </c>
      <c r="P1176" s="3">
        <f t="shared" ca="1" si="121"/>
        <v>-4.4700257217503419</v>
      </c>
      <c r="Q1176" s="3">
        <f t="shared" ca="1" si="122"/>
        <v>5.6122320997912096</v>
      </c>
    </row>
    <row r="1177" spans="7:17" x14ac:dyDescent="0.25">
      <c r="G1177" s="3">
        <f t="shared" ca="1" si="117"/>
        <v>0</v>
      </c>
      <c r="H1177" s="3">
        <f t="shared" ca="1" si="118"/>
        <v>2.1192772398077997</v>
      </c>
      <c r="I1177" s="3">
        <f t="shared" ca="1" si="119"/>
        <v>7.2788687991469523</v>
      </c>
      <c r="O1177" s="3">
        <f t="shared" ca="1" si="120"/>
        <v>4.4457153700467966</v>
      </c>
      <c r="P1177" s="3">
        <f t="shared" ca="1" si="121"/>
        <v>-1.3603387922445789</v>
      </c>
      <c r="Q1177" s="3">
        <f t="shared" ca="1" si="122"/>
        <v>4.6491834531620455</v>
      </c>
    </row>
    <row r="1178" spans="7:17" x14ac:dyDescent="0.25">
      <c r="G1178" s="3">
        <f t="shared" ca="1" si="117"/>
        <v>0</v>
      </c>
      <c r="H1178" s="3">
        <f t="shared" ca="1" si="118"/>
        <v>0.26560833739900402</v>
      </c>
      <c r="I1178" s="3">
        <f t="shared" ca="1" si="119"/>
        <v>2.5768601892565108</v>
      </c>
      <c r="O1178" s="3">
        <f t="shared" ca="1" si="120"/>
        <v>-1.6983169640167466</v>
      </c>
      <c r="P1178" s="3">
        <f t="shared" ca="1" si="121"/>
        <v>-1.1687521941579506</v>
      </c>
      <c r="Q1178" s="3">
        <f t="shared" ca="1" si="122"/>
        <v>2.0616164050608647</v>
      </c>
    </row>
    <row r="1179" spans="7:17" x14ac:dyDescent="0.25">
      <c r="G1179" s="3">
        <f t="shared" ca="1" si="117"/>
        <v>2</v>
      </c>
      <c r="H1179" s="3">
        <f t="shared" ca="1" si="118"/>
        <v>7.1328516976604579</v>
      </c>
      <c r="I1179" s="3">
        <f t="shared" ca="1" si="119"/>
        <v>13.353699578825019</v>
      </c>
      <c r="O1179" s="3">
        <f t="shared" ca="1" si="120"/>
        <v>-10.915542139019383</v>
      </c>
      <c r="P1179" s="3">
        <f t="shared" ca="1" si="121"/>
        <v>2.2247186584205139</v>
      </c>
      <c r="Q1179" s="3">
        <f t="shared" ca="1" si="122"/>
        <v>11.139947634429536</v>
      </c>
    </row>
    <row r="1180" spans="7:17" x14ac:dyDescent="0.25">
      <c r="G1180" s="3">
        <f t="shared" ca="1" si="117"/>
        <v>0</v>
      </c>
      <c r="H1180" s="3">
        <f t="shared" ca="1" si="118"/>
        <v>3.6659103096088974</v>
      </c>
      <c r="I1180" s="3">
        <f t="shared" ca="1" si="119"/>
        <v>9.5732835401560337</v>
      </c>
      <c r="O1180" s="3">
        <f t="shared" ca="1" si="120"/>
        <v>-4.851570274275316</v>
      </c>
      <c r="P1180" s="3">
        <f t="shared" ca="1" si="121"/>
        <v>-0.74391585933617665</v>
      </c>
      <c r="Q1180" s="3">
        <f t="shared" ca="1" si="122"/>
        <v>4.9082731109835107</v>
      </c>
    </row>
    <row r="1181" spans="7:17" x14ac:dyDescent="0.25">
      <c r="G1181" s="3">
        <f t="shared" ca="1" si="117"/>
        <v>0</v>
      </c>
      <c r="H1181" s="3">
        <f t="shared" ca="1" si="118"/>
        <v>1.1986340547022081</v>
      </c>
      <c r="I1181" s="3">
        <f t="shared" ca="1" si="119"/>
        <v>5.4741073580589559</v>
      </c>
      <c r="O1181" s="3">
        <f t="shared" ca="1" si="120"/>
        <v>-10.307010810401508</v>
      </c>
      <c r="P1181" s="3">
        <f t="shared" ca="1" si="121"/>
        <v>-4.876716174241321</v>
      </c>
      <c r="Q1181" s="3">
        <f t="shared" ca="1" si="122"/>
        <v>11.402492380608743</v>
      </c>
    </row>
    <row r="1182" spans="7:17" x14ac:dyDescent="0.25">
      <c r="G1182" s="3">
        <f t="shared" ca="1" si="117"/>
        <v>0</v>
      </c>
      <c r="H1182" s="3">
        <f t="shared" ca="1" si="118"/>
        <v>0.6086613283471779</v>
      </c>
      <c r="I1182" s="3">
        <f t="shared" ca="1" si="119"/>
        <v>3.9008375009322611</v>
      </c>
      <c r="O1182" s="3">
        <f t="shared" ca="1" si="120"/>
        <v>-10.341761162579882</v>
      </c>
      <c r="P1182" s="3">
        <f t="shared" ca="1" si="121"/>
        <v>-5.6717102909432953</v>
      </c>
      <c r="Q1182" s="3">
        <f t="shared" ca="1" si="122"/>
        <v>11.794927789869579</v>
      </c>
    </row>
    <row r="1183" spans="7:17" x14ac:dyDescent="0.25">
      <c r="G1183" s="3">
        <f t="shared" ca="1" si="117"/>
        <v>1</v>
      </c>
      <c r="H1183" s="3">
        <f t="shared" ca="1" si="118"/>
        <v>7.4763499596431187</v>
      </c>
      <c r="I1183" s="3">
        <f t="shared" ca="1" si="119"/>
        <v>13.67145745672633</v>
      </c>
      <c r="O1183" s="3">
        <f t="shared" ca="1" si="120"/>
        <v>-4.0306299920384916</v>
      </c>
      <c r="P1183" s="3">
        <f t="shared" ca="1" si="121"/>
        <v>-5.5997195050424509</v>
      </c>
      <c r="Q1183" s="3">
        <f t="shared" ca="1" si="122"/>
        <v>6.8994808984352636</v>
      </c>
    </row>
    <row r="1184" spans="7:17" x14ac:dyDescent="0.25">
      <c r="G1184" s="3">
        <f t="shared" ca="1" si="117"/>
        <v>1</v>
      </c>
      <c r="H1184" s="3">
        <f t="shared" ca="1" si="118"/>
        <v>2.9004029476286148</v>
      </c>
      <c r="I1184" s="3">
        <f t="shared" ca="1" si="119"/>
        <v>8.5152847099034439</v>
      </c>
      <c r="O1184" s="3">
        <f t="shared" ca="1" si="120"/>
        <v>-0.58779352751009739</v>
      </c>
      <c r="P1184" s="3">
        <f t="shared" ca="1" si="121"/>
        <v>-3.2532073002751463</v>
      </c>
      <c r="Q1184" s="3">
        <f t="shared" ca="1" si="122"/>
        <v>3.3058824796937758</v>
      </c>
    </row>
    <row r="1185" spans="7:17" x14ac:dyDescent="0.25">
      <c r="G1185" s="3">
        <f t="shared" ca="1" si="117"/>
        <v>0</v>
      </c>
      <c r="H1185" s="3">
        <f t="shared" ca="1" si="118"/>
        <v>0.56262306014808094</v>
      </c>
      <c r="I1185" s="3">
        <f t="shared" ca="1" si="119"/>
        <v>3.7504101780607972</v>
      </c>
      <c r="O1185" s="3">
        <f t="shared" ca="1" si="120"/>
        <v>-2.9642121296436876</v>
      </c>
      <c r="P1185" s="3">
        <f t="shared" ca="1" si="121"/>
        <v>2.3702004988745138</v>
      </c>
      <c r="Q1185" s="3">
        <f t="shared" ca="1" si="122"/>
        <v>3.7953134197838998</v>
      </c>
    </row>
    <row r="1186" spans="7:17" x14ac:dyDescent="0.25">
      <c r="G1186" s="3">
        <f t="shared" ca="1" si="117"/>
        <v>0</v>
      </c>
      <c r="H1186" s="3">
        <f t="shared" ca="1" si="118"/>
        <v>2.2039862857132007</v>
      </c>
      <c r="I1186" s="3">
        <f t="shared" ca="1" si="119"/>
        <v>7.4229143294820545</v>
      </c>
      <c r="O1186" s="3">
        <f t="shared" ca="1" si="120"/>
        <v>-9.4580435715217828</v>
      </c>
      <c r="P1186" s="3">
        <f t="shared" ca="1" si="121"/>
        <v>7.1748637993867588</v>
      </c>
      <c r="Q1186" s="3">
        <f t="shared" ca="1" si="122"/>
        <v>11.871531440406294</v>
      </c>
    </row>
    <row r="1187" spans="7:17" x14ac:dyDescent="0.25">
      <c r="G1187" s="3">
        <f t="shared" ca="1" si="117"/>
        <v>0</v>
      </c>
      <c r="H1187" s="3">
        <f t="shared" ca="1" si="118"/>
        <v>2.3120662518832371</v>
      </c>
      <c r="I1187" s="3">
        <f t="shared" ca="1" si="119"/>
        <v>7.602740051920815</v>
      </c>
      <c r="O1187" s="3">
        <f t="shared" ca="1" si="120"/>
        <v>-8.2541045728881013</v>
      </c>
      <c r="P1187" s="3">
        <f t="shared" ca="1" si="121"/>
        <v>-6.9965630735019317</v>
      </c>
      <c r="Q1187" s="3">
        <f t="shared" ca="1" si="122"/>
        <v>10.820449950979999</v>
      </c>
    </row>
    <row r="1188" spans="7:17" x14ac:dyDescent="0.25">
      <c r="G1188" s="3">
        <f t="shared" ca="1" si="117"/>
        <v>1</v>
      </c>
      <c r="H1188" s="3">
        <f t="shared" ca="1" si="118"/>
        <v>0.78709400458358891</v>
      </c>
      <c r="I1188" s="3">
        <f t="shared" ca="1" si="119"/>
        <v>4.4359159273581508</v>
      </c>
      <c r="O1188" s="3">
        <f t="shared" ca="1" si="120"/>
        <v>-8.4694753287836519</v>
      </c>
      <c r="P1188" s="3">
        <f t="shared" ca="1" si="121"/>
        <v>9.6599311100402758</v>
      </c>
      <c r="Q1188" s="3">
        <f t="shared" ca="1" si="122"/>
        <v>12.847033953236011</v>
      </c>
    </row>
    <row r="1189" spans="7:17" x14ac:dyDescent="0.25">
      <c r="G1189" s="3">
        <f t="shared" ca="1" si="117"/>
        <v>1</v>
      </c>
      <c r="H1189" s="3">
        <f t="shared" ca="1" si="118"/>
        <v>7.8769658360249926</v>
      </c>
      <c r="I1189" s="3">
        <f t="shared" ca="1" si="119"/>
        <v>14.032966397046094</v>
      </c>
      <c r="O1189" s="3">
        <f t="shared" ca="1" si="120"/>
        <v>-4.1008819582797065</v>
      </c>
      <c r="P1189" s="3">
        <f t="shared" ca="1" si="121"/>
        <v>5.3650197698916724</v>
      </c>
      <c r="Q1189" s="3">
        <f t="shared" ca="1" si="122"/>
        <v>6.752826813051886</v>
      </c>
    </row>
    <row r="1190" spans="7:17" x14ac:dyDescent="0.25">
      <c r="G1190" s="3">
        <f t="shared" ca="1" si="117"/>
        <v>0</v>
      </c>
      <c r="H1190" s="3">
        <f t="shared" ca="1" si="118"/>
        <v>6.2579624011180055</v>
      </c>
      <c r="I1190" s="3">
        <f t="shared" ca="1" si="119"/>
        <v>12.507959866738865</v>
      </c>
      <c r="O1190" s="3">
        <f t="shared" ca="1" si="120"/>
        <v>-0.49382934266935674</v>
      </c>
      <c r="P1190" s="3">
        <f t="shared" ca="1" si="121"/>
        <v>1.8424852436634882</v>
      </c>
      <c r="Q1190" s="3">
        <f t="shared" ca="1" si="122"/>
        <v>1.9075165249084876</v>
      </c>
    </row>
    <row r="1191" spans="7:17" x14ac:dyDescent="0.25">
      <c r="G1191" s="3">
        <f t="shared" ca="1" si="117"/>
        <v>0</v>
      </c>
      <c r="H1191" s="3">
        <f t="shared" ca="1" si="118"/>
        <v>0.48634758745746054</v>
      </c>
      <c r="I1191" s="3">
        <f t="shared" ca="1" si="119"/>
        <v>3.4869312706786344</v>
      </c>
      <c r="O1191" s="3">
        <f t="shared" ca="1" si="120"/>
        <v>-5.1370095056147704</v>
      </c>
      <c r="P1191" s="3">
        <f t="shared" ca="1" si="121"/>
        <v>-1.430673508735441</v>
      </c>
      <c r="Q1191" s="3">
        <f t="shared" ca="1" si="122"/>
        <v>5.3325128550594121</v>
      </c>
    </row>
    <row r="1192" spans="7:17" x14ac:dyDescent="0.25">
      <c r="G1192" s="3">
        <f t="shared" ca="1" si="117"/>
        <v>0</v>
      </c>
      <c r="H1192" s="3">
        <f t="shared" ca="1" si="118"/>
        <v>1.6112417662263367</v>
      </c>
      <c r="I1192" s="3">
        <f t="shared" ca="1" si="119"/>
        <v>6.3467349208595767</v>
      </c>
      <c r="O1192" s="3">
        <f t="shared" ca="1" si="120"/>
        <v>2.0903790415894372</v>
      </c>
      <c r="P1192" s="3">
        <f t="shared" ca="1" si="121"/>
        <v>5.5114898014806188</v>
      </c>
      <c r="Q1192" s="3">
        <f t="shared" ca="1" si="122"/>
        <v>5.8945911112935763</v>
      </c>
    </row>
    <row r="1193" spans="7:17" x14ac:dyDescent="0.25">
      <c r="G1193" s="3">
        <f t="shared" ca="1" si="117"/>
        <v>2</v>
      </c>
      <c r="H1193" s="3">
        <f t="shared" ca="1" si="118"/>
        <v>1.5872789277796451</v>
      </c>
      <c r="I1193" s="3">
        <f t="shared" ca="1" si="119"/>
        <v>6.2993629197317347</v>
      </c>
      <c r="O1193" s="3">
        <f t="shared" ca="1" si="120"/>
        <v>-11.800881672024838</v>
      </c>
      <c r="P1193" s="3">
        <f t="shared" ca="1" si="121"/>
        <v>-4.3176358598256446</v>
      </c>
      <c r="Q1193" s="3">
        <f t="shared" ca="1" si="122"/>
        <v>12.565937595547101</v>
      </c>
    </row>
    <row r="1194" spans="7:17" x14ac:dyDescent="0.25">
      <c r="G1194" s="3">
        <f t="shared" ca="1" si="117"/>
        <v>0</v>
      </c>
      <c r="H1194" s="3">
        <f t="shared" ca="1" si="118"/>
        <v>1.7990109722734058</v>
      </c>
      <c r="I1194" s="3">
        <f t="shared" ca="1" si="119"/>
        <v>6.7063607349168999</v>
      </c>
      <c r="O1194" s="3">
        <f t="shared" ca="1" si="120"/>
        <v>-5.4496318465075575</v>
      </c>
      <c r="P1194" s="3">
        <f t="shared" ca="1" si="121"/>
        <v>-11.559893042062459</v>
      </c>
      <c r="Q1194" s="3">
        <f t="shared" ca="1" si="122"/>
        <v>12.780047511898907</v>
      </c>
    </row>
    <row r="1195" spans="7:17" x14ac:dyDescent="0.25">
      <c r="G1195" s="3">
        <f t="shared" ca="1" si="117"/>
        <v>0</v>
      </c>
      <c r="H1195" s="3">
        <f t="shared" ca="1" si="118"/>
        <v>0.66496968246359645</v>
      </c>
      <c r="I1195" s="3">
        <f t="shared" ca="1" si="119"/>
        <v>4.0772836621444322</v>
      </c>
      <c r="O1195" s="3">
        <f t="shared" ca="1" si="120"/>
        <v>0.16600050789890552</v>
      </c>
      <c r="P1195" s="3">
        <f t="shared" ca="1" si="121"/>
        <v>-5.4616727850559874</v>
      </c>
      <c r="Q1195" s="3">
        <f t="shared" ca="1" si="122"/>
        <v>5.4641948885122975</v>
      </c>
    </row>
    <row r="1196" spans="7:17" x14ac:dyDescent="0.25">
      <c r="G1196" s="3">
        <f t="shared" ca="1" si="117"/>
        <v>0</v>
      </c>
      <c r="H1196" s="3">
        <f t="shared" ca="1" si="118"/>
        <v>2.1142482927213355</v>
      </c>
      <c r="I1196" s="3">
        <f t="shared" ca="1" si="119"/>
        <v>7.2702274598552545</v>
      </c>
      <c r="O1196" s="3">
        <f t="shared" ca="1" si="120"/>
        <v>1.7218710644395028</v>
      </c>
      <c r="P1196" s="3">
        <f t="shared" ca="1" si="121"/>
        <v>1.6921478164135615</v>
      </c>
      <c r="Q1196" s="3">
        <f t="shared" ca="1" si="122"/>
        <v>2.4141673916999231</v>
      </c>
    </row>
    <row r="1197" spans="7:17" x14ac:dyDescent="0.25">
      <c r="G1197" s="3">
        <f t="shared" ca="1" si="117"/>
        <v>0</v>
      </c>
      <c r="H1197" s="3">
        <f t="shared" ca="1" si="118"/>
        <v>1.1135103622829496</v>
      </c>
      <c r="I1197" s="3">
        <f t="shared" ca="1" si="119"/>
        <v>5.2761500222296318</v>
      </c>
      <c r="O1197" s="3">
        <f t="shared" ca="1" si="120"/>
        <v>2.3298147322675069</v>
      </c>
      <c r="P1197" s="3">
        <f t="shared" ca="1" si="121"/>
        <v>-0.77768566030082709</v>
      </c>
      <c r="Q1197" s="3">
        <f t="shared" ca="1" si="122"/>
        <v>2.4561823370686975</v>
      </c>
    </row>
    <row r="1198" spans="7:17" x14ac:dyDescent="0.25">
      <c r="G1198" s="3">
        <f t="shared" ca="1" si="117"/>
        <v>0</v>
      </c>
      <c r="H1198" s="3">
        <f t="shared" ca="1" si="118"/>
        <v>0.72495154868949818</v>
      </c>
      <c r="I1198" s="3">
        <f t="shared" ca="1" si="119"/>
        <v>4.2572043311588246</v>
      </c>
      <c r="O1198" s="3">
        <f t="shared" ca="1" si="120"/>
        <v>-5.2504706235133396</v>
      </c>
      <c r="P1198" s="3">
        <f t="shared" ca="1" si="121"/>
        <v>1.3535849035192162</v>
      </c>
      <c r="Q1198" s="3">
        <f t="shared" ca="1" si="122"/>
        <v>5.4221429213376222</v>
      </c>
    </row>
    <row r="1199" spans="7:17" x14ac:dyDescent="0.25">
      <c r="G1199" s="3">
        <f t="shared" ca="1" si="117"/>
        <v>0</v>
      </c>
      <c r="H1199" s="3">
        <f t="shared" ca="1" si="118"/>
        <v>2.9036548611151578</v>
      </c>
      <c r="I1199" s="3">
        <f t="shared" ca="1" si="119"/>
        <v>8.5200570143561212</v>
      </c>
      <c r="O1199" s="3">
        <f t="shared" ca="1" si="120"/>
        <v>-4.8880318306485071</v>
      </c>
      <c r="P1199" s="3">
        <f t="shared" ca="1" si="121"/>
        <v>-10.488162682285129</v>
      </c>
      <c r="Q1199" s="3">
        <f t="shared" ca="1" si="122"/>
        <v>11.571275280949433</v>
      </c>
    </row>
    <row r="1200" spans="7:17" x14ac:dyDescent="0.25">
      <c r="G1200" s="3">
        <f t="shared" ca="1" si="117"/>
        <v>0</v>
      </c>
      <c r="H1200" s="3">
        <f t="shared" ca="1" si="118"/>
        <v>1.7094610556548349</v>
      </c>
      <c r="I1200" s="3">
        <f t="shared" ca="1" si="119"/>
        <v>6.5373179815097622</v>
      </c>
      <c r="O1200" s="3">
        <f t="shared" ca="1" si="120"/>
        <v>-11.891837995890885</v>
      </c>
      <c r="P1200" s="3">
        <f t="shared" ca="1" si="121"/>
        <v>-1.025930221986034</v>
      </c>
      <c r="Q1200" s="3">
        <f t="shared" ca="1" si="122"/>
        <v>11.936010377881649</v>
      </c>
    </row>
    <row r="1201" spans="7:17" x14ac:dyDescent="0.25">
      <c r="G1201" s="3">
        <f t="shared" ca="1" si="117"/>
        <v>1</v>
      </c>
      <c r="H1201" s="3">
        <f t="shared" ca="1" si="118"/>
        <v>2.5465890647071663</v>
      </c>
      <c r="I1201" s="3">
        <f t="shared" ca="1" si="119"/>
        <v>7.9790178980673527</v>
      </c>
      <c r="O1201" s="3">
        <f t="shared" ca="1" si="120"/>
        <v>-4.6379114074487138</v>
      </c>
      <c r="P1201" s="3">
        <f t="shared" ca="1" si="121"/>
        <v>-3.9223007377625763</v>
      </c>
      <c r="Q1201" s="3">
        <f t="shared" ca="1" si="122"/>
        <v>6.0740979001655679</v>
      </c>
    </row>
    <row r="1202" spans="7:17" x14ac:dyDescent="0.25">
      <c r="G1202" s="3">
        <f t="shared" ca="1" si="117"/>
        <v>0</v>
      </c>
      <c r="H1202" s="3">
        <f t="shared" ca="1" si="118"/>
        <v>0.22170346362255139</v>
      </c>
      <c r="I1202" s="3">
        <f t="shared" ca="1" si="119"/>
        <v>2.3542698635805932</v>
      </c>
      <c r="O1202" s="3">
        <f t="shared" ca="1" si="120"/>
        <v>-5.1731419932559861</v>
      </c>
      <c r="P1202" s="3">
        <f t="shared" ca="1" si="121"/>
        <v>2.6940575967822582</v>
      </c>
      <c r="Q1202" s="3">
        <f t="shared" ca="1" si="122"/>
        <v>5.832610429059077</v>
      </c>
    </row>
    <row r="1203" spans="7:17" x14ac:dyDescent="0.25">
      <c r="G1203" s="3">
        <f t="shared" ca="1" si="117"/>
        <v>0</v>
      </c>
      <c r="H1203" s="3">
        <f t="shared" ca="1" si="118"/>
        <v>0.18093634200293471</v>
      </c>
      <c r="I1203" s="3">
        <f t="shared" ca="1" si="119"/>
        <v>2.126830635023242</v>
      </c>
      <c r="O1203" s="3">
        <f t="shared" ca="1" si="120"/>
        <v>-7.1125807533775198</v>
      </c>
      <c r="P1203" s="3">
        <f t="shared" ca="1" si="121"/>
        <v>5.9587765107259711</v>
      </c>
      <c r="Q1203" s="3">
        <f t="shared" ca="1" si="122"/>
        <v>9.2787834589506346</v>
      </c>
    </row>
    <row r="1204" spans="7:17" x14ac:dyDescent="0.25">
      <c r="G1204" s="3">
        <f t="shared" ca="1" si="117"/>
        <v>0</v>
      </c>
      <c r="H1204" s="3">
        <f t="shared" ca="1" si="118"/>
        <v>0.14679161774377356</v>
      </c>
      <c r="I1204" s="3">
        <f t="shared" ca="1" si="119"/>
        <v>1.9156697115093559</v>
      </c>
      <c r="O1204" s="3">
        <f t="shared" ca="1" si="120"/>
        <v>-6.98459443168408</v>
      </c>
      <c r="P1204" s="3">
        <f t="shared" ca="1" si="121"/>
        <v>1.9170973150411994</v>
      </c>
      <c r="Q1204" s="3">
        <f t="shared" ca="1" si="122"/>
        <v>7.2429152618576476</v>
      </c>
    </row>
    <row r="1205" spans="7:17" x14ac:dyDescent="0.25">
      <c r="G1205" s="3">
        <f t="shared" ca="1" si="117"/>
        <v>0</v>
      </c>
      <c r="H1205" s="3">
        <f t="shared" ca="1" si="118"/>
        <v>1.5954229509994577</v>
      </c>
      <c r="I1205" s="3">
        <f t="shared" ca="1" si="119"/>
        <v>6.3155026541825183</v>
      </c>
      <c r="O1205" s="3">
        <f t="shared" ca="1" si="120"/>
        <v>-3.6318773072065174</v>
      </c>
      <c r="P1205" s="3">
        <f t="shared" ca="1" si="121"/>
        <v>6.9948708302830367</v>
      </c>
      <c r="Q1205" s="3">
        <f t="shared" ca="1" si="122"/>
        <v>7.8815449441683807</v>
      </c>
    </row>
    <row r="1206" spans="7:17" x14ac:dyDescent="0.25">
      <c r="G1206" s="3">
        <f t="shared" ca="1" si="117"/>
        <v>0</v>
      </c>
      <c r="H1206" s="3">
        <f t="shared" ca="1" si="118"/>
        <v>2.8655740128969907</v>
      </c>
      <c r="I1206" s="3">
        <f t="shared" ca="1" si="119"/>
        <v>8.4640032090273198</v>
      </c>
      <c r="O1206" s="3">
        <f t="shared" ca="1" si="120"/>
        <v>-6.4026589624307295</v>
      </c>
      <c r="P1206" s="3">
        <f t="shared" ca="1" si="121"/>
        <v>1.9658913228568464</v>
      </c>
      <c r="Q1206" s="3">
        <f t="shared" ca="1" si="122"/>
        <v>6.6976690335129572</v>
      </c>
    </row>
    <row r="1207" spans="7:17" x14ac:dyDescent="0.25">
      <c r="G1207" s="3">
        <f t="shared" ca="1" si="117"/>
        <v>0</v>
      </c>
      <c r="H1207" s="3">
        <f t="shared" ca="1" si="118"/>
        <v>0.70953187298274589</v>
      </c>
      <c r="I1207" s="3">
        <f t="shared" ca="1" si="119"/>
        <v>4.2116857461791533</v>
      </c>
      <c r="O1207" s="3">
        <f t="shared" ca="1" si="120"/>
        <v>-9.0852013368567341</v>
      </c>
      <c r="P1207" s="3">
        <f t="shared" ca="1" si="121"/>
        <v>3.5102888708356468</v>
      </c>
      <c r="Q1207" s="3">
        <f t="shared" ca="1" si="122"/>
        <v>9.7397644369838829</v>
      </c>
    </row>
    <row r="1208" spans="7:17" x14ac:dyDescent="0.25">
      <c r="G1208" s="3">
        <f t="shared" ca="1" si="117"/>
        <v>1</v>
      </c>
      <c r="H1208" s="3">
        <f t="shared" ca="1" si="118"/>
        <v>1.8459361908011895</v>
      </c>
      <c r="I1208" s="3">
        <f t="shared" ca="1" si="119"/>
        <v>6.793261718057809</v>
      </c>
      <c r="O1208" s="3">
        <f t="shared" ca="1" si="120"/>
        <v>-20.451229578721406</v>
      </c>
      <c r="P1208" s="3">
        <f t="shared" ca="1" si="121"/>
        <v>5.0250074335465582</v>
      </c>
      <c r="Q1208" s="3">
        <f t="shared" ca="1" si="122"/>
        <v>21.059522572669295</v>
      </c>
    </row>
    <row r="1209" spans="7:17" x14ac:dyDescent="0.25">
      <c r="G1209" s="3">
        <f t="shared" ca="1" si="117"/>
        <v>0</v>
      </c>
      <c r="H1209" s="3">
        <f t="shared" ca="1" si="118"/>
        <v>0.3823061186765056</v>
      </c>
      <c r="I1209" s="3">
        <f t="shared" ca="1" si="119"/>
        <v>3.091545401075753</v>
      </c>
      <c r="O1209" s="3">
        <f t="shared" ca="1" si="120"/>
        <v>-1.8873884325074015</v>
      </c>
      <c r="P1209" s="3">
        <f t="shared" ca="1" si="121"/>
        <v>-2.8864369246478945</v>
      </c>
      <c r="Q1209" s="3">
        <f t="shared" ca="1" si="122"/>
        <v>3.4487321170443987</v>
      </c>
    </row>
    <row r="1210" spans="7:17" x14ac:dyDescent="0.25">
      <c r="G1210" s="3">
        <f t="shared" ca="1" si="117"/>
        <v>0</v>
      </c>
      <c r="H1210" s="3">
        <f t="shared" ca="1" si="118"/>
        <v>3.8804679554704724</v>
      </c>
      <c r="I1210" s="3">
        <f t="shared" ca="1" si="119"/>
        <v>9.8494517048799128</v>
      </c>
      <c r="O1210" s="3">
        <f t="shared" ca="1" si="120"/>
        <v>-11.195238419241734</v>
      </c>
      <c r="P1210" s="3">
        <f t="shared" ca="1" si="121"/>
        <v>-8.9085254996855348</v>
      </c>
      <c r="Q1210" s="3">
        <f t="shared" ca="1" si="122"/>
        <v>14.30717267115392</v>
      </c>
    </row>
    <row r="1211" spans="7:17" x14ac:dyDescent="0.25">
      <c r="G1211" s="3">
        <f t="shared" ca="1" si="117"/>
        <v>1</v>
      </c>
      <c r="H1211" s="3">
        <f t="shared" ca="1" si="118"/>
        <v>1.448112722086156</v>
      </c>
      <c r="I1211" s="3">
        <f t="shared" ca="1" si="119"/>
        <v>6.0168777660971227</v>
      </c>
      <c r="O1211" s="3">
        <f t="shared" ca="1" si="120"/>
        <v>-1.5027013939330929</v>
      </c>
      <c r="P1211" s="3">
        <f t="shared" ca="1" si="121"/>
        <v>-5.415751303228622</v>
      </c>
      <c r="Q1211" s="3">
        <f t="shared" ca="1" si="122"/>
        <v>5.6203624133814518</v>
      </c>
    </row>
    <row r="1212" spans="7:17" x14ac:dyDescent="0.25">
      <c r="G1212" s="3">
        <f t="shared" ca="1" si="117"/>
        <v>1</v>
      </c>
      <c r="H1212" s="3">
        <f t="shared" ca="1" si="118"/>
        <v>0.87739826281341704</v>
      </c>
      <c r="I1212" s="3">
        <f t="shared" ca="1" si="119"/>
        <v>4.6834769744641029</v>
      </c>
      <c r="O1212" s="3">
        <f t="shared" ca="1" si="120"/>
        <v>-3.8505591325407167</v>
      </c>
      <c r="P1212" s="3">
        <f t="shared" ca="1" si="121"/>
        <v>-0.32720029693842412</v>
      </c>
      <c r="Q1212" s="3">
        <f t="shared" ca="1" si="122"/>
        <v>3.8644360089810399</v>
      </c>
    </row>
    <row r="1213" spans="7:17" x14ac:dyDescent="0.25">
      <c r="G1213" s="3">
        <f t="shared" ca="1" si="117"/>
        <v>1</v>
      </c>
      <c r="H1213" s="3">
        <f t="shared" ca="1" si="118"/>
        <v>8.1476809795708185</v>
      </c>
      <c r="I1213" s="3">
        <f t="shared" ca="1" si="119"/>
        <v>14.272071485571757</v>
      </c>
      <c r="O1213" s="3">
        <f t="shared" ca="1" si="120"/>
        <v>-2.3898757157251787</v>
      </c>
      <c r="P1213" s="3">
        <f t="shared" ca="1" si="121"/>
        <v>8.5149465399236366</v>
      </c>
      <c r="Q1213" s="3">
        <f t="shared" ca="1" si="122"/>
        <v>8.8439708567119588</v>
      </c>
    </row>
    <row r="1214" spans="7:17" x14ac:dyDescent="0.25">
      <c r="G1214" s="3">
        <f t="shared" ca="1" si="117"/>
        <v>1</v>
      </c>
      <c r="H1214" s="3">
        <f t="shared" ca="1" si="118"/>
        <v>7.9572875073112437</v>
      </c>
      <c r="I1214" s="3">
        <f t="shared" ca="1" si="119"/>
        <v>14.104332231012609</v>
      </c>
      <c r="O1214" s="3">
        <f t="shared" ca="1" si="120"/>
        <v>1.3059920421712858</v>
      </c>
      <c r="P1214" s="3">
        <f t="shared" ca="1" si="121"/>
        <v>3.639511295812389</v>
      </c>
      <c r="Q1214" s="3">
        <f t="shared" ca="1" si="122"/>
        <v>3.8667373438805877</v>
      </c>
    </row>
    <row r="1215" spans="7:17" x14ac:dyDescent="0.25">
      <c r="G1215" s="3">
        <f t="shared" ca="1" si="117"/>
        <v>1</v>
      </c>
      <c r="H1215" s="3">
        <f t="shared" ca="1" si="118"/>
        <v>0.81888324243360422</v>
      </c>
      <c r="I1215" s="3">
        <f t="shared" ca="1" si="119"/>
        <v>4.5246083875668299</v>
      </c>
      <c r="O1215" s="3">
        <f t="shared" ca="1" si="120"/>
        <v>-14.025168087518482</v>
      </c>
      <c r="P1215" s="3">
        <f t="shared" ca="1" si="121"/>
        <v>-13.228749852128985</v>
      </c>
      <c r="Q1215" s="3">
        <f t="shared" ca="1" si="122"/>
        <v>19.279656701646672</v>
      </c>
    </row>
    <row r="1216" spans="7:17" x14ac:dyDescent="0.25">
      <c r="G1216" s="3">
        <f t="shared" ca="1" si="117"/>
        <v>2</v>
      </c>
      <c r="H1216" s="3">
        <f t="shared" ca="1" si="118"/>
        <v>7.4098922045584636</v>
      </c>
      <c r="I1216" s="3">
        <f t="shared" ca="1" si="119"/>
        <v>13.610558589343849</v>
      </c>
      <c r="O1216" s="3">
        <f t="shared" ca="1" si="120"/>
        <v>5.1377215094730033E-3</v>
      </c>
      <c r="P1216" s="3">
        <f t="shared" ca="1" si="121"/>
        <v>4.1303950956591304</v>
      </c>
      <c r="Q1216" s="3">
        <f t="shared" ca="1" si="122"/>
        <v>4.1303982910159291</v>
      </c>
    </row>
    <row r="1217" spans="7:17" x14ac:dyDescent="0.25">
      <c r="G1217" s="3">
        <f t="shared" ca="1" si="117"/>
        <v>5</v>
      </c>
      <c r="H1217" s="3">
        <f t="shared" ca="1" si="118"/>
        <v>8.2162635213836257</v>
      </c>
      <c r="I1217" s="3">
        <f t="shared" ca="1" si="119"/>
        <v>14.332012700056842</v>
      </c>
      <c r="O1217" s="3">
        <f t="shared" ca="1" si="120"/>
        <v>1.4428590210881378</v>
      </c>
      <c r="P1217" s="3">
        <f t="shared" ca="1" si="121"/>
        <v>-4.9609947086835904</v>
      </c>
      <c r="Q1217" s="3">
        <f t="shared" ca="1" si="122"/>
        <v>5.1665569438768406</v>
      </c>
    </row>
    <row r="1218" spans="7:17" x14ac:dyDescent="0.25">
      <c r="G1218" s="3">
        <f t="shared" ca="1" si="117"/>
        <v>0</v>
      </c>
      <c r="H1218" s="3">
        <f t="shared" ca="1" si="118"/>
        <v>0.33575393039553159</v>
      </c>
      <c r="I1218" s="3">
        <f t="shared" ca="1" si="119"/>
        <v>2.8972138788650534</v>
      </c>
      <c r="O1218" s="3">
        <f t="shared" ca="1" si="120"/>
        <v>1.9965092803969728</v>
      </c>
      <c r="P1218" s="3">
        <f t="shared" ca="1" si="121"/>
        <v>-2.7377252231917448</v>
      </c>
      <c r="Q1218" s="3">
        <f t="shared" ca="1" si="122"/>
        <v>3.3883902821858531</v>
      </c>
    </row>
    <row r="1219" spans="7:17" x14ac:dyDescent="0.25">
      <c r="G1219" s="3">
        <f t="shared" ca="1" si="117"/>
        <v>3</v>
      </c>
      <c r="H1219" s="3">
        <f t="shared" ca="1" si="118"/>
        <v>6.5473754229028733</v>
      </c>
      <c r="I1219" s="3">
        <f t="shared" ca="1" si="119"/>
        <v>12.793919867365586</v>
      </c>
      <c r="O1219" s="3">
        <f t="shared" ca="1" si="120"/>
        <v>-3.945212709189994</v>
      </c>
      <c r="P1219" s="3">
        <f t="shared" ca="1" si="121"/>
        <v>3.1184319271261969</v>
      </c>
      <c r="Q1219" s="3">
        <f t="shared" ca="1" si="122"/>
        <v>5.0288488747301061</v>
      </c>
    </row>
    <row r="1220" spans="7:17" x14ac:dyDescent="0.25">
      <c r="G1220" s="3">
        <f t="shared" ref="G1220:G1283" ca="1" si="123">VLOOKUP(RAND(),$B$9:$C$169,2,TRUE)</f>
        <v>0</v>
      </c>
      <c r="H1220" s="3">
        <f t="shared" ref="H1220:H1283" ca="1" si="124">_xlfn.CHISQ.INV(RAND(),2*G1220+2)</f>
        <v>5.3141059747553152</v>
      </c>
      <c r="I1220" s="3">
        <f t="shared" ref="I1220:I1283" ca="1" si="125">$C$4*SQRT(H1220)</f>
        <v>11.526172364184168</v>
      </c>
      <c r="O1220" s="3">
        <f t="shared" ref="O1220:O1283" ca="1" si="126">_xlfn.NORM.INV(RAND(),$C$3*COS($N$2),$C$4)</f>
        <v>-8.787286876934818</v>
      </c>
      <c r="P1220" s="3">
        <f t="shared" ref="P1220:P1283" ca="1" si="127">_xlfn.NORM.INV(RAND(),$C$3*SIN($N$2),$C$4)</f>
        <v>-6.7040966717883137</v>
      </c>
      <c r="Q1220" s="3">
        <f t="shared" ref="Q1220:Q1283" ca="1" si="128">SQRT(O1220^2+P1220^2)</f>
        <v>11.05266134658228</v>
      </c>
    </row>
    <row r="1221" spans="7:17" x14ac:dyDescent="0.25">
      <c r="G1221" s="3">
        <f t="shared" ca="1" si="123"/>
        <v>2</v>
      </c>
      <c r="H1221" s="3">
        <f t="shared" ca="1" si="124"/>
        <v>1.8689898092919708</v>
      </c>
      <c r="I1221" s="3">
        <f t="shared" ca="1" si="125"/>
        <v>6.8355501045855318</v>
      </c>
      <c r="O1221" s="3">
        <f t="shared" ca="1" si="126"/>
        <v>-5.0081192410779387</v>
      </c>
      <c r="P1221" s="3">
        <f t="shared" ca="1" si="127"/>
        <v>-8.6234120746560645</v>
      </c>
      <c r="Q1221" s="3">
        <f t="shared" ca="1" si="128"/>
        <v>9.9721860262521727</v>
      </c>
    </row>
    <row r="1222" spans="7:17" x14ac:dyDescent="0.25">
      <c r="G1222" s="3">
        <f t="shared" ca="1" si="123"/>
        <v>0</v>
      </c>
      <c r="H1222" s="3">
        <f t="shared" ca="1" si="124"/>
        <v>0.84482529880420554</v>
      </c>
      <c r="I1222" s="3">
        <f t="shared" ca="1" si="125"/>
        <v>4.5957189285361153</v>
      </c>
      <c r="O1222" s="3">
        <f t="shared" ca="1" si="126"/>
        <v>-2.2676967600256508</v>
      </c>
      <c r="P1222" s="3">
        <f t="shared" ca="1" si="127"/>
        <v>5.8978696025979209</v>
      </c>
      <c r="Q1222" s="3">
        <f t="shared" ca="1" si="128"/>
        <v>6.3188064098118559</v>
      </c>
    </row>
    <row r="1223" spans="7:17" x14ac:dyDescent="0.25">
      <c r="G1223" s="3">
        <f t="shared" ca="1" si="123"/>
        <v>3</v>
      </c>
      <c r="H1223" s="3">
        <f t="shared" ca="1" si="124"/>
        <v>8.2630524675736918</v>
      </c>
      <c r="I1223" s="3">
        <f t="shared" ca="1" si="125"/>
        <v>14.372762841198705</v>
      </c>
      <c r="O1223" s="3">
        <f t="shared" ca="1" si="126"/>
        <v>-13.873239247265737</v>
      </c>
      <c r="P1223" s="3">
        <f t="shared" ca="1" si="127"/>
        <v>5.4021514531871064</v>
      </c>
      <c r="Q1223" s="3">
        <f t="shared" ca="1" si="128"/>
        <v>14.8879148148774</v>
      </c>
    </row>
    <row r="1224" spans="7:17" x14ac:dyDescent="0.25">
      <c r="G1224" s="3">
        <f t="shared" ca="1" si="123"/>
        <v>0</v>
      </c>
      <c r="H1224" s="3">
        <f t="shared" ca="1" si="124"/>
        <v>1.3280237466340141</v>
      </c>
      <c r="I1224" s="3">
        <f t="shared" ca="1" si="125"/>
        <v>5.7619956322311072</v>
      </c>
      <c r="O1224" s="3">
        <f t="shared" ca="1" si="126"/>
        <v>10.05391492830771</v>
      </c>
      <c r="P1224" s="3">
        <f t="shared" ca="1" si="127"/>
        <v>-2.1431067700900202</v>
      </c>
      <c r="Q1224" s="3">
        <f t="shared" ca="1" si="128"/>
        <v>10.279791438237174</v>
      </c>
    </row>
    <row r="1225" spans="7:17" x14ac:dyDescent="0.25">
      <c r="G1225" s="3">
        <f t="shared" ca="1" si="123"/>
        <v>2</v>
      </c>
      <c r="H1225" s="3">
        <f t="shared" ca="1" si="124"/>
        <v>8.9349063360742473</v>
      </c>
      <c r="I1225" s="3">
        <f t="shared" ca="1" si="125"/>
        <v>14.945656840763347</v>
      </c>
      <c r="O1225" s="3">
        <f t="shared" ca="1" si="126"/>
        <v>-7.1086773524189262</v>
      </c>
      <c r="P1225" s="3">
        <f t="shared" ca="1" si="127"/>
        <v>7.1322736712580292</v>
      </c>
      <c r="Q1225" s="3">
        <f t="shared" ca="1" si="128"/>
        <v>10.069886862448566</v>
      </c>
    </row>
    <row r="1226" spans="7:17" x14ac:dyDescent="0.25">
      <c r="G1226" s="3">
        <f t="shared" ca="1" si="123"/>
        <v>0</v>
      </c>
      <c r="H1226" s="3">
        <f t="shared" ca="1" si="124"/>
        <v>4.6186735645837578</v>
      </c>
      <c r="I1226" s="3">
        <f t="shared" ca="1" si="125"/>
        <v>10.745549735336668</v>
      </c>
      <c r="O1226" s="3">
        <f t="shared" ca="1" si="126"/>
        <v>-14.095065493867503</v>
      </c>
      <c r="P1226" s="3">
        <f t="shared" ca="1" si="127"/>
        <v>9.8684935389501849E-2</v>
      </c>
      <c r="Q1226" s="3">
        <f t="shared" ca="1" si="128"/>
        <v>14.095410955090568</v>
      </c>
    </row>
    <row r="1227" spans="7:17" x14ac:dyDescent="0.25">
      <c r="G1227" s="3">
        <f t="shared" ca="1" si="123"/>
        <v>0</v>
      </c>
      <c r="H1227" s="3">
        <f t="shared" ca="1" si="124"/>
        <v>4.1283703265684499</v>
      </c>
      <c r="I1227" s="3">
        <f t="shared" ca="1" si="125"/>
        <v>10.159195743965723</v>
      </c>
      <c r="O1227" s="3">
        <f t="shared" ca="1" si="126"/>
        <v>-3.4731723653589324</v>
      </c>
      <c r="P1227" s="3">
        <f t="shared" ca="1" si="127"/>
        <v>3.2810299344194207</v>
      </c>
      <c r="Q1227" s="3">
        <f t="shared" ca="1" si="128"/>
        <v>4.7778743924520732</v>
      </c>
    </row>
    <row r="1228" spans="7:17" x14ac:dyDescent="0.25">
      <c r="G1228" s="3">
        <f t="shared" ca="1" si="123"/>
        <v>1</v>
      </c>
      <c r="H1228" s="3">
        <f t="shared" ca="1" si="124"/>
        <v>2.0786615865707883</v>
      </c>
      <c r="I1228" s="3">
        <f t="shared" ca="1" si="125"/>
        <v>7.2087821207378511</v>
      </c>
      <c r="O1228" s="3">
        <f t="shared" ca="1" si="126"/>
        <v>-0.73329909534151128</v>
      </c>
      <c r="P1228" s="3">
        <f t="shared" ca="1" si="127"/>
        <v>0.57028562006040717</v>
      </c>
      <c r="Q1228" s="3">
        <f t="shared" ca="1" si="128"/>
        <v>0.92895277149937061</v>
      </c>
    </row>
    <row r="1229" spans="7:17" x14ac:dyDescent="0.25">
      <c r="G1229" s="3">
        <f t="shared" ca="1" si="123"/>
        <v>2</v>
      </c>
      <c r="H1229" s="3">
        <f t="shared" ca="1" si="124"/>
        <v>5.4342772034455216</v>
      </c>
      <c r="I1229" s="3">
        <f t="shared" ca="1" si="125"/>
        <v>11.655768103653145</v>
      </c>
      <c r="O1229" s="3">
        <f t="shared" ca="1" si="126"/>
        <v>-8.1024543486690224</v>
      </c>
      <c r="P1229" s="3">
        <f t="shared" ca="1" si="127"/>
        <v>-6.5640369415323798</v>
      </c>
      <c r="Q1229" s="3">
        <f t="shared" ca="1" si="128"/>
        <v>10.427672196711368</v>
      </c>
    </row>
    <row r="1230" spans="7:17" x14ac:dyDescent="0.25">
      <c r="G1230" s="3">
        <f t="shared" ca="1" si="123"/>
        <v>1</v>
      </c>
      <c r="H1230" s="3">
        <f t="shared" ca="1" si="124"/>
        <v>0.48268875189457011</v>
      </c>
      <c r="I1230" s="3">
        <f t="shared" ca="1" si="125"/>
        <v>3.4737902638708995</v>
      </c>
      <c r="O1230" s="3">
        <f t="shared" ca="1" si="126"/>
        <v>-6.7048570823288962</v>
      </c>
      <c r="P1230" s="3">
        <f t="shared" ca="1" si="127"/>
        <v>3.0298345102904123</v>
      </c>
      <c r="Q1230" s="3">
        <f t="shared" ca="1" si="128"/>
        <v>7.357649465298187</v>
      </c>
    </row>
    <row r="1231" spans="7:17" x14ac:dyDescent="0.25">
      <c r="G1231" s="3">
        <f t="shared" ca="1" si="123"/>
        <v>1</v>
      </c>
      <c r="H1231" s="3">
        <f t="shared" ca="1" si="124"/>
        <v>2.2206292795947506</v>
      </c>
      <c r="I1231" s="3">
        <f t="shared" ca="1" si="125"/>
        <v>7.4508880000889004</v>
      </c>
      <c r="O1231" s="3">
        <f t="shared" ca="1" si="126"/>
        <v>-1.3950278386058397</v>
      </c>
      <c r="P1231" s="3">
        <f t="shared" ca="1" si="127"/>
        <v>4.3399172623899274</v>
      </c>
      <c r="Q1231" s="3">
        <f t="shared" ca="1" si="128"/>
        <v>4.5586165132499756</v>
      </c>
    </row>
    <row r="1232" spans="7:17" x14ac:dyDescent="0.25">
      <c r="G1232" s="3">
        <f t="shared" ca="1" si="123"/>
        <v>0</v>
      </c>
      <c r="H1232" s="3">
        <f t="shared" ca="1" si="124"/>
        <v>3.4040968532324012</v>
      </c>
      <c r="I1232" s="3">
        <f t="shared" ca="1" si="125"/>
        <v>9.2250973615897429</v>
      </c>
      <c r="O1232" s="3">
        <f t="shared" ca="1" si="126"/>
        <v>-0.67283115015879424</v>
      </c>
      <c r="P1232" s="3">
        <f t="shared" ca="1" si="127"/>
        <v>0.92977620745569101</v>
      </c>
      <c r="Q1232" s="3">
        <f t="shared" ca="1" si="128"/>
        <v>1.1476870447010779</v>
      </c>
    </row>
    <row r="1233" spans="7:17" x14ac:dyDescent="0.25">
      <c r="G1233" s="3">
        <f t="shared" ca="1" si="123"/>
        <v>0</v>
      </c>
      <c r="H1233" s="3">
        <f t="shared" ca="1" si="124"/>
        <v>2.005296826139161</v>
      </c>
      <c r="I1233" s="3">
        <f t="shared" ca="1" si="125"/>
        <v>7.0804251746260993</v>
      </c>
      <c r="O1233" s="3">
        <f t="shared" ca="1" si="126"/>
        <v>-5.1451027249273942</v>
      </c>
      <c r="P1233" s="3">
        <f t="shared" ca="1" si="127"/>
        <v>0.53954603038145987</v>
      </c>
      <c r="Q1233" s="3">
        <f t="shared" ca="1" si="128"/>
        <v>5.173315374975286</v>
      </c>
    </row>
    <row r="1234" spans="7:17" x14ac:dyDescent="0.25">
      <c r="G1234" s="3">
        <f t="shared" ca="1" si="123"/>
        <v>0</v>
      </c>
      <c r="H1234" s="3">
        <f t="shared" ca="1" si="124"/>
        <v>1.7407635055498438</v>
      </c>
      <c r="I1234" s="3">
        <f t="shared" ca="1" si="125"/>
        <v>6.596899850592405</v>
      </c>
      <c r="O1234" s="3">
        <f t="shared" ca="1" si="126"/>
        <v>-11.855888854585974</v>
      </c>
      <c r="P1234" s="3">
        <f t="shared" ca="1" si="127"/>
        <v>0.3641385084263124</v>
      </c>
      <c r="Q1234" s="3">
        <f t="shared" ca="1" si="128"/>
        <v>11.861479561404423</v>
      </c>
    </row>
    <row r="1235" spans="7:17" x14ac:dyDescent="0.25">
      <c r="G1235" s="3">
        <f t="shared" ca="1" si="123"/>
        <v>1</v>
      </c>
      <c r="H1235" s="3">
        <f t="shared" ca="1" si="124"/>
        <v>5.510620479865449</v>
      </c>
      <c r="I1235" s="3">
        <f t="shared" ca="1" si="125"/>
        <v>11.737355408976768</v>
      </c>
      <c r="O1235" s="3">
        <f t="shared" ca="1" si="126"/>
        <v>1.2245278527612253</v>
      </c>
      <c r="P1235" s="3">
        <f t="shared" ca="1" si="127"/>
        <v>5.9525199152347108</v>
      </c>
      <c r="Q1235" s="3">
        <f t="shared" ca="1" si="128"/>
        <v>6.0771672515616899</v>
      </c>
    </row>
    <row r="1236" spans="7:17" x14ac:dyDescent="0.25">
      <c r="G1236" s="3">
        <f t="shared" ca="1" si="123"/>
        <v>1</v>
      </c>
      <c r="H1236" s="3">
        <f t="shared" ca="1" si="124"/>
        <v>12.896270813833267</v>
      </c>
      <c r="I1236" s="3">
        <f t="shared" ca="1" si="125"/>
        <v>17.955689080228353</v>
      </c>
      <c r="O1236" s="3">
        <f t="shared" ca="1" si="126"/>
        <v>-9.2319536179847184</v>
      </c>
      <c r="P1236" s="3">
        <f t="shared" ca="1" si="127"/>
        <v>-5.3727514229702056</v>
      </c>
      <c r="Q1236" s="3">
        <f t="shared" ca="1" si="128"/>
        <v>10.681546023757493</v>
      </c>
    </row>
    <row r="1237" spans="7:17" x14ac:dyDescent="0.25">
      <c r="G1237" s="3">
        <f t="shared" ca="1" si="123"/>
        <v>4</v>
      </c>
      <c r="H1237" s="3">
        <f t="shared" ca="1" si="124"/>
        <v>15.113254698793789</v>
      </c>
      <c r="I1237" s="3">
        <f t="shared" ca="1" si="125"/>
        <v>19.437884850719861</v>
      </c>
      <c r="O1237" s="3">
        <f t="shared" ca="1" si="126"/>
        <v>-2.2063443574895918</v>
      </c>
      <c r="P1237" s="3">
        <f t="shared" ca="1" si="127"/>
        <v>-0.23226191227060541</v>
      </c>
      <c r="Q1237" s="3">
        <f t="shared" ca="1" si="128"/>
        <v>2.218535782834651</v>
      </c>
    </row>
    <row r="1238" spans="7:17" x14ac:dyDescent="0.25">
      <c r="G1238" s="3">
        <f t="shared" ca="1" si="123"/>
        <v>3</v>
      </c>
      <c r="H1238" s="3">
        <f t="shared" ca="1" si="124"/>
        <v>7.2591967958460026</v>
      </c>
      <c r="I1238" s="3">
        <f t="shared" ca="1" si="125"/>
        <v>13.471448322142281</v>
      </c>
      <c r="O1238" s="3">
        <f t="shared" ca="1" si="126"/>
        <v>-6.9810443093685777</v>
      </c>
      <c r="P1238" s="3">
        <f t="shared" ca="1" si="127"/>
        <v>1.05362564151371</v>
      </c>
      <c r="Q1238" s="3">
        <f t="shared" ca="1" si="128"/>
        <v>7.0601067018723294</v>
      </c>
    </row>
    <row r="1239" spans="7:17" x14ac:dyDescent="0.25">
      <c r="G1239" s="3">
        <f t="shared" ca="1" si="123"/>
        <v>0</v>
      </c>
      <c r="H1239" s="3">
        <f t="shared" ca="1" si="124"/>
        <v>1.5511785079056484</v>
      </c>
      <c r="I1239" s="3">
        <f t="shared" ca="1" si="125"/>
        <v>6.2273158501589769</v>
      </c>
      <c r="O1239" s="3">
        <f t="shared" ca="1" si="126"/>
        <v>2.2792259976974494</v>
      </c>
      <c r="P1239" s="3">
        <f t="shared" ca="1" si="127"/>
        <v>3.0877314589656488</v>
      </c>
      <c r="Q1239" s="3">
        <f t="shared" ca="1" si="128"/>
        <v>3.83783229327</v>
      </c>
    </row>
    <row r="1240" spans="7:17" x14ac:dyDescent="0.25">
      <c r="G1240" s="3">
        <f t="shared" ca="1" si="123"/>
        <v>0</v>
      </c>
      <c r="H1240" s="3">
        <f t="shared" ca="1" si="124"/>
        <v>2.0835431355272833</v>
      </c>
      <c r="I1240" s="3">
        <f t="shared" ca="1" si="125"/>
        <v>7.2172417437814893</v>
      </c>
      <c r="O1240" s="3">
        <f t="shared" ca="1" si="126"/>
        <v>-1.7593636066146852</v>
      </c>
      <c r="P1240" s="3">
        <f t="shared" ca="1" si="127"/>
        <v>-1.3107655144307457</v>
      </c>
      <c r="Q1240" s="3">
        <f t="shared" ca="1" si="128"/>
        <v>2.1939613793549624</v>
      </c>
    </row>
    <row r="1241" spans="7:17" x14ac:dyDescent="0.25">
      <c r="G1241" s="3">
        <f t="shared" ca="1" si="123"/>
        <v>1</v>
      </c>
      <c r="H1241" s="3">
        <f t="shared" ca="1" si="124"/>
        <v>7.6684230011004839</v>
      </c>
      <c r="I1241" s="3">
        <f t="shared" ca="1" si="125"/>
        <v>13.845958797696607</v>
      </c>
      <c r="O1241" s="3">
        <f t="shared" ca="1" si="126"/>
        <v>-5.0037738294707337</v>
      </c>
      <c r="P1241" s="3">
        <f t="shared" ca="1" si="127"/>
        <v>2.2853653353196544</v>
      </c>
      <c r="Q1241" s="3">
        <f t="shared" ca="1" si="128"/>
        <v>5.5009678468772139</v>
      </c>
    </row>
    <row r="1242" spans="7:17" x14ac:dyDescent="0.25">
      <c r="G1242" s="3">
        <f t="shared" ca="1" si="123"/>
        <v>0</v>
      </c>
      <c r="H1242" s="3">
        <f t="shared" ca="1" si="124"/>
        <v>6.2745504634521082E-2</v>
      </c>
      <c r="I1242" s="3">
        <f t="shared" ca="1" si="125"/>
        <v>1.2524526401676939</v>
      </c>
      <c r="O1242" s="3">
        <f t="shared" ca="1" si="126"/>
        <v>-5.7023739621899763</v>
      </c>
      <c r="P1242" s="3">
        <f t="shared" ca="1" si="127"/>
        <v>2.2586864626366618</v>
      </c>
      <c r="Q1242" s="3">
        <f t="shared" ca="1" si="128"/>
        <v>6.133411232027437</v>
      </c>
    </row>
    <row r="1243" spans="7:17" x14ac:dyDescent="0.25">
      <c r="G1243" s="3">
        <f t="shared" ca="1" si="123"/>
        <v>0</v>
      </c>
      <c r="H1243" s="3">
        <f t="shared" ca="1" si="124"/>
        <v>6.6013874169920488E-3</v>
      </c>
      <c r="I1243" s="3">
        <f t="shared" ca="1" si="125"/>
        <v>0.40624461279480523</v>
      </c>
      <c r="O1243" s="3">
        <f t="shared" ca="1" si="126"/>
        <v>-12.413164084648702</v>
      </c>
      <c r="P1243" s="3">
        <f t="shared" ca="1" si="127"/>
        <v>1.6140059877445452</v>
      </c>
      <c r="Q1243" s="3">
        <f t="shared" ca="1" si="128"/>
        <v>12.517653850498013</v>
      </c>
    </row>
    <row r="1244" spans="7:17" x14ac:dyDescent="0.25">
      <c r="G1244" s="3">
        <f t="shared" ca="1" si="123"/>
        <v>0</v>
      </c>
      <c r="H1244" s="3">
        <f t="shared" ca="1" si="124"/>
        <v>0.18862638481941407</v>
      </c>
      <c r="I1244" s="3">
        <f t="shared" ca="1" si="125"/>
        <v>2.1715569576885043</v>
      </c>
      <c r="O1244" s="3">
        <f t="shared" ca="1" si="126"/>
        <v>-4.6746219589729314</v>
      </c>
      <c r="P1244" s="3">
        <f t="shared" ca="1" si="127"/>
        <v>-4.9627261300724195</v>
      </c>
      <c r="Q1244" s="3">
        <f t="shared" ca="1" si="128"/>
        <v>6.8176785712891679</v>
      </c>
    </row>
    <row r="1245" spans="7:17" x14ac:dyDescent="0.25">
      <c r="G1245" s="3">
        <f t="shared" ca="1" si="123"/>
        <v>0</v>
      </c>
      <c r="H1245" s="3">
        <f t="shared" ca="1" si="124"/>
        <v>5.4669580766383703</v>
      </c>
      <c r="I1245" s="3">
        <f t="shared" ca="1" si="125"/>
        <v>11.690763530067624</v>
      </c>
      <c r="O1245" s="3">
        <f t="shared" ca="1" si="126"/>
        <v>-14.758717550791218</v>
      </c>
      <c r="P1245" s="3">
        <f t="shared" ca="1" si="127"/>
        <v>-5.8132110689234908</v>
      </c>
      <c r="Q1245" s="3">
        <f t="shared" ca="1" si="128"/>
        <v>15.862319082526595</v>
      </c>
    </row>
    <row r="1246" spans="7:17" x14ac:dyDescent="0.25">
      <c r="G1246" s="3">
        <f t="shared" ca="1" si="123"/>
        <v>2</v>
      </c>
      <c r="H1246" s="3">
        <f t="shared" ca="1" si="124"/>
        <v>7.4212717508672883</v>
      </c>
      <c r="I1246" s="3">
        <f t="shared" ca="1" si="125"/>
        <v>13.621005607945481</v>
      </c>
      <c r="O1246" s="3">
        <f t="shared" ca="1" si="126"/>
        <v>-7.6884935135892851</v>
      </c>
      <c r="P1246" s="3">
        <f t="shared" ca="1" si="127"/>
        <v>-8.7210137535000385</v>
      </c>
      <c r="Q1246" s="3">
        <f t="shared" ca="1" si="128"/>
        <v>11.626220942216836</v>
      </c>
    </row>
    <row r="1247" spans="7:17" x14ac:dyDescent="0.25">
      <c r="G1247" s="3">
        <f t="shared" ca="1" si="123"/>
        <v>1</v>
      </c>
      <c r="H1247" s="3">
        <f t="shared" ca="1" si="124"/>
        <v>2.8167389682016672</v>
      </c>
      <c r="I1247" s="3">
        <f t="shared" ca="1" si="125"/>
        <v>8.3915716171073509</v>
      </c>
      <c r="O1247" s="3">
        <f t="shared" ca="1" si="126"/>
        <v>-4.7220081005899806</v>
      </c>
      <c r="P1247" s="3">
        <f t="shared" ca="1" si="127"/>
        <v>-5.4125346358719</v>
      </c>
      <c r="Q1247" s="3">
        <f t="shared" ca="1" si="128"/>
        <v>7.1828192018559367</v>
      </c>
    </row>
    <row r="1248" spans="7:17" x14ac:dyDescent="0.25">
      <c r="G1248" s="3">
        <f t="shared" ca="1" si="123"/>
        <v>0</v>
      </c>
      <c r="H1248" s="3">
        <f t="shared" ca="1" si="124"/>
        <v>2.0951268415648849</v>
      </c>
      <c r="I1248" s="3">
        <f t="shared" ca="1" si="125"/>
        <v>7.2372764932066902</v>
      </c>
      <c r="O1248" s="3">
        <f t="shared" ca="1" si="126"/>
        <v>-7.7230919220405916</v>
      </c>
      <c r="P1248" s="3">
        <f t="shared" ca="1" si="127"/>
        <v>2.8950343239674718</v>
      </c>
      <c r="Q1248" s="3">
        <f t="shared" ca="1" si="128"/>
        <v>8.2478707902851163</v>
      </c>
    </row>
    <row r="1249" spans="7:17" x14ac:dyDescent="0.25">
      <c r="G1249" s="3">
        <f t="shared" ca="1" si="123"/>
        <v>0</v>
      </c>
      <c r="H1249" s="3">
        <f t="shared" ca="1" si="124"/>
        <v>0.63939868587809179</v>
      </c>
      <c r="I1249" s="3">
        <f t="shared" ca="1" si="125"/>
        <v>3.9981204517813485</v>
      </c>
      <c r="O1249" s="3">
        <f t="shared" ca="1" si="126"/>
        <v>-3.570395674686031</v>
      </c>
      <c r="P1249" s="3">
        <f t="shared" ca="1" si="127"/>
        <v>4.1148117031832685</v>
      </c>
      <c r="Q1249" s="3">
        <f t="shared" ca="1" si="128"/>
        <v>5.4478803792365627</v>
      </c>
    </row>
    <row r="1250" spans="7:17" x14ac:dyDescent="0.25">
      <c r="G1250" s="3">
        <f t="shared" ca="1" si="123"/>
        <v>1</v>
      </c>
      <c r="H1250" s="3">
        <f t="shared" ca="1" si="124"/>
        <v>2.1479734218854802</v>
      </c>
      <c r="I1250" s="3">
        <f t="shared" ca="1" si="125"/>
        <v>7.3279830476835173</v>
      </c>
      <c r="O1250" s="3">
        <f t="shared" ca="1" si="126"/>
        <v>-5.5778201427000109</v>
      </c>
      <c r="P1250" s="3">
        <f t="shared" ca="1" si="127"/>
        <v>-5.6269733856617199</v>
      </c>
      <c r="Q1250" s="3">
        <f t="shared" ca="1" si="128"/>
        <v>7.9230617205254239</v>
      </c>
    </row>
    <row r="1251" spans="7:17" x14ac:dyDescent="0.25">
      <c r="G1251" s="3">
        <f t="shared" ca="1" si="123"/>
        <v>0</v>
      </c>
      <c r="H1251" s="3">
        <f t="shared" ca="1" si="124"/>
        <v>1.2597474339517218</v>
      </c>
      <c r="I1251" s="3">
        <f t="shared" ca="1" si="125"/>
        <v>5.6119235426717138</v>
      </c>
      <c r="O1251" s="3">
        <f t="shared" ca="1" si="126"/>
        <v>-6.1284618599948164</v>
      </c>
      <c r="P1251" s="3">
        <f t="shared" ca="1" si="127"/>
        <v>0.16335452832078687</v>
      </c>
      <c r="Q1251" s="3">
        <f t="shared" ca="1" si="128"/>
        <v>6.1306385859332817</v>
      </c>
    </row>
    <row r="1252" spans="7:17" x14ac:dyDescent="0.25">
      <c r="G1252" s="3">
        <f t="shared" ca="1" si="123"/>
        <v>0</v>
      </c>
      <c r="H1252" s="3">
        <f t="shared" ca="1" si="124"/>
        <v>0.1771761096691972</v>
      </c>
      <c r="I1252" s="3">
        <f t="shared" ca="1" si="125"/>
        <v>2.104614630218542</v>
      </c>
      <c r="O1252" s="3">
        <f t="shared" ca="1" si="126"/>
        <v>-14.719138374506983</v>
      </c>
      <c r="P1252" s="3">
        <f t="shared" ca="1" si="127"/>
        <v>-10.898239358710267</v>
      </c>
      <c r="Q1252" s="3">
        <f t="shared" ca="1" si="128"/>
        <v>18.314602250871452</v>
      </c>
    </row>
    <row r="1253" spans="7:17" x14ac:dyDescent="0.25">
      <c r="G1253" s="3">
        <f t="shared" ca="1" si="123"/>
        <v>1</v>
      </c>
      <c r="H1253" s="3">
        <f t="shared" ca="1" si="124"/>
        <v>3.1925167238199434</v>
      </c>
      <c r="I1253" s="3">
        <f t="shared" ca="1" si="125"/>
        <v>8.9338075922586651</v>
      </c>
      <c r="O1253" s="3">
        <f t="shared" ca="1" si="126"/>
        <v>-20.615186365148066</v>
      </c>
      <c r="P1253" s="3">
        <f t="shared" ca="1" si="127"/>
        <v>1.7791584709133683</v>
      </c>
      <c r="Q1253" s="3">
        <f t="shared" ca="1" si="128"/>
        <v>20.691817555120902</v>
      </c>
    </row>
    <row r="1254" spans="7:17" x14ac:dyDescent="0.25">
      <c r="G1254" s="3">
        <f t="shared" ca="1" si="123"/>
        <v>0</v>
      </c>
      <c r="H1254" s="3">
        <f t="shared" ca="1" si="124"/>
        <v>1.3820161959146111</v>
      </c>
      <c r="I1254" s="3">
        <f t="shared" ca="1" si="125"/>
        <v>5.8779592460194277</v>
      </c>
      <c r="O1254" s="3">
        <f t="shared" ca="1" si="126"/>
        <v>-1.5321473427180909</v>
      </c>
      <c r="P1254" s="3">
        <f t="shared" ca="1" si="127"/>
        <v>4.0875292812308341</v>
      </c>
      <c r="Q1254" s="3">
        <f t="shared" ca="1" si="128"/>
        <v>4.3652458240879817</v>
      </c>
    </row>
    <row r="1255" spans="7:17" x14ac:dyDescent="0.25">
      <c r="G1255" s="3">
        <f t="shared" ca="1" si="123"/>
        <v>0</v>
      </c>
      <c r="H1255" s="3">
        <f t="shared" ca="1" si="124"/>
        <v>2.5387587259823667</v>
      </c>
      <c r="I1255" s="3">
        <f t="shared" ca="1" si="125"/>
        <v>7.9667413758423944</v>
      </c>
      <c r="O1255" s="3">
        <f t="shared" ca="1" si="126"/>
        <v>-6.0565001748712399</v>
      </c>
      <c r="P1255" s="3">
        <f t="shared" ca="1" si="127"/>
        <v>3.1264310745170065</v>
      </c>
      <c r="Q1255" s="3">
        <f t="shared" ca="1" si="128"/>
        <v>6.8158466555462445</v>
      </c>
    </row>
    <row r="1256" spans="7:17" x14ac:dyDescent="0.25">
      <c r="G1256" s="3">
        <f t="shared" ca="1" si="123"/>
        <v>0</v>
      </c>
      <c r="H1256" s="3">
        <f t="shared" ca="1" si="124"/>
        <v>0.74112907113007764</v>
      </c>
      <c r="I1256" s="3">
        <f t="shared" ca="1" si="125"/>
        <v>4.30444267916904</v>
      </c>
      <c r="O1256" s="3">
        <f t="shared" ca="1" si="126"/>
        <v>-7.0057180122055627</v>
      </c>
      <c r="P1256" s="3">
        <f t="shared" ca="1" si="127"/>
        <v>6.1925209061484807</v>
      </c>
      <c r="Q1256" s="3">
        <f t="shared" ca="1" si="128"/>
        <v>9.3502620305330186</v>
      </c>
    </row>
    <row r="1257" spans="7:17" x14ac:dyDescent="0.25">
      <c r="G1257" s="3">
        <f t="shared" ca="1" si="123"/>
        <v>0</v>
      </c>
      <c r="H1257" s="3">
        <f t="shared" ca="1" si="124"/>
        <v>4.6665344646766277E-2</v>
      </c>
      <c r="I1257" s="3">
        <f t="shared" ca="1" si="125"/>
        <v>1.0801081502188365</v>
      </c>
      <c r="O1257" s="3">
        <f t="shared" ca="1" si="126"/>
        <v>-4.7708189641920624</v>
      </c>
      <c r="P1257" s="3">
        <f t="shared" ca="1" si="127"/>
        <v>7.2217513760895189</v>
      </c>
      <c r="Q1257" s="3">
        <f t="shared" ca="1" si="128"/>
        <v>8.6553108856438818</v>
      </c>
    </row>
    <row r="1258" spans="7:17" x14ac:dyDescent="0.25">
      <c r="G1258" s="3">
        <f t="shared" ca="1" si="123"/>
        <v>0</v>
      </c>
      <c r="H1258" s="3">
        <f t="shared" ca="1" si="124"/>
        <v>1.6768668280139754</v>
      </c>
      <c r="I1258" s="3">
        <f t="shared" ca="1" si="125"/>
        <v>6.4746946414753328</v>
      </c>
      <c r="O1258" s="3">
        <f t="shared" ca="1" si="126"/>
        <v>-7.7022701135269322E-2</v>
      </c>
      <c r="P1258" s="3">
        <f t="shared" ca="1" si="127"/>
        <v>-2.5850106339276651</v>
      </c>
      <c r="Q1258" s="3">
        <f t="shared" ca="1" si="128"/>
        <v>2.5861578594527601</v>
      </c>
    </row>
    <row r="1259" spans="7:17" x14ac:dyDescent="0.25">
      <c r="G1259" s="3">
        <f t="shared" ca="1" si="123"/>
        <v>0</v>
      </c>
      <c r="H1259" s="3">
        <f t="shared" ca="1" si="124"/>
        <v>0.2759187531012165</v>
      </c>
      <c r="I1259" s="3">
        <f t="shared" ca="1" si="125"/>
        <v>2.6263984517834329</v>
      </c>
      <c r="O1259" s="3">
        <f t="shared" ca="1" si="126"/>
        <v>-10.994064997631398</v>
      </c>
      <c r="P1259" s="3">
        <f t="shared" ca="1" si="127"/>
        <v>-3.5601566366075756</v>
      </c>
      <c r="Q1259" s="3">
        <f t="shared" ca="1" si="128"/>
        <v>11.556131725163262</v>
      </c>
    </row>
    <row r="1260" spans="7:17" x14ac:dyDescent="0.25">
      <c r="G1260" s="3">
        <f t="shared" ca="1" si="123"/>
        <v>0</v>
      </c>
      <c r="H1260" s="3">
        <f t="shared" ca="1" si="124"/>
        <v>2.8611620744380812</v>
      </c>
      <c r="I1260" s="3">
        <f t="shared" ca="1" si="125"/>
        <v>8.4574849607286939</v>
      </c>
      <c r="O1260" s="3">
        <f t="shared" ca="1" si="126"/>
        <v>1.761059983258308</v>
      </c>
      <c r="P1260" s="3">
        <f t="shared" ca="1" si="127"/>
        <v>-0.55532274460196751</v>
      </c>
      <c r="Q1260" s="3">
        <f t="shared" ca="1" si="128"/>
        <v>1.8465415281834345</v>
      </c>
    </row>
    <row r="1261" spans="7:17" x14ac:dyDescent="0.25">
      <c r="G1261" s="3">
        <f t="shared" ca="1" si="123"/>
        <v>1</v>
      </c>
      <c r="H1261" s="3">
        <f t="shared" ca="1" si="124"/>
        <v>1.23777446128347</v>
      </c>
      <c r="I1261" s="3">
        <f t="shared" ca="1" si="125"/>
        <v>5.562765636990898</v>
      </c>
      <c r="O1261" s="3">
        <f t="shared" ca="1" si="126"/>
        <v>-4.8019978531098699</v>
      </c>
      <c r="P1261" s="3">
        <f t="shared" ca="1" si="127"/>
        <v>-4.5704439213892827E-2</v>
      </c>
      <c r="Q1261" s="3">
        <f t="shared" ca="1" si="128"/>
        <v>4.8022153509641416</v>
      </c>
    </row>
    <row r="1262" spans="7:17" x14ac:dyDescent="0.25">
      <c r="G1262" s="3">
        <f t="shared" ca="1" si="123"/>
        <v>0</v>
      </c>
      <c r="H1262" s="3">
        <f t="shared" ca="1" si="124"/>
        <v>0.73907596598858916</v>
      </c>
      <c r="I1262" s="3">
        <f t="shared" ca="1" si="125"/>
        <v>4.298476375381715</v>
      </c>
      <c r="O1262" s="3">
        <f t="shared" ca="1" si="126"/>
        <v>-7.0937839523701349</v>
      </c>
      <c r="P1262" s="3">
        <f t="shared" ca="1" si="127"/>
        <v>-2.7602755207991416</v>
      </c>
      <c r="Q1262" s="3">
        <f t="shared" ca="1" si="128"/>
        <v>7.6118914675412332</v>
      </c>
    </row>
    <row r="1263" spans="7:17" x14ac:dyDescent="0.25">
      <c r="G1263" s="3">
        <f t="shared" ca="1" si="123"/>
        <v>1</v>
      </c>
      <c r="H1263" s="3">
        <f t="shared" ca="1" si="124"/>
        <v>6.335111729996969</v>
      </c>
      <c r="I1263" s="3">
        <f t="shared" ca="1" si="125"/>
        <v>12.584823926059682</v>
      </c>
      <c r="O1263" s="3">
        <f t="shared" ca="1" si="126"/>
        <v>-9.7530006197636556</v>
      </c>
      <c r="P1263" s="3">
        <f t="shared" ca="1" si="127"/>
        <v>6.9236307589931601</v>
      </c>
      <c r="Q1263" s="3">
        <f t="shared" ca="1" si="128"/>
        <v>11.960672388122102</v>
      </c>
    </row>
    <row r="1264" spans="7:17" x14ac:dyDescent="0.25">
      <c r="G1264" s="3">
        <f t="shared" ca="1" si="123"/>
        <v>2</v>
      </c>
      <c r="H1264" s="3">
        <f t="shared" ca="1" si="124"/>
        <v>4.0103937010170316</v>
      </c>
      <c r="I1264" s="3">
        <f t="shared" ca="1" si="125"/>
        <v>10.012983697451315</v>
      </c>
      <c r="O1264" s="3">
        <f t="shared" ca="1" si="126"/>
        <v>-1.1450270018121635</v>
      </c>
      <c r="P1264" s="3">
        <f t="shared" ca="1" si="127"/>
        <v>-8.5052053035333479</v>
      </c>
      <c r="Q1264" s="3">
        <f t="shared" ca="1" si="128"/>
        <v>8.5819347521483014</v>
      </c>
    </row>
    <row r="1265" spans="7:17" x14ac:dyDescent="0.25">
      <c r="G1265" s="3">
        <f t="shared" ca="1" si="123"/>
        <v>0</v>
      </c>
      <c r="H1265" s="3">
        <f t="shared" ca="1" si="124"/>
        <v>0.18672470816823791</v>
      </c>
      <c r="I1265" s="3">
        <f t="shared" ca="1" si="125"/>
        <v>2.1605827232961823</v>
      </c>
      <c r="O1265" s="3">
        <f t="shared" ca="1" si="126"/>
        <v>-2.8071732256479462</v>
      </c>
      <c r="P1265" s="3">
        <f t="shared" ca="1" si="127"/>
        <v>-3.8523661832176699</v>
      </c>
      <c r="Q1265" s="3">
        <f t="shared" ca="1" si="128"/>
        <v>4.7666494236931012</v>
      </c>
    </row>
    <row r="1266" spans="7:17" x14ac:dyDescent="0.25">
      <c r="G1266" s="3">
        <f t="shared" ca="1" si="123"/>
        <v>0</v>
      </c>
      <c r="H1266" s="3">
        <f t="shared" ca="1" si="124"/>
        <v>1.3787440445560275</v>
      </c>
      <c r="I1266" s="3">
        <f t="shared" ca="1" si="125"/>
        <v>5.8709966031246088</v>
      </c>
      <c r="O1266" s="3">
        <f t="shared" ca="1" si="126"/>
        <v>-10.427864488632524</v>
      </c>
      <c r="P1266" s="3">
        <f t="shared" ca="1" si="127"/>
        <v>-5.8265715980722081</v>
      </c>
      <c r="Q1266" s="3">
        <f t="shared" ca="1" si="128"/>
        <v>11.945262424105422</v>
      </c>
    </row>
    <row r="1267" spans="7:17" x14ac:dyDescent="0.25">
      <c r="G1267" s="3">
        <f t="shared" ca="1" si="123"/>
        <v>0</v>
      </c>
      <c r="H1267" s="3">
        <f t="shared" ca="1" si="124"/>
        <v>0.38000082493164494</v>
      </c>
      <c r="I1267" s="3">
        <f t="shared" ca="1" si="125"/>
        <v>3.0822103470222673</v>
      </c>
      <c r="O1267" s="3">
        <f t="shared" ca="1" si="126"/>
        <v>-10.045484325963141</v>
      </c>
      <c r="P1267" s="3">
        <f t="shared" ca="1" si="127"/>
        <v>-1.4177718153938808</v>
      </c>
      <c r="Q1267" s="3">
        <f t="shared" ca="1" si="128"/>
        <v>10.145039786205691</v>
      </c>
    </row>
    <row r="1268" spans="7:17" x14ac:dyDescent="0.25">
      <c r="G1268" s="3">
        <f t="shared" ca="1" si="123"/>
        <v>0</v>
      </c>
      <c r="H1268" s="3">
        <f t="shared" ca="1" si="124"/>
        <v>0.89673799590612346</v>
      </c>
      <c r="I1268" s="3">
        <f t="shared" ca="1" si="125"/>
        <v>4.734812551480057</v>
      </c>
      <c r="O1268" s="3">
        <f t="shared" ca="1" si="126"/>
        <v>3.9290647529079976</v>
      </c>
      <c r="P1268" s="3">
        <f t="shared" ca="1" si="127"/>
        <v>-1.5517162186475713</v>
      </c>
      <c r="Q1268" s="3">
        <f t="shared" ca="1" si="128"/>
        <v>4.2243784224141079</v>
      </c>
    </row>
    <row r="1269" spans="7:17" x14ac:dyDescent="0.25">
      <c r="G1269" s="3">
        <f t="shared" ca="1" si="123"/>
        <v>0</v>
      </c>
      <c r="H1269" s="3">
        <f t="shared" ca="1" si="124"/>
        <v>0.76680530413416981</v>
      </c>
      <c r="I1269" s="3">
        <f t="shared" ca="1" si="125"/>
        <v>4.3783709988252761</v>
      </c>
      <c r="O1269" s="3">
        <f t="shared" ca="1" si="126"/>
        <v>-2.3605956539457376</v>
      </c>
      <c r="P1269" s="3">
        <f t="shared" ca="1" si="127"/>
        <v>5.4535455005020346</v>
      </c>
      <c r="Q1269" s="3">
        <f t="shared" ca="1" si="128"/>
        <v>5.9425222227159979</v>
      </c>
    </row>
    <row r="1270" spans="7:17" x14ac:dyDescent="0.25">
      <c r="G1270" s="3">
        <f t="shared" ca="1" si="123"/>
        <v>0</v>
      </c>
      <c r="H1270" s="3">
        <f t="shared" ca="1" si="124"/>
        <v>3.0026583326505274</v>
      </c>
      <c r="I1270" s="3">
        <f t="shared" ca="1" si="125"/>
        <v>8.6640901609034042</v>
      </c>
      <c r="O1270" s="3">
        <f t="shared" ca="1" si="126"/>
        <v>-2.5298366406287571</v>
      </c>
      <c r="P1270" s="3">
        <f t="shared" ca="1" si="127"/>
        <v>2.9355173556786203</v>
      </c>
      <c r="Q1270" s="3">
        <f t="shared" ca="1" si="128"/>
        <v>3.875220712908904</v>
      </c>
    </row>
    <row r="1271" spans="7:17" x14ac:dyDescent="0.25">
      <c r="G1271" s="3">
        <f t="shared" ca="1" si="123"/>
        <v>2</v>
      </c>
      <c r="H1271" s="3">
        <f t="shared" ca="1" si="124"/>
        <v>2.47862354867905</v>
      </c>
      <c r="I1271" s="3">
        <f t="shared" ca="1" si="125"/>
        <v>7.8718224520739959</v>
      </c>
      <c r="O1271" s="3">
        <f t="shared" ca="1" si="126"/>
        <v>2.5626544152886055</v>
      </c>
      <c r="P1271" s="3">
        <f t="shared" ca="1" si="127"/>
        <v>2.9145934779678444</v>
      </c>
      <c r="Q1271" s="3">
        <f t="shared" ca="1" si="128"/>
        <v>3.8809860594971068</v>
      </c>
    </row>
    <row r="1272" spans="7:17" x14ac:dyDescent="0.25">
      <c r="G1272" s="3">
        <f t="shared" ca="1" si="123"/>
        <v>1</v>
      </c>
      <c r="H1272" s="3">
        <f t="shared" ca="1" si="124"/>
        <v>5.5544547409860776</v>
      </c>
      <c r="I1272" s="3">
        <f t="shared" ca="1" si="125"/>
        <v>11.783945371761188</v>
      </c>
      <c r="O1272" s="3">
        <f t="shared" ca="1" si="126"/>
        <v>-7.9514766429533967</v>
      </c>
      <c r="P1272" s="3">
        <f t="shared" ca="1" si="127"/>
        <v>-4.3108123680905726</v>
      </c>
      <c r="Q1272" s="3">
        <f t="shared" ca="1" si="128"/>
        <v>9.0448374267488116</v>
      </c>
    </row>
    <row r="1273" spans="7:17" x14ac:dyDescent="0.25">
      <c r="G1273" s="3">
        <f t="shared" ca="1" si="123"/>
        <v>0</v>
      </c>
      <c r="H1273" s="3">
        <f t="shared" ca="1" si="124"/>
        <v>0.36031010254038071</v>
      </c>
      <c r="I1273" s="3">
        <f t="shared" ca="1" si="125"/>
        <v>3.0012918157869151</v>
      </c>
      <c r="O1273" s="3">
        <f t="shared" ca="1" si="126"/>
        <v>-5.0670845669026265</v>
      </c>
      <c r="P1273" s="3">
        <f t="shared" ca="1" si="127"/>
        <v>-1.8529666194558054</v>
      </c>
      <c r="Q1273" s="3">
        <f t="shared" ca="1" si="128"/>
        <v>5.3952600772307777</v>
      </c>
    </row>
    <row r="1274" spans="7:17" x14ac:dyDescent="0.25">
      <c r="G1274" s="3">
        <f t="shared" ca="1" si="123"/>
        <v>0</v>
      </c>
      <c r="H1274" s="3">
        <f t="shared" ca="1" si="124"/>
        <v>7.8289408124656354</v>
      </c>
      <c r="I1274" s="3">
        <f t="shared" ca="1" si="125"/>
        <v>13.990122240768336</v>
      </c>
      <c r="O1274" s="3">
        <f t="shared" ca="1" si="126"/>
        <v>-6.8854030864504505</v>
      </c>
      <c r="P1274" s="3">
        <f t="shared" ca="1" si="127"/>
        <v>-5.077893004752454</v>
      </c>
      <c r="Q1274" s="3">
        <f t="shared" ca="1" si="128"/>
        <v>8.5553359390859267</v>
      </c>
    </row>
    <row r="1275" spans="7:17" x14ac:dyDescent="0.25">
      <c r="G1275" s="3">
        <f t="shared" ca="1" si="123"/>
        <v>0</v>
      </c>
      <c r="H1275" s="3">
        <f t="shared" ca="1" si="124"/>
        <v>3.2754853458072306</v>
      </c>
      <c r="I1275" s="3">
        <f t="shared" ca="1" si="125"/>
        <v>9.0491509902963134</v>
      </c>
      <c r="O1275" s="3">
        <f t="shared" ca="1" si="126"/>
        <v>-2.2168322297200427</v>
      </c>
      <c r="P1275" s="3">
        <f t="shared" ca="1" si="127"/>
        <v>4.6623124261970457</v>
      </c>
      <c r="Q1275" s="3">
        <f t="shared" ca="1" si="128"/>
        <v>5.1625093020930164</v>
      </c>
    </row>
    <row r="1276" spans="7:17" x14ac:dyDescent="0.25">
      <c r="G1276" s="3">
        <f t="shared" ca="1" si="123"/>
        <v>0</v>
      </c>
      <c r="H1276" s="3">
        <f t="shared" ca="1" si="124"/>
        <v>0.60352921621801436</v>
      </c>
      <c r="I1276" s="3">
        <f t="shared" ca="1" si="125"/>
        <v>3.8843571418511917</v>
      </c>
      <c r="O1276" s="3">
        <f t="shared" ca="1" si="126"/>
        <v>-13.931629757278824</v>
      </c>
      <c r="P1276" s="3">
        <f t="shared" ca="1" si="127"/>
        <v>-1.0079868614887961</v>
      </c>
      <c r="Q1276" s="3">
        <f t="shared" ca="1" si="128"/>
        <v>13.968047293978884</v>
      </c>
    </row>
    <row r="1277" spans="7:17" x14ac:dyDescent="0.25">
      <c r="G1277" s="3">
        <f t="shared" ca="1" si="123"/>
        <v>0</v>
      </c>
      <c r="H1277" s="3">
        <f t="shared" ca="1" si="124"/>
        <v>1.8061007503243478</v>
      </c>
      <c r="I1277" s="3">
        <f t="shared" ca="1" si="125"/>
        <v>6.7195623933488928</v>
      </c>
      <c r="O1277" s="3">
        <f t="shared" ca="1" si="126"/>
        <v>-2.6104093380070075</v>
      </c>
      <c r="P1277" s="3">
        <f t="shared" ca="1" si="127"/>
        <v>4.6369391624815057E-2</v>
      </c>
      <c r="Q1277" s="3">
        <f t="shared" ca="1" si="128"/>
        <v>2.610821141410081</v>
      </c>
    </row>
    <row r="1278" spans="7:17" x14ac:dyDescent="0.25">
      <c r="G1278" s="3">
        <f t="shared" ca="1" si="123"/>
        <v>0</v>
      </c>
      <c r="H1278" s="3">
        <f t="shared" ca="1" si="124"/>
        <v>0.12562706588929931</v>
      </c>
      <c r="I1278" s="3">
        <f t="shared" ca="1" si="125"/>
        <v>1.7721954314444224</v>
      </c>
      <c r="O1278" s="3">
        <f t="shared" ca="1" si="126"/>
        <v>-2.8739408896262333</v>
      </c>
      <c r="P1278" s="3">
        <f t="shared" ca="1" si="127"/>
        <v>-1.0179898260175348</v>
      </c>
      <c r="Q1278" s="3">
        <f t="shared" ca="1" si="128"/>
        <v>3.0489079230014204</v>
      </c>
    </row>
    <row r="1279" spans="7:17" x14ac:dyDescent="0.25">
      <c r="G1279" s="3">
        <f t="shared" ca="1" si="123"/>
        <v>1</v>
      </c>
      <c r="H1279" s="3">
        <f t="shared" ca="1" si="124"/>
        <v>6.1526020967819104</v>
      </c>
      <c r="I1279" s="3">
        <f t="shared" ca="1" si="125"/>
        <v>12.402219656962529</v>
      </c>
      <c r="O1279" s="3">
        <f t="shared" ca="1" si="126"/>
        <v>-3.1535394293532333</v>
      </c>
      <c r="P1279" s="3">
        <f t="shared" ca="1" si="127"/>
        <v>-2.276482070510371</v>
      </c>
      <c r="Q1279" s="3">
        <f t="shared" ca="1" si="128"/>
        <v>3.8893677570834959</v>
      </c>
    </row>
    <row r="1280" spans="7:17" x14ac:dyDescent="0.25">
      <c r="G1280" s="3">
        <f t="shared" ca="1" si="123"/>
        <v>1</v>
      </c>
      <c r="H1280" s="3">
        <f t="shared" ca="1" si="124"/>
        <v>9.6384891794207928</v>
      </c>
      <c r="I1280" s="3">
        <f t="shared" ca="1" si="125"/>
        <v>15.522958142233065</v>
      </c>
      <c r="O1280" s="3">
        <f t="shared" ca="1" si="126"/>
        <v>-5.3484347393207576</v>
      </c>
      <c r="P1280" s="3">
        <f t="shared" ca="1" si="127"/>
        <v>-9.6697767202255758</v>
      </c>
      <c r="Q1280" s="3">
        <f t="shared" ca="1" si="128"/>
        <v>11.050354563532773</v>
      </c>
    </row>
    <row r="1281" spans="7:17" x14ac:dyDescent="0.25">
      <c r="G1281" s="3">
        <f t="shared" ca="1" si="123"/>
        <v>1</v>
      </c>
      <c r="H1281" s="3">
        <f t="shared" ca="1" si="124"/>
        <v>1.5650913383868246</v>
      </c>
      <c r="I1281" s="3">
        <f t="shared" ca="1" si="125"/>
        <v>6.2551805297425753</v>
      </c>
      <c r="O1281" s="3">
        <f t="shared" ca="1" si="126"/>
        <v>0.29064399246661665</v>
      </c>
      <c r="P1281" s="3">
        <f t="shared" ca="1" si="127"/>
        <v>-5.2329378115820022</v>
      </c>
      <c r="Q1281" s="3">
        <f t="shared" ca="1" si="128"/>
        <v>5.2410029641511908</v>
      </c>
    </row>
    <row r="1282" spans="7:17" x14ac:dyDescent="0.25">
      <c r="G1282" s="3">
        <f t="shared" ca="1" si="123"/>
        <v>0</v>
      </c>
      <c r="H1282" s="3">
        <f t="shared" ca="1" si="124"/>
        <v>9.4942682707642376</v>
      </c>
      <c r="I1282" s="3">
        <f t="shared" ca="1" si="125"/>
        <v>15.406385259661201</v>
      </c>
      <c r="O1282" s="3">
        <f t="shared" ca="1" si="126"/>
        <v>-11.648594594204502</v>
      </c>
      <c r="P1282" s="3">
        <f t="shared" ca="1" si="127"/>
        <v>-2.5617596662993045</v>
      </c>
      <c r="Q1282" s="3">
        <f t="shared" ca="1" si="128"/>
        <v>11.92695973867642</v>
      </c>
    </row>
    <row r="1283" spans="7:17" x14ac:dyDescent="0.25">
      <c r="G1283" s="3">
        <f t="shared" ca="1" si="123"/>
        <v>0</v>
      </c>
      <c r="H1283" s="3">
        <f t="shared" ca="1" si="124"/>
        <v>2.4237784241721601</v>
      </c>
      <c r="I1283" s="3">
        <f t="shared" ca="1" si="125"/>
        <v>7.7842443823600505</v>
      </c>
      <c r="O1283" s="3">
        <f t="shared" ca="1" si="126"/>
        <v>-10.719179818557881</v>
      </c>
      <c r="P1283" s="3">
        <f t="shared" ca="1" si="127"/>
        <v>4.4250467439308765E-2</v>
      </c>
      <c r="Q1283" s="3">
        <f t="shared" ca="1" si="128"/>
        <v>10.719271154628339</v>
      </c>
    </row>
    <row r="1284" spans="7:17" x14ac:dyDescent="0.25">
      <c r="G1284" s="3">
        <f t="shared" ref="G1284:G1347" ca="1" si="129">VLOOKUP(RAND(),$B$9:$C$169,2,TRUE)</f>
        <v>0</v>
      </c>
      <c r="H1284" s="3">
        <f t="shared" ref="H1284:H1347" ca="1" si="130">_xlfn.CHISQ.INV(RAND(),2*G1284+2)</f>
        <v>1.3123533756903449</v>
      </c>
      <c r="I1284" s="3">
        <f t="shared" ref="I1284:I1347" ca="1" si="131">$C$4*SQRT(H1284)</f>
        <v>5.7278996492832013</v>
      </c>
      <c r="O1284" s="3">
        <f t="shared" ref="O1284:O1347" ca="1" si="132">_xlfn.NORM.INV(RAND(),$C$3*COS($N$2),$C$4)</f>
        <v>7.0648941221437394</v>
      </c>
      <c r="P1284" s="3">
        <f t="shared" ref="P1284:P1347" ca="1" si="133">_xlfn.NORM.INV(RAND(),$C$3*SIN($N$2),$C$4)</f>
        <v>5.5573713591276359</v>
      </c>
      <c r="Q1284" s="3">
        <f t="shared" ref="Q1284:Q1347" ca="1" si="134">SQRT(O1284^2+P1284^2)</f>
        <v>8.9887210091510408</v>
      </c>
    </row>
    <row r="1285" spans="7:17" x14ac:dyDescent="0.25">
      <c r="G1285" s="3">
        <f t="shared" ca="1" si="129"/>
        <v>1</v>
      </c>
      <c r="H1285" s="3">
        <f t="shared" ca="1" si="130"/>
        <v>4.8433070557289462</v>
      </c>
      <c r="I1285" s="3">
        <f t="shared" ca="1" si="131"/>
        <v>11.003757376152185</v>
      </c>
      <c r="O1285" s="3">
        <f t="shared" ca="1" si="132"/>
        <v>2.5924151175703649</v>
      </c>
      <c r="P1285" s="3">
        <f t="shared" ca="1" si="133"/>
        <v>-1.3683383948480203</v>
      </c>
      <c r="Q1285" s="3">
        <f t="shared" ca="1" si="134"/>
        <v>2.9313761451957383</v>
      </c>
    </row>
    <row r="1286" spans="7:17" x14ac:dyDescent="0.25">
      <c r="G1286" s="3">
        <f t="shared" ca="1" si="129"/>
        <v>0</v>
      </c>
      <c r="H1286" s="3">
        <f t="shared" ca="1" si="130"/>
        <v>0.61534375407496533</v>
      </c>
      <c r="I1286" s="3">
        <f t="shared" ca="1" si="131"/>
        <v>3.9221924802174275</v>
      </c>
      <c r="O1286" s="3">
        <f t="shared" ca="1" si="132"/>
        <v>-6.0317888976648497</v>
      </c>
      <c r="P1286" s="3">
        <f t="shared" ca="1" si="133"/>
        <v>0.50850194114139691</v>
      </c>
      <c r="Q1286" s="3">
        <f t="shared" ca="1" si="134"/>
        <v>6.0531852383796672</v>
      </c>
    </row>
    <row r="1287" spans="7:17" x14ac:dyDescent="0.25">
      <c r="G1287" s="3">
        <f t="shared" ca="1" si="129"/>
        <v>0</v>
      </c>
      <c r="H1287" s="3">
        <f t="shared" ca="1" si="130"/>
        <v>7.6568249024001805E-2</v>
      </c>
      <c r="I1287" s="3">
        <f t="shared" ca="1" si="131"/>
        <v>1.3835484182348101</v>
      </c>
      <c r="O1287" s="3">
        <f t="shared" ca="1" si="132"/>
        <v>8.7262477725608463</v>
      </c>
      <c r="P1287" s="3">
        <f t="shared" ca="1" si="133"/>
        <v>-3.3632394089324484</v>
      </c>
      <c r="Q1287" s="3">
        <f t="shared" ca="1" si="134"/>
        <v>9.3519398795073219</v>
      </c>
    </row>
    <row r="1288" spans="7:17" x14ac:dyDescent="0.25">
      <c r="G1288" s="3">
        <f t="shared" ca="1" si="129"/>
        <v>0</v>
      </c>
      <c r="H1288" s="3">
        <f t="shared" ca="1" si="130"/>
        <v>0.97633360191155794</v>
      </c>
      <c r="I1288" s="3">
        <f t="shared" ca="1" si="131"/>
        <v>4.9404797386275101</v>
      </c>
      <c r="O1288" s="3">
        <f t="shared" ca="1" si="132"/>
        <v>-9.7302376726992676</v>
      </c>
      <c r="P1288" s="3">
        <f t="shared" ca="1" si="133"/>
        <v>3.6181293468542224</v>
      </c>
      <c r="Q1288" s="3">
        <f t="shared" ca="1" si="134"/>
        <v>10.381155289166221</v>
      </c>
    </row>
    <row r="1289" spans="7:17" x14ac:dyDescent="0.25">
      <c r="G1289" s="3">
        <f t="shared" ca="1" si="129"/>
        <v>1</v>
      </c>
      <c r="H1289" s="3">
        <f t="shared" ca="1" si="130"/>
        <v>7.3626561529192269</v>
      </c>
      <c r="I1289" s="3">
        <f t="shared" ca="1" si="131"/>
        <v>13.567107422843703</v>
      </c>
      <c r="O1289" s="3">
        <f t="shared" ca="1" si="132"/>
        <v>-7.7567608355278637</v>
      </c>
      <c r="P1289" s="3">
        <f t="shared" ca="1" si="133"/>
        <v>-4.3413953755643861</v>
      </c>
      <c r="Q1289" s="3">
        <f t="shared" ca="1" si="134"/>
        <v>8.8890411443839525</v>
      </c>
    </row>
    <row r="1290" spans="7:17" x14ac:dyDescent="0.25">
      <c r="G1290" s="3">
        <f t="shared" ca="1" si="129"/>
        <v>0</v>
      </c>
      <c r="H1290" s="3">
        <f t="shared" ca="1" si="130"/>
        <v>2.633028969683095E-3</v>
      </c>
      <c r="I1290" s="3">
        <f t="shared" ca="1" si="131"/>
        <v>0.25656524363615074</v>
      </c>
      <c r="O1290" s="3">
        <f t="shared" ca="1" si="132"/>
        <v>-4.9390097051353257</v>
      </c>
      <c r="P1290" s="3">
        <f t="shared" ca="1" si="133"/>
        <v>5.2948125472779433</v>
      </c>
      <c r="Q1290" s="3">
        <f t="shared" ca="1" si="134"/>
        <v>7.2407773600790186</v>
      </c>
    </row>
    <row r="1291" spans="7:17" x14ac:dyDescent="0.25">
      <c r="G1291" s="3">
        <f t="shared" ca="1" si="129"/>
        <v>0</v>
      </c>
      <c r="H1291" s="3">
        <f t="shared" ca="1" si="130"/>
        <v>1.7636206160854042</v>
      </c>
      <c r="I1291" s="3">
        <f t="shared" ca="1" si="131"/>
        <v>6.6400689305258798</v>
      </c>
      <c r="O1291" s="3">
        <f t="shared" ca="1" si="132"/>
        <v>2.4862694551654254</v>
      </c>
      <c r="P1291" s="3">
        <f t="shared" ca="1" si="133"/>
        <v>0.60648576003231791</v>
      </c>
      <c r="Q1291" s="3">
        <f t="shared" ca="1" si="134"/>
        <v>2.55917189356451</v>
      </c>
    </row>
    <row r="1292" spans="7:17" x14ac:dyDescent="0.25">
      <c r="G1292" s="3">
        <f t="shared" ca="1" si="129"/>
        <v>0</v>
      </c>
      <c r="H1292" s="3">
        <f t="shared" ca="1" si="130"/>
        <v>0.64114355953613733</v>
      </c>
      <c r="I1292" s="3">
        <f t="shared" ca="1" si="131"/>
        <v>4.0035720286268646</v>
      </c>
      <c r="O1292" s="3">
        <f t="shared" ca="1" si="132"/>
        <v>-8.6687325818457346</v>
      </c>
      <c r="P1292" s="3">
        <f t="shared" ca="1" si="133"/>
        <v>0.5303867290778943</v>
      </c>
      <c r="Q1292" s="3">
        <f t="shared" ca="1" si="134"/>
        <v>8.6849429853013866</v>
      </c>
    </row>
    <row r="1293" spans="7:17" x14ac:dyDescent="0.25">
      <c r="G1293" s="3">
        <f t="shared" ca="1" si="129"/>
        <v>2</v>
      </c>
      <c r="H1293" s="3">
        <f t="shared" ca="1" si="130"/>
        <v>5.8771475438334218</v>
      </c>
      <c r="I1293" s="3">
        <f t="shared" ca="1" si="131"/>
        <v>12.121414463495404</v>
      </c>
      <c r="O1293" s="3">
        <f t="shared" ca="1" si="132"/>
        <v>-2.2235078337671861</v>
      </c>
      <c r="P1293" s="3">
        <f t="shared" ca="1" si="133"/>
        <v>-5.7776919632794437</v>
      </c>
      <c r="Q1293" s="3">
        <f t="shared" ca="1" si="134"/>
        <v>6.1907763252574322</v>
      </c>
    </row>
    <row r="1294" spans="7:17" x14ac:dyDescent="0.25">
      <c r="G1294" s="3">
        <f t="shared" ca="1" si="129"/>
        <v>0</v>
      </c>
      <c r="H1294" s="3">
        <f t="shared" ca="1" si="130"/>
        <v>0.66558495185345357</v>
      </c>
      <c r="I1294" s="3">
        <f t="shared" ca="1" si="131"/>
        <v>4.0791694983582545</v>
      </c>
      <c r="O1294" s="3">
        <f t="shared" ca="1" si="132"/>
        <v>-9.9167286403861095</v>
      </c>
      <c r="P1294" s="3">
        <f t="shared" ca="1" si="133"/>
        <v>-5.1305171555266034</v>
      </c>
      <c r="Q1294" s="3">
        <f t="shared" ca="1" si="134"/>
        <v>11.165290556461436</v>
      </c>
    </row>
    <row r="1295" spans="7:17" x14ac:dyDescent="0.25">
      <c r="G1295" s="3">
        <f t="shared" ca="1" si="129"/>
        <v>1</v>
      </c>
      <c r="H1295" s="3">
        <f t="shared" ca="1" si="130"/>
        <v>5.3660954321323464</v>
      </c>
      <c r="I1295" s="3">
        <f t="shared" ca="1" si="131"/>
        <v>11.582417096759581</v>
      </c>
      <c r="O1295" s="3">
        <f t="shared" ca="1" si="132"/>
        <v>-0.44020400052995168</v>
      </c>
      <c r="P1295" s="3">
        <f t="shared" ca="1" si="133"/>
        <v>-1.5536182399022367</v>
      </c>
      <c r="Q1295" s="3">
        <f t="shared" ca="1" si="134"/>
        <v>1.6147783740933297</v>
      </c>
    </row>
    <row r="1296" spans="7:17" x14ac:dyDescent="0.25">
      <c r="G1296" s="3">
        <f t="shared" ca="1" si="129"/>
        <v>0</v>
      </c>
      <c r="H1296" s="3">
        <f t="shared" ca="1" si="130"/>
        <v>0.27148661798801949</v>
      </c>
      <c r="I1296" s="3">
        <f t="shared" ca="1" si="131"/>
        <v>2.6052188870996016</v>
      </c>
      <c r="O1296" s="3">
        <f t="shared" ca="1" si="132"/>
        <v>2.3140783558883715</v>
      </c>
      <c r="P1296" s="3">
        <f t="shared" ca="1" si="133"/>
        <v>-0.51609550131740789</v>
      </c>
      <c r="Q1296" s="3">
        <f t="shared" ca="1" si="134"/>
        <v>2.3709308728158009</v>
      </c>
    </row>
    <row r="1297" spans="7:17" x14ac:dyDescent="0.25">
      <c r="G1297" s="3">
        <f t="shared" ca="1" si="129"/>
        <v>1</v>
      </c>
      <c r="H1297" s="3">
        <f t="shared" ca="1" si="130"/>
        <v>5.0803978411325161</v>
      </c>
      <c r="I1297" s="3">
        <f t="shared" ca="1" si="131"/>
        <v>11.269868944593496</v>
      </c>
      <c r="O1297" s="3">
        <f t="shared" ca="1" si="132"/>
        <v>-7.3007794315978316</v>
      </c>
      <c r="P1297" s="3">
        <f t="shared" ca="1" si="133"/>
        <v>-9.4931617759247011</v>
      </c>
      <c r="Q1297" s="3">
        <f t="shared" ca="1" si="134"/>
        <v>11.97587160972928</v>
      </c>
    </row>
    <row r="1298" spans="7:17" x14ac:dyDescent="0.25">
      <c r="G1298" s="3">
        <f t="shared" ca="1" si="129"/>
        <v>0</v>
      </c>
      <c r="H1298" s="3">
        <f t="shared" ca="1" si="130"/>
        <v>0.36255610899883883</v>
      </c>
      <c r="I1298" s="3">
        <f t="shared" ca="1" si="131"/>
        <v>3.0106316156200466</v>
      </c>
      <c r="O1298" s="3">
        <f t="shared" ca="1" si="132"/>
        <v>1.0859020254452716</v>
      </c>
      <c r="P1298" s="3">
        <f t="shared" ca="1" si="133"/>
        <v>-0.37187556688093343</v>
      </c>
      <c r="Q1298" s="3">
        <f t="shared" ca="1" si="134"/>
        <v>1.1478129839434466</v>
      </c>
    </row>
    <row r="1299" spans="7:17" x14ac:dyDescent="0.25">
      <c r="G1299" s="3">
        <f t="shared" ca="1" si="129"/>
        <v>0</v>
      </c>
      <c r="H1299" s="3">
        <f t="shared" ca="1" si="130"/>
        <v>1.854011305431676</v>
      </c>
      <c r="I1299" s="3">
        <f t="shared" ca="1" si="131"/>
        <v>6.8081041880828987</v>
      </c>
      <c r="O1299" s="3">
        <f t="shared" ca="1" si="132"/>
        <v>-5.6892881887973132</v>
      </c>
      <c r="P1299" s="3">
        <f t="shared" ca="1" si="133"/>
        <v>4.2519925136990473</v>
      </c>
      <c r="Q1299" s="3">
        <f t="shared" ca="1" si="134"/>
        <v>7.1026361607322501</v>
      </c>
    </row>
    <row r="1300" spans="7:17" x14ac:dyDescent="0.25">
      <c r="G1300" s="3">
        <f t="shared" ca="1" si="129"/>
        <v>0</v>
      </c>
      <c r="H1300" s="3">
        <f t="shared" ca="1" si="130"/>
        <v>8.5360915045009289</v>
      </c>
      <c r="I1300" s="3">
        <f t="shared" ca="1" si="131"/>
        <v>14.608295164478406</v>
      </c>
      <c r="O1300" s="3">
        <f t="shared" ca="1" si="132"/>
        <v>7.2988789412626627</v>
      </c>
      <c r="P1300" s="3">
        <f t="shared" ca="1" si="133"/>
        <v>-1.8407784775173281</v>
      </c>
      <c r="Q1300" s="3">
        <f t="shared" ca="1" si="134"/>
        <v>7.5274231449081288</v>
      </c>
    </row>
    <row r="1301" spans="7:17" x14ac:dyDescent="0.25">
      <c r="G1301" s="3">
        <f t="shared" ca="1" si="129"/>
        <v>0</v>
      </c>
      <c r="H1301" s="3">
        <f t="shared" ca="1" si="130"/>
        <v>0.91400034575491473</v>
      </c>
      <c r="I1301" s="3">
        <f t="shared" ca="1" si="131"/>
        <v>4.7801682652259085</v>
      </c>
      <c r="O1301" s="3">
        <f t="shared" ca="1" si="132"/>
        <v>-7.1568988907270032</v>
      </c>
      <c r="P1301" s="3">
        <f t="shared" ca="1" si="133"/>
        <v>-4.9818387728248954</v>
      </c>
      <c r="Q1301" s="3">
        <f t="shared" ca="1" si="134"/>
        <v>8.7200871148464376</v>
      </c>
    </row>
    <row r="1302" spans="7:17" x14ac:dyDescent="0.25">
      <c r="G1302" s="3">
        <f t="shared" ca="1" si="129"/>
        <v>0</v>
      </c>
      <c r="H1302" s="3">
        <f t="shared" ca="1" si="130"/>
        <v>1.0334807470928837</v>
      </c>
      <c r="I1302" s="3">
        <f t="shared" ca="1" si="131"/>
        <v>5.0830127559668883</v>
      </c>
      <c r="O1302" s="3">
        <f t="shared" ca="1" si="132"/>
        <v>-5.6524143470660562</v>
      </c>
      <c r="P1302" s="3">
        <f t="shared" ca="1" si="133"/>
        <v>0.34489163298914655</v>
      </c>
      <c r="Q1302" s="3">
        <f t="shared" ca="1" si="134"/>
        <v>5.6629266452448519</v>
      </c>
    </row>
    <row r="1303" spans="7:17" x14ac:dyDescent="0.25">
      <c r="G1303" s="3">
        <f t="shared" ca="1" si="129"/>
        <v>2</v>
      </c>
      <c r="H1303" s="3">
        <f t="shared" ca="1" si="130"/>
        <v>4.8877451809439298</v>
      </c>
      <c r="I1303" s="3">
        <f t="shared" ca="1" si="131"/>
        <v>11.054122738761238</v>
      </c>
      <c r="O1303" s="3">
        <f t="shared" ca="1" si="132"/>
        <v>-14.970659323414301</v>
      </c>
      <c r="P1303" s="3">
        <f t="shared" ca="1" si="133"/>
        <v>-0.56078410002158496</v>
      </c>
      <c r="Q1303" s="3">
        <f t="shared" ca="1" si="134"/>
        <v>14.981158813141544</v>
      </c>
    </row>
    <row r="1304" spans="7:17" x14ac:dyDescent="0.25">
      <c r="G1304" s="3">
        <f t="shared" ca="1" si="129"/>
        <v>0</v>
      </c>
      <c r="H1304" s="3">
        <f t="shared" ca="1" si="130"/>
        <v>0.85634782395170572</v>
      </c>
      <c r="I1304" s="3">
        <f t="shared" ca="1" si="131"/>
        <v>4.6269531658309058</v>
      </c>
      <c r="O1304" s="3">
        <f t="shared" ca="1" si="132"/>
        <v>-8.0340791224798576</v>
      </c>
      <c r="P1304" s="3">
        <f t="shared" ca="1" si="133"/>
        <v>-0.9292688793517101</v>
      </c>
      <c r="Q1304" s="3">
        <f t="shared" ca="1" si="134"/>
        <v>8.0876429196891664</v>
      </c>
    </row>
    <row r="1305" spans="7:17" x14ac:dyDescent="0.25">
      <c r="G1305" s="3">
        <f t="shared" ca="1" si="129"/>
        <v>0</v>
      </c>
      <c r="H1305" s="3">
        <f t="shared" ca="1" si="130"/>
        <v>3.9178267422160604</v>
      </c>
      <c r="I1305" s="3">
        <f t="shared" ca="1" si="131"/>
        <v>9.8967504038144511</v>
      </c>
      <c r="O1305" s="3">
        <f t="shared" ca="1" si="132"/>
        <v>-2.7475569243376805</v>
      </c>
      <c r="P1305" s="3">
        <f t="shared" ca="1" si="133"/>
        <v>-9.1661817774213983</v>
      </c>
      <c r="Q1305" s="3">
        <f t="shared" ca="1" si="134"/>
        <v>9.5691147672712145</v>
      </c>
    </row>
    <row r="1306" spans="7:17" x14ac:dyDescent="0.25">
      <c r="G1306" s="3">
        <f t="shared" ca="1" si="129"/>
        <v>1</v>
      </c>
      <c r="H1306" s="3">
        <f t="shared" ca="1" si="130"/>
        <v>11.112672866493353</v>
      </c>
      <c r="I1306" s="3">
        <f t="shared" ca="1" si="131"/>
        <v>16.667837942046766</v>
      </c>
      <c r="O1306" s="3">
        <f t="shared" ca="1" si="132"/>
        <v>-13.721710190058602</v>
      </c>
      <c r="P1306" s="3">
        <f t="shared" ca="1" si="133"/>
        <v>3.1929922822424182</v>
      </c>
      <c r="Q1306" s="3">
        <f t="shared" ca="1" si="134"/>
        <v>14.088311831245706</v>
      </c>
    </row>
    <row r="1307" spans="7:17" x14ac:dyDescent="0.25">
      <c r="G1307" s="3">
        <f t="shared" ca="1" si="129"/>
        <v>0</v>
      </c>
      <c r="H1307" s="3">
        <f t="shared" ca="1" si="130"/>
        <v>1.7248188777002778</v>
      </c>
      <c r="I1307" s="3">
        <f t="shared" ca="1" si="131"/>
        <v>6.5666179988261044</v>
      </c>
      <c r="O1307" s="3">
        <f t="shared" ca="1" si="132"/>
        <v>-7.982443163896928</v>
      </c>
      <c r="P1307" s="3">
        <f t="shared" ca="1" si="133"/>
        <v>-2.2651913359093405</v>
      </c>
      <c r="Q1307" s="3">
        <f t="shared" ca="1" si="134"/>
        <v>8.2976195775127906</v>
      </c>
    </row>
    <row r="1308" spans="7:17" x14ac:dyDescent="0.25">
      <c r="G1308" s="3">
        <f t="shared" ca="1" si="129"/>
        <v>1</v>
      </c>
      <c r="H1308" s="3">
        <f t="shared" ca="1" si="130"/>
        <v>1.3281949096045165</v>
      </c>
      <c r="I1308" s="3">
        <f t="shared" ca="1" si="131"/>
        <v>5.7623669390375447</v>
      </c>
      <c r="O1308" s="3">
        <f t="shared" ca="1" si="132"/>
        <v>-0.82275985480482561</v>
      </c>
      <c r="P1308" s="3">
        <f t="shared" ca="1" si="133"/>
        <v>-0.4817853145047179</v>
      </c>
      <c r="Q1308" s="3">
        <f t="shared" ca="1" si="134"/>
        <v>0.95344159126339123</v>
      </c>
    </row>
    <row r="1309" spans="7:17" x14ac:dyDescent="0.25">
      <c r="G1309" s="3">
        <f t="shared" ca="1" si="129"/>
        <v>2</v>
      </c>
      <c r="H1309" s="3">
        <f t="shared" ca="1" si="130"/>
        <v>4.9613722087142946</v>
      </c>
      <c r="I1309" s="3">
        <f t="shared" ca="1" si="131"/>
        <v>11.137068968892013</v>
      </c>
      <c r="O1309" s="3">
        <f t="shared" ca="1" si="132"/>
        <v>-11.514300914610258</v>
      </c>
      <c r="P1309" s="3">
        <f t="shared" ca="1" si="133"/>
        <v>-4.6999979944857531</v>
      </c>
      <c r="Q1309" s="3">
        <f t="shared" ca="1" si="134"/>
        <v>12.436603503383258</v>
      </c>
    </row>
    <row r="1310" spans="7:17" x14ac:dyDescent="0.25">
      <c r="G1310" s="3">
        <f t="shared" ca="1" si="129"/>
        <v>0</v>
      </c>
      <c r="H1310" s="3">
        <f t="shared" ca="1" si="130"/>
        <v>0.79360525364379242</v>
      </c>
      <c r="I1310" s="3">
        <f t="shared" ca="1" si="131"/>
        <v>4.4542262337127427</v>
      </c>
      <c r="O1310" s="3">
        <f t="shared" ca="1" si="132"/>
        <v>6.025678051280396</v>
      </c>
      <c r="P1310" s="3">
        <f t="shared" ca="1" si="133"/>
        <v>4.778767187669672</v>
      </c>
      <c r="Q1310" s="3">
        <f t="shared" ca="1" si="134"/>
        <v>7.6906054255585508</v>
      </c>
    </row>
    <row r="1311" spans="7:17" x14ac:dyDescent="0.25">
      <c r="G1311" s="3">
        <f t="shared" ca="1" si="129"/>
        <v>0</v>
      </c>
      <c r="H1311" s="3">
        <f t="shared" ca="1" si="130"/>
        <v>2.2209497739571364E-2</v>
      </c>
      <c r="I1311" s="3">
        <f t="shared" ca="1" si="131"/>
        <v>0.7451425658820493</v>
      </c>
      <c r="O1311" s="3">
        <f t="shared" ca="1" si="132"/>
        <v>-2.0002951632745276</v>
      </c>
      <c r="P1311" s="3">
        <f t="shared" ca="1" si="133"/>
        <v>-4.6175316295820457</v>
      </c>
      <c r="Q1311" s="3">
        <f t="shared" ca="1" si="134"/>
        <v>5.0321743899044371</v>
      </c>
    </row>
    <row r="1312" spans="7:17" x14ac:dyDescent="0.25">
      <c r="G1312" s="3">
        <f t="shared" ca="1" si="129"/>
        <v>1</v>
      </c>
      <c r="H1312" s="3">
        <f t="shared" ca="1" si="130"/>
        <v>5.8351145500202399</v>
      </c>
      <c r="I1312" s="3">
        <f t="shared" ca="1" si="131"/>
        <v>12.077990882199988</v>
      </c>
      <c r="O1312" s="3">
        <f t="shared" ca="1" si="132"/>
        <v>-1.8649297919309338</v>
      </c>
      <c r="P1312" s="3">
        <f t="shared" ca="1" si="133"/>
        <v>11.39545560284799</v>
      </c>
      <c r="Q1312" s="3">
        <f t="shared" ca="1" si="134"/>
        <v>11.547050338736348</v>
      </c>
    </row>
    <row r="1313" spans="7:17" x14ac:dyDescent="0.25">
      <c r="G1313" s="3">
        <f t="shared" ca="1" si="129"/>
        <v>1</v>
      </c>
      <c r="H1313" s="3">
        <f t="shared" ca="1" si="130"/>
        <v>1.018579096934588</v>
      </c>
      <c r="I1313" s="3">
        <f t="shared" ca="1" si="131"/>
        <v>5.0462339842069062</v>
      </c>
      <c r="O1313" s="3">
        <f t="shared" ca="1" si="132"/>
        <v>-9.5477023176236422</v>
      </c>
      <c r="P1313" s="3">
        <f t="shared" ca="1" si="133"/>
        <v>-0.41698438084953543</v>
      </c>
      <c r="Q1313" s="3">
        <f t="shared" ca="1" si="134"/>
        <v>9.5568036246345649</v>
      </c>
    </row>
    <row r="1314" spans="7:17" x14ac:dyDescent="0.25">
      <c r="G1314" s="3">
        <f t="shared" ca="1" si="129"/>
        <v>1</v>
      </c>
      <c r="H1314" s="3">
        <f t="shared" ca="1" si="130"/>
        <v>4.4752810823564708</v>
      </c>
      <c r="I1314" s="3">
        <f t="shared" ca="1" si="131"/>
        <v>10.577430078185898</v>
      </c>
      <c r="O1314" s="3">
        <f t="shared" ca="1" si="132"/>
        <v>0.23415410890262045</v>
      </c>
      <c r="P1314" s="3">
        <f t="shared" ca="1" si="133"/>
        <v>-4.9243668195235735</v>
      </c>
      <c r="Q1314" s="3">
        <f t="shared" ca="1" si="134"/>
        <v>4.929930701332494</v>
      </c>
    </row>
    <row r="1315" spans="7:17" x14ac:dyDescent="0.25">
      <c r="G1315" s="3">
        <f t="shared" ca="1" si="129"/>
        <v>0</v>
      </c>
      <c r="H1315" s="3">
        <f t="shared" ca="1" si="130"/>
        <v>5.3767264183041572</v>
      </c>
      <c r="I1315" s="3">
        <f t="shared" ca="1" si="131"/>
        <v>11.593884614640768</v>
      </c>
      <c r="O1315" s="3">
        <f t="shared" ca="1" si="132"/>
        <v>-2.1086699508788858</v>
      </c>
      <c r="P1315" s="3">
        <f t="shared" ca="1" si="133"/>
        <v>-4.936582877289589</v>
      </c>
      <c r="Q1315" s="3">
        <f t="shared" ca="1" si="134"/>
        <v>5.3680852700090673</v>
      </c>
    </row>
    <row r="1316" spans="7:17" x14ac:dyDescent="0.25">
      <c r="G1316" s="3">
        <f t="shared" ca="1" si="129"/>
        <v>0</v>
      </c>
      <c r="H1316" s="3">
        <f t="shared" ca="1" si="130"/>
        <v>0.88047163504137105</v>
      </c>
      <c r="I1316" s="3">
        <f t="shared" ca="1" si="131"/>
        <v>4.6916725030669255</v>
      </c>
      <c r="O1316" s="3">
        <f t="shared" ca="1" si="132"/>
        <v>-6.7776977324438725</v>
      </c>
      <c r="P1316" s="3">
        <f t="shared" ca="1" si="133"/>
        <v>-0.74229570771440911</v>
      </c>
      <c r="Q1316" s="3">
        <f t="shared" ca="1" si="134"/>
        <v>6.8182248034269186</v>
      </c>
    </row>
    <row r="1317" spans="7:17" x14ac:dyDescent="0.25">
      <c r="G1317" s="3">
        <f t="shared" ca="1" si="129"/>
        <v>0</v>
      </c>
      <c r="H1317" s="3">
        <f t="shared" ca="1" si="130"/>
        <v>9.2620008772602826</v>
      </c>
      <c r="I1317" s="3">
        <f t="shared" ca="1" si="131"/>
        <v>15.216767788578068</v>
      </c>
      <c r="O1317" s="3">
        <f t="shared" ca="1" si="132"/>
        <v>-6.4217361277576961</v>
      </c>
      <c r="P1317" s="3">
        <f t="shared" ca="1" si="133"/>
        <v>-4.063415800832348</v>
      </c>
      <c r="Q1317" s="3">
        <f t="shared" ca="1" si="134"/>
        <v>7.5993448970949071</v>
      </c>
    </row>
    <row r="1318" spans="7:17" x14ac:dyDescent="0.25">
      <c r="G1318" s="3">
        <f t="shared" ca="1" si="129"/>
        <v>1</v>
      </c>
      <c r="H1318" s="3">
        <f t="shared" ca="1" si="130"/>
        <v>6.622509886177486</v>
      </c>
      <c r="I1318" s="3">
        <f t="shared" ca="1" si="131"/>
        <v>12.867118836570878</v>
      </c>
      <c r="O1318" s="3">
        <f t="shared" ca="1" si="132"/>
        <v>-12.443991094255802</v>
      </c>
      <c r="P1318" s="3">
        <f t="shared" ca="1" si="133"/>
        <v>2.2356985217365821</v>
      </c>
      <c r="Q1318" s="3">
        <f t="shared" ca="1" si="134"/>
        <v>12.643229897222183</v>
      </c>
    </row>
    <row r="1319" spans="7:17" x14ac:dyDescent="0.25">
      <c r="G1319" s="3">
        <f t="shared" ca="1" si="129"/>
        <v>1</v>
      </c>
      <c r="H1319" s="3">
        <f t="shared" ca="1" si="130"/>
        <v>4.6178306445749628</v>
      </c>
      <c r="I1319" s="3">
        <f t="shared" ca="1" si="131"/>
        <v>10.744569145125089</v>
      </c>
      <c r="O1319" s="3">
        <f t="shared" ca="1" si="132"/>
        <v>-0.75832139106932583</v>
      </c>
      <c r="P1319" s="3">
        <f t="shared" ca="1" si="133"/>
        <v>2.4358106425020916</v>
      </c>
      <c r="Q1319" s="3">
        <f t="shared" ca="1" si="134"/>
        <v>2.5511222664309465</v>
      </c>
    </row>
    <row r="1320" spans="7:17" x14ac:dyDescent="0.25">
      <c r="G1320" s="3">
        <f t="shared" ca="1" si="129"/>
        <v>0</v>
      </c>
      <c r="H1320" s="3">
        <f t="shared" ca="1" si="130"/>
        <v>1.211299527533086</v>
      </c>
      <c r="I1320" s="3">
        <f t="shared" ca="1" si="131"/>
        <v>5.5029526790921217</v>
      </c>
      <c r="O1320" s="3">
        <f t="shared" ca="1" si="132"/>
        <v>-2.3536557762771149</v>
      </c>
      <c r="P1320" s="3">
        <f t="shared" ca="1" si="133"/>
        <v>-2.7072498425341442</v>
      </c>
      <c r="Q1320" s="3">
        <f t="shared" ca="1" si="134"/>
        <v>3.58732452157646</v>
      </c>
    </row>
    <row r="1321" spans="7:17" x14ac:dyDescent="0.25">
      <c r="G1321" s="3">
        <f t="shared" ca="1" si="129"/>
        <v>1</v>
      </c>
      <c r="H1321" s="3">
        <f t="shared" ca="1" si="130"/>
        <v>3.3123619676080613</v>
      </c>
      <c r="I1321" s="3">
        <f t="shared" ca="1" si="131"/>
        <v>9.0999477575534211</v>
      </c>
      <c r="O1321" s="3">
        <f t="shared" ca="1" si="132"/>
        <v>0.3860921435417346</v>
      </c>
      <c r="P1321" s="3">
        <f t="shared" ca="1" si="133"/>
        <v>3.1580145613091357</v>
      </c>
      <c r="Q1321" s="3">
        <f t="shared" ca="1" si="134"/>
        <v>3.1815284240039703</v>
      </c>
    </row>
    <row r="1322" spans="7:17" x14ac:dyDescent="0.25">
      <c r="G1322" s="3">
        <f t="shared" ca="1" si="129"/>
        <v>0</v>
      </c>
      <c r="H1322" s="3">
        <f t="shared" ca="1" si="130"/>
        <v>3.6636698952683875</v>
      </c>
      <c r="I1322" s="3">
        <f t="shared" ca="1" si="131"/>
        <v>9.5703577457537961</v>
      </c>
      <c r="O1322" s="3">
        <f t="shared" ca="1" si="132"/>
        <v>2.9495572687849059</v>
      </c>
      <c r="P1322" s="3">
        <f t="shared" ca="1" si="133"/>
        <v>2.2223752273351041</v>
      </c>
      <c r="Q1322" s="3">
        <f t="shared" ca="1" si="134"/>
        <v>3.6930799792198692</v>
      </c>
    </row>
    <row r="1323" spans="7:17" x14ac:dyDescent="0.25">
      <c r="G1323" s="3">
        <f t="shared" ca="1" si="129"/>
        <v>1</v>
      </c>
      <c r="H1323" s="3">
        <f t="shared" ca="1" si="130"/>
        <v>3.3323933579256306</v>
      </c>
      <c r="I1323" s="3">
        <f t="shared" ca="1" si="131"/>
        <v>9.1274220866650388</v>
      </c>
      <c r="O1323" s="3">
        <f t="shared" ca="1" si="132"/>
        <v>-9.5887256967080461</v>
      </c>
      <c r="P1323" s="3">
        <f t="shared" ca="1" si="133"/>
        <v>-1.8613367355662656</v>
      </c>
      <c r="Q1323" s="3">
        <f t="shared" ca="1" si="134"/>
        <v>9.7677139049973043</v>
      </c>
    </row>
    <row r="1324" spans="7:17" x14ac:dyDescent="0.25">
      <c r="G1324" s="3">
        <f t="shared" ca="1" si="129"/>
        <v>0</v>
      </c>
      <c r="H1324" s="3">
        <f t="shared" ca="1" si="130"/>
        <v>1.3598843569425216</v>
      </c>
      <c r="I1324" s="3">
        <f t="shared" ca="1" si="131"/>
        <v>5.8307039818158355</v>
      </c>
      <c r="O1324" s="3">
        <f t="shared" ca="1" si="132"/>
        <v>-8.2032592583737447</v>
      </c>
      <c r="P1324" s="3">
        <f t="shared" ca="1" si="133"/>
        <v>4.7283136266056154</v>
      </c>
      <c r="Q1324" s="3">
        <f t="shared" ca="1" si="134"/>
        <v>9.4683901594536604</v>
      </c>
    </row>
    <row r="1325" spans="7:17" x14ac:dyDescent="0.25">
      <c r="G1325" s="3">
        <f t="shared" ca="1" si="129"/>
        <v>1</v>
      </c>
      <c r="H1325" s="3">
        <f t="shared" ca="1" si="130"/>
        <v>9.3414529877912145</v>
      </c>
      <c r="I1325" s="3">
        <f t="shared" ca="1" si="131"/>
        <v>15.281895324035574</v>
      </c>
      <c r="O1325" s="3">
        <f t="shared" ca="1" si="132"/>
        <v>-7.9112020383725685</v>
      </c>
      <c r="P1325" s="3">
        <f t="shared" ca="1" si="133"/>
        <v>1.8132729627435802</v>
      </c>
      <c r="Q1325" s="3">
        <f t="shared" ca="1" si="134"/>
        <v>8.1163462548961753</v>
      </c>
    </row>
    <row r="1326" spans="7:17" x14ac:dyDescent="0.25">
      <c r="G1326" s="3">
        <f t="shared" ca="1" si="129"/>
        <v>1</v>
      </c>
      <c r="H1326" s="3">
        <f t="shared" ca="1" si="130"/>
        <v>8.0243297892032146</v>
      </c>
      <c r="I1326" s="3">
        <f t="shared" ca="1" si="131"/>
        <v>14.163623997059522</v>
      </c>
      <c r="O1326" s="3">
        <f t="shared" ca="1" si="132"/>
        <v>-7.5818361665147371</v>
      </c>
      <c r="P1326" s="3">
        <f t="shared" ca="1" si="133"/>
        <v>-2.0249555952204035</v>
      </c>
      <c r="Q1326" s="3">
        <f t="shared" ca="1" si="134"/>
        <v>7.84759102008287</v>
      </c>
    </row>
    <row r="1327" spans="7:17" x14ac:dyDescent="0.25">
      <c r="G1327" s="3">
        <f t="shared" ca="1" si="129"/>
        <v>1</v>
      </c>
      <c r="H1327" s="3">
        <f t="shared" ca="1" si="130"/>
        <v>5.1266574702018133</v>
      </c>
      <c r="I1327" s="3">
        <f t="shared" ca="1" si="131"/>
        <v>11.321061644344375</v>
      </c>
      <c r="O1327" s="3">
        <f t="shared" ca="1" si="132"/>
        <v>-8.5212411668833816</v>
      </c>
      <c r="P1327" s="3">
        <f t="shared" ca="1" si="133"/>
        <v>-6.8805035984789417E-2</v>
      </c>
      <c r="Q1327" s="3">
        <f t="shared" ca="1" si="134"/>
        <v>8.5215189465942593</v>
      </c>
    </row>
    <row r="1328" spans="7:17" x14ac:dyDescent="0.25">
      <c r="G1328" s="3">
        <f t="shared" ca="1" si="129"/>
        <v>0</v>
      </c>
      <c r="H1328" s="3">
        <f t="shared" ca="1" si="130"/>
        <v>2.2186324410978449</v>
      </c>
      <c r="I1328" s="3">
        <f t="shared" ca="1" si="131"/>
        <v>7.4475372457911293</v>
      </c>
      <c r="O1328" s="3">
        <f t="shared" ca="1" si="132"/>
        <v>-10.611310322639168</v>
      </c>
      <c r="P1328" s="3">
        <f t="shared" ca="1" si="133"/>
        <v>5.5522670161330549E-2</v>
      </c>
      <c r="Q1328" s="3">
        <f t="shared" ca="1" si="134"/>
        <v>10.61145558018552</v>
      </c>
    </row>
    <row r="1329" spans="7:17" x14ac:dyDescent="0.25">
      <c r="G1329" s="3">
        <f t="shared" ca="1" si="129"/>
        <v>1</v>
      </c>
      <c r="H1329" s="3">
        <f t="shared" ca="1" si="130"/>
        <v>3.4646972584704949</v>
      </c>
      <c r="I1329" s="3">
        <f t="shared" ca="1" si="131"/>
        <v>9.3068486321505404</v>
      </c>
      <c r="O1329" s="3">
        <f t="shared" ca="1" si="132"/>
        <v>-1.7963955777487488</v>
      </c>
      <c r="P1329" s="3">
        <f t="shared" ca="1" si="133"/>
        <v>-3.553047650353006</v>
      </c>
      <c r="Q1329" s="3">
        <f t="shared" ca="1" si="134"/>
        <v>3.9813546284442283</v>
      </c>
    </row>
    <row r="1330" spans="7:17" x14ac:dyDescent="0.25">
      <c r="G1330" s="3">
        <f t="shared" ca="1" si="129"/>
        <v>0</v>
      </c>
      <c r="H1330" s="3">
        <f t="shared" ca="1" si="130"/>
        <v>8.9402054105291756E-2</v>
      </c>
      <c r="I1330" s="3">
        <f t="shared" ca="1" si="131"/>
        <v>1.4950088135634165</v>
      </c>
      <c r="O1330" s="3">
        <f t="shared" ca="1" si="132"/>
        <v>1.137196839903476</v>
      </c>
      <c r="P1330" s="3">
        <f t="shared" ca="1" si="133"/>
        <v>5.3596085700099119</v>
      </c>
      <c r="Q1330" s="3">
        <f t="shared" ca="1" si="134"/>
        <v>5.4789251387849918</v>
      </c>
    </row>
    <row r="1331" spans="7:17" x14ac:dyDescent="0.25">
      <c r="G1331" s="3">
        <f t="shared" ca="1" si="129"/>
        <v>0</v>
      </c>
      <c r="H1331" s="3">
        <f t="shared" ca="1" si="130"/>
        <v>3.5509066799332993</v>
      </c>
      <c r="I1331" s="3">
        <f t="shared" ca="1" si="131"/>
        <v>9.421924803262467</v>
      </c>
      <c r="O1331" s="3">
        <f t="shared" ca="1" si="132"/>
        <v>-10.133493390283832</v>
      </c>
      <c r="P1331" s="3">
        <f t="shared" ca="1" si="133"/>
        <v>8.1714769219985648</v>
      </c>
      <c r="Q1331" s="3">
        <f t="shared" ca="1" si="134"/>
        <v>13.017708069306257</v>
      </c>
    </row>
    <row r="1332" spans="7:17" x14ac:dyDescent="0.25">
      <c r="G1332" s="3">
        <f t="shared" ca="1" si="129"/>
        <v>0</v>
      </c>
      <c r="H1332" s="3">
        <f t="shared" ca="1" si="130"/>
        <v>0.78184738250512875</v>
      </c>
      <c r="I1332" s="3">
        <f t="shared" ca="1" si="131"/>
        <v>4.4211067124226053</v>
      </c>
      <c r="O1332" s="3">
        <f t="shared" ca="1" si="132"/>
        <v>-6.675143362769016</v>
      </c>
      <c r="P1332" s="3">
        <f t="shared" ca="1" si="133"/>
        <v>4.0370274607854819</v>
      </c>
      <c r="Q1332" s="3">
        <f t="shared" ca="1" si="134"/>
        <v>7.8009697879593993</v>
      </c>
    </row>
    <row r="1333" spans="7:17" x14ac:dyDescent="0.25">
      <c r="G1333" s="3">
        <f t="shared" ca="1" si="129"/>
        <v>0</v>
      </c>
      <c r="H1333" s="3">
        <f t="shared" ca="1" si="130"/>
        <v>2.8789377484605732</v>
      </c>
      <c r="I1333" s="3">
        <f t="shared" ca="1" si="131"/>
        <v>8.4837163856127535</v>
      </c>
      <c r="O1333" s="3">
        <f t="shared" ca="1" si="132"/>
        <v>0.1033433639496284</v>
      </c>
      <c r="P1333" s="3">
        <f t="shared" ca="1" si="133"/>
        <v>4.4160582029876467</v>
      </c>
      <c r="Q1333" s="3">
        <f t="shared" ca="1" si="134"/>
        <v>4.4172672437885065</v>
      </c>
    </row>
    <row r="1334" spans="7:17" x14ac:dyDescent="0.25">
      <c r="G1334" s="3">
        <f t="shared" ca="1" si="129"/>
        <v>1</v>
      </c>
      <c r="H1334" s="3">
        <f t="shared" ca="1" si="130"/>
        <v>1.8535574203426088</v>
      </c>
      <c r="I1334" s="3">
        <f t="shared" ca="1" si="131"/>
        <v>6.8072707826679864</v>
      </c>
      <c r="O1334" s="3">
        <f t="shared" ca="1" si="132"/>
        <v>-5.2602441637252824</v>
      </c>
      <c r="P1334" s="3">
        <f t="shared" ca="1" si="133"/>
        <v>0.12791877050538678</v>
      </c>
      <c r="Q1334" s="3">
        <f t="shared" ca="1" si="134"/>
        <v>5.2617993000354462</v>
      </c>
    </row>
    <row r="1335" spans="7:17" x14ac:dyDescent="0.25">
      <c r="G1335" s="3">
        <f t="shared" ca="1" si="129"/>
        <v>0</v>
      </c>
      <c r="H1335" s="3">
        <f t="shared" ca="1" si="130"/>
        <v>0.24645334438162381</v>
      </c>
      <c r="I1335" s="3">
        <f t="shared" ca="1" si="131"/>
        <v>2.4822033779568899</v>
      </c>
      <c r="O1335" s="3">
        <f t="shared" ca="1" si="132"/>
        <v>-6.5430135933303442</v>
      </c>
      <c r="P1335" s="3">
        <f t="shared" ca="1" si="133"/>
        <v>-3.187202378013279</v>
      </c>
      <c r="Q1335" s="3">
        <f t="shared" ca="1" si="134"/>
        <v>7.2780001292195076</v>
      </c>
    </row>
    <row r="1336" spans="7:17" x14ac:dyDescent="0.25">
      <c r="G1336" s="3">
        <f t="shared" ca="1" si="129"/>
        <v>1</v>
      </c>
      <c r="H1336" s="3">
        <f t="shared" ca="1" si="130"/>
        <v>2.6035873708039836</v>
      </c>
      <c r="I1336" s="3">
        <f t="shared" ca="1" si="131"/>
        <v>8.0678178133928871</v>
      </c>
      <c r="O1336" s="3">
        <f t="shared" ca="1" si="132"/>
        <v>-4.2177257467540823</v>
      </c>
      <c r="P1336" s="3">
        <f t="shared" ca="1" si="133"/>
        <v>2.1743174976263431</v>
      </c>
      <c r="Q1336" s="3">
        <f t="shared" ca="1" si="134"/>
        <v>4.7451941009105587</v>
      </c>
    </row>
    <row r="1337" spans="7:17" x14ac:dyDescent="0.25">
      <c r="G1337" s="3">
        <f t="shared" ca="1" si="129"/>
        <v>0</v>
      </c>
      <c r="H1337" s="3">
        <f t="shared" ca="1" si="130"/>
        <v>5.8724926679720584</v>
      </c>
      <c r="I1337" s="3">
        <f t="shared" ca="1" si="131"/>
        <v>12.116613252031339</v>
      </c>
      <c r="O1337" s="3">
        <f t="shared" ca="1" si="132"/>
        <v>-7.8685130246584993</v>
      </c>
      <c r="P1337" s="3">
        <f t="shared" ca="1" si="133"/>
        <v>5.8837685817619585</v>
      </c>
      <c r="Q1337" s="3">
        <f t="shared" ca="1" si="134"/>
        <v>9.8250816761464925</v>
      </c>
    </row>
    <row r="1338" spans="7:17" x14ac:dyDescent="0.25">
      <c r="G1338" s="3">
        <f t="shared" ca="1" si="129"/>
        <v>0</v>
      </c>
      <c r="H1338" s="3">
        <f t="shared" ca="1" si="130"/>
        <v>1.5929325686437474</v>
      </c>
      <c r="I1338" s="3">
        <f t="shared" ca="1" si="131"/>
        <v>6.3105716235610299</v>
      </c>
      <c r="O1338" s="3">
        <f t="shared" ca="1" si="132"/>
        <v>-1.2268828738683375</v>
      </c>
      <c r="P1338" s="3">
        <f t="shared" ca="1" si="133"/>
        <v>-11.227961725131534</v>
      </c>
      <c r="Q1338" s="3">
        <f t="shared" ca="1" si="134"/>
        <v>11.294793760277791</v>
      </c>
    </row>
    <row r="1339" spans="7:17" x14ac:dyDescent="0.25">
      <c r="G1339" s="3">
        <f t="shared" ca="1" si="129"/>
        <v>0</v>
      </c>
      <c r="H1339" s="3">
        <f t="shared" ca="1" si="130"/>
        <v>0.61996692933036479</v>
      </c>
      <c r="I1339" s="3">
        <f t="shared" ca="1" si="131"/>
        <v>3.9368989361246145</v>
      </c>
      <c r="O1339" s="3">
        <f t="shared" ca="1" si="132"/>
        <v>-6.3428256586841245</v>
      </c>
      <c r="P1339" s="3">
        <f t="shared" ca="1" si="133"/>
        <v>3.3320983101369603</v>
      </c>
      <c r="Q1339" s="3">
        <f t="shared" ca="1" si="134"/>
        <v>7.1647970302639612</v>
      </c>
    </row>
    <row r="1340" spans="7:17" x14ac:dyDescent="0.25">
      <c r="G1340" s="3">
        <f t="shared" ca="1" si="129"/>
        <v>0</v>
      </c>
      <c r="H1340" s="3">
        <f t="shared" ca="1" si="130"/>
        <v>0.81169953377774573</v>
      </c>
      <c r="I1340" s="3">
        <f t="shared" ca="1" si="131"/>
        <v>4.5047184534045677</v>
      </c>
      <c r="O1340" s="3">
        <f t="shared" ca="1" si="132"/>
        <v>0.59555259946888484</v>
      </c>
      <c r="P1340" s="3">
        <f t="shared" ca="1" si="133"/>
        <v>-0.99154606638812437</v>
      </c>
      <c r="Q1340" s="3">
        <f t="shared" ca="1" si="134"/>
        <v>1.1566531461522545</v>
      </c>
    </row>
    <row r="1341" spans="7:17" x14ac:dyDescent="0.25">
      <c r="G1341" s="3">
        <f t="shared" ca="1" si="129"/>
        <v>0</v>
      </c>
      <c r="H1341" s="3">
        <f t="shared" ca="1" si="130"/>
        <v>0.47807515679857582</v>
      </c>
      <c r="I1341" s="3">
        <f t="shared" ca="1" si="131"/>
        <v>3.4571489583129615</v>
      </c>
      <c r="O1341" s="3">
        <f t="shared" ca="1" si="132"/>
        <v>4.8007514474656094</v>
      </c>
      <c r="P1341" s="3">
        <f t="shared" ca="1" si="133"/>
        <v>4.7261526957267339</v>
      </c>
      <c r="Q1341" s="3">
        <f t="shared" ca="1" si="134"/>
        <v>6.7367450422045971</v>
      </c>
    </row>
    <row r="1342" spans="7:17" x14ac:dyDescent="0.25">
      <c r="G1342" s="3">
        <f t="shared" ca="1" si="129"/>
        <v>0</v>
      </c>
      <c r="H1342" s="3">
        <f t="shared" ca="1" si="130"/>
        <v>3.7951592238286107</v>
      </c>
      <c r="I1342" s="3">
        <f t="shared" ca="1" si="131"/>
        <v>9.7405842019724496</v>
      </c>
      <c r="O1342" s="3">
        <f t="shared" ca="1" si="132"/>
        <v>-4.3360180924084828</v>
      </c>
      <c r="P1342" s="3">
        <f t="shared" ca="1" si="133"/>
        <v>-5.1221059952101626</v>
      </c>
      <c r="Q1342" s="3">
        <f t="shared" ca="1" si="134"/>
        <v>6.7109628760604529</v>
      </c>
    </row>
    <row r="1343" spans="7:17" x14ac:dyDescent="0.25">
      <c r="G1343" s="3">
        <f t="shared" ca="1" si="129"/>
        <v>1</v>
      </c>
      <c r="H1343" s="3">
        <f t="shared" ca="1" si="130"/>
        <v>4.1745151509504685</v>
      </c>
      <c r="I1343" s="3">
        <f t="shared" ca="1" si="131"/>
        <v>10.215815130167623</v>
      </c>
      <c r="O1343" s="3">
        <f t="shared" ca="1" si="132"/>
        <v>1.5736194858968666</v>
      </c>
      <c r="P1343" s="3">
        <f t="shared" ca="1" si="133"/>
        <v>0.93398759727568703</v>
      </c>
      <c r="Q1343" s="3">
        <f t="shared" ca="1" si="134"/>
        <v>1.8299210688603837</v>
      </c>
    </row>
    <row r="1344" spans="7:17" x14ac:dyDescent="0.25">
      <c r="G1344" s="3">
        <f t="shared" ca="1" si="129"/>
        <v>0</v>
      </c>
      <c r="H1344" s="3">
        <f t="shared" ca="1" si="130"/>
        <v>0.19697036406440416</v>
      </c>
      <c r="I1344" s="3">
        <f t="shared" ca="1" si="131"/>
        <v>2.2190671692425408</v>
      </c>
      <c r="O1344" s="3">
        <f t="shared" ca="1" si="132"/>
        <v>-9.3060623361840165</v>
      </c>
      <c r="P1344" s="3">
        <f t="shared" ca="1" si="133"/>
        <v>4.7798916194261754</v>
      </c>
      <c r="Q1344" s="3">
        <f t="shared" ca="1" si="134"/>
        <v>10.46184305456755</v>
      </c>
    </row>
    <row r="1345" spans="7:17" x14ac:dyDescent="0.25">
      <c r="G1345" s="3">
        <f t="shared" ca="1" si="129"/>
        <v>1</v>
      </c>
      <c r="H1345" s="3">
        <f t="shared" ca="1" si="130"/>
        <v>8.2738160502120568</v>
      </c>
      <c r="I1345" s="3">
        <f t="shared" ca="1" si="131"/>
        <v>14.38212088863466</v>
      </c>
      <c r="O1345" s="3">
        <f t="shared" ca="1" si="132"/>
        <v>2.5554163219412729</v>
      </c>
      <c r="P1345" s="3">
        <f t="shared" ca="1" si="133"/>
        <v>-3.4183896735398736</v>
      </c>
      <c r="Q1345" s="3">
        <f t="shared" ca="1" si="134"/>
        <v>4.267966792116348</v>
      </c>
    </row>
    <row r="1346" spans="7:17" x14ac:dyDescent="0.25">
      <c r="G1346" s="3">
        <f t="shared" ca="1" si="129"/>
        <v>1</v>
      </c>
      <c r="H1346" s="3">
        <f t="shared" ca="1" si="130"/>
        <v>5.3051127988702875</v>
      </c>
      <c r="I1346" s="3">
        <f t="shared" ca="1" si="131"/>
        <v>11.516415239637601</v>
      </c>
      <c r="O1346" s="3">
        <f t="shared" ca="1" si="132"/>
        <v>-12.157457613364574</v>
      </c>
      <c r="P1346" s="3">
        <f t="shared" ca="1" si="133"/>
        <v>8.5389177175212332</v>
      </c>
      <c r="Q1346" s="3">
        <f t="shared" ca="1" si="134"/>
        <v>14.856543723469274</v>
      </c>
    </row>
    <row r="1347" spans="7:17" x14ac:dyDescent="0.25">
      <c r="G1347" s="3">
        <f t="shared" ca="1" si="129"/>
        <v>0</v>
      </c>
      <c r="H1347" s="3">
        <f t="shared" ca="1" si="130"/>
        <v>0.78121767769870376</v>
      </c>
      <c r="I1347" s="3">
        <f t="shared" ca="1" si="131"/>
        <v>4.4193259601965993</v>
      </c>
      <c r="O1347" s="3">
        <f t="shared" ca="1" si="132"/>
        <v>3.9031984272806284</v>
      </c>
      <c r="P1347" s="3">
        <f t="shared" ca="1" si="133"/>
        <v>5.1130580473758149</v>
      </c>
      <c r="Q1347" s="3">
        <f t="shared" ca="1" si="134"/>
        <v>6.432598274302582</v>
      </c>
    </row>
    <row r="1348" spans="7:17" x14ac:dyDescent="0.25">
      <c r="G1348" s="3">
        <f t="shared" ref="G1348:G1411" ca="1" si="135">VLOOKUP(RAND(),$B$9:$C$169,2,TRUE)</f>
        <v>1</v>
      </c>
      <c r="H1348" s="3">
        <f t="shared" ref="H1348:H1411" ca="1" si="136">_xlfn.CHISQ.INV(RAND(),2*G1348+2)</f>
        <v>7.7006131872707577</v>
      </c>
      <c r="I1348" s="3">
        <f t="shared" ref="I1348:I1411" ca="1" si="137">$C$4*SQRT(H1348)</f>
        <v>13.874989357897503</v>
      </c>
      <c r="O1348" s="3">
        <f t="shared" ref="O1348:O1411" ca="1" si="138">_xlfn.NORM.INV(RAND(),$C$3*COS($N$2),$C$4)</f>
        <v>-12.301141617153968</v>
      </c>
      <c r="P1348" s="3">
        <f t="shared" ref="P1348:P1411" ca="1" si="139">_xlfn.NORM.INV(RAND(),$C$3*SIN($N$2),$C$4)</f>
        <v>-2.5801694190380244</v>
      </c>
      <c r="Q1348" s="3">
        <f t="shared" ref="Q1348:Q1411" ca="1" si="140">SQRT(O1348^2+P1348^2)</f>
        <v>12.568824897985346</v>
      </c>
    </row>
    <row r="1349" spans="7:17" x14ac:dyDescent="0.25">
      <c r="G1349" s="3">
        <f t="shared" ca="1" si="135"/>
        <v>1</v>
      </c>
      <c r="H1349" s="3">
        <f t="shared" ca="1" si="136"/>
        <v>9.3406787423668796</v>
      </c>
      <c r="I1349" s="3">
        <f t="shared" ca="1" si="137"/>
        <v>15.281262008066349</v>
      </c>
      <c r="O1349" s="3">
        <f t="shared" ca="1" si="138"/>
        <v>-3.2586868168311689</v>
      </c>
      <c r="P1349" s="3">
        <f t="shared" ca="1" si="139"/>
        <v>-4.6517293326223568</v>
      </c>
      <c r="Q1349" s="3">
        <f t="shared" ca="1" si="140"/>
        <v>5.6795796987249414</v>
      </c>
    </row>
    <row r="1350" spans="7:17" x14ac:dyDescent="0.25">
      <c r="G1350" s="3">
        <f t="shared" ca="1" si="135"/>
        <v>0</v>
      </c>
      <c r="H1350" s="3">
        <f t="shared" ca="1" si="136"/>
        <v>1.7665964003283292</v>
      </c>
      <c r="I1350" s="3">
        <f t="shared" ca="1" si="137"/>
        <v>6.6456685147702208</v>
      </c>
      <c r="O1350" s="3">
        <f t="shared" ca="1" si="138"/>
        <v>-3.052150054632365</v>
      </c>
      <c r="P1350" s="3">
        <f t="shared" ca="1" si="139"/>
        <v>-1.7957223148069474</v>
      </c>
      <c r="Q1350" s="3">
        <f t="shared" ca="1" si="140"/>
        <v>3.5412199293305648</v>
      </c>
    </row>
    <row r="1351" spans="7:17" x14ac:dyDescent="0.25">
      <c r="G1351" s="3">
        <f t="shared" ca="1" si="135"/>
        <v>0</v>
      </c>
      <c r="H1351" s="3">
        <f t="shared" ca="1" si="136"/>
        <v>1.4670469041910372</v>
      </c>
      <c r="I1351" s="3">
        <f t="shared" ca="1" si="137"/>
        <v>6.0560855843338226</v>
      </c>
      <c r="O1351" s="3">
        <f t="shared" ca="1" si="138"/>
        <v>-3.4186673667700247</v>
      </c>
      <c r="P1351" s="3">
        <f t="shared" ca="1" si="139"/>
        <v>-2.3089567180622996</v>
      </c>
      <c r="Q1351" s="3">
        <f t="shared" ca="1" si="140"/>
        <v>4.1253566743377856</v>
      </c>
    </row>
    <row r="1352" spans="7:17" x14ac:dyDescent="0.25">
      <c r="G1352" s="3">
        <f t="shared" ca="1" si="135"/>
        <v>1</v>
      </c>
      <c r="H1352" s="3">
        <f t="shared" ca="1" si="136"/>
        <v>2.9330162744555226</v>
      </c>
      <c r="I1352" s="3">
        <f t="shared" ca="1" si="137"/>
        <v>8.563025567017073</v>
      </c>
      <c r="O1352" s="3">
        <f t="shared" ca="1" si="138"/>
        <v>2.1782638794017117</v>
      </c>
      <c r="P1352" s="3">
        <f t="shared" ca="1" si="139"/>
        <v>1.2071212400342353</v>
      </c>
      <c r="Q1352" s="3">
        <f t="shared" ca="1" si="140"/>
        <v>2.4903765210200617</v>
      </c>
    </row>
    <row r="1353" spans="7:17" x14ac:dyDescent="0.25">
      <c r="G1353" s="3">
        <f t="shared" ca="1" si="135"/>
        <v>0</v>
      </c>
      <c r="H1353" s="3">
        <f t="shared" ca="1" si="136"/>
        <v>3.3778231760606521</v>
      </c>
      <c r="I1353" s="3">
        <f t="shared" ca="1" si="137"/>
        <v>9.1894275883493588</v>
      </c>
      <c r="O1353" s="3">
        <f t="shared" ca="1" si="138"/>
        <v>-14.897939022637802</v>
      </c>
      <c r="P1353" s="3">
        <f t="shared" ca="1" si="139"/>
        <v>-0.75870576071675611</v>
      </c>
      <c r="Q1353" s="3">
        <f t="shared" ca="1" si="140"/>
        <v>14.917245776401854</v>
      </c>
    </row>
    <row r="1354" spans="7:17" x14ac:dyDescent="0.25">
      <c r="G1354" s="3">
        <f t="shared" ca="1" si="135"/>
        <v>0</v>
      </c>
      <c r="H1354" s="3">
        <f t="shared" ca="1" si="136"/>
        <v>0.95892809428500836</v>
      </c>
      <c r="I1354" s="3">
        <f t="shared" ca="1" si="137"/>
        <v>4.8962436987067148</v>
      </c>
      <c r="O1354" s="3">
        <f t="shared" ca="1" si="138"/>
        <v>-8.2654490802989464</v>
      </c>
      <c r="P1354" s="3">
        <f t="shared" ca="1" si="139"/>
        <v>6.6019419079982011</v>
      </c>
      <c r="Q1354" s="3">
        <f t="shared" ca="1" si="140"/>
        <v>10.578434924675655</v>
      </c>
    </row>
    <row r="1355" spans="7:17" x14ac:dyDescent="0.25">
      <c r="G1355" s="3">
        <f t="shared" ca="1" si="135"/>
        <v>0</v>
      </c>
      <c r="H1355" s="3">
        <f t="shared" ca="1" si="136"/>
        <v>1.7895501946274304</v>
      </c>
      <c r="I1355" s="3">
        <f t="shared" ca="1" si="137"/>
        <v>6.6887035265203494</v>
      </c>
      <c r="O1355" s="3">
        <f t="shared" ca="1" si="138"/>
        <v>-2.2446339082052269</v>
      </c>
      <c r="P1355" s="3">
        <f t="shared" ca="1" si="139"/>
        <v>1.0980025549806849</v>
      </c>
      <c r="Q1355" s="3">
        <f t="shared" ca="1" si="140"/>
        <v>2.4987979095174508</v>
      </c>
    </row>
    <row r="1356" spans="7:17" x14ac:dyDescent="0.25">
      <c r="G1356" s="3">
        <f t="shared" ca="1" si="135"/>
        <v>2</v>
      </c>
      <c r="H1356" s="3">
        <f t="shared" ca="1" si="136"/>
        <v>6.4878473341904117</v>
      </c>
      <c r="I1356" s="3">
        <f t="shared" ca="1" si="137"/>
        <v>12.735626539544896</v>
      </c>
      <c r="O1356" s="3">
        <f t="shared" ca="1" si="138"/>
        <v>-6.8706910581859297</v>
      </c>
      <c r="P1356" s="3">
        <f t="shared" ca="1" si="139"/>
        <v>-0.10187222358547857</v>
      </c>
      <c r="Q1356" s="3">
        <f t="shared" ca="1" si="140"/>
        <v>6.8714462500243965</v>
      </c>
    </row>
    <row r="1357" spans="7:17" x14ac:dyDescent="0.25">
      <c r="G1357" s="3">
        <f t="shared" ca="1" si="135"/>
        <v>1</v>
      </c>
      <c r="H1357" s="3">
        <f t="shared" ca="1" si="136"/>
        <v>2.8585585440979631</v>
      </c>
      <c r="I1357" s="3">
        <f t="shared" ca="1" si="137"/>
        <v>8.4536361172248871</v>
      </c>
      <c r="O1357" s="3">
        <f t="shared" ca="1" si="138"/>
        <v>-10.358210479349886</v>
      </c>
      <c r="P1357" s="3">
        <f t="shared" ca="1" si="139"/>
        <v>4.6734321784941244</v>
      </c>
      <c r="Q1357" s="3">
        <f t="shared" ca="1" si="140"/>
        <v>11.363691858788592</v>
      </c>
    </row>
    <row r="1358" spans="7:17" x14ac:dyDescent="0.25">
      <c r="G1358" s="3">
        <f t="shared" ca="1" si="135"/>
        <v>0</v>
      </c>
      <c r="H1358" s="3">
        <f t="shared" ca="1" si="136"/>
        <v>4.2660697964243104</v>
      </c>
      <c r="I1358" s="3">
        <f t="shared" ca="1" si="137"/>
        <v>10.3272331682115</v>
      </c>
      <c r="O1358" s="3">
        <f t="shared" ca="1" si="138"/>
        <v>-1.8856187091330217</v>
      </c>
      <c r="P1358" s="3">
        <f t="shared" ca="1" si="139"/>
        <v>2.7167909095537728</v>
      </c>
      <c r="Q1358" s="3">
        <f t="shared" ca="1" si="140"/>
        <v>3.3070395767916807</v>
      </c>
    </row>
    <row r="1359" spans="7:17" x14ac:dyDescent="0.25">
      <c r="G1359" s="3">
        <f t="shared" ca="1" si="135"/>
        <v>0</v>
      </c>
      <c r="H1359" s="3">
        <f t="shared" ca="1" si="136"/>
        <v>0.80255054352822619</v>
      </c>
      <c r="I1359" s="3">
        <f t="shared" ca="1" si="137"/>
        <v>4.4792592678037355</v>
      </c>
      <c r="O1359" s="3">
        <f t="shared" ca="1" si="138"/>
        <v>-5.9628235001046157</v>
      </c>
      <c r="P1359" s="3">
        <f t="shared" ca="1" si="139"/>
        <v>3.1620803100483177</v>
      </c>
      <c r="Q1359" s="3">
        <f t="shared" ca="1" si="140"/>
        <v>6.7493715248603054</v>
      </c>
    </row>
    <row r="1360" spans="7:17" x14ac:dyDescent="0.25">
      <c r="G1360" s="3">
        <f t="shared" ca="1" si="135"/>
        <v>2</v>
      </c>
      <c r="H1360" s="3">
        <f t="shared" ca="1" si="136"/>
        <v>3.5279814689141848</v>
      </c>
      <c r="I1360" s="3">
        <f t="shared" ca="1" si="137"/>
        <v>9.3914608407241218</v>
      </c>
      <c r="O1360" s="3">
        <f t="shared" ca="1" si="138"/>
        <v>-11.493004842789418</v>
      </c>
      <c r="P1360" s="3">
        <f t="shared" ca="1" si="139"/>
        <v>-0.9550470653249642</v>
      </c>
      <c r="Q1360" s="3">
        <f t="shared" ca="1" si="140"/>
        <v>11.532617882049454</v>
      </c>
    </row>
    <row r="1361" spans="7:17" x14ac:dyDescent="0.25">
      <c r="G1361" s="3">
        <f t="shared" ca="1" si="135"/>
        <v>0</v>
      </c>
      <c r="H1361" s="3">
        <f t="shared" ca="1" si="136"/>
        <v>0.3423505359086278</v>
      </c>
      <c r="I1361" s="3">
        <f t="shared" ca="1" si="137"/>
        <v>2.9255364290529173</v>
      </c>
      <c r="O1361" s="3">
        <f t="shared" ca="1" si="138"/>
        <v>-1.2094665616037279</v>
      </c>
      <c r="P1361" s="3">
        <f t="shared" ca="1" si="139"/>
        <v>3.4955210232481488</v>
      </c>
      <c r="Q1361" s="3">
        <f t="shared" ca="1" si="140"/>
        <v>3.6988480081786719</v>
      </c>
    </row>
    <row r="1362" spans="7:17" x14ac:dyDescent="0.25">
      <c r="G1362" s="3">
        <f t="shared" ca="1" si="135"/>
        <v>0</v>
      </c>
      <c r="H1362" s="3">
        <f t="shared" ca="1" si="136"/>
        <v>0.24319545055386804</v>
      </c>
      <c r="I1362" s="3">
        <f t="shared" ca="1" si="137"/>
        <v>2.465742538029204</v>
      </c>
      <c r="O1362" s="3">
        <f t="shared" ca="1" si="138"/>
        <v>-2.2264462997454593</v>
      </c>
      <c r="P1362" s="3">
        <f t="shared" ca="1" si="139"/>
        <v>-6.771954507242878</v>
      </c>
      <c r="Q1362" s="3">
        <f t="shared" ca="1" si="140"/>
        <v>7.1285644399007415</v>
      </c>
    </row>
    <row r="1363" spans="7:17" x14ac:dyDescent="0.25">
      <c r="G1363" s="3">
        <f t="shared" ca="1" si="135"/>
        <v>1</v>
      </c>
      <c r="H1363" s="3">
        <f t="shared" ca="1" si="136"/>
        <v>4.9401795647068791</v>
      </c>
      <c r="I1363" s="3">
        <f t="shared" ca="1" si="137"/>
        <v>11.113257358563779</v>
      </c>
      <c r="O1363" s="3">
        <f t="shared" ca="1" si="138"/>
        <v>-2.4613423117449598</v>
      </c>
      <c r="P1363" s="3">
        <f t="shared" ca="1" si="139"/>
        <v>10.856302825777693</v>
      </c>
      <c r="Q1363" s="3">
        <f t="shared" ca="1" si="140"/>
        <v>11.131824514452909</v>
      </c>
    </row>
    <row r="1364" spans="7:17" x14ac:dyDescent="0.25">
      <c r="G1364" s="3">
        <f t="shared" ca="1" si="135"/>
        <v>0</v>
      </c>
      <c r="H1364" s="3">
        <f t="shared" ca="1" si="136"/>
        <v>1.5250874934842911</v>
      </c>
      <c r="I1364" s="3">
        <f t="shared" ca="1" si="137"/>
        <v>6.1747216404553225</v>
      </c>
      <c r="O1364" s="3">
        <f t="shared" ca="1" si="138"/>
        <v>1.130080922735206</v>
      </c>
      <c r="P1364" s="3">
        <f t="shared" ca="1" si="139"/>
        <v>0.85979954670016467</v>
      </c>
      <c r="Q1364" s="3">
        <f t="shared" ca="1" si="140"/>
        <v>1.4199782225216917</v>
      </c>
    </row>
    <row r="1365" spans="7:17" x14ac:dyDescent="0.25">
      <c r="G1365" s="3">
        <f t="shared" ca="1" si="135"/>
        <v>0</v>
      </c>
      <c r="H1365" s="3">
        <f t="shared" ca="1" si="136"/>
        <v>0.63121214363106204</v>
      </c>
      <c r="I1365" s="3">
        <f t="shared" ca="1" si="137"/>
        <v>3.9724430254915615</v>
      </c>
      <c r="O1365" s="3">
        <f t="shared" ca="1" si="138"/>
        <v>-4.2683370112059817</v>
      </c>
      <c r="P1365" s="3">
        <f t="shared" ca="1" si="139"/>
        <v>-0.34539350479366449</v>
      </c>
      <c r="Q1365" s="3">
        <f t="shared" ca="1" si="140"/>
        <v>4.2822888172546776</v>
      </c>
    </row>
    <row r="1366" spans="7:17" x14ac:dyDescent="0.25">
      <c r="G1366" s="3">
        <f t="shared" ca="1" si="135"/>
        <v>0</v>
      </c>
      <c r="H1366" s="3">
        <f t="shared" ca="1" si="136"/>
        <v>2.1556058021270288</v>
      </c>
      <c r="I1366" s="3">
        <f t="shared" ca="1" si="137"/>
        <v>7.340990740572809</v>
      </c>
      <c r="O1366" s="3">
        <f t="shared" ca="1" si="138"/>
        <v>-6.0166668999715647</v>
      </c>
      <c r="P1366" s="3">
        <f t="shared" ca="1" si="139"/>
        <v>2.542840872188628</v>
      </c>
      <c r="Q1366" s="3">
        <f t="shared" ca="1" si="140"/>
        <v>6.5319461331586677</v>
      </c>
    </row>
    <row r="1367" spans="7:17" x14ac:dyDescent="0.25">
      <c r="G1367" s="3">
        <f t="shared" ca="1" si="135"/>
        <v>0</v>
      </c>
      <c r="H1367" s="3">
        <f t="shared" ca="1" si="136"/>
        <v>0.15103602094655064</v>
      </c>
      <c r="I1367" s="3">
        <f t="shared" ca="1" si="137"/>
        <v>1.9431676519702992</v>
      </c>
      <c r="O1367" s="3">
        <f t="shared" ca="1" si="138"/>
        <v>-4.7870506098396266</v>
      </c>
      <c r="P1367" s="3">
        <f t="shared" ca="1" si="139"/>
        <v>-4.5478322796715354</v>
      </c>
      <c r="Q1367" s="3">
        <f t="shared" ca="1" si="140"/>
        <v>6.602926016940394</v>
      </c>
    </row>
    <row r="1368" spans="7:17" x14ac:dyDescent="0.25">
      <c r="G1368" s="3">
        <f t="shared" ca="1" si="135"/>
        <v>1</v>
      </c>
      <c r="H1368" s="3">
        <f t="shared" ca="1" si="136"/>
        <v>5.8026093315353098</v>
      </c>
      <c r="I1368" s="3">
        <f t="shared" ca="1" si="137"/>
        <v>12.044302939082144</v>
      </c>
      <c r="O1368" s="3">
        <f t="shared" ca="1" si="138"/>
        <v>-3.5072763940620022</v>
      </c>
      <c r="P1368" s="3">
        <f t="shared" ca="1" si="139"/>
        <v>-4.9899357760394336</v>
      </c>
      <c r="Q1368" s="3">
        <f t="shared" ca="1" si="140"/>
        <v>6.0992168967288602</v>
      </c>
    </row>
    <row r="1369" spans="7:17" x14ac:dyDescent="0.25">
      <c r="G1369" s="3">
        <f t="shared" ca="1" si="135"/>
        <v>1</v>
      </c>
      <c r="H1369" s="3">
        <f t="shared" ca="1" si="136"/>
        <v>3.48104885555821</v>
      </c>
      <c r="I1369" s="3">
        <f t="shared" ca="1" si="137"/>
        <v>9.3287845611824078</v>
      </c>
      <c r="O1369" s="3">
        <f t="shared" ca="1" si="138"/>
        <v>-9.164504049444492</v>
      </c>
      <c r="P1369" s="3">
        <f t="shared" ca="1" si="139"/>
        <v>1.0472582306832456</v>
      </c>
      <c r="Q1369" s="3">
        <f t="shared" ca="1" si="140"/>
        <v>9.2241468046653665</v>
      </c>
    </row>
    <row r="1370" spans="7:17" x14ac:dyDescent="0.25">
      <c r="G1370" s="3">
        <f t="shared" ca="1" si="135"/>
        <v>0</v>
      </c>
      <c r="H1370" s="3">
        <f t="shared" ca="1" si="136"/>
        <v>0.55253617728036286</v>
      </c>
      <c r="I1370" s="3">
        <f t="shared" ca="1" si="137"/>
        <v>3.7166388621991606</v>
      </c>
      <c r="O1370" s="3">
        <f t="shared" ca="1" si="138"/>
        <v>-10.895314516388003</v>
      </c>
      <c r="P1370" s="3">
        <f t="shared" ca="1" si="139"/>
        <v>1.6129439523721925</v>
      </c>
      <c r="Q1370" s="3">
        <f t="shared" ca="1" si="140"/>
        <v>11.014057681186765</v>
      </c>
    </row>
    <row r="1371" spans="7:17" x14ac:dyDescent="0.25">
      <c r="G1371" s="3">
        <f t="shared" ca="1" si="135"/>
        <v>1</v>
      </c>
      <c r="H1371" s="3">
        <f t="shared" ca="1" si="136"/>
        <v>10.053544241008389</v>
      </c>
      <c r="I1371" s="3">
        <f t="shared" ca="1" si="137"/>
        <v>15.853662227548869</v>
      </c>
      <c r="O1371" s="3">
        <f t="shared" ca="1" si="138"/>
        <v>-4.2582086941189088</v>
      </c>
      <c r="P1371" s="3">
        <f t="shared" ca="1" si="139"/>
        <v>6.8963239211225122</v>
      </c>
      <c r="Q1371" s="3">
        <f t="shared" ca="1" si="140"/>
        <v>8.1050370084112782</v>
      </c>
    </row>
    <row r="1372" spans="7:17" x14ac:dyDescent="0.25">
      <c r="G1372" s="3">
        <f t="shared" ca="1" si="135"/>
        <v>1</v>
      </c>
      <c r="H1372" s="3">
        <f t="shared" ca="1" si="136"/>
        <v>6.6815356585169186</v>
      </c>
      <c r="I1372" s="3">
        <f t="shared" ca="1" si="137"/>
        <v>12.924333308257063</v>
      </c>
      <c r="O1372" s="3">
        <f t="shared" ca="1" si="138"/>
        <v>-4.2408112928943762</v>
      </c>
      <c r="P1372" s="3">
        <f t="shared" ca="1" si="139"/>
        <v>-1.5140889440846776</v>
      </c>
      <c r="Q1372" s="3">
        <f t="shared" ca="1" si="140"/>
        <v>4.5029929771808357</v>
      </c>
    </row>
    <row r="1373" spans="7:17" x14ac:dyDescent="0.25">
      <c r="G1373" s="3">
        <f t="shared" ca="1" si="135"/>
        <v>0</v>
      </c>
      <c r="H1373" s="3">
        <f t="shared" ca="1" si="136"/>
        <v>0.78650224621451037</v>
      </c>
      <c r="I1373" s="3">
        <f t="shared" ca="1" si="137"/>
        <v>4.4342480935737862</v>
      </c>
      <c r="O1373" s="3">
        <f t="shared" ca="1" si="138"/>
        <v>-0.65258617807492669</v>
      </c>
      <c r="P1373" s="3">
        <f t="shared" ca="1" si="139"/>
        <v>-0.16852178439820659</v>
      </c>
      <c r="Q1373" s="3">
        <f t="shared" ca="1" si="140"/>
        <v>0.67399429643817876</v>
      </c>
    </row>
    <row r="1374" spans="7:17" x14ac:dyDescent="0.25">
      <c r="G1374" s="3">
        <f t="shared" ca="1" si="135"/>
        <v>1</v>
      </c>
      <c r="H1374" s="3">
        <f t="shared" ca="1" si="136"/>
        <v>3.171421644617447</v>
      </c>
      <c r="I1374" s="3">
        <f t="shared" ca="1" si="137"/>
        <v>8.9042428715436657</v>
      </c>
      <c r="O1374" s="3">
        <f t="shared" ca="1" si="138"/>
        <v>-0.78341818612564129</v>
      </c>
      <c r="P1374" s="3">
        <f t="shared" ca="1" si="139"/>
        <v>-4.3476856656565239</v>
      </c>
      <c r="Q1374" s="3">
        <f t="shared" ca="1" si="140"/>
        <v>4.4177046870187695</v>
      </c>
    </row>
    <row r="1375" spans="7:17" x14ac:dyDescent="0.25">
      <c r="G1375" s="3">
        <f t="shared" ca="1" si="135"/>
        <v>0</v>
      </c>
      <c r="H1375" s="3">
        <f t="shared" ca="1" si="136"/>
        <v>2.2558294061347626</v>
      </c>
      <c r="I1375" s="3">
        <f t="shared" ca="1" si="137"/>
        <v>7.5097093920716436</v>
      </c>
      <c r="O1375" s="3">
        <f t="shared" ca="1" si="138"/>
        <v>-0.79331470088721101</v>
      </c>
      <c r="P1375" s="3">
        <f t="shared" ca="1" si="139"/>
        <v>7.154957910430003</v>
      </c>
      <c r="Q1375" s="3">
        <f t="shared" ca="1" si="140"/>
        <v>7.198803436312776</v>
      </c>
    </row>
    <row r="1376" spans="7:17" x14ac:dyDescent="0.25">
      <c r="G1376" s="3">
        <f t="shared" ca="1" si="135"/>
        <v>0</v>
      </c>
      <c r="H1376" s="3">
        <f t="shared" ca="1" si="136"/>
        <v>1.8447680481459847</v>
      </c>
      <c r="I1376" s="3">
        <f t="shared" ca="1" si="137"/>
        <v>6.7911119268975106</v>
      </c>
      <c r="O1376" s="3">
        <f t="shared" ca="1" si="138"/>
        <v>-8.6070321871808577</v>
      </c>
      <c r="P1376" s="3">
        <f t="shared" ca="1" si="139"/>
        <v>-0.88556407176854635</v>
      </c>
      <c r="Q1376" s="3">
        <f t="shared" ca="1" si="140"/>
        <v>8.6524694045327077</v>
      </c>
    </row>
    <row r="1377" spans="7:17" x14ac:dyDescent="0.25">
      <c r="G1377" s="3">
        <f t="shared" ca="1" si="135"/>
        <v>0</v>
      </c>
      <c r="H1377" s="3">
        <f t="shared" ca="1" si="136"/>
        <v>1.4362139047709641</v>
      </c>
      <c r="I1377" s="3">
        <f t="shared" ca="1" si="137"/>
        <v>5.9921071101303003</v>
      </c>
      <c r="O1377" s="3">
        <f t="shared" ca="1" si="138"/>
        <v>-13.423517897833261</v>
      </c>
      <c r="P1377" s="3">
        <f t="shared" ca="1" si="139"/>
        <v>2.4620584662938882</v>
      </c>
      <c r="Q1377" s="3">
        <f t="shared" ca="1" si="140"/>
        <v>13.647438024951764</v>
      </c>
    </row>
    <row r="1378" spans="7:17" x14ac:dyDescent="0.25">
      <c r="G1378" s="3">
        <f t="shared" ca="1" si="135"/>
        <v>1</v>
      </c>
      <c r="H1378" s="3">
        <f t="shared" ca="1" si="136"/>
        <v>2.7282821022814452</v>
      </c>
      <c r="I1378" s="3">
        <f t="shared" ca="1" si="137"/>
        <v>8.2587561143937478</v>
      </c>
      <c r="O1378" s="3">
        <f t="shared" ca="1" si="138"/>
        <v>-0.59754719099610387</v>
      </c>
      <c r="P1378" s="3">
        <f t="shared" ca="1" si="139"/>
        <v>-11.362627642663901</v>
      </c>
      <c r="Q1378" s="3">
        <f t="shared" ca="1" si="140"/>
        <v>11.378328945468974</v>
      </c>
    </row>
    <row r="1379" spans="7:17" x14ac:dyDescent="0.25">
      <c r="G1379" s="3">
        <f t="shared" ca="1" si="135"/>
        <v>0</v>
      </c>
      <c r="H1379" s="3">
        <f t="shared" ca="1" si="136"/>
        <v>1.2090456069608999</v>
      </c>
      <c r="I1379" s="3">
        <f t="shared" ca="1" si="137"/>
        <v>5.4978304970253946</v>
      </c>
      <c r="O1379" s="3">
        <f t="shared" ca="1" si="138"/>
        <v>-3.3990536004661034</v>
      </c>
      <c r="P1379" s="3">
        <f t="shared" ca="1" si="139"/>
        <v>1.8497642243556907</v>
      </c>
      <c r="Q1379" s="3">
        <f t="shared" ca="1" si="140"/>
        <v>3.8697794594198509</v>
      </c>
    </row>
    <row r="1380" spans="7:17" x14ac:dyDescent="0.25">
      <c r="G1380" s="3">
        <f t="shared" ca="1" si="135"/>
        <v>1</v>
      </c>
      <c r="H1380" s="3">
        <f t="shared" ca="1" si="136"/>
        <v>9.6268665823415276</v>
      </c>
      <c r="I1380" s="3">
        <f t="shared" ca="1" si="137"/>
        <v>15.513596119486229</v>
      </c>
      <c r="O1380" s="3">
        <f t="shared" ca="1" si="138"/>
        <v>-4.880940641120084</v>
      </c>
      <c r="P1380" s="3">
        <f t="shared" ca="1" si="139"/>
        <v>3.267437001872822</v>
      </c>
      <c r="Q1380" s="3">
        <f t="shared" ca="1" si="140"/>
        <v>5.8736467465574904</v>
      </c>
    </row>
    <row r="1381" spans="7:17" x14ac:dyDescent="0.25">
      <c r="G1381" s="3">
        <f t="shared" ca="1" si="135"/>
        <v>0</v>
      </c>
      <c r="H1381" s="3">
        <f t="shared" ca="1" si="136"/>
        <v>3.5201593886008351</v>
      </c>
      <c r="I1381" s="3">
        <f t="shared" ca="1" si="137"/>
        <v>9.3810439032668889</v>
      </c>
      <c r="O1381" s="3">
        <f t="shared" ca="1" si="138"/>
        <v>-6.9363633739644648</v>
      </c>
      <c r="P1381" s="3">
        <f t="shared" ca="1" si="139"/>
        <v>-0.15173370439315978</v>
      </c>
      <c r="Q1381" s="3">
        <f t="shared" ca="1" si="140"/>
        <v>6.9380227711304441</v>
      </c>
    </row>
    <row r="1382" spans="7:17" x14ac:dyDescent="0.25">
      <c r="G1382" s="3">
        <f t="shared" ca="1" si="135"/>
        <v>1</v>
      </c>
      <c r="H1382" s="3">
        <f t="shared" ca="1" si="136"/>
        <v>1.7086842874991257</v>
      </c>
      <c r="I1382" s="3">
        <f t="shared" ca="1" si="137"/>
        <v>6.5358325550367447</v>
      </c>
      <c r="O1382" s="3">
        <f t="shared" ca="1" si="138"/>
        <v>-6.3322679301800306</v>
      </c>
      <c r="P1382" s="3">
        <f t="shared" ca="1" si="139"/>
        <v>4.6230990873776836</v>
      </c>
      <c r="Q1382" s="3">
        <f t="shared" ca="1" si="140"/>
        <v>7.8403228448386528</v>
      </c>
    </row>
    <row r="1383" spans="7:17" x14ac:dyDescent="0.25">
      <c r="G1383" s="3">
        <f t="shared" ca="1" si="135"/>
        <v>0</v>
      </c>
      <c r="H1383" s="3">
        <f t="shared" ca="1" si="136"/>
        <v>2.3363596733122018</v>
      </c>
      <c r="I1383" s="3">
        <f t="shared" ca="1" si="137"/>
        <v>7.64257756472285</v>
      </c>
      <c r="O1383" s="3">
        <f t="shared" ca="1" si="138"/>
        <v>-4.2643000399265203</v>
      </c>
      <c r="P1383" s="3">
        <f t="shared" ca="1" si="139"/>
        <v>-8.6211763651513778</v>
      </c>
      <c r="Q1383" s="3">
        <f t="shared" ca="1" si="140"/>
        <v>9.6181566191012937</v>
      </c>
    </row>
    <row r="1384" spans="7:17" x14ac:dyDescent="0.25">
      <c r="G1384" s="3">
        <f t="shared" ca="1" si="135"/>
        <v>2</v>
      </c>
      <c r="H1384" s="3">
        <f t="shared" ca="1" si="136"/>
        <v>5.1658521400213404</v>
      </c>
      <c r="I1384" s="3">
        <f t="shared" ca="1" si="137"/>
        <v>11.364255518974108</v>
      </c>
      <c r="O1384" s="3">
        <f t="shared" ca="1" si="138"/>
        <v>2.1680990413122689</v>
      </c>
      <c r="P1384" s="3">
        <f t="shared" ca="1" si="139"/>
        <v>-9.7089727779676931</v>
      </c>
      <c r="Q1384" s="3">
        <f t="shared" ca="1" si="140"/>
        <v>9.9481056415911109</v>
      </c>
    </row>
    <row r="1385" spans="7:17" x14ac:dyDescent="0.25">
      <c r="G1385" s="3">
        <f t="shared" ca="1" si="135"/>
        <v>0</v>
      </c>
      <c r="H1385" s="3">
        <f t="shared" ca="1" si="136"/>
        <v>1.6289185577864684</v>
      </c>
      <c r="I1385" s="3">
        <f t="shared" ca="1" si="137"/>
        <v>6.3814546887572359</v>
      </c>
      <c r="O1385" s="3">
        <f t="shared" ca="1" si="138"/>
        <v>-0.85136456685872375</v>
      </c>
      <c r="P1385" s="3">
        <f t="shared" ca="1" si="139"/>
        <v>-3.4052687112804758</v>
      </c>
      <c r="Q1385" s="3">
        <f t="shared" ca="1" si="140"/>
        <v>3.5100821388862591</v>
      </c>
    </row>
    <row r="1386" spans="7:17" x14ac:dyDescent="0.25">
      <c r="G1386" s="3">
        <f t="shared" ca="1" si="135"/>
        <v>2</v>
      </c>
      <c r="H1386" s="3">
        <f t="shared" ca="1" si="136"/>
        <v>8.1925447055979959</v>
      </c>
      <c r="I1386" s="3">
        <f t="shared" ca="1" si="137"/>
        <v>14.311310828849672</v>
      </c>
      <c r="O1386" s="3">
        <f t="shared" ca="1" si="138"/>
        <v>-8.3618573013370145</v>
      </c>
      <c r="P1386" s="3">
        <f t="shared" ca="1" si="139"/>
        <v>0.12296275608769153</v>
      </c>
      <c r="Q1386" s="3">
        <f t="shared" ca="1" si="140"/>
        <v>8.36276134822152</v>
      </c>
    </row>
    <row r="1387" spans="7:17" x14ac:dyDescent="0.25">
      <c r="G1387" s="3">
        <f t="shared" ca="1" si="135"/>
        <v>0</v>
      </c>
      <c r="H1387" s="3">
        <f t="shared" ca="1" si="136"/>
        <v>0.21289969918770568</v>
      </c>
      <c r="I1387" s="3">
        <f t="shared" ca="1" si="137"/>
        <v>2.3070527691608276</v>
      </c>
      <c r="O1387" s="3">
        <f t="shared" ca="1" si="138"/>
        <v>-2.4415562573729233</v>
      </c>
      <c r="P1387" s="3">
        <f t="shared" ca="1" si="139"/>
        <v>5.7447131735667201</v>
      </c>
      <c r="Q1387" s="3">
        <f t="shared" ca="1" si="140"/>
        <v>6.2420290294477079</v>
      </c>
    </row>
    <row r="1388" spans="7:17" x14ac:dyDescent="0.25">
      <c r="G1388" s="3">
        <f t="shared" ca="1" si="135"/>
        <v>0</v>
      </c>
      <c r="H1388" s="3">
        <f t="shared" ca="1" si="136"/>
        <v>3.5409368885418417</v>
      </c>
      <c r="I1388" s="3">
        <f t="shared" ca="1" si="137"/>
        <v>9.4086886553624485</v>
      </c>
      <c r="O1388" s="3">
        <f t="shared" ca="1" si="138"/>
        <v>-5.9175027655556729</v>
      </c>
      <c r="P1388" s="3">
        <f t="shared" ca="1" si="139"/>
        <v>-4.1120822152062146</v>
      </c>
      <c r="Q1388" s="3">
        <f t="shared" ca="1" si="140"/>
        <v>7.2059738498675037</v>
      </c>
    </row>
    <row r="1389" spans="7:17" x14ac:dyDescent="0.25">
      <c r="G1389" s="3">
        <f t="shared" ca="1" si="135"/>
        <v>0</v>
      </c>
      <c r="H1389" s="3">
        <f t="shared" ca="1" si="136"/>
        <v>0.31968456170835552</v>
      </c>
      <c r="I1389" s="3">
        <f t="shared" ca="1" si="137"/>
        <v>2.8270327275623974</v>
      </c>
      <c r="O1389" s="3">
        <f t="shared" ca="1" si="138"/>
        <v>-0.91081842010788083</v>
      </c>
      <c r="P1389" s="3">
        <f t="shared" ca="1" si="139"/>
        <v>-0.27869935024575615</v>
      </c>
      <c r="Q1389" s="3">
        <f t="shared" ca="1" si="140"/>
        <v>0.95250381743866142</v>
      </c>
    </row>
    <row r="1390" spans="7:17" x14ac:dyDescent="0.25">
      <c r="G1390" s="3">
        <f t="shared" ca="1" si="135"/>
        <v>1</v>
      </c>
      <c r="H1390" s="3">
        <f t="shared" ca="1" si="136"/>
        <v>2.6773799587258944</v>
      </c>
      <c r="I1390" s="3">
        <f t="shared" ca="1" si="137"/>
        <v>8.1813506811618435</v>
      </c>
      <c r="O1390" s="3">
        <f t="shared" ca="1" si="138"/>
        <v>-6.9663726186742974</v>
      </c>
      <c r="P1390" s="3">
        <f t="shared" ca="1" si="139"/>
        <v>6.397049800349488</v>
      </c>
      <c r="Q1390" s="3">
        <f t="shared" ca="1" si="140"/>
        <v>9.4579381267994354</v>
      </c>
    </row>
    <row r="1391" spans="7:17" x14ac:dyDescent="0.25">
      <c r="G1391" s="3">
        <f t="shared" ca="1" si="135"/>
        <v>0</v>
      </c>
      <c r="H1391" s="3">
        <f t="shared" ca="1" si="136"/>
        <v>4.4535728283223222</v>
      </c>
      <c r="I1391" s="3">
        <f t="shared" ca="1" si="137"/>
        <v>10.551744912954353</v>
      </c>
      <c r="O1391" s="3">
        <f t="shared" ca="1" si="138"/>
        <v>-0.28980918756416507</v>
      </c>
      <c r="P1391" s="3">
        <f t="shared" ca="1" si="139"/>
        <v>2.6545548484304859</v>
      </c>
      <c r="Q1391" s="3">
        <f t="shared" ca="1" si="140"/>
        <v>2.6703278466365141</v>
      </c>
    </row>
    <row r="1392" spans="7:17" x14ac:dyDescent="0.25">
      <c r="G1392" s="3">
        <f t="shared" ca="1" si="135"/>
        <v>0</v>
      </c>
      <c r="H1392" s="3">
        <f t="shared" ca="1" si="136"/>
        <v>0.57896656191742524</v>
      </c>
      <c r="I1392" s="3">
        <f t="shared" ca="1" si="137"/>
        <v>3.8044926137312491</v>
      </c>
      <c r="O1392" s="3">
        <f t="shared" ca="1" si="138"/>
        <v>-7.8359631403073342</v>
      </c>
      <c r="P1392" s="3">
        <f t="shared" ca="1" si="139"/>
        <v>7.5500704029789647</v>
      </c>
      <c r="Q1392" s="3">
        <f t="shared" ca="1" si="140"/>
        <v>10.881446660540782</v>
      </c>
    </row>
    <row r="1393" spans="7:17" x14ac:dyDescent="0.25">
      <c r="G1393" s="3">
        <f t="shared" ca="1" si="135"/>
        <v>1</v>
      </c>
      <c r="H1393" s="3">
        <f t="shared" ca="1" si="136"/>
        <v>4.4467865003344755</v>
      </c>
      <c r="I1393" s="3">
        <f t="shared" ca="1" si="137"/>
        <v>10.543702504735322</v>
      </c>
      <c r="O1393" s="3">
        <f t="shared" ca="1" si="138"/>
        <v>-11.217815566418238</v>
      </c>
      <c r="P1393" s="3">
        <f t="shared" ca="1" si="139"/>
        <v>-5.5180523120946932</v>
      </c>
      <c r="Q1393" s="3">
        <f t="shared" ca="1" si="140"/>
        <v>12.501531402239845</v>
      </c>
    </row>
    <row r="1394" spans="7:17" x14ac:dyDescent="0.25">
      <c r="G1394" s="3">
        <f t="shared" ca="1" si="135"/>
        <v>0</v>
      </c>
      <c r="H1394" s="3">
        <f t="shared" ca="1" si="136"/>
        <v>0.63727716960133396</v>
      </c>
      <c r="I1394" s="3">
        <f t="shared" ca="1" si="137"/>
        <v>3.9914820856460507</v>
      </c>
      <c r="O1394" s="3">
        <f t="shared" ca="1" si="138"/>
        <v>6.1831378623938793</v>
      </c>
      <c r="P1394" s="3">
        <f t="shared" ca="1" si="139"/>
        <v>0.56097178071951348</v>
      </c>
      <c r="Q1394" s="3">
        <f t="shared" ca="1" si="140"/>
        <v>6.2085330927790316</v>
      </c>
    </row>
    <row r="1395" spans="7:17" x14ac:dyDescent="0.25">
      <c r="G1395" s="3">
        <f t="shared" ca="1" si="135"/>
        <v>0</v>
      </c>
      <c r="H1395" s="3">
        <f t="shared" ca="1" si="136"/>
        <v>1.0359605992054277</v>
      </c>
      <c r="I1395" s="3">
        <f t="shared" ca="1" si="137"/>
        <v>5.0891074836493377</v>
      </c>
      <c r="O1395" s="3">
        <f t="shared" ca="1" si="138"/>
        <v>-5.3750735683704098</v>
      </c>
      <c r="P1395" s="3">
        <f t="shared" ca="1" si="139"/>
        <v>-2.9524513785462725</v>
      </c>
      <c r="Q1395" s="3">
        <f t="shared" ca="1" si="140"/>
        <v>6.1325675706080887</v>
      </c>
    </row>
    <row r="1396" spans="7:17" x14ac:dyDescent="0.25">
      <c r="G1396" s="3">
        <f t="shared" ca="1" si="135"/>
        <v>0</v>
      </c>
      <c r="H1396" s="3">
        <f t="shared" ca="1" si="136"/>
        <v>7.1276042102221373</v>
      </c>
      <c r="I1396" s="3">
        <f t="shared" ca="1" si="137"/>
        <v>13.348786658552658</v>
      </c>
      <c r="O1396" s="3">
        <f t="shared" ca="1" si="138"/>
        <v>-3.3819256520694267</v>
      </c>
      <c r="P1396" s="3">
        <f t="shared" ca="1" si="139"/>
        <v>4.6622903282750192</v>
      </c>
      <c r="Q1396" s="3">
        <f t="shared" ca="1" si="140"/>
        <v>5.759719804057486</v>
      </c>
    </row>
    <row r="1397" spans="7:17" x14ac:dyDescent="0.25">
      <c r="G1397" s="3">
        <f t="shared" ca="1" si="135"/>
        <v>1</v>
      </c>
      <c r="H1397" s="3">
        <f t="shared" ca="1" si="136"/>
        <v>1.626702545592589</v>
      </c>
      <c r="I1397" s="3">
        <f t="shared" ca="1" si="137"/>
        <v>6.3771124844881575</v>
      </c>
      <c r="O1397" s="3">
        <f t="shared" ca="1" si="138"/>
        <v>-3.9868360514141665</v>
      </c>
      <c r="P1397" s="3">
        <f t="shared" ca="1" si="139"/>
        <v>4.1838911773040373</v>
      </c>
      <c r="Q1397" s="3">
        <f t="shared" ca="1" si="140"/>
        <v>5.7792566203948992</v>
      </c>
    </row>
    <row r="1398" spans="7:17" x14ac:dyDescent="0.25">
      <c r="G1398" s="3">
        <f t="shared" ca="1" si="135"/>
        <v>1</v>
      </c>
      <c r="H1398" s="3">
        <f t="shared" ca="1" si="136"/>
        <v>0.45088008982648053</v>
      </c>
      <c r="I1398" s="3">
        <f t="shared" ca="1" si="137"/>
        <v>3.3573802652755935</v>
      </c>
      <c r="O1398" s="3">
        <f t="shared" ca="1" si="138"/>
        <v>3.8596527664600995</v>
      </c>
      <c r="P1398" s="3">
        <f t="shared" ca="1" si="139"/>
        <v>3.6288797475976478</v>
      </c>
      <c r="Q1398" s="3">
        <f t="shared" ca="1" si="140"/>
        <v>5.2977058903045444</v>
      </c>
    </row>
    <row r="1399" spans="7:17" x14ac:dyDescent="0.25">
      <c r="G1399" s="3">
        <f t="shared" ca="1" si="135"/>
        <v>1</v>
      </c>
      <c r="H1399" s="3">
        <f t="shared" ca="1" si="136"/>
        <v>1.7014214779313237</v>
      </c>
      <c r="I1399" s="3">
        <f t="shared" ca="1" si="137"/>
        <v>6.5219273952017511</v>
      </c>
      <c r="O1399" s="3">
        <f t="shared" ca="1" si="138"/>
        <v>-12.37376560882516</v>
      </c>
      <c r="P1399" s="3">
        <f t="shared" ca="1" si="139"/>
        <v>-6.4689188487897029</v>
      </c>
      <c r="Q1399" s="3">
        <f t="shared" ca="1" si="140"/>
        <v>13.96269982540522</v>
      </c>
    </row>
    <row r="1400" spans="7:17" x14ac:dyDescent="0.25">
      <c r="G1400" s="3">
        <f t="shared" ca="1" si="135"/>
        <v>0</v>
      </c>
      <c r="H1400" s="3">
        <f t="shared" ca="1" si="136"/>
        <v>1.1783339169976141</v>
      </c>
      <c r="I1400" s="3">
        <f t="shared" ca="1" si="137"/>
        <v>5.4275545068603739</v>
      </c>
      <c r="O1400" s="3">
        <f t="shared" ca="1" si="138"/>
        <v>-5.2129429881885514E-2</v>
      </c>
      <c r="P1400" s="3">
        <f t="shared" ca="1" si="139"/>
        <v>-2.867531485256571</v>
      </c>
      <c r="Q1400" s="3">
        <f t="shared" ca="1" si="140"/>
        <v>2.8680052817938755</v>
      </c>
    </row>
    <row r="1401" spans="7:17" x14ac:dyDescent="0.25">
      <c r="G1401" s="3">
        <f t="shared" ca="1" si="135"/>
        <v>0</v>
      </c>
      <c r="H1401" s="3">
        <f t="shared" ca="1" si="136"/>
        <v>7.291733524274699</v>
      </c>
      <c r="I1401" s="3">
        <f t="shared" ca="1" si="137"/>
        <v>13.501605019658495</v>
      </c>
      <c r="O1401" s="3">
        <f t="shared" ca="1" si="138"/>
        <v>-4.3252330462268525</v>
      </c>
      <c r="P1401" s="3">
        <f t="shared" ca="1" si="139"/>
        <v>0.29228540767276717</v>
      </c>
      <c r="Q1401" s="3">
        <f t="shared" ca="1" si="140"/>
        <v>4.3350976533073915</v>
      </c>
    </row>
    <row r="1402" spans="7:17" x14ac:dyDescent="0.25">
      <c r="G1402" s="3">
        <f t="shared" ca="1" si="135"/>
        <v>1</v>
      </c>
      <c r="H1402" s="3">
        <f t="shared" ca="1" si="136"/>
        <v>5.4547618619687075</v>
      </c>
      <c r="I1402" s="3">
        <f t="shared" ca="1" si="137"/>
        <v>11.677715810432179</v>
      </c>
      <c r="O1402" s="3">
        <f t="shared" ca="1" si="138"/>
        <v>-6.8587059802653911</v>
      </c>
      <c r="P1402" s="3">
        <f t="shared" ca="1" si="139"/>
        <v>0.59913241529476136</v>
      </c>
      <c r="Q1402" s="3">
        <f t="shared" ca="1" si="140"/>
        <v>6.8848244258503186</v>
      </c>
    </row>
    <row r="1403" spans="7:17" x14ac:dyDescent="0.25">
      <c r="G1403" s="3">
        <f t="shared" ca="1" si="135"/>
        <v>0</v>
      </c>
      <c r="H1403" s="3">
        <f t="shared" ca="1" si="136"/>
        <v>1.2622061666083011</v>
      </c>
      <c r="I1403" s="3">
        <f t="shared" ca="1" si="137"/>
        <v>5.6173974548012477</v>
      </c>
      <c r="O1403" s="3">
        <f t="shared" ca="1" si="138"/>
        <v>-4.1318830896891807</v>
      </c>
      <c r="P1403" s="3">
        <f t="shared" ca="1" si="139"/>
        <v>-4.4540740396571863</v>
      </c>
      <c r="Q1403" s="3">
        <f t="shared" ca="1" si="140"/>
        <v>6.0754615806214671</v>
      </c>
    </row>
    <row r="1404" spans="7:17" x14ac:dyDescent="0.25">
      <c r="G1404" s="3">
        <f t="shared" ca="1" si="135"/>
        <v>0</v>
      </c>
      <c r="H1404" s="3">
        <f t="shared" ca="1" si="136"/>
        <v>5.7535274174855555</v>
      </c>
      <c r="I1404" s="3">
        <f t="shared" ca="1" si="137"/>
        <v>11.993255831388694</v>
      </c>
      <c r="O1404" s="3">
        <f t="shared" ca="1" si="138"/>
        <v>-5.4901127467148987</v>
      </c>
      <c r="P1404" s="3">
        <f t="shared" ca="1" si="139"/>
        <v>-2.4378609331413243</v>
      </c>
      <c r="Q1404" s="3">
        <f t="shared" ca="1" si="140"/>
        <v>6.0070378641205604</v>
      </c>
    </row>
    <row r="1405" spans="7:17" x14ac:dyDescent="0.25">
      <c r="G1405" s="3">
        <f t="shared" ca="1" si="135"/>
        <v>0</v>
      </c>
      <c r="H1405" s="3">
        <f t="shared" ca="1" si="136"/>
        <v>1.445994498036143</v>
      </c>
      <c r="I1405" s="3">
        <f t="shared" ca="1" si="137"/>
        <v>6.0124755675930679</v>
      </c>
      <c r="O1405" s="3">
        <f t="shared" ca="1" si="138"/>
        <v>-4.0556254661068563</v>
      </c>
      <c r="P1405" s="3">
        <f t="shared" ca="1" si="139"/>
        <v>-12.382502830599948</v>
      </c>
      <c r="Q1405" s="3">
        <f t="shared" ca="1" si="140"/>
        <v>13.029753423267465</v>
      </c>
    </row>
    <row r="1406" spans="7:17" x14ac:dyDescent="0.25">
      <c r="G1406" s="3">
        <f t="shared" ca="1" si="135"/>
        <v>1</v>
      </c>
      <c r="H1406" s="3">
        <f t="shared" ca="1" si="136"/>
        <v>1.5653090889954777</v>
      </c>
      <c r="I1406" s="3">
        <f t="shared" ca="1" si="137"/>
        <v>6.2556156551443394</v>
      </c>
      <c r="O1406" s="3">
        <f t="shared" ca="1" si="138"/>
        <v>-5.501880595019176</v>
      </c>
      <c r="P1406" s="3">
        <f t="shared" ca="1" si="139"/>
        <v>-1.6001354648567652</v>
      </c>
      <c r="Q1406" s="3">
        <f t="shared" ca="1" si="140"/>
        <v>5.7298449881075264</v>
      </c>
    </row>
    <row r="1407" spans="7:17" x14ac:dyDescent="0.25">
      <c r="G1407" s="3">
        <f t="shared" ca="1" si="135"/>
        <v>0</v>
      </c>
      <c r="H1407" s="3">
        <f t="shared" ca="1" si="136"/>
        <v>3.3349692955636758</v>
      </c>
      <c r="I1407" s="3">
        <f t="shared" ca="1" si="137"/>
        <v>9.1309491505041187</v>
      </c>
      <c r="O1407" s="3">
        <f t="shared" ca="1" si="138"/>
        <v>-7.6326634675173128</v>
      </c>
      <c r="P1407" s="3">
        <f t="shared" ca="1" si="139"/>
        <v>1.3260988679659045</v>
      </c>
      <c r="Q1407" s="3">
        <f t="shared" ca="1" si="140"/>
        <v>7.7470052159524112</v>
      </c>
    </row>
    <row r="1408" spans="7:17" x14ac:dyDescent="0.25">
      <c r="G1408" s="3">
        <f t="shared" ca="1" si="135"/>
        <v>0</v>
      </c>
      <c r="H1408" s="3">
        <f t="shared" ca="1" si="136"/>
        <v>1.6746247274171189</v>
      </c>
      <c r="I1408" s="3">
        <f t="shared" ca="1" si="137"/>
        <v>6.4703646099294874</v>
      </c>
      <c r="O1408" s="3">
        <f t="shared" ca="1" si="138"/>
        <v>-7.3536113918672115</v>
      </c>
      <c r="P1408" s="3">
        <f t="shared" ca="1" si="139"/>
        <v>6.7172259335848432</v>
      </c>
      <c r="Q1408" s="3">
        <f t="shared" ca="1" si="140"/>
        <v>9.9597552552973916</v>
      </c>
    </row>
    <row r="1409" spans="7:17" x14ac:dyDescent="0.25">
      <c r="G1409" s="3">
        <f t="shared" ca="1" si="135"/>
        <v>0</v>
      </c>
      <c r="H1409" s="3">
        <f t="shared" ca="1" si="136"/>
        <v>0.396039327931273</v>
      </c>
      <c r="I1409" s="3">
        <f t="shared" ca="1" si="137"/>
        <v>3.1465827810947267</v>
      </c>
      <c r="O1409" s="3">
        <f t="shared" ca="1" si="138"/>
        <v>-1.7255657619444924</v>
      </c>
      <c r="P1409" s="3">
        <f t="shared" ca="1" si="139"/>
        <v>-5.3507091793032338</v>
      </c>
      <c r="Q1409" s="3">
        <f t="shared" ca="1" si="140"/>
        <v>5.6220695406829471</v>
      </c>
    </row>
    <row r="1410" spans="7:17" x14ac:dyDescent="0.25">
      <c r="G1410" s="3">
        <f t="shared" ca="1" si="135"/>
        <v>1</v>
      </c>
      <c r="H1410" s="3">
        <f t="shared" ca="1" si="136"/>
        <v>6.2183292109506851</v>
      </c>
      <c r="I1410" s="3">
        <f t="shared" ca="1" si="137"/>
        <v>12.468288987417926</v>
      </c>
      <c r="O1410" s="3">
        <f t="shared" ca="1" si="138"/>
        <v>-0.70576254196549826</v>
      </c>
      <c r="P1410" s="3">
        <f t="shared" ca="1" si="139"/>
        <v>3.4358623244640549</v>
      </c>
      <c r="Q1410" s="3">
        <f t="shared" ca="1" si="140"/>
        <v>3.5075989905223119</v>
      </c>
    </row>
    <row r="1411" spans="7:17" x14ac:dyDescent="0.25">
      <c r="G1411" s="3">
        <f t="shared" ca="1" si="135"/>
        <v>1</v>
      </c>
      <c r="H1411" s="3">
        <f t="shared" ca="1" si="136"/>
        <v>6.0349127960067008</v>
      </c>
      <c r="I1411" s="3">
        <f t="shared" ca="1" si="137"/>
        <v>12.283029752474246</v>
      </c>
      <c r="O1411" s="3">
        <f t="shared" ca="1" si="138"/>
        <v>-3.3780996257131104</v>
      </c>
      <c r="P1411" s="3">
        <f t="shared" ca="1" si="139"/>
        <v>0.86343658978650606</v>
      </c>
      <c r="Q1411" s="3">
        <f t="shared" ca="1" si="140"/>
        <v>3.4867004210033889</v>
      </c>
    </row>
    <row r="1412" spans="7:17" x14ac:dyDescent="0.25">
      <c r="G1412" s="3">
        <f t="shared" ref="G1412:G1475" ca="1" si="141">VLOOKUP(RAND(),$B$9:$C$169,2,TRUE)</f>
        <v>0</v>
      </c>
      <c r="H1412" s="3">
        <f t="shared" ref="H1412:H1475" ca="1" si="142">_xlfn.CHISQ.INV(RAND(),2*G1412+2)</f>
        <v>2.9127381570937185</v>
      </c>
      <c r="I1412" s="3">
        <f t="shared" ref="I1412:I1475" ca="1" si="143">$C$4*SQRT(H1412)</f>
        <v>8.5333729513799508</v>
      </c>
      <c r="O1412" s="3">
        <f t="shared" ref="O1412:O1475" ca="1" si="144">_xlfn.NORM.INV(RAND(),$C$3*COS($N$2),$C$4)</f>
        <v>-2.5056640840213182</v>
      </c>
      <c r="P1412" s="3">
        <f t="shared" ref="P1412:P1475" ca="1" si="145">_xlfn.NORM.INV(RAND(),$C$3*SIN($N$2),$C$4)</f>
        <v>-5.0086275818057882</v>
      </c>
      <c r="Q1412" s="3">
        <f t="shared" ref="Q1412:Q1475" ca="1" si="146">SQRT(O1412^2+P1412^2)</f>
        <v>5.6004198731148795</v>
      </c>
    </row>
    <row r="1413" spans="7:17" x14ac:dyDescent="0.25">
      <c r="G1413" s="3">
        <f t="shared" ca="1" si="141"/>
        <v>1</v>
      </c>
      <c r="H1413" s="3">
        <f t="shared" ca="1" si="142"/>
        <v>1.9313054491753621</v>
      </c>
      <c r="I1413" s="3">
        <f t="shared" ca="1" si="143"/>
        <v>6.948570804804687</v>
      </c>
      <c r="O1413" s="3">
        <f t="shared" ca="1" si="144"/>
        <v>-11.066707649149059</v>
      </c>
      <c r="P1413" s="3">
        <f t="shared" ca="1" si="145"/>
        <v>-0.26502178257396664</v>
      </c>
      <c r="Q1413" s="3">
        <f t="shared" ca="1" si="146"/>
        <v>11.069880520447047</v>
      </c>
    </row>
    <row r="1414" spans="7:17" x14ac:dyDescent="0.25">
      <c r="G1414" s="3">
        <f t="shared" ca="1" si="141"/>
        <v>0</v>
      </c>
      <c r="H1414" s="3">
        <f t="shared" ca="1" si="142"/>
        <v>3.120705204830883</v>
      </c>
      <c r="I1414" s="3">
        <f t="shared" ca="1" si="143"/>
        <v>8.8327589189772446</v>
      </c>
      <c r="O1414" s="3">
        <f t="shared" ca="1" si="144"/>
        <v>-0.51631914859199668</v>
      </c>
      <c r="P1414" s="3">
        <f t="shared" ca="1" si="145"/>
        <v>-1.0498949211591968</v>
      </c>
      <c r="Q1414" s="3">
        <f t="shared" ca="1" si="146"/>
        <v>1.1699849608771218</v>
      </c>
    </row>
    <row r="1415" spans="7:17" x14ac:dyDescent="0.25">
      <c r="G1415" s="3">
        <f t="shared" ca="1" si="141"/>
        <v>0</v>
      </c>
      <c r="H1415" s="3">
        <f t="shared" ca="1" si="142"/>
        <v>1.7146027744313423</v>
      </c>
      <c r="I1415" s="3">
        <f t="shared" ca="1" si="143"/>
        <v>6.5471420758055618</v>
      </c>
      <c r="O1415" s="3">
        <f t="shared" ca="1" si="144"/>
        <v>-3.758310438202713</v>
      </c>
      <c r="P1415" s="3">
        <f t="shared" ca="1" si="145"/>
        <v>-3.4125299982133024</v>
      </c>
      <c r="Q1415" s="3">
        <f t="shared" ca="1" si="146"/>
        <v>5.0764415035149524</v>
      </c>
    </row>
    <row r="1416" spans="7:17" x14ac:dyDescent="0.25">
      <c r="G1416" s="3">
        <f t="shared" ca="1" si="141"/>
        <v>1</v>
      </c>
      <c r="H1416" s="3">
        <f t="shared" ca="1" si="142"/>
        <v>4.6312506361374419</v>
      </c>
      <c r="I1416" s="3">
        <f t="shared" ca="1" si="143"/>
        <v>10.76017034732425</v>
      </c>
      <c r="O1416" s="3">
        <f t="shared" ca="1" si="144"/>
        <v>2.2469887497236183</v>
      </c>
      <c r="P1416" s="3">
        <f t="shared" ca="1" si="145"/>
        <v>-10.276862709178252</v>
      </c>
      <c r="Q1416" s="3">
        <f t="shared" ca="1" si="146"/>
        <v>10.519641894317651</v>
      </c>
    </row>
    <row r="1417" spans="7:17" x14ac:dyDescent="0.25">
      <c r="G1417" s="3">
        <f t="shared" ca="1" si="141"/>
        <v>1</v>
      </c>
      <c r="H1417" s="3">
        <f t="shared" ca="1" si="142"/>
        <v>1.2411947541793553</v>
      </c>
      <c r="I1417" s="3">
        <f t="shared" ca="1" si="143"/>
        <v>5.570446019349248</v>
      </c>
      <c r="O1417" s="3">
        <f t="shared" ca="1" si="144"/>
        <v>-7.3643004437737174</v>
      </c>
      <c r="P1417" s="3">
        <f t="shared" ca="1" si="145"/>
        <v>3.1653559774649422</v>
      </c>
      <c r="Q1417" s="3">
        <f t="shared" ca="1" si="146"/>
        <v>8.0157594456320123</v>
      </c>
    </row>
    <row r="1418" spans="7:17" x14ac:dyDescent="0.25">
      <c r="G1418" s="3">
        <f t="shared" ca="1" si="141"/>
        <v>0</v>
      </c>
      <c r="H1418" s="3">
        <f t="shared" ca="1" si="142"/>
        <v>3.5638014068646116</v>
      </c>
      <c r="I1418" s="3">
        <f t="shared" ca="1" si="143"/>
        <v>9.4390166421939998</v>
      </c>
      <c r="O1418" s="3">
        <f t="shared" ca="1" si="144"/>
        <v>-6.1317150504100972</v>
      </c>
      <c r="P1418" s="3">
        <f t="shared" ca="1" si="145"/>
        <v>-9.8735314259831544</v>
      </c>
      <c r="Q1418" s="3">
        <f t="shared" ca="1" si="146"/>
        <v>11.622588019856105</v>
      </c>
    </row>
    <row r="1419" spans="7:17" x14ac:dyDescent="0.25">
      <c r="G1419" s="3">
        <f t="shared" ca="1" si="141"/>
        <v>4</v>
      </c>
      <c r="H1419" s="3">
        <f t="shared" ca="1" si="142"/>
        <v>8.2182617201166295</v>
      </c>
      <c r="I1419" s="3">
        <f t="shared" ca="1" si="143"/>
        <v>14.333755369857395</v>
      </c>
      <c r="O1419" s="3">
        <f t="shared" ca="1" si="144"/>
        <v>-3.5832506098568979</v>
      </c>
      <c r="P1419" s="3">
        <f t="shared" ca="1" si="145"/>
        <v>6.1977374724399974</v>
      </c>
      <c r="Q1419" s="3">
        <f t="shared" ca="1" si="146"/>
        <v>7.1590247038494539</v>
      </c>
    </row>
    <row r="1420" spans="7:17" x14ac:dyDescent="0.25">
      <c r="G1420" s="3">
        <f t="shared" ca="1" si="141"/>
        <v>1</v>
      </c>
      <c r="H1420" s="3">
        <f t="shared" ca="1" si="142"/>
        <v>0.65249134697911515</v>
      </c>
      <c r="I1420" s="3">
        <f t="shared" ca="1" si="143"/>
        <v>4.0388468248347671</v>
      </c>
      <c r="O1420" s="3">
        <f t="shared" ca="1" si="144"/>
        <v>-2.2033362568596648</v>
      </c>
      <c r="P1420" s="3">
        <f t="shared" ca="1" si="145"/>
        <v>2.1378165855271507</v>
      </c>
      <c r="Q1420" s="3">
        <f t="shared" ca="1" si="146"/>
        <v>3.0700082107622002</v>
      </c>
    </row>
    <row r="1421" spans="7:17" x14ac:dyDescent="0.25">
      <c r="G1421" s="3">
        <f t="shared" ca="1" si="141"/>
        <v>0</v>
      </c>
      <c r="H1421" s="3">
        <f t="shared" ca="1" si="142"/>
        <v>1.109962218667081</v>
      </c>
      <c r="I1421" s="3">
        <f t="shared" ca="1" si="143"/>
        <v>5.2677372245279122</v>
      </c>
      <c r="O1421" s="3">
        <f t="shared" ca="1" si="144"/>
        <v>-3.4312919257224239</v>
      </c>
      <c r="P1421" s="3">
        <f t="shared" ca="1" si="145"/>
        <v>-3.9028390535083051</v>
      </c>
      <c r="Q1421" s="3">
        <f t="shared" ca="1" si="146"/>
        <v>5.1967217509808536</v>
      </c>
    </row>
    <row r="1422" spans="7:17" x14ac:dyDescent="0.25">
      <c r="G1422" s="3">
        <f t="shared" ca="1" si="141"/>
        <v>0</v>
      </c>
      <c r="H1422" s="3">
        <f t="shared" ca="1" si="142"/>
        <v>0.68902886946687536</v>
      </c>
      <c r="I1422" s="3">
        <f t="shared" ca="1" si="143"/>
        <v>4.150388142893612</v>
      </c>
      <c r="O1422" s="3">
        <f t="shared" ca="1" si="144"/>
        <v>3.0048694094126134</v>
      </c>
      <c r="P1422" s="3">
        <f t="shared" ca="1" si="145"/>
        <v>-0.21818720665147512</v>
      </c>
      <c r="Q1422" s="3">
        <f t="shared" ca="1" si="146"/>
        <v>3.0127804142967478</v>
      </c>
    </row>
    <row r="1423" spans="7:17" x14ac:dyDescent="0.25">
      <c r="G1423" s="3">
        <f t="shared" ca="1" si="141"/>
        <v>1</v>
      </c>
      <c r="H1423" s="3">
        <f t="shared" ca="1" si="142"/>
        <v>1.674877336173515</v>
      </c>
      <c r="I1423" s="3">
        <f t="shared" ca="1" si="143"/>
        <v>6.4708526025816626</v>
      </c>
      <c r="O1423" s="3">
        <f t="shared" ca="1" si="144"/>
        <v>-12.391487306743379</v>
      </c>
      <c r="P1423" s="3">
        <f t="shared" ca="1" si="145"/>
        <v>3.5354465697697899</v>
      </c>
      <c r="Q1423" s="3">
        <f t="shared" ca="1" si="146"/>
        <v>12.885974550684137</v>
      </c>
    </row>
    <row r="1424" spans="7:17" x14ac:dyDescent="0.25">
      <c r="G1424" s="3">
        <f t="shared" ca="1" si="141"/>
        <v>0</v>
      </c>
      <c r="H1424" s="3">
        <f t="shared" ca="1" si="142"/>
        <v>1.3885766391751371</v>
      </c>
      <c r="I1424" s="3">
        <f t="shared" ca="1" si="143"/>
        <v>5.8918940909845308</v>
      </c>
      <c r="O1424" s="3">
        <f t="shared" ca="1" si="144"/>
        <v>-1.1322489811986287</v>
      </c>
      <c r="P1424" s="3">
        <f t="shared" ca="1" si="145"/>
        <v>1.7196575915549037</v>
      </c>
      <c r="Q1424" s="3">
        <f t="shared" ca="1" si="146"/>
        <v>2.0589341872963653</v>
      </c>
    </row>
    <row r="1425" spans="7:17" x14ac:dyDescent="0.25">
      <c r="G1425" s="3">
        <f t="shared" ca="1" si="141"/>
        <v>1</v>
      </c>
      <c r="H1425" s="3">
        <f t="shared" ca="1" si="142"/>
        <v>4.6677562114093174</v>
      </c>
      <c r="I1425" s="3">
        <f t="shared" ca="1" si="143"/>
        <v>10.80249532678598</v>
      </c>
      <c r="O1425" s="3">
        <f t="shared" ca="1" si="144"/>
        <v>-1.1023014147071497</v>
      </c>
      <c r="P1425" s="3">
        <f t="shared" ca="1" si="145"/>
        <v>-3.716193261632601</v>
      </c>
      <c r="Q1425" s="3">
        <f t="shared" ca="1" si="146"/>
        <v>3.8762302262209518</v>
      </c>
    </row>
    <row r="1426" spans="7:17" x14ac:dyDescent="0.25">
      <c r="G1426" s="3">
        <f t="shared" ca="1" si="141"/>
        <v>0</v>
      </c>
      <c r="H1426" s="3">
        <f t="shared" ca="1" si="142"/>
        <v>1.4645845738429728</v>
      </c>
      <c r="I1426" s="3">
        <f t="shared" ca="1" si="143"/>
        <v>6.051001102798967</v>
      </c>
      <c r="O1426" s="3">
        <f t="shared" ca="1" si="144"/>
        <v>0.14571254937328071</v>
      </c>
      <c r="P1426" s="3">
        <f t="shared" ca="1" si="145"/>
        <v>5.2878728861606392</v>
      </c>
      <c r="Q1426" s="3">
        <f t="shared" ca="1" si="146"/>
        <v>5.2898801316511612</v>
      </c>
    </row>
    <row r="1427" spans="7:17" x14ac:dyDescent="0.25">
      <c r="G1427" s="3">
        <f t="shared" ca="1" si="141"/>
        <v>0</v>
      </c>
      <c r="H1427" s="3">
        <f t="shared" ca="1" si="142"/>
        <v>0.41660538759494636</v>
      </c>
      <c r="I1427" s="3">
        <f t="shared" ca="1" si="143"/>
        <v>3.2272487802885075</v>
      </c>
      <c r="O1427" s="3">
        <f t="shared" ca="1" si="144"/>
        <v>-4.5115069025093089</v>
      </c>
      <c r="P1427" s="3">
        <f t="shared" ca="1" si="145"/>
        <v>4.6150883486480163</v>
      </c>
      <c r="Q1427" s="3">
        <f t="shared" ca="1" si="146"/>
        <v>6.4538930109830464</v>
      </c>
    </row>
    <row r="1428" spans="7:17" x14ac:dyDescent="0.25">
      <c r="G1428" s="3">
        <f t="shared" ca="1" si="141"/>
        <v>0</v>
      </c>
      <c r="H1428" s="3">
        <f t="shared" ca="1" si="142"/>
        <v>2.5231420780012255</v>
      </c>
      <c r="I1428" s="3">
        <f t="shared" ca="1" si="143"/>
        <v>7.9422006994302672</v>
      </c>
      <c r="O1428" s="3">
        <f t="shared" ca="1" si="144"/>
        <v>1.863294817193375</v>
      </c>
      <c r="P1428" s="3">
        <f t="shared" ca="1" si="145"/>
        <v>2.0200584262844066</v>
      </c>
      <c r="Q1428" s="3">
        <f t="shared" ca="1" si="146"/>
        <v>2.7481818756010901</v>
      </c>
    </row>
    <row r="1429" spans="7:17" x14ac:dyDescent="0.25">
      <c r="G1429" s="3">
        <f t="shared" ca="1" si="141"/>
        <v>1</v>
      </c>
      <c r="H1429" s="3">
        <f t="shared" ca="1" si="142"/>
        <v>2.5206499742169051</v>
      </c>
      <c r="I1429" s="3">
        <f t="shared" ca="1" si="143"/>
        <v>7.938277480374607</v>
      </c>
      <c r="O1429" s="3">
        <f t="shared" ca="1" si="144"/>
        <v>-8.6470661809786353</v>
      </c>
      <c r="P1429" s="3">
        <f t="shared" ca="1" si="145"/>
        <v>4.1327011133120068</v>
      </c>
      <c r="Q1429" s="3">
        <f t="shared" ca="1" si="146"/>
        <v>9.5838912780871404</v>
      </c>
    </row>
    <row r="1430" spans="7:17" x14ac:dyDescent="0.25">
      <c r="G1430" s="3">
        <f t="shared" ca="1" si="141"/>
        <v>0</v>
      </c>
      <c r="H1430" s="3">
        <f t="shared" ca="1" si="142"/>
        <v>0.5207282300306062</v>
      </c>
      <c r="I1430" s="3">
        <f t="shared" ca="1" si="143"/>
        <v>3.6080750755444591</v>
      </c>
      <c r="O1430" s="3">
        <f t="shared" ca="1" si="144"/>
        <v>-4.133376854634971</v>
      </c>
      <c r="P1430" s="3">
        <f t="shared" ca="1" si="145"/>
        <v>-2.0886298789744138</v>
      </c>
      <c r="Q1430" s="3">
        <f t="shared" ca="1" si="146"/>
        <v>4.6311099094900303</v>
      </c>
    </row>
    <row r="1431" spans="7:17" x14ac:dyDescent="0.25">
      <c r="G1431" s="3">
        <f t="shared" ca="1" si="141"/>
        <v>2</v>
      </c>
      <c r="H1431" s="3">
        <f t="shared" ca="1" si="142"/>
        <v>4.6227625736786893</v>
      </c>
      <c r="I1431" s="3">
        <f t="shared" ca="1" si="143"/>
        <v>10.750305313895378</v>
      </c>
      <c r="O1431" s="3">
        <f t="shared" ca="1" si="144"/>
        <v>-7.1089316937243199</v>
      </c>
      <c r="P1431" s="3">
        <f t="shared" ca="1" si="145"/>
        <v>-6.8020735038966311</v>
      </c>
      <c r="Q1431" s="3">
        <f t="shared" ca="1" si="146"/>
        <v>9.8389589783904832</v>
      </c>
    </row>
    <row r="1432" spans="7:17" x14ac:dyDescent="0.25">
      <c r="G1432" s="3">
        <f t="shared" ca="1" si="141"/>
        <v>1</v>
      </c>
      <c r="H1432" s="3">
        <f t="shared" ca="1" si="142"/>
        <v>7.9254541496954714</v>
      </c>
      <c r="I1432" s="3">
        <f t="shared" ca="1" si="143"/>
        <v>14.076091564862272</v>
      </c>
      <c r="O1432" s="3">
        <f t="shared" ca="1" si="144"/>
        <v>-6.8672884720879637</v>
      </c>
      <c r="P1432" s="3">
        <f t="shared" ca="1" si="145"/>
        <v>-1.1597510714514745</v>
      </c>
      <c r="Q1432" s="3">
        <f t="shared" ca="1" si="146"/>
        <v>6.9645296687289004</v>
      </c>
    </row>
    <row r="1433" spans="7:17" x14ac:dyDescent="0.25">
      <c r="G1433" s="3">
        <f t="shared" ca="1" si="141"/>
        <v>0</v>
      </c>
      <c r="H1433" s="3">
        <f t="shared" ca="1" si="142"/>
        <v>0.68015919413159798</v>
      </c>
      <c r="I1433" s="3">
        <f t="shared" ca="1" si="143"/>
        <v>4.1235882254766842</v>
      </c>
      <c r="O1433" s="3">
        <f t="shared" ca="1" si="144"/>
        <v>-8.3214947472910108</v>
      </c>
      <c r="P1433" s="3">
        <f t="shared" ca="1" si="145"/>
        <v>4.1018978838112501</v>
      </c>
      <c r="Q1433" s="3">
        <f t="shared" ca="1" si="146"/>
        <v>9.2775449919904514</v>
      </c>
    </row>
    <row r="1434" spans="7:17" x14ac:dyDescent="0.25">
      <c r="G1434" s="3">
        <f t="shared" ca="1" si="141"/>
        <v>2</v>
      </c>
      <c r="H1434" s="3">
        <f t="shared" ca="1" si="142"/>
        <v>6.553814894720567</v>
      </c>
      <c r="I1434" s="3">
        <f t="shared" ca="1" si="143"/>
        <v>12.800209856405253</v>
      </c>
      <c r="O1434" s="3">
        <f t="shared" ca="1" si="144"/>
        <v>-13.235877880876091</v>
      </c>
      <c r="P1434" s="3">
        <f t="shared" ca="1" si="145"/>
        <v>3.1657745822233472</v>
      </c>
      <c r="Q1434" s="3">
        <f t="shared" ca="1" si="146"/>
        <v>13.609209822135757</v>
      </c>
    </row>
    <row r="1435" spans="7:17" x14ac:dyDescent="0.25">
      <c r="G1435" s="3">
        <f t="shared" ca="1" si="141"/>
        <v>1</v>
      </c>
      <c r="H1435" s="3">
        <f t="shared" ca="1" si="142"/>
        <v>1.8693390182728833</v>
      </c>
      <c r="I1435" s="3">
        <f t="shared" ca="1" si="143"/>
        <v>6.8361886645134433</v>
      </c>
      <c r="O1435" s="3">
        <f t="shared" ca="1" si="144"/>
        <v>1.0492385756164699</v>
      </c>
      <c r="P1435" s="3">
        <f t="shared" ca="1" si="145"/>
        <v>9.6738790232718923</v>
      </c>
      <c r="Q1435" s="3">
        <f t="shared" ca="1" si="146"/>
        <v>9.7306133899904594</v>
      </c>
    </row>
    <row r="1436" spans="7:17" x14ac:dyDescent="0.25">
      <c r="G1436" s="3">
        <f t="shared" ca="1" si="141"/>
        <v>0</v>
      </c>
      <c r="H1436" s="3">
        <f t="shared" ca="1" si="142"/>
        <v>2.5582467905394677E-2</v>
      </c>
      <c r="I1436" s="3">
        <f t="shared" ca="1" si="143"/>
        <v>0.79972601410412236</v>
      </c>
      <c r="O1436" s="3">
        <f t="shared" ca="1" si="144"/>
        <v>-12.560659752431089</v>
      </c>
      <c r="P1436" s="3">
        <f t="shared" ca="1" si="145"/>
        <v>3.1471023498871245</v>
      </c>
      <c r="Q1436" s="3">
        <f t="shared" ca="1" si="146"/>
        <v>12.948916040233147</v>
      </c>
    </row>
    <row r="1437" spans="7:17" x14ac:dyDescent="0.25">
      <c r="G1437" s="3">
        <f t="shared" ca="1" si="141"/>
        <v>0</v>
      </c>
      <c r="H1437" s="3">
        <f t="shared" ca="1" si="142"/>
        <v>2.1870955088179715</v>
      </c>
      <c r="I1437" s="3">
        <f t="shared" ca="1" si="143"/>
        <v>7.394415982378141</v>
      </c>
      <c r="O1437" s="3">
        <f t="shared" ca="1" si="144"/>
        <v>-14.833404616461813</v>
      </c>
      <c r="P1437" s="3">
        <f t="shared" ca="1" si="145"/>
        <v>-8.5059365500500146</v>
      </c>
      <c r="Q1437" s="3">
        <f t="shared" ca="1" si="146"/>
        <v>17.099147613525865</v>
      </c>
    </row>
    <row r="1438" spans="7:17" x14ac:dyDescent="0.25">
      <c r="G1438" s="3">
        <f t="shared" ca="1" si="141"/>
        <v>0</v>
      </c>
      <c r="H1438" s="3">
        <f t="shared" ca="1" si="142"/>
        <v>0.84084061405685084</v>
      </c>
      <c r="I1438" s="3">
        <f t="shared" ca="1" si="143"/>
        <v>4.5848680844078018</v>
      </c>
      <c r="O1438" s="3">
        <f t="shared" ca="1" si="144"/>
        <v>-6.3130214932181046</v>
      </c>
      <c r="P1438" s="3">
        <f t="shared" ca="1" si="145"/>
        <v>0.38186105488800781</v>
      </c>
      <c r="Q1438" s="3">
        <f t="shared" ca="1" si="146"/>
        <v>6.3245599245381436</v>
      </c>
    </row>
    <row r="1439" spans="7:17" x14ac:dyDescent="0.25">
      <c r="G1439" s="3">
        <f t="shared" ca="1" si="141"/>
        <v>0</v>
      </c>
      <c r="H1439" s="3">
        <f t="shared" ca="1" si="142"/>
        <v>1.4202913381878026</v>
      </c>
      <c r="I1439" s="3">
        <f t="shared" ca="1" si="143"/>
        <v>5.9587988264997724</v>
      </c>
      <c r="O1439" s="3">
        <f t="shared" ca="1" si="144"/>
        <v>-18.216659890391746</v>
      </c>
      <c r="P1439" s="3">
        <f t="shared" ca="1" si="145"/>
        <v>2.508600090822104</v>
      </c>
      <c r="Q1439" s="3">
        <f t="shared" ca="1" si="146"/>
        <v>18.388577214615601</v>
      </c>
    </row>
    <row r="1440" spans="7:17" x14ac:dyDescent="0.25">
      <c r="G1440" s="3">
        <f t="shared" ca="1" si="141"/>
        <v>0</v>
      </c>
      <c r="H1440" s="3">
        <f t="shared" ca="1" si="142"/>
        <v>9.0869544701329463</v>
      </c>
      <c r="I1440" s="3">
        <f t="shared" ca="1" si="143"/>
        <v>15.072287873887085</v>
      </c>
      <c r="O1440" s="3">
        <f t="shared" ca="1" si="144"/>
        <v>0.80631736656416741</v>
      </c>
      <c r="P1440" s="3">
        <f t="shared" ca="1" si="145"/>
        <v>1.495645038909774</v>
      </c>
      <c r="Q1440" s="3">
        <f t="shared" ca="1" si="146"/>
        <v>1.6991473679579394</v>
      </c>
    </row>
    <row r="1441" spans="7:17" x14ac:dyDescent="0.25">
      <c r="G1441" s="3">
        <f t="shared" ca="1" si="141"/>
        <v>0</v>
      </c>
      <c r="H1441" s="3">
        <f t="shared" ca="1" si="142"/>
        <v>1.6735278176362165</v>
      </c>
      <c r="I1441" s="3">
        <f t="shared" ca="1" si="143"/>
        <v>6.4682451593075392</v>
      </c>
      <c r="O1441" s="3">
        <f t="shared" ca="1" si="144"/>
        <v>1.4674766599398659</v>
      </c>
      <c r="P1441" s="3">
        <f t="shared" ca="1" si="145"/>
        <v>-1.1433667319863166</v>
      </c>
      <c r="Q1441" s="3">
        <f t="shared" ca="1" si="146"/>
        <v>1.860315895562185</v>
      </c>
    </row>
    <row r="1442" spans="7:17" x14ac:dyDescent="0.25">
      <c r="G1442" s="3">
        <f t="shared" ca="1" si="141"/>
        <v>1</v>
      </c>
      <c r="H1442" s="3">
        <f t="shared" ca="1" si="142"/>
        <v>3.2626052025715651</v>
      </c>
      <c r="I1442" s="3">
        <f t="shared" ca="1" si="143"/>
        <v>9.0313415428876969</v>
      </c>
      <c r="O1442" s="3">
        <f t="shared" ca="1" si="144"/>
        <v>-11.267223322664552</v>
      </c>
      <c r="P1442" s="3">
        <f t="shared" ca="1" si="145"/>
        <v>-2.4855187271332118</v>
      </c>
      <c r="Q1442" s="3">
        <f t="shared" ca="1" si="146"/>
        <v>11.538116169710111</v>
      </c>
    </row>
    <row r="1443" spans="7:17" x14ac:dyDescent="0.25">
      <c r="G1443" s="3">
        <f t="shared" ca="1" si="141"/>
        <v>1</v>
      </c>
      <c r="H1443" s="3">
        <f t="shared" ca="1" si="142"/>
        <v>2.4272928718952738</v>
      </c>
      <c r="I1443" s="3">
        <f t="shared" ca="1" si="143"/>
        <v>7.7898858654913452</v>
      </c>
      <c r="O1443" s="3">
        <f t="shared" ca="1" si="144"/>
        <v>-8.1654222128568961</v>
      </c>
      <c r="P1443" s="3">
        <f t="shared" ca="1" si="145"/>
        <v>-1.9958949772548837</v>
      </c>
      <c r="Q1443" s="3">
        <f t="shared" ca="1" si="146"/>
        <v>8.4058144563419965</v>
      </c>
    </row>
    <row r="1444" spans="7:17" x14ac:dyDescent="0.25">
      <c r="G1444" s="3">
        <f t="shared" ca="1" si="141"/>
        <v>0</v>
      </c>
      <c r="H1444" s="3">
        <f t="shared" ca="1" si="142"/>
        <v>2.8618739706421161</v>
      </c>
      <c r="I1444" s="3">
        <f t="shared" ca="1" si="143"/>
        <v>8.4585370641768129</v>
      </c>
      <c r="O1444" s="3">
        <f t="shared" ca="1" si="144"/>
        <v>-13.112924603211058</v>
      </c>
      <c r="P1444" s="3">
        <f t="shared" ca="1" si="145"/>
        <v>1.6395537159345459</v>
      </c>
      <c r="Q1444" s="3">
        <f t="shared" ca="1" si="146"/>
        <v>13.215026599932845</v>
      </c>
    </row>
    <row r="1445" spans="7:17" x14ac:dyDescent="0.25">
      <c r="G1445" s="3">
        <f t="shared" ca="1" si="141"/>
        <v>0</v>
      </c>
      <c r="H1445" s="3">
        <f t="shared" ca="1" si="142"/>
        <v>1.0894460079079233</v>
      </c>
      <c r="I1445" s="3">
        <f t="shared" ca="1" si="143"/>
        <v>5.2188265153862012</v>
      </c>
      <c r="O1445" s="3">
        <f t="shared" ca="1" si="144"/>
        <v>-5.1646161103812922</v>
      </c>
      <c r="P1445" s="3">
        <f t="shared" ca="1" si="145"/>
        <v>4.5782791562658103</v>
      </c>
      <c r="Q1445" s="3">
        <f t="shared" ca="1" si="146"/>
        <v>6.9017316378071358</v>
      </c>
    </row>
    <row r="1446" spans="7:17" x14ac:dyDescent="0.25">
      <c r="G1446" s="3">
        <f t="shared" ca="1" si="141"/>
        <v>0</v>
      </c>
      <c r="H1446" s="3">
        <f t="shared" ca="1" si="142"/>
        <v>0.21798979422200224</v>
      </c>
      <c r="I1446" s="3">
        <f t="shared" ca="1" si="143"/>
        <v>2.3344688594089353</v>
      </c>
      <c r="O1446" s="3">
        <f t="shared" ca="1" si="144"/>
        <v>-6.0591093443875437</v>
      </c>
      <c r="P1446" s="3">
        <f t="shared" ca="1" si="145"/>
        <v>-0.40528095522669888</v>
      </c>
      <c r="Q1446" s="3">
        <f t="shared" ca="1" si="146"/>
        <v>6.0726484090480586</v>
      </c>
    </row>
    <row r="1447" spans="7:17" x14ac:dyDescent="0.25">
      <c r="G1447" s="3">
        <f t="shared" ca="1" si="141"/>
        <v>0</v>
      </c>
      <c r="H1447" s="3">
        <f t="shared" ca="1" si="142"/>
        <v>2.2738100946739039</v>
      </c>
      <c r="I1447" s="3">
        <f t="shared" ca="1" si="143"/>
        <v>7.5395790576694397</v>
      </c>
      <c r="O1447" s="3">
        <f t="shared" ca="1" si="144"/>
        <v>-5.4559448747412711</v>
      </c>
      <c r="P1447" s="3">
        <f t="shared" ca="1" si="145"/>
        <v>6.1553510066932544</v>
      </c>
      <c r="Q1447" s="3">
        <f t="shared" ca="1" si="146"/>
        <v>8.2253073189890724</v>
      </c>
    </row>
    <row r="1448" spans="7:17" x14ac:dyDescent="0.25">
      <c r="G1448" s="3">
        <f t="shared" ca="1" si="141"/>
        <v>0</v>
      </c>
      <c r="H1448" s="3">
        <f t="shared" ca="1" si="142"/>
        <v>1.7549696252746008</v>
      </c>
      <c r="I1448" s="3">
        <f t="shared" ca="1" si="143"/>
        <v>6.623763328491215</v>
      </c>
      <c r="O1448" s="3">
        <f t="shared" ca="1" si="144"/>
        <v>-5.7423059650168922</v>
      </c>
      <c r="P1448" s="3">
        <f t="shared" ca="1" si="145"/>
        <v>-1.1416999495526081</v>
      </c>
      <c r="Q1448" s="3">
        <f t="shared" ca="1" si="146"/>
        <v>5.8547037987140742</v>
      </c>
    </row>
    <row r="1449" spans="7:17" x14ac:dyDescent="0.25">
      <c r="G1449" s="3">
        <f t="shared" ca="1" si="141"/>
        <v>0</v>
      </c>
      <c r="H1449" s="3">
        <f t="shared" ca="1" si="142"/>
        <v>0.73055549788632868</v>
      </c>
      <c r="I1449" s="3">
        <f t="shared" ca="1" si="143"/>
        <v>4.2736269663083863</v>
      </c>
      <c r="O1449" s="3">
        <f t="shared" ca="1" si="144"/>
        <v>-10.372222480601033</v>
      </c>
      <c r="P1449" s="3">
        <f t="shared" ca="1" si="145"/>
        <v>2.2935753297524797</v>
      </c>
      <c r="Q1449" s="3">
        <f t="shared" ca="1" si="146"/>
        <v>10.622781508641447</v>
      </c>
    </row>
    <row r="1450" spans="7:17" x14ac:dyDescent="0.25">
      <c r="G1450" s="3">
        <f t="shared" ca="1" si="141"/>
        <v>0</v>
      </c>
      <c r="H1450" s="3">
        <f t="shared" ca="1" si="142"/>
        <v>5.2702085145321896E-2</v>
      </c>
      <c r="I1450" s="3">
        <f t="shared" ca="1" si="143"/>
        <v>1.1478467356895028</v>
      </c>
      <c r="O1450" s="3">
        <f t="shared" ca="1" si="144"/>
        <v>6.8792136145884122</v>
      </c>
      <c r="P1450" s="3">
        <f t="shared" ca="1" si="145"/>
        <v>-5.6687457410396069</v>
      </c>
      <c r="Q1450" s="3">
        <f t="shared" ca="1" si="146"/>
        <v>8.9139361805934669</v>
      </c>
    </row>
    <row r="1451" spans="7:17" x14ac:dyDescent="0.25">
      <c r="G1451" s="3">
        <f t="shared" ca="1" si="141"/>
        <v>0</v>
      </c>
      <c r="H1451" s="3">
        <f t="shared" ca="1" si="142"/>
        <v>4.7067622285387502E-2</v>
      </c>
      <c r="I1451" s="3">
        <f t="shared" ca="1" si="143"/>
        <v>1.0847536850062725</v>
      </c>
      <c r="O1451" s="3">
        <f t="shared" ca="1" si="144"/>
        <v>-8.4425937686421904</v>
      </c>
      <c r="P1451" s="3">
        <f t="shared" ca="1" si="145"/>
        <v>-1.4275690399680718</v>
      </c>
      <c r="Q1451" s="3">
        <f t="shared" ca="1" si="146"/>
        <v>8.5624379067057355</v>
      </c>
    </row>
    <row r="1452" spans="7:17" x14ac:dyDescent="0.25">
      <c r="G1452" s="3">
        <f t="shared" ca="1" si="141"/>
        <v>0</v>
      </c>
      <c r="H1452" s="3">
        <f t="shared" ca="1" si="142"/>
        <v>0.23076425245105062</v>
      </c>
      <c r="I1452" s="3">
        <f t="shared" ca="1" si="143"/>
        <v>2.4018963989473536</v>
      </c>
      <c r="O1452" s="3">
        <f t="shared" ca="1" si="144"/>
        <v>3.1496890071713892</v>
      </c>
      <c r="P1452" s="3">
        <f t="shared" ca="1" si="145"/>
        <v>-1.3959056256996762</v>
      </c>
      <c r="Q1452" s="3">
        <f t="shared" ca="1" si="146"/>
        <v>3.445155055691441</v>
      </c>
    </row>
    <row r="1453" spans="7:17" x14ac:dyDescent="0.25">
      <c r="G1453" s="3">
        <f t="shared" ca="1" si="141"/>
        <v>0</v>
      </c>
      <c r="H1453" s="3">
        <f t="shared" ca="1" si="142"/>
        <v>0.67040751052204972</v>
      </c>
      <c r="I1453" s="3">
        <f t="shared" ca="1" si="143"/>
        <v>4.0939208300907879</v>
      </c>
      <c r="O1453" s="3">
        <f t="shared" ca="1" si="144"/>
        <v>-9.8136504455737068</v>
      </c>
      <c r="P1453" s="3">
        <f t="shared" ca="1" si="145"/>
        <v>1.3232668684626909</v>
      </c>
      <c r="Q1453" s="3">
        <f t="shared" ca="1" si="146"/>
        <v>9.9024628387628937</v>
      </c>
    </row>
    <row r="1454" spans="7:17" x14ac:dyDescent="0.25">
      <c r="G1454" s="3">
        <f t="shared" ca="1" si="141"/>
        <v>1</v>
      </c>
      <c r="H1454" s="3">
        <f t="shared" ca="1" si="142"/>
        <v>0.34188981514238087</v>
      </c>
      <c r="I1454" s="3">
        <f t="shared" ca="1" si="143"/>
        <v>2.9235672351699939</v>
      </c>
      <c r="O1454" s="3">
        <f t="shared" ca="1" si="144"/>
        <v>-4.646563884250912</v>
      </c>
      <c r="P1454" s="3">
        <f t="shared" ca="1" si="145"/>
        <v>-6.6215731980336754</v>
      </c>
      <c r="Q1454" s="3">
        <f t="shared" ca="1" si="146"/>
        <v>8.0892389967995655</v>
      </c>
    </row>
    <row r="1455" spans="7:17" x14ac:dyDescent="0.25">
      <c r="G1455" s="3">
        <f t="shared" ca="1" si="141"/>
        <v>0</v>
      </c>
      <c r="H1455" s="3">
        <f t="shared" ca="1" si="142"/>
        <v>1.6735980568325466</v>
      </c>
      <c r="I1455" s="3">
        <f t="shared" ca="1" si="143"/>
        <v>6.4683808963923628</v>
      </c>
      <c r="O1455" s="3">
        <f t="shared" ca="1" si="144"/>
        <v>-4.0111095585012784</v>
      </c>
      <c r="P1455" s="3">
        <f t="shared" ca="1" si="145"/>
        <v>-5.3413985580079864</v>
      </c>
      <c r="Q1455" s="3">
        <f t="shared" ca="1" si="146"/>
        <v>6.6797858083766517</v>
      </c>
    </row>
    <row r="1456" spans="7:17" x14ac:dyDescent="0.25">
      <c r="G1456" s="3">
        <f t="shared" ca="1" si="141"/>
        <v>0</v>
      </c>
      <c r="H1456" s="3">
        <f t="shared" ca="1" si="142"/>
        <v>3.1360914481236466</v>
      </c>
      <c r="I1456" s="3">
        <f t="shared" ca="1" si="143"/>
        <v>8.8545065476903435</v>
      </c>
      <c r="O1456" s="3">
        <f t="shared" ca="1" si="144"/>
        <v>6.1276132548806679</v>
      </c>
      <c r="P1456" s="3">
        <f t="shared" ca="1" si="145"/>
        <v>7.9467112891882605</v>
      </c>
      <c r="Q1456" s="3">
        <f t="shared" ca="1" si="146"/>
        <v>10.034832560391898</v>
      </c>
    </row>
    <row r="1457" spans="7:17" x14ac:dyDescent="0.25">
      <c r="G1457" s="3">
        <f t="shared" ca="1" si="141"/>
        <v>2</v>
      </c>
      <c r="H1457" s="3">
        <f t="shared" ca="1" si="142"/>
        <v>8.4978778048998223</v>
      </c>
      <c r="I1457" s="3">
        <f t="shared" ca="1" si="143"/>
        <v>14.575559856228356</v>
      </c>
      <c r="O1457" s="3">
        <f t="shared" ca="1" si="144"/>
        <v>-6.3137747851203319</v>
      </c>
      <c r="P1457" s="3">
        <f t="shared" ca="1" si="145"/>
        <v>-1.6247372509729419</v>
      </c>
      <c r="Q1457" s="3">
        <f t="shared" ca="1" si="146"/>
        <v>6.519472614554064</v>
      </c>
    </row>
    <row r="1458" spans="7:17" x14ac:dyDescent="0.25">
      <c r="G1458" s="3">
        <f t="shared" ca="1" si="141"/>
        <v>1</v>
      </c>
      <c r="H1458" s="3">
        <f t="shared" ca="1" si="142"/>
        <v>3.0103214452293581</v>
      </c>
      <c r="I1458" s="3">
        <f t="shared" ca="1" si="143"/>
        <v>8.6751389689580165</v>
      </c>
      <c r="O1458" s="3">
        <f t="shared" ca="1" si="144"/>
        <v>-0.99101180681350964</v>
      </c>
      <c r="P1458" s="3">
        <f t="shared" ca="1" si="145"/>
        <v>-6.1733515482667061</v>
      </c>
      <c r="Q1458" s="3">
        <f t="shared" ca="1" si="146"/>
        <v>6.2523894424236488</v>
      </c>
    </row>
    <row r="1459" spans="7:17" x14ac:dyDescent="0.25">
      <c r="G1459" s="3">
        <f t="shared" ca="1" si="141"/>
        <v>2</v>
      </c>
      <c r="H1459" s="3">
        <f t="shared" ca="1" si="142"/>
        <v>2.3605229861108405</v>
      </c>
      <c r="I1459" s="3">
        <f t="shared" ca="1" si="143"/>
        <v>7.6819967881255335</v>
      </c>
      <c r="O1459" s="3">
        <f t="shared" ca="1" si="144"/>
        <v>-6.7870856114884717</v>
      </c>
      <c r="P1459" s="3">
        <f t="shared" ca="1" si="145"/>
        <v>1.6389756784478016</v>
      </c>
      <c r="Q1459" s="3">
        <f t="shared" ca="1" si="146"/>
        <v>6.9821753323887021</v>
      </c>
    </row>
    <row r="1460" spans="7:17" x14ac:dyDescent="0.25">
      <c r="G1460" s="3">
        <f t="shared" ca="1" si="141"/>
        <v>0</v>
      </c>
      <c r="H1460" s="3">
        <f t="shared" ca="1" si="142"/>
        <v>1.417667747522841</v>
      </c>
      <c r="I1460" s="3">
        <f t="shared" ca="1" si="143"/>
        <v>5.9532926761642599</v>
      </c>
      <c r="O1460" s="3">
        <f t="shared" ca="1" si="144"/>
        <v>-2.1956369624107577</v>
      </c>
      <c r="P1460" s="3">
        <f t="shared" ca="1" si="145"/>
        <v>11.476402412802027</v>
      </c>
      <c r="Q1460" s="3">
        <f t="shared" ca="1" si="146"/>
        <v>11.684546803846205</v>
      </c>
    </row>
    <row r="1461" spans="7:17" x14ac:dyDescent="0.25">
      <c r="G1461" s="3">
        <f t="shared" ca="1" si="141"/>
        <v>0</v>
      </c>
      <c r="H1461" s="3">
        <f t="shared" ca="1" si="142"/>
        <v>1.7970694875746476</v>
      </c>
      <c r="I1461" s="3">
        <f t="shared" ca="1" si="143"/>
        <v>6.7027410206098654</v>
      </c>
      <c r="O1461" s="3">
        <f t="shared" ca="1" si="144"/>
        <v>-8.2859855635066069</v>
      </c>
      <c r="P1461" s="3">
        <f t="shared" ca="1" si="145"/>
        <v>-4.4740960779010583</v>
      </c>
      <c r="Q1461" s="3">
        <f t="shared" ca="1" si="146"/>
        <v>9.4167453227179045</v>
      </c>
    </row>
    <row r="1462" spans="7:17" x14ac:dyDescent="0.25">
      <c r="G1462" s="3">
        <f t="shared" ca="1" si="141"/>
        <v>0</v>
      </c>
      <c r="H1462" s="3">
        <f t="shared" ca="1" si="142"/>
        <v>0.48471218537829375</v>
      </c>
      <c r="I1462" s="3">
        <f t="shared" ca="1" si="143"/>
        <v>3.4810637216887228</v>
      </c>
      <c r="O1462" s="3">
        <f t="shared" ca="1" si="144"/>
        <v>-3.437150342367814</v>
      </c>
      <c r="P1462" s="3">
        <f t="shared" ca="1" si="145"/>
        <v>5.8037818431360186</v>
      </c>
      <c r="Q1462" s="3">
        <f t="shared" ca="1" si="146"/>
        <v>6.7452120914582441</v>
      </c>
    </row>
    <row r="1463" spans="7:17" x14ac:dyDescent="0.25">
      <c r="G1463" s="3">
        <f t="shared" ca="1" si="141"/>
        <v>0</v>
      </c>
      <c r="H1463" s="3">
        <f t="shared" ca="1" si="142"/>
        <v>2.2149636357062223</v>
      </c>
      <c r="I1463" s="3">
        <f t="shared" ca="1" si="143"/>
        <v>7.4413769487007952</v>
      </c>
      <c r="O1463" s="3">
        <f t="shared" ca="1" si="144"/>
        <v>-3.2912855005480104</v>
      </c>
      <c r="P1463" s="3">
        <f t="shared" ca="1" si="145"/>
        <v>-4.2509329689729176</v>
      </c>
      <c r="Q1463" s="3">
        <f t="shared" ca="1" si="146"/>
        <v>5.3761502353281081</v>
      </c>
    </row>
    <row r="1464" spans="7:17" x14ac:dyDescent="0.25">
      <c r="G1464" s="3">
        <f t="shared" ca="1" si="141"/>
        <v>0</v>
      </c>
      <c r="H1464" s="3">
        <f t="shared" ca="1" si="142"/>
        <v>6.1460370197544769</v>
      </c>
      <c r="I1464" s="3">
        <f t="shared" ca="1" si="143"/>
        <v>12.395601054158767</v>
      </c>
      <c r="O1464" s="3">
        <f t="shared" ca="1" si="144"/>
        <v>-4.9130786032575093</v>
      </c>
      <c r="P1464" s="3">
        <f t="shared" ca="1" si="145"/>
        <v>3.9845800879666182</v>
      </c>
      <c r="Q1464" s="3">
        <f t="shared" ca="1" si="146"/>
        <v>6.3257584398399862</v>
      </c>
    </row>
    <row r="1465" spans="7:17" x14ac:dyDescent="0.25">
      <c r="G1465" s="3">
        <f t="shared" ca="1" si="141"/>
        <v>1</v>
      </c>
      <c r="H1465" s="3">
        <f t="shared" ca="1" si="142"/>
        <v>1.8047702834112813</v>
      </c>
      <c r="I1465" s="3">
        <f t="shared" ca="1" si="143"/>
        <v>6.7170869493614589</v>
      </c>
      <c r="O1465" s="3">
        <f t="shared" ca="1" si="144"/>
        <v>-4.1758961676193582</v>
      </c>
      <c r="P1465" s="3">
        <f t="shared" ca="1" si="145"/>
        <v>1.9260692784692244</v>
      </c>
      <c r="Q1465" s="3">
        <f t="shared" ca="1" si="146"/>
        <v>4.5986793395714169</v>
      </c>
    </row>
    <row r="1466" spans="7:17" x14ac:dyDescent="0.25">
      <c r="G1466" s="3">
        <f t="shared" ca="1" si="141"/>
        <v>0</v>
      </c>
      <c r="H1466" s="3">
        <f t="shared" ca="1" si="142"/>
        <v>1.9824382159363073E-2</v>
      </c>
      <c r="I1466" s="3">
        <f t="shared" ca="1" si="143"/>
        <v>0.70399542184880493</v>
      </c>
      <c r="O1466" s="3">
        <f t="shared" ca="1" si="144"/>
        <v>-1.8096734949229418</v>
      </c>
      <c r="P1466" s="3">
        <f t="shared" ca="1" si="145"/>
        <v>-1.2221384577039429</v>
      </c>
      <c r="Q1466" s="3">
        <f t="shared" ca="1" si="146"/>
        <v>2.1836988272253999</v>
      </c>
    </row>
    <row r="1467" spans="7:17" x14ac:dyDescent="0.25">
      <c r="G1467" s="3">
        <f t="shared" ca="1" si="141"/>
        <v>0</v>
      </c>
      <c r="H1467" s="3">
        <f t="shared" ca="1" si="142"/>
        <v>1.558503074251512</v>
      </c>
      <c r="I1467" s="3">
        <f t="shared" ca="1" si="143"/>
        <v>6.2420010298211102</v>
      </c>
      <c r="O1467" s="3">
        <f t="shared" ca="1" si="144"/>
        <v>-2.7513002290528576</v>
      </c>
      <c r="P1467" s="3">
        <f t="shared" ca="1" si="145"/>
        <v>0.27103343767076249</v>
      </c>
      <c r="Q1467" s="3">
        <f t="shared" ca="1" si="146"/>
        <v>2.7646178894599411</v>
      </c>
    </row>
    <row r="1468" spans="7:17" x14ac:dyDescent="0.25">
      <c r="G1468" s="3">
        <f t="shared" ca="1" si="141"/>
        <v>1</v>
      </c>
      <c r="H1468" s="3">
        <f t="shared" ca="1" si="142"/>
        <v>1.4593023507455136</v>
      </c>
      <c r="I1468" s="3">
        <f t="shared" ca="1" si="143"/>
        <v>6.040079367743262</v>
      </c>
      <c r="O1468" s="3">
        <f t="shared" ca="1" si="144"/>
        <v>-9.4149281305186605</v>
      </c>
      <c r="P1468" s="3">
        <f t="shared" ca="1" si="145"/>
        <v>3.5122654164145435</v>
      </c>
      <c r="Q1468" s="3">
        <f t="shared" ca="1" si="146"/>
        <v>10.048725295189099</v>
      </c>
    </row>
    <row r="1469" spans="7:17" x14ac:dyDescent="0.25">
      <c r="G1469" s="3">
        <f t="shared" ca="1" si="141"/>
        <v>1</v>
      </c>
      <c r="H1469" s="3">
        <f t="shared" ca="1" si="142"/>
        <v>1.4737879307481743</v>
      </c>
      <c r="I1469" s="3">
        <f t="shared" ca="1" si="143"/>
        <v>6.0699833829018317</v>
      </c>
      <c r="O1469" s="3">
        <f t="shared" ca="1" si="144"/>
        <v>-13.545634532349993</v>
      </c>
      <c r="P1469" s="3">
        <f t="shared" ca="1" si="145"/>
        <v>0.53176319920100878</v>
      </c>
      <c r="Q1469" s="3">
        <f t="shared" ca="1" si="146"/>
        <v>13.556068271590295</v>
      </c>
    </row>
    <row r="1470" spans="7:17" x14ac:dyDescent="0.25">
      <c r="G1470" s="3">
        <f t="shared" ca="1" si="141"/>
        <v>2</v>
      </c>
      <c r="H1470" s="3">
        <f t="shared" ca="1" si="142"/>
        <v>10.871438248882811</v>
      </c>
      <c r="I1470" s="3">
        <f t="shared" ca="1" si="143"/>
        <v>16.485932070164257</v>
      </c>
      <c r="O1470" s="3">
        <f t="shared" ca="1" si="144"/>
        <v>-2.3781650149677267</v>
      </c>
      <c r="P1470" s="3">
        <f t="shared" ca="1" si="145"/>
        <v>1.3347515750052956</v>
      </c>
      <c r="Q1470" s="3">
        <f t="shared" ca="1" si="146"/>
        <v>2.7271286374858752</v>
      </c>
    </row>
    <row r="1471" spans="7:17" x14ac:dyDescent="0.25">
      <c r="G1471" s="3">
        <f t="shared" ca="1" si="141"/>
        <v>0</v>
      </c>
      <c r="H1471" s="3">
        <f t="shared" ca="1" si="142"/>
        <v>0.70366996665427506</v>
      </c>
      <c r="I1471" s="3">
        <f t="shared" ca="1" si="143"/>
        <v>4.1942519197536141</v>
      </c>
      <c r="O1471" s="3">
        <f t="shared" ca="1" si="144"/>
        <v>-3.7682345276322073</v>
      </c>
      <c r="P1471" s="3">
        <f t="shared" ca="1" si="145"/>
        <v>-3.9595701279844726</v>
      </c>
      <c r="Q1471" s="3">
        <f t="shared" ca="1" si="146"/>
        <v>5.4660577250580236</v>
      </c>
    </row>
    <row r="1472" spans="7:17" x14ac:dyDescent="0.25">
      <c r="G1472" s="3">
        <f t="shared" ca="1" si="141"/>
        <v>2</v>
      </c>
      <c r="H1472" s="3">
        <f t="shared" ca="1" si="142"/>
        <v>3.9425814193445814</v>
      </c>
      <c r="I1472" s="3">
        <f t="shared" ca="1" si="143"/>
        <v>9.9279673389679584</v>
      </c>
      <c r="O1472" s="3">
        <f t="shared" ca="1" si="144"/>
        <v>5.3240569975586176</v>
      </c>
      <c r="P1472" s="3">
        <f t="shared" ca="1" si="145"/>
        <v>10.733342412991057</v>
      </c>
      <c r="Q1472" s="3">
        <f t="shared" ca="1" si="146"/>
        <v>11.981244604287383</v>
      </c>
    </row>
    <row r="1473" spans="7:17" x14ac:dyDescent="0.25">
      <c r="G1473" s="3">
        <f t="shared" ca="1" si="141"/>
        <v>0</v>
      </c>
      <c r="H1473" s="3">
        <f t="shared" ca="1" si="142"/>
        <v>4.2916138794917877</v>
      </c>
      <c r="I1473" s="3">
        <f t="shared" ca="1" si="143"/>
        <v>10.358105376336672</v>
      </c>
      <c r="O1473" s="3">
        <f t="shared" ca="1" si="144"/>
        <v>-7.2536349937317821</v>
      </c>
      <c r="P1473" s="3">
        <f t="shared" ca="1" si="145"/>
        <v>5.7668838823053754</v>
      </c>
      <c r="Q1473" s="3">
        <f t="shared" ca="1" si="146"/>
        <v>9.2667238188198855</v>
      </c>
    </row>
    <row r="1474" spans="7:17" x14ac:dyDescent="0.25">
      <c r="G1474" s="3">
        <f t="shared" ca="1" si="141"/>
        <v>0</v>
      </c>
      <c r="H1474" s="3">
        <f t="shared" ca="1" si="142"/>
        <v>2.7534113761867873</v>
      </c>
      <c r="I1474" s="3">
        <f t="shared" ca="1" si="143"/>
        <v>8.2967032250569073</v>
      </c>
      <c r="O1474" s="3">
        <f t="shared" ca="1" si="144"/>
        <v>-9.7052468686457889</v>
      </c>
      <c r="P1474" s="3">
        <f t="shared" ca="1" si="145"/>
        <v>2.2899283903050294</v>
      </c>
      <c r="Q1474" s="3">
        <f t="shared" ca="1" si="146"/>
        <v>9.9717395079336022</v>
      </c>
    </row>
    <row r="1475" spans="7:17" x14ac:dyDescent="0.25">
      <c r="G1475" s="3">
        <f t="shared" ca="1" si="141"/>
        <v>0</v>
      </c>
      <c r="H1475" s="3">
        <f t="shared" ca="1" si="142"/>
        <v>0.3593593242426093</v>
      </c>
      <c r="I1475" s="3">
        <f t="shared" ca="1" si="143"/>
        <v>2.9973293289302116</v>
      </c>
      <c r="O1475" s="3">
        <f t="shared" ca="1" si="144"/>
        <v>-14.189780134965778</v>
      </c>
      <c r="P1475" s="3">
        <f t="shared" ca="1" si="145"/>
        <v>-3.4754391823521509</v>
      </c>
      <c r="Q1475" s="3">
        <f t="shared" ca="1" si="146"/>
        <v>14.609193605017971</v>
      </c>
    </row>
    <row r="1476" spans="7:17" x14ac:dyDescent="0.25">
      <c r="G1476" s="3">
        <f t="shared" ref="G1476:G1539" ca="1" si="147">VLOOKUP(RAND(),$B$9:$C$169,2,TRUE)</f>
        <v>1</v>
      </c>
      <c r="H1476" s="3">
        <f t="shared" ref="H1476:H1539" ca="1" si="148">_xlfn.CHISQ.INV(RAND(),2*G1476+2)</f>
        <v>3.4513618418326097</v>
      </c>
      <c r="I1476" s="3">
        <f t="shared" ref="I1476:I1539" ca="1" si="149">$C$4*SQRT(H1476)</f>
        <v>9.2889206071435044</v>
      </c>
      <c r="O1476" s="3">
        <f t="shared" ref="O1476:O1539" ca="1" si="150">_xlfn.NORM.INV(RAND(),$C$3*COS($N$2),$C$4)</f>
        <v>-5.4799291014745002</v>
      </c>
      <c r="P1476" s="3">
        <f t="shared" ref="P1476:P1539" ca="1" si="151">_xlfn.NORM.INV(RAND(),$C$3*SIN($N$2),$C$4)</f>
        <v>-3.9493324134585164</v>
      </c>
      <c r="Q1476" s="3">
        <f t="shared" ref="Q1476:Q1539" ca="1" si="152">SQRT(O1476^2+P1476^2)</f>
        <v>6.7547649455166976</v>
      </c>
    </row>
    <row r="1477" spans="7:17" x14ac:dyDescent="0.25">
      <c r="G1477" s="3">
        <f t="shared" ca="1" si="147"/>
        <v>0</v>
      </c>
      <c r="H1477" s="3">
        <f t="shared" ca="1" si="148"/>
        <v>4.2820082320066151</v>
      </c>
      <c r="I1477" s="3">
        <f t="shared" ca="1" si="149"/>
        <v>10.346506937134164</v>
      </c>
      <c r="O1477" s="3">
        <f t="shared" ca="1" si="150"/>
        <v>-7.4759843803988559</v>
      </c>
      <c r="P1477" s="3">
        <f t="shared" ca="1" si="151"/>
        <v>6.9187663868903577</v>
      </c>
      <c r="Q1477" s="3">
        <f t="shared" ca="1" si="152"/>
        <v>10.186249102212823</v>
      </c>
    </row>
    <row r="1478" spans="7:17" x14ac:dyDescent="0.25">
      <c r="G1478" s="3">
        <f t="shared" ca="1" si="147"/>
        <v>0</v>
      </c>
      <c r="H1478" s="3">
        <f t="shared" ca="1" si="148"/>
        <v>1.6411095583818165</v>
      </c>
      <c r="I1478" s="3">
        <f t="shared" ca="1" si="149"/>
        <v>6.4052899200227786</v>
      </c>
      <c r="O1478" s="3">
        <f t="shared" ca="1" si="150"/>
        <v>-8.278291619856514</v>
      </c>
      <c r="P1478" s="3">
        <f t="shared" ca="1" si="151"/>
        <v>-4.455918334863588</v>
      </c>
      <c r="Q1478" s="3">
        <f t="shared" ca="1" si="152"/>
        <v>9.4013467306742857</v>
      </c>
    </row>
    <row r="1479" spans="7:17" x14ac:dyDescent="0.25">
      <c r="G1479" s="3">
        <f t="shared" ca="1" si="147"/>
        <v>0</v>
      </c>
      <c r="H1479" s="3">
        <f t="shared" ca="1" si="148"/>
        <v>0.26400509415863865</v>
      </c>
      <c r="I1479" s="3">
        <f t="shared" ca="1" si="149"/>
        <v>2.5690713018454674</v>
      </c>
      <c r="O1479" s="3">
        <f t="shared" ca="1" si="150"/>
        <v>-0.98708860229783646</v>
      </c>
      <c r="P1479" s="3">
        <f t="shared" ca="1" si="151"/>
        <v>3.8847926684129139</v>
      </c>
      <c r="Q1479" s="3">
        <f t="shared" ca="1" si="152"/>
        <v>4.008236268652464</v>
      </c>
    </row>
    <row r="1480" spans="7:17" x14ac:dyDescent="0.25">
      <c r="G1480" s="3">
        <f t="shared" ca="1" si="147"/>
        <v>2</v>
      </c>
      <c r="H1480" s="3">
        <f t="shared" ca="1" si="148"/>
        <v>2.9864425061590056</v>
      </c>
      <c r="I1480" s="3">
        <f t="shared" ca="1" si="149"/>
        <v>8.640663322568189</v>
      </c>
      <c r="O1480" s="3">
        <f t="shared" ca="1" si="150"/>
        <v>3.1289513613782649</v>
      </c>
      <c r="P1480" s="3">
        <f t="shared" ca="1" si="151"/>
        <v>5.1881902591987652</v>
      </c>
      <c r="Q1480" s="3">
        <f t="shared" ca="1" si="152"/>
        <v>6.0586842455698129</v>
      </c>
    </row>
    <row r="1481" spans="7:17" x14ac:dyDescent="0.25">
      <c r="G1481" s="3">
        <f t="shared" ca="1" si="147"/>
        <v>0</v>
      </c>
      <c r="H1481" s="3">
        <f t="shared" ca="1" si="148"/>
        <v>3.2615078839969476</v>
      </c>
      <c r="I1481" s="3">
        <f t="shared" ca="1" si="149"/>
        <v>9.0298226505244106</v>
      </c>
      <c r="O1481" s="3">
        <f t="shared" ca="1" si="150"/>
        <v>-6.0671143452449154</v>
      </c>
      <c r="P1481" s="3">
        <f t="shared" ca="1" si="151"/>
        <v>-3.7889316051194348</v>
      </c>
      <c r="Q1481" s="3">
        <f t="shared" ca="1" si="152"/>
        <v>7.1530328663126932</v>
      </c>
    </row>
    <row r="1482" spans="7:17" x14ac:dyDescent="0.25">
      <c r="G1482" s="3">
        <f t="shared" ca="1" si="147"/>
        <v>1</v>
      </c>
      <c r="H1482" s="3">
        <f t="shared" ca="1" si="148"/>
        <v>0.78664033463999361</v>
      </c>
      <c r="I1482" s="3">
        <f t="shared" ca="1" si="149"/>
        <v>4.4346373432333603</v>
      </c>
      <c r="O1482" s="3">
        <f t="shared" ca="1" si="150"/>
        <v>-5.6256050985193315</v>
      </c>
      <c r="P1482" s="3">
        <f t="shared" ca="1" si="151"/>
        <v>-3.8568839260467502</v>
      </c>
      <c r="Q1482" s="3">
        <f t="shared" ca="1" si="152"/>
        <v>6.8207760807319051</v>
      </c>
    </row>
    <row r="1483" spans="7:17" x14ac:dyDescent="0.25">
      <c r="G1483" s="3">
        <f t="shared" ca="1" si="147"/>
        <v>0</v>
      </c>
      <c r="H1483" s="3">
        <f t="shared" ca="1" si="148"/>
        <v>7.0972321368991267</v>
      </c>
      <c r="I1483" s="3">
        <f t="shared" ca="1" si="149"/>
        <v>13.320315440051642</v>
      </c>
      <c r="O1483" s="3">
        <f t="shared" ca="1" si="150"/>
        <v>-18.245143198674398</v>
      </c>
      <c r="P1483" s="3">
        <f t="shared" ca="1" si="151"/>
        <v>-1.1138655890658808</v>
      </c>
      <c r="Q1483" s="3">
        <f t="shared" ca="1" si="152"/>
        <v>18.279112311341592</v>
      </c>
    </row>
    <row r="1484" spans="7:17" x14ac:dyDescent="0.25">
      <c r="G1484" s="3">
        <f t="shared" ca="1" si="147"/>
        <v>0</v>
      </c>
      <c r="H1484" s="3">
        <f t="shared" ca="1" si="148"/>
        <v>0.5252394702665043</v>
      </c>
      <c r="I1484" s="3">
        <f t="shared" ca="1" si="149"/>
        <v>3.623670343265597</v>
      </c>
      <c r="O1484" s="3">
        <f t="shared" ca="1" si="150"/>
        <v>-6.8114873323532894</v>
      </c>
      <c r="P1484" s="3">
        <f t="shared" ca="1" si="151"/>
        <v>2.1539294904167412</v>
      </c>
      <c r="Q1484" s="3">
        <f t="shared" ca="1" si="152"/>
        <v>7.143932525471965</v>
      </c>
    </row>
    <row r="1485" spans="7:17" x14ac:dyDescent="0.25">
      <c r="G1485" s="3">
        <f t="shared" ca="1" si="147"/>
        <v>0</v>
      </c>
      <c r="H1485" s="3">
        <f t="shared" ca="1" si="148"/>
        <v>0.49148073783463314</v>
      </c>
      <c r="I1485" s="3">
        <f t="shared" ca="1" si="149"/>
        <v>3.5052843602004429</v>
      </c>
      <c r="O1485" s="3">
        <f t="shared" ca="1" si="150"/>
        <v>-5.6405600114122736</v>
      </c>
      <c r="P1485" s="3">
        <f t="shared" ca="1" si="151"/>
        <v>-7.9178815268433889</v>
      </c>
      <c r="Q1485" s="3">
        <f t="shared" ca="1" si="152"/>
        <v>9.7215618660517205</v>
      </c>
    </row>
    <row r="1486" spans="7:17" x14ac:dyDescent="0.25">
      <c r="G1486" s="3">
        <f t="shared" ca="1" si="147"/>
        <v>0</v>
      </c>
      <c r="H1486" s="3">
        <f t="shared" ca="1" si="148"/>
        <v>0.10234372004398137</v>
      </c>
      <c r="I1486" s="3">
        <f t="shared" ca="1" si="149"/>
        <v>1.5995602524129982</v>
      </c>
      <c r="O1486" s="3">
        <f t="shared" ca="1" si="150"/>
        <v>-7.707799056473724</v>
      </c>
      <c r="P1486" s="3">
        <f t="shared" ca="1" si="151"/>
        <v>5.5314525283426006</v>
      </c>
      <c r="Q1486" s="3">
        <f t="shared" ca="1" si="152"/>
        <v>9.4872089345752784</v>
      </c>
    </row>
    <row r="1487" spans="7:17" x14ac:dyDescent="0.25">
      <c r="G1487" s="3">
        <f t="shared" ca="1" si="147"/>
        <v>0</v>
      </c>
      <c r="H1487" s="3">
        <f t="shared" ca="1" si="148"/>
        <v>2.8582297821754628</v>
      </c>
      <c r="I1487" s="3">
        <f t="shared" ca="1" si="149"/>
        <v>8.4531499782262571</v>
      </c>
      <c r="O1487" s="3">
        <f t="shared" ca="1" si="150"/>
        <v>-0.52461909583935729</v>
      </c>
      <c r="P1487" s="3">
        <f t="shared" ca="1" si="151"/>
        <v>-5.5734950629340352</v>
      </c>
      <c r="Q1487" s="3">
        <f t="shared" ca="1" si="152"/>
        <v>5.5981311535430613</v>
      </c>
    </row>
    <row r="1488" spans="7:17" x14ac:dyDescent="0.25">
      <c r="G1488" s="3">
        <f t="shared" ca="1" si="147"/>
        <v>0</v>
      </c>
      <c r="H1488" s="3">
        <f t="shared" ca="1" si="148"/>
        <v>4.2692447349033058</v>
      </c>
      <c r="I1488" s="3">
        <f t="shared" ca="1" si="149"/>
        <v>10.331075373482793</v>
      </c>
      <c r="O1488" s="3">
        <f t="shared" ca="1" si="150"/>
        <v>-7.8129670544535701</v>
      </c>
      <c r="P1488" s="3">
        <f t="shared" ca="1" si="151"/>
        <v>-3.5867898785825902</v>
      </c>
      <c r="Q1488" s="3">
        <f t="shared" ca="1" si="152"/>
        <v>8.5969480530639135</v>
      </c>
    </row>
    <row r="1489" spans="7:17" x14ac:dyDescent="0.25">
      <c r="G1489" s="3">
        <f t="shared" ca="1" si="147"/>
        <v>2</v>
      </c>
      <c r="H1489" s="3">
        <f t="shared" ca="1" si="148"/>
        <v>2.048281173469733</v>
      </c>
      <c r="I1489" s="3">
        <f t="shared" ca="1" si="149"/>
        <v>7.1559087009787454</v>
      </c>
      <c r="O1489" s="3">
        <f t="shared" ca="1" si="150"/>
        <v>1.698343590944341</v>
      </c>
      <c r="P1489" s="3">
        <f t="shared" ca="1" si="151"/>
        <v>10.531819566218164</v>
      </c>
      <c r="Q1489" s="3">
        <f t="shared" ca="1" si="152"/>
        <v>10.667876748832333</v>
      </c>
    </row>
    <row r="1490" spans="7:17" x14ac:dyDescent="0.25">
      <c r="G1490" s="3">
        <f t="shared" ca="1" si="147"/>
        <v>0</v>
      </c>
      <c r="H1490" s="3">
        <f t="shared" ca="1" si="148"/>
        <v>3.3982168775207051</v>
      </c>
      <c r="I1490" s="3">
        <f t="shared" ca="1" si="149"/>
        <v>9.2171265553868587</v>
      </c>
      <c r="O1490" s="3">
        <f t="shared" ca="1" si="150"/>
        <v>-7.5055070503130601</v>
      </c>
      <c r="P1490" s="3">
        <f t="shared" ca="1" si="151"/>
        <v>4.0263975036840911</v>
      </c>
      <c r="Q1490" s="3">
        <f t="shared" ca="1" si="152"/>
        <v>8.5173066717109904</v>
      </c>
    </row>
    <row r="1491" spans="7:17" x14ac:dyDescent="0.25">
      <c r="G1491" s="3">
        <f t="shared" ca="1" si="147"/>
        <v>2</v>
      </c>
      <c r="H1491" s="3">
        <f t="shared" ca="1" si="148"/>
        <v>13.764509178870167</v>
      </c>
      <c r="I1491" s="3">
        <f t="shared" ca="1" si="149"/>
        <v>18.550275724952289</v>
      </c>
      <c r="O1491" s="3">
        <f t="shared" ca="1" si="150"/>
        <v>-9.0723963889839752</v>
      </c>
      <c r="P1491" s="3">
        <f t="shared" ca="1" si="151"/>
        <v>2.3315498219861923</v>
      </c>
      <c r="Q1491" s="3">
        <f t="shared" ca="1" si="152"/>
        <v>9.3672034680182605</v>
      </c>
    </row>
    <row r="1492" spans="7:17" x14ac:dyDescent="0.25">
      <c r="G1492" s="3">
        <f t="shared" ca="1" si="147"/>
        <v>2</v>
      </c>
      <c r="H1492" s="3">
        <f t="shared" ca="1" si="148"/>
        <v>6.3369602381161032</v>
      </c>
      <c r="I1492" s="3">
        <f t="shared" ca="1" si="149"/>
        <v>12.586659840994457</v>
      </c>
      <c r="O1492" s="3">
        <f t="shared" ca="1" si="150"/>
        <v>7.156174282692497</v>
      </c>
      <c r="P1492" s="3">
        <f t="shared" ca="1" si="151"/>
        <v>-7.2665593039946597</v>
      </c>
      <c r="Q1492" s="3">
        <f t="shared" ca="1" si="152"/>
        <v>10.198711412857058</v>
      </c>
    </row>
    <row r="1493" spans="7:17" x14ac:dyDescent="0.25">
      <c r="G1493" s="3">
        <f t="shared" ca="1" si="147"/>
        <v>0</v>
      </c>
      <c r="H1493" s="3">
        <f t="shared" ca="1" si="148"/>
        <v>0.58796856027051891</v>
      </c>
      <c r="I1493" s="3">
        <f t="shared" ca="1" si="149"/>
        <v>3.8339553996835924</v>
      </c>
      <c r="O1493" s="3">
        <f t="shared" ca="1" si="150"/>
        <v>-4.0104230309610642</v>
      </c>
      <c r="P1493" s="3">
        <f t="shared" ca="1" si="151"/>
        <v>0.77075579809347183</v>
      </c>
      <c r="Q1493" s="3">
        <f t="shared" ca="1" si="152"/>
        <v>4.0838165222690446</v>
      </c>
    </row>
    <row r="1494" spans="7:17" x14ac:dyDescent="0.25">
      <c r="G1494" s="3">
        <f t="shared" ca="1" si="147"/>
        <v>1</v>
      </c>
      <c r="H1494" s="3">
        <f t="shared" ca="1" si="148"/>
        <v>14.379900551745795</v>
      </c>
      <c r="I1494" s="3">
        <f t="shared" ca="1" si="149"/>
        <v>18.960419662909491</v>
      </c>
      <c r="O1494" s="3">
        <f t="shared" ca="1" si="150"/>
        <v>3.2669785868635319</v>
      </c>
      <c r="P1494" s="3">
        <f t="shared" ca="1" si="151"/>
        <v>4.7461278469090544</v>
      </c>
      <c r="Q1494" s="3">
        <f t="shared" ca="1" si="152"/>
        <v>5.7618468069040514</v>
      </c>
    </row>
    <row r="1495" spans="7:17" x14ac:dyDescent="0.25">
      <c r="G1495" s="3">
        <f t="shared" ca="1" si="147"/>
        <v>1</v>
      </c>
      <c r="H1495" s="3">
        <f t="shared" ca="1" si="148"/>
        <v>4.6100434503733041</v>
      </c>
      <c r="I1495" s="3">
        <f t="shared" ca="1" si="149"/>
        <v>10.735505868813664</v>
      </c>
      <c r="O1495" s="3">
        <f t="shared" ca="1" si="150"/>
        <v>-0.35446382994736769</v>
      </c>
      <c r="P1495" s="3">
        <f t="shared" ca="1" si="151"/>
        <v>-6.2023165164316811</v>
      </c>
      <c r="Q1495" s="3">
        <f t="shared" ca="1" si="152"/>
        <v>6.2124371044496041</v>
      </c>
    </row>
    <row r="1496" spans="7:17" x14ac:dyDescent="0.25">
      <c r="G1496" s="3">
        <f t="shared" ca="1" si="147"/>
        <v>0</v>
      </c>
      <c r="H1496" s="3">
        <f t="shared" ca="1" si="148"/>
        <v>0.50407990561270044</v>
      </c>
      <c r="I1496" s="3">
        <f t="shared" ca="1" si="149"/>
        <v>3.5499292444100221</v>
      </c>
      <c r="O1496" s="3">
        <f t="shared" ca="1" si="150"/>
        <v>2.4210837369321627</v>
      </c>
      <c r="P1496" s="3">
        <f t="shared" ca="1" si="151"/>
        <v>-3.7815779159650154</v>
      </c>
      <c r="Q1496" s="3">
        <f t="shared" ca="1" si="152"/>
        <v>4.4902091260599111</v>
      </c>
    </row>
    <row r="1497" spans="7:17" x14ac:dyDescent="0.25">
      <c r="G1497" s="3">
        <f t="shared" ca="1" si="147"/>
        <v>0</v>
      </c>
      <c r="H1497" s="3">
        <f t="shared" ca="1" si="148"/>
        <v>6.936109617962134</v>
      </c>
      <c r="I1497" s="3">
        <f t="shared" ca="1" si="149"/>
        <v>13.168247432709235</v>
      </c>
      <c r="O1497" s="3">
        <f t="shared" ca="1" si="150"/>
        <v>-7.9021622825313287</v>
      </c>
      <c r="P1497" s="3">
        <f t="shared" ca="1" si="151"/>
        <v>9.8743074544270932</v>
      </c>
      <c r="Q1497" s="3">
        <f t="shared" ca="1" si="152"/>
        <v>12.64698052675085</v>
      </c>
    </row>
    <row r="1498" spans="7:17" x14ac:dyDescent="0.25">
      <c r="G1498" s="3">
        <f t="shared" ca="1" si="147"/>
        <v>0</v>
      </c>
      <c r="H1498" s="3">
        <f t="shared" ca="1" si="148"/>
        <v>1.0224419917236887</v>
      </c>
      <c r="I1498" s="3">
        <f t="shared" ca="1" si="149"/>
        <v>5.0557936857720183</v>
      </c>
      <c r="O1498" s="3">
        <f t="shared" ca="1" si="150"/>
        <v>-7.8164237806349277</v>
      </c>
      <c r="P1498" s="3">
        <f t="shared" ca="1" si="151"/>
        <v>5.01894730253884</v>
      </c>
      <c r="Q1498" s="3">
        <f t="shared" ca="1" si="152"/>
        <v>9.289042617198886</v>
      </c>
    </row>
    <row r="1499" spans="7:17" x14ac:dyDescent="0.25">
      <c r="G1499" s="3">
        <f t="shared" ca="1" si="147"/>
        <v>0</v>
      </c>
      <c r="H1499" s="3">
        <f t="shared" ca="1" si="148"/>
        <v>0.25622754913488927</v>
      </c>
      <c r="I1499" s="3">
        <f t="shared" ca="1" si="149"/>
        <v>2.5309462120661967</v>
      </c>
      <c r="O1499" s="3">
        <f t="shared" ca="1" si="150"/>
        <v>-4.9199127495638217</v>
      </c>
      <c r="P1499" s="3">
        <f t="shared" ca="1" si="151"/>
        <v>-8.7659511492450317</v>
      </c>
      <c r="Q1499" s="3">
        <f t="shared" ca="1" si="152"/>
        <v>10.052235622699605</v>
      </c>
    </row>
    <row r="1500" spans="7:17" x14ac:dyDescent="0.25">
      <c r="G1500" s="3">
        <f t="shared" ca="1" si="147"/>
        <v>0</v>
      </c>
      <c r="H1500" s="3">
        <f t="shared" ca="1" si="148"/>
        <v>2.2873662729865494</v>
      </c>
      <c r="I1500" s="3">
        <f t="shared" ca="1" si="149"/>
        <v>7.5620206839616442</v>
      </c>
      <c r="O1500" s="3">
        <f t="shared" ca="1" si="150"/>
        <v>-9.2315889592050908</v>
      </c>
      <c r="P1500" s="3">
        <f t="shared" ca="1" si="151"/>
        <v>8.1777290416415092</v>
      </c>
      <c r="Q1500" s="3">
        <f t="shared" ca="1" si="152"/>
        <v>12.332780991740034</v>
      </c>
    </row>
    <row r="1501" spans="7:17" x14ac:dyDescent="0.25">
      <c r="G1501" s="3">
        <f t="shared" ca="1" si="147"/>
        <v>0</v>
      </c>
      <c r="H1501" s="3">
        <f t="shared" ca="1" si="148"/>
        <v>2.2142800464972994</v>
      </c>
      <c r="I1501" s="3">
        <f t="shared" ca="1" si="149"/>
        <v>7.4402285692331036</v>
      </c>
      <c r="O1501" s="3">
        <f t="shared" ca="1" si="150"/>
        <v>-8.9520828022682561</v>
      </c>
      <c r="P1501" s="3">
        <f t="shared" ca="1" si="151"/>
        <v>7.3385406588386424</v>
      </c>
      <c r="Q1501" s="3">
        <f t="shared" ca="1" si="152"/>
        <v>11.575576249159045</v>
      </c>
    </row>
    <row r="1502" spans="7:17" x14ac:dyDescent="0.25">
      <c r="G1502" s="3">
        <f t="shared" ca="1" si="147"/>
        <v>1</v>
      </c>
      <c r="H1502" s="3">
        <f t="shared" ca="1" si="148"/>
        <v>3.984488600021717</v>
      </c>
      <c r="I1502" s="3">
        <f t="shared" ca="1" si="149"/>
        <v>9.9805919163415808</v>
      </c>
      <c r="O1502" s="3">
        <f t="shared" ca="1" si="150"/>
        <v>-4.7850748052586285</v>
      </c>
      <c r="P1502" s="3">
        <f t="shared" ca="1" si="151"/>
        <v>-0.68120221942260106</v>
      </c>
      <c r="Q1502" s="3">
        <f t="shared" ca="1" si="152"/>
        <v>4.8333194965434654</v>
      </c>
    </row>
    <row r="1503" spans="7:17" x14ac:dyDescent="0.25">
      <c r="G1503" s="3">
        <f t="shared" ca="1" si="147"/>
        <v>0</v>
      </c>
      <c r="H1503" s="3">
        <f t="shared" ca="1" si="148"/>
        <v>1.997842806904043</v>
      </c>
      <c r="I1503" s="3">
        <f t="shared" ca="1" si="149"/>
        <v>7.067253368360376</v>
      </c>
      <c r="O1503" s="3">
        <f t="shared" ca="1" si="150"/>
        <v>-2.0677404011740013</v>
      </c>
      <c r="P1503" s="3">
        <f t="shared" ca="1" si="151"/>
        <v>-1.8244803549133037</v>
      </c>
      <c r="Q1503" s="3">
        <f t="shared" ca="1" si="152"/>
        <v>2.7575857071198704</v>
      </c>
    </row>
    <row r="1504" spans="7:17" x14ac:dyDescent="0.25">
      <c r="G1504" s="3">
        <f t="shared" ca="1" si="147"/>
        <v>0</v>
      </c>
      <c r="H1504" s="3">
        <f t="shared" ca="1" si="148"/>
        <v>0.13322531185043654</v>
      </c>
      <c r="I1504" s="3">
        <f t="shared" ca="1" si="149"/>
        <v>1.8250021359606441</v>
      </c>
      <c r="O1504" s="3">
        <f t="shared" ca="1" si="150"/>
        <v>-5.0815413485718217</v>
      </c>
      <c r="P1504" s="3">
        <f t="shared" ca="1" si="151"/>
        <v>-4.8819749166036077</v>
      </c>
      <c r="Q1504" s="3">
        <f t="shared" ca="1" si="152"/>
        <v>7.0466830185266547</v>
      </c>
    </row>
    <row r="1505" spans="7:17" x14ac:dyDescent="0.25">
      <c r="G1505" s="3">
        <f t="shared" ca="1" si="147"/>
        <v>0</v>
      </c>
      <c r="H1505" s="3">
        <f t="shared" ca="1" si="148"/>
        <v>0.79302261044211941</v>
      </c>
      <c r="I1505" s="3">
        <f t="shared" ca="1" si="149"/>
        <v>4.4525908481526786</v>
      </c>
      <c r="O1505" s="3">
        <f t="shared" ca="1" si="150"/>
        <v>0.65090379560723743</v>
      </c>
      <c r="P1505" s="3">
        <f t="shared" ca="1" si="151"/>
        <v>-2.5518606497451368</v>
      </c>
      <c r="Q1505" s="3">
        <f t="shared" ca="1" si="152"/>
        <v>2.6335657437879885</v>
      </c>
    </row>
    <row r="1506" spans="7:17" x14ac:dyDescent="0.25">
      <c r="G1506" s="3">
        <f t="shared" ca="1" si="147"/>
        <v>1</v>
      </c>
      <c r="H1506" s="3">
        <f t="shared" ca="1" si="148"/>
        <v>6.1497971324786453</v>
      </c>
      <c r="I1506" s="3">
        <f t="shared" ca="1" si="149"/>
        <v>12.399392255750527</v>
      </c>
      <c r="O1506" s="3">
        <f t="shared" ca="1" si="150"/>
        <v>-1.5250234760233465</v>
      </c>
      <c r="P1506" s="3">
        <f t="shared" ca="1" si="151"/>
        <v>12.097554781919646</v>
      </c>
      <c r="Q1506" s="3">
        <f t="shared" ca="1" si="152"/>
        <v>12.19329849974851</v>
      </c>
    </row>
    <row r="1507" spans="7:17" x14ac:dyDescent="0.25">
      <c r="G1507" s="3">
        <f t="shared" ca="1" si="147"/>
        <v>0</v>
      </c>
      <c r="H1507" s="3">
        <f t="shared" ca="1" si="148"/>
        <v>0.32749870908918854</v>
      </c>
      <c r="I1507" s="3">
        <f t="shared" ca="1" si="149"/>
        <v>2.8613751461892782</v>
      </c>
      <c r="O1507" s="3">
        <f t="shared" ca="1" si="150"/>
        <v>-1.8127051207949618</v>
      </c>
      <c r="P1507" s="3">
        <f t="shared" ca="1" si="151"/>
        <v>-3.8387683270121316</v>
      </c>
      <c r="Q1507" s="3">
        <f t="shared" ca="1" si="152"/>
        <v>4.2452375815056325</v>
      </c>
    </row>
    <row r="1508" spans="7:17" x14ac:dyDescent="0.25">
      <c r="G1508" s="3">
        <f t="shared" ca="1" si="147"/>
        <v>2</v>
      </c>
      <c r="H1508" s="3">
        <f t="shared" ca="1" si="148"/>
        <v>1.9894302871846212</v>
      </c>
      <c r="I1508" s="3">
        <f t="shared" ca="1" si="149"/>
        <v>7.0523582707925101</v>
      </c>
      <c r="O1508" s="3">
        <f t="shared" ca="1" si="150"/>
        <v>-12.219592516702949</v>
      </c>
      <c r="P1508" s="3">
        <f t="shared" ca="1" si="151"/>
        <v>9.5629783716611279</v>
      </c>
      <c r="Q1508" s="3">
        <f t="shared" ca="1" si="152"/>
        <v>15.516732794345632</v>
      </c>
    </row>
    <row r="1509" spans="7:17" x14ac:dyDescent="0.25">
      <c r="G1509" s="3">
        <f t="shared" ca="1" si="147"/>
        <v>1</v>
      </c>
      <c r="H1509" s="3">
        <f t="shared" ca="1" si="148"/>
        <v>3.8022439263888574</v>
      </c>
      <c r="I1509" s="3">
        <f t="shared" ca="1" si="149"/>
        <v>9.7496716949711413</v>
      </c>
      <c r="O1509" s="3">
        <f t="shared" ca="1" si="150"/>
        <v>-1.5419698530232711</v>
      </c>
      <c r="P1509" s="3">
        <f t="shared" ca="1" si="151"/>
        <v>-2.2172817490592154</v>
      </c>
      <c r="Q1509" s="3">
        <f t="shared" ca="1" si="152"/>
        <v>2.7007423761521019</v>
      </c>
    </row>
    <row r="1510" spans="7:17" x14ac:dyDescent="0.25">
      <c r="G1510" s="3">
        <f t="shared" ca="1" si="147"/>
        <v>0</v>
      </c>
      <c r="H1510" s="3">
        <f t="shared" ca="1" si="148"/>
        <v>0.35574603501737428</v>
      </c>
      <c r="I1510" s="3">
        <f t="shared" ca="1" si="149"/>
        <v>2.9822224724916744</v>
      </c>
      <c r="O1510" s="3">
        <f t="shared" ca="1" si="150"/>
        <v>-6.5964875905381213</v>
      </c>
      <c r="P1510" s="3">
        <f t="shared" ca="1" si="151"/>
        <v>2.4331655974344244</v>
      </c>
      <c r="Q1510" s="3">
        <f t="shared" ca="1" si="152"/>
        <v>7.0309276313059748</v>
      </c>
    </row>
    <row r="1511" spans="7:17" x14ac:dyDescent="0.25">
      <c r="G1511" s="3">
        <f t="shared" ca="1" si="147"/>
        <v>0</v>
      </c>
      <c r="H1511" s="3">
        <f t="shared" ca="1" si="148"/>
        <v>0.27814104875877038</v>
      </c>
      <c r="I1511" s="3">
        <f t="shared" ca="1" si="149"/>
        <v>2.6369539660315007</v>
      </c>
      <c r="O1511" s="3">
        <f t="shared" ca="1" si="150"/>
        <v>-1.1360575174798155</v>
      </c>
      <c r="P1511" s="3">
        <f t="shared" ca="1" si="151"/>
        <v>12.778270820404796</v>
      </c>
      <c r="Q1511" s="3">
        <f t="shared" ca="1" si="152"/>
        <v>12.828672255640139</v>
      </c>
    </row>
    <row r="1512" spans="7:17" x14ac:dyDescent="0.25">
      <c r="G1512" s="3">
        <f t="shared" ca="1" si="147"/>
        <v>1</v>
      </c>
      <c r="H1512" s="3">
        <f t="shared" ca="1" si="148"/>
        <v>2.5491573438774875</v>
      </c>
      <c r="I1512" s="3">
        <f t="shared" ca="1" si="149"/>
        <v>7.9830403729993238</v>
      </c>
      <c r="O1512" s="3">
        <f t="shared" ca="1" si="150"/>
        <v>-1.2862295259561591</v>
      </c>
      <c r="P1512" s="3">
        <f t="shared" ca="1" si="151"/>
        <v>10.441449871171315</v>
      </c>
      <c r="Q1512" s="3">
        <f t="shared" ca="1" si="152"/>
        <v>10.520373653327379</v>
      </c>
    </row>
    <row r="1513" spans="7:17" x14ac:dyDescent="0.25">
      <c r="G1513" s="3">
        <f t="shared" ca="1" si="147"/>
        <v>0</v>
      </c>
      <c r="H1513" s="3">
        <f t="shared" ca="1" si="148"/>
        <v>4.6910323320910434</v>
      </c>
      <c r="I1513" s="3">
        <f t="shared" ca="1" si="149"/>
        <v>10.829395564955417</v>
      </c>
      <c r="O1513" s="3">
        <f t="shared" ca="1" si="150"/>
        <v>2.4311017274433633</v>
      </c>
      <c r="P1513" s="3">
        <f t="shared" ca="1" si="151"/>
        <v>0.3757618030358828</v>
      </c>
      <c r="Q1513" s="3">
        <f t="shared" ca="1" si="152"/>
        <v>2.4599700286383333</v>
      </c>
    </row>
    <row r="1514" spans="7:17" x14ac:dyDescent="0.25">
      <c r="G1514" s="3">
        <f t="shared" ca="1" si="147"/>
        <v>0</v>
      </c>
      <c r="H1514" s="3">
        <f t="shared" ca="1" si="148"/>
        <v>2.493199462774172</v>
      </c>
      <c r="I1514" s="3">
        <f t="shared" ca="1" si="149"/>
        <v>7.8949342346440288</v>
      </c>
      <c r="O1514" s="3">
        <f t="shared" ca="1" si="150"/>
        <v>-4.3573856563068336</v>
      </c>
      <c r="P1514" s="3">
        <f t="shared" ca="1" si="151"/>
        <v>-7.568742022932283</v>
      </c>
      <c r="Q1514" s="3">
        <f t="shared" ca="1" si="152"/>
        <v>8.7334223284740791</v>
      </c>
    </row>
    <row r="1515" spans="7:17" x14ac:dyDescent="0.25">
      <c r="G1515" s="3">
        <f t="shared" ca="1" si="147"/>
        <v>0</v>
      </c>
      <c r="H1515" s="3">
        <f t="shared" ca="1" si="148"/>
        <v>3.6803619943406081</v>
      </c>
      <c r="I1515" s="3">
        <f t="shared" ca="1" si="149"/>
        <v>9.5921347915109703</v>
      </c>
      <c r="O1515" s="3">
        <f t="shared" ca="1" si="150"/>
        <v>-4.8307822062190713</v>
      </c>
      <c r="P1515" s="3">
        <f t="shared" ca="1" si="151"/>
        <v>5.3079532735304724</v>
      </c>
      <c r="Q1515" s="3">
        <f t="shared" ca="1" si="152"/>
        <v>7.177104198623959</v>
      </c>
    </row>
    <row r="1516" spans="7:17" x14ac:dyDescent="0.25">
      <c r="G1516" s="3">
        <f t="shared" ca="1" si="147"/>
        <v>3</v>
      </c>
      <c r="H1516" s="3">
        <f t="shared" ca="1" si="148"/>
        <v>9.5872717243736076</v>
      </c>
      <c r="I1516" s="3">
        <f t="shared" ca="1" si="149"/>
        <v>15.48165989515789</v>
      </c>
      <c r="O1516" s="3">
        <f t="shared" ca="1" si="150"/>
        <v>-2.0428946727903763</v>
      </c>
      <c r="P1516" s="3">
        <f t="shared" ca="1" si="151"/>
        <v>-4.2415931504544755</v>
      </c>
      <c r="Q1516" s="3">
        <f t="shared" ca="1" si="152"/>
        <v>4.7079221635555548</v>
      </c>
    </row>
    <row r="1517" spans="7:17" x14ac:dyDescent="0.25">
      <c r="G1517" s="3">
        <f t="shared" ca="1" si="147"/>
        <v>1</v>
      </c>
      <c r="H1517" s="3">
        <f t="shared" ca="1" si="148"/>
        <v>8.9193243381231788</v>
      </c>
      <c r="I1517" s="3">
        <f t="shared" ca="1" si="149"/>
        <v>14.932618941534653</v>
      </c>
      <c r="O1517" s="3">
        <f t="shared" ca="1" si="150"/>
        <v>-4.9627478926923096E-2</v>
      </c>
      <c r="P1517" s="3">
        <f t="shared" ca="1" si="151"/>
        <v>-10.162998626585129</v>
      </c>
      <c r="Q1517" s="3">
        <f t="shared" ca="1" si="152"/>
        <v>10.163119795153252</v>
      </c>
    </row>
    <row r="1518" spans="7:17" x14ac:dyDescent="0.25">
      <c r="G1518" s="3">
        <f t="shared" ca="1" si="147"/>
        <v>1</v>
      </c>
      <c r="H1518" s="3">
        <f t="shared" ca="1" si="148"/>
        <v>1.719151370557511</v>
      </c>
      <c r="I1518" s="3">
        <f t="shared" ca="1" si="149"/>
        <v>6.5558206400066936</v>
      </c>
      <c r="O1518" s="3">
        <f t="shared" ca="1" si="150"/>
        <v>-4.4249991946775484</v>
      </c>
      <c r="P1518" s="3">
        <f t="shared" ca="1" si="151"/>
        <v>3.8699102843318873</v>
      </c>
      <c r="Q1518" s="3">
        <f t="shared" ca="1" si="152"/>
        <v>5.8785052081013474</v>
      </c>
    </row>
    <row r="1519" spans="7:17" x14ac:dyDescent="0.25">
      <c r="G1519" s="3">
        <f t="shared" ca="1" si="147"/>
        <v>1</v>
      </c>
      <c r="H1519" s="3">
        <f t="shared" ca="1" si="148"/>
        <v>3.9672531506467243</v>
      </c>
      <c r="I1519" s="3">
        <f t="shared" ca="1" si="149"/>
        <v>9.9589823157874982</v>
      </c>
      <c r="O1519" s="3">
        <f t="shared" ca="1" si="150"/>
        <v>-5.1442434133866985</v>
      </c>
      <c r="P1519" s="3">
        <f t="shared" ca="1" si="151"/>
        <v>2.6076434218639841</v>
      </c>
      <c r="Q1519" s="3">
        <f t="shared" ca="1" si="152"/>
        <v>5.7674122890394219</v>
      </c>
    </row>
    <row r="1520" spans="7:17" x14ac:dyDescent="0.25">
      <c r="G1520" s="3">
        <f t="shared" ca="1" si="147"/>
        <v>0</v>
      </c>
      <c r="H1520" s="3">
        <f t="shared" ca="1" si="148"/>
        <v>6.6688686419004375</v>
      </c>
      <c r="I1520" s="3">
        <f t="shared" ca="1" si="149"/>
        <v>12.912076364687088</v>
      </c>
      <c r="O1520" s="3">
        <f t="shared" ca="1" si="150"/>
        <v>-15.740189130578369</v>
      </c>
      <c r="P1520" s="3">
        <f t="shared" ca="1" si="151"/>
        <v>-1.7911325770024626</v>
      </c>
      <c r="Q1520" s="3">
        <f t="shared" ca="1" si="152"/>
        <v>15.84177104287197</v>
      </c>
    </row>
    <row r="1521" spans="7:17" x14ac:dyDescent="0.25">
      <c r="G1521" s="3">
        <f t="shared" ca="1" si="147"/>
        <v>0</v>
      </c>
      <c r="H1521" s="3">
        <f t="shared" ca="1" si="148"/>
        <v>0.84311313319973691</v>
      </c>
      <c r="I1521" s="3">
        <f t="shared" ca="1" si="149"/>
        <v>4.591059608629954</v>
      </c>
      <c r="O1521" s="3">
        <f t="shared" ca="1" si="150"/>
        <v>-12.808431693423001</v>
      </c>
      <c r="P1521" s="3">
        <f t="shared" ca="1" si="151"/>
        <v>-4.5053437014375035</v>
      </c>
      <c r="Q1521" s="3">
        <f t="shared" ca="1" si="152"/>
        <v>13.577703941136933</v>
      </c>
    </row>
    <row r="1522" spans="7:17" x14ac:dyDescent="0.25">
      <c r="G1522" s="3">
        <f t="shared" ca="1" si="147"/>
        <v>0</v>
      </c>
      <c r="H1522" s="3">
        <f t="shared" ca="1" si="148"/>
        <v>0.81258752798007805</v>
      </c>
      <c r="I1522" s="3">
        <f t="shared" ca="1" si="149"/>
        <v>4.5071818467310534</v>
      </c>
      <c r="O1522" s="3">
        <f t="shared" ca="1" si="150"/>
        <v>1.25427465226407</v>
      </c>
      <c r="P1522" s="3">
        <f t="shared" ca="1" si="151"/>
        <v>-9.3560961311380293</v>
      </c>
      <c r="Q1522" s="3">
        <f t="shared" ca="1" si="152"/>
        <v>9.4397955337183106</v>
      </c>
    </row>
    <row r="1523" spans="7:17" x14ac:dyDescent="0.25">
      <c r="G1523" s="3">
        <f t="shared" ca="1" si="147"/>
        <v>1</v>
      </c>
      <c r="H1523" s="3">
        <f t="shared" ca="1" si="148"/>
        <v>10.28427036000598</v>
      </c>
      <c r="I1523" s="3">
        <f t="shared" ca="1" si="149"/>
        <v>16.034548917888195</v>
      </c>
      <c r="O1523" s="3">
        <f t="shared" ca="1" si="150"/>
        <v>-3.8871918682454507</v>
      </c>
      <c r="P1523" s="3">
        <f t="shared" ca="1" si="151"/>
        <v>-1.2138425824955237</v>
      </c>
      <c r="Q1523" s="3">
        <f t="shared" ca="1" si="152"/>
        <v>4.0723057885715015</v>
      </c>
    </row>
    <row r="1524" spans="7:17" x14ac:dyDescent="0.25">
      <c r="G1524" s="3">
        <f t="shared" ca="1" si="147"/>
        <v>1</v>
      </c>
      <c r="H1524" s="3">
        <f t="shared" ca="1" si="148"/>
        <v>7.0235726223969577</v>
      </c>
      <c r="I1524" s="3">
        <f t="shared" ca="1" si="149"/>
        <v>13.251011869284696</v>
      </c>
      <c r="O1524" s="3">
        <f t="shared" ca="1" si="150"/>
        <v>-1.2119575573858632</v>
      </c>
      <c r="P1524" s="3">
        <f t="shared" ca="1" si="151"/>
        <v>-2.1942275747491062</v>
      </c>
      <c r="Q1524" s="3">
        <f t="shared" ca="1" si="152"/>
        <v>2.5066862130498211</v>
      </c>
    </row>
    <row r="1525" spans="7:17" x14ac:dyDescent="0.25">
      <c r="G1525" s="3">
        <f t="shared" ca="1" si="147"/>
        <v>1</v>
      </c>
      <c r="H1525" s="3">
        <f t="shared" ca="1" si="148"/>
        <v>5.9256729699767687</v>
      </c>
      <c r="I1525" s="3">
        <f t="shared" ca="1" si="149"/>
        <v>12.17135260558247</v>
      </c>
      <c r="O1525" s="3">
        <f t="shared" ca="1" si="150"/>
        <v>-3.1152463553350356</v>
      </c>
      <c r="P1525" s="3">
        <f t="shared" ca="1" si="151"/>
        <v>0.94440234687500801</v>
      </c>
      <c r="Q1525" s="3">
        <f t="shared" ca="1" si="152"/>
        <v>3.2552504738055483</v>
      </c>
    </row>
    <row r="1526" spans="7:17" x14ac:dyDescent="0.25">
      <c r="G1526" s="3">
        <f t="shared" ca="1" si="147"/>
        <v>0</v>
      </c>
      <c r="H1526" s="3">
        <f t="shared" ca="1" si="148"/>
        <v>1.3766920605418771</v>
      </c>
      <c r="I1526" s="3">
        <f t="shared" ca="1" si="149"/>
        <v>5.8666260758247528</v>
      </c>
      <c r="O1526" s="3">
        <f t="shared" ca="1" si="150"/>
        <v>-4.9849146696341755</v>
      </c>
      <c r="P1526" s="3">
        <f t="shared" ca="1" si="151"/>
        <v>-0.94169571698963062</v>
      </c>
      <c r="Q1526" s="3">
        <f t="shared" ca="1" si="152"/>
        <v>5.0730824049024292</v>
      </c>
    </row>
    <row r="1527" spans="7:17" x14ac:dyDescent="0.25">
      <c r="G1527" s="3">
        <f t="shared" ca="1" si="147"/>
        <v>0</v>
      </c>
      <c r="H1527" s="3">
        <f t="shared" ca="1" si="148"/>
        <v>1.9877300709732895</v>
      </c>
      <c r="I1527" s="3">
        <f t="shared" ca="1" si="149"/>
        <v>7.0493440669563174</v>
      </c>
      <c r="O1527" s="3">
        <f t="shared" ca="1" si="150"/>
        <v>-4.9734513836737078</v>
      </c>
      <c r="P1527" s="3">
        <f t="shared" ca="1" si="151"/>
        <v>6.09600812536452</v>
      </c>
      <c r="Q1527" s="3">
        <f t="shared" ca="1" si="152"/>
        <v>7.867435015955083</v>
      </c>
    </row>
    <row r="1528" spans="7:17" x14ac:dyDescent="0.25">
      <c r="G1528" s="3">
        <f t="shared" ca="1" si="147"/>
        <v>0</v>
      </c>
      <c r="H1528" s="3">
        <f t="shared" ca="1" si="148"/>
        <v>1.9213096179144382</v>
      </c>
      <c r="I1528" s="3">
        <f t="shared" ca="1" si="149"/>
        <v>6.9305656657924359</v>
      </c>
      <c r="O1528" s="3">
        <f t="shared" ca="1" si="150"/>
        <v>-11.05822126767206</v>
      </c>
      <c r="P1528" s="3">
        <f t="shared" ca="1" si="151"/>
        <v>-5.3946496407927906</v>
      </c>
      <c r="Q1528" s="3">
        <f t="shared" ca="1" si="152"/>
        <v>12.30392223446249</v>
      </c>
    </row>
    <row r="1529" spans="7:17" x14ac:dyDescent="0.25">
      <c r="G1529" s="3">
        <f t="shared" ca="1" si="147"/>
        <v>1</v>
      </c>
      <c r="H1529" s="3">
        <f t="shared" ca="1" si="148"/>
        <v>1.7449733479853442</v>
      </c>
      <c r="I1529" s="3">
        <f t="shared" ca="1" si="149"/>
        <v>6.6048719669372549</v>
      </c>
      <c r="O1529" s="3">
        <f t="shared" ca="1" si="150"/>
        <v>-4.7937063312831958</v>
      </c>
      <c r="P1529" s="3">
        <f t="shared" ca="1" si="151"/>
        <v>-2.9793148049739586</v>
      </c>
      <c r="Q1529" s="3">
        <f t="shared" ca="1" si="152"/>
        <v>5.6441064038270587</v>
      </c>
    </row>
    <row r="1530" spans="7:17" x14ac:dyDescent="0.25">
      <c r="G1530" s="3">
        <f t="shared" ca="1" si="147"/>
        <v>2</v>
      </c>
      <c r="H1530" s="3">
        <f t="shared" ca="1" si="148"/>
        <v>8.9241964224295689</v>
      </c>
      <c r="I1530" s="3">
        <f t="shared" ca="1" si="149"/>
        <v>14.936696775416552</v>
      </c>
      <c r="O1530" s="3">
        <f t="shared" ca="1" si="150"/>
        <v>-1.6252357636153292</v>
      </c>
      <c r="P1530" s="3">
        <f t="shared" ca="1" si="151"/>
        <v>10.979159493748917</v>
      </c>
      <c r="Q1530" s="3">
        <f t="shared" ca="1" si="152"/>
        <v>11.098798785297049</v>
      </c>
    </row>
    <row r="1531" spans="7:17" x14ac:dyDescent="0.25">
      <c r="G1531" s="3">
        <f t="shared" ca="1" si="147"/>
        <v>1</v>
      </c>
      <c r="H1531" s="3">
        <f t="shared" ca="1" si="148"/>
        <v>10.309224134712872</v>
      </c>
      <c r="I1531" s="3">
        <f t="shared" ca="1" si="149"/>
        <v>16.053990263103493</v>
      </c>
      <c r="O1531" s="3">
        <f t="shared" ca="1" si="150"/>
        <v>-8.2428398177462689</v>
      </c>
      <c r="P1531" s="3">
        <f t="shared" ca="1" si="151"/>
        <v>-4.6546155646166998</v>
      </c>
      <c r="Q1531" s="3">
        <f t="shared" ca="1" si="152"/>
        <v>9.466248164684643</v>
      </c>
    </row>
    <row r="1532" spans="7:17" x14ac:dyDescent="0.25">
      <c r="G1532" s="3">
        <f t="shared" ca="1" si="147"/>
        <v>0</v>
      </c>
      <c r="H1532" s="3">
        <f t="shared" ca="1" si="148"/>
        <v>1.6195094082748274</v>
      </c>
      <c r="I1532" s="3">
        <f t="shared" ca="1" si="149"/>
        <v>6.3629973445594556</v>
      </c>
      <c r="O1532" s="3">
        <f t="shared" ca="1" si="150"/>
        <v>-6.5405762461753714</v>
      </c>
      <c r="P1532" s="3">
        <f t="shared" ca="1" si="151"/>
        <v>2.3368993411817303</v>
      </c>
      <c r="Q1532" s="3">
        <f t="shared" ca="1" si="152"/>
        <v>6.9455191427890481</v>
      </c>
    </row>
    <row r="1533" spans="7:17" x14ac:dyDescent="0.25">
      <c r="G1533" s="3">
        <f t="shared" ca="1" si="147"/>
        <v>0</v>
      </c>
      <c r="H1533" s="3">
        <f t="shared" ca="1" si="148"/>
        <v>1.0208058018854143</v>
      </c>
      <c r="I1533" s="3">
        <f t="shared" ca="1" si="149"/>
        <v>5.0517467322833358</v>
      </c>
      <c r="O1533" s="3">
        <f t="shared" ca="1" si="150"/>
        <v>-2.4541960230193647</v>
      </c>
      <c r="P1533" s="3">
        <f t="shared" ca="1" si="151"/>
        <v>6.7800997620511225</v>
      </c>
      <c r="Q1533" s="3">
        <f t="shared" ca="1" si="152"/>
        <v>7.2106054463387297</v>
      </c>
    </row>
    <row r="1534" spans="7:17" x14ac:dyDescent="0.25">
      <c r="G1534" s="3">
        <f t="shared" ca="1" si="147"/>
        <v>1</v>
      </c>
      <c r="H1534" s="3">
        <f t="shared" ca="1" si="148"/>
        <v>5.2034365005781478</v>
      </c>
      <c r="I1534" s="3">
        <f t="shared" ca="1" si="149"/>
        <v>11.405521141730162</v>
      </c>
      <c r="O1534" s="3">
        <f t="shared" ca="1" si="150"/>
        <v>-1.3840977671284844</v>
      </c>
      <c r="P1534" s="3">
        <f t="shared" ca="1" si="151"/>
        <v>-0.49780811164886912</v>
      </c>
      <c r="Q1534" s="3">
        <f t="shared" ca="1" si="152"/>
        <v>1.4708975304192571</v>
      </c>
    </row>
    <row r="1535" spans="7:17" x14ac:dyDescent="0.25">
      <c r="G1535" s="3">
        <f t="shared" ca="1" si="147"/>
        <v>0</v>
      </c>
      <c r="H1535" s="3">
        <f t="shared" ca="1" si="148"/>
        <v>0.61740727158267095</v>
      </c>
      <c r="I1535" s="3">
        <f t="shared" ca="1" si="149"/>
        <v>3.9287633919042224</v>
      </c>
      <c r="O1535" s="3">
        <f t="shared" ca="1" si="150"/>
        <v>-3.921544347470264</v>
      </c>
      <c r="P1535" s="3">
        <f t="shared" ca="1" si="151"/>
        <v>-1.3551202633000006</v>
      </c>
      <c r="Q1535" s="3">
        <f t="shared" ca="1" si="152"/>
        <v>4.1490795361359663</v>
      </c>
    </row>
    <row r="1536" spans="7:17" x14ac:dyDescent="0.25">
      <c r="G1536" s="3">
        <f t="shared" ca="1" si="147"/>
        <v>0</v>
      </c>
      <c r="H1536" s="3">
        <f t="shared" ca="1" si="148"/>
        <v>3.7440400982908026</v>
      </c>
      <c r="I1536" s="3">
        <f t="shared" ca="1" si="149"/>
        <v>9.6747611059534737</v>
      </c>
      <c r="O1536" s="3">
        <f t="shared" ca="1" si="150"/>
        <v>0.97452469826401078</v>
      </c>
      <c r="P1536" s="3">
        <f t="shared" ca="1" si="151"/>
        <v>4.4924204523607356</v>
      </c>
      <c r="Q1536" s="3">
        <f t="shared" ca="1" si="152"/>
        <v>4.5969054708918691</v>
      </c>
    </row>
    <row r="1537" spans="7:17" x14ac:dyDescent="0.25">
      <c r="G1537" s="3">
        <f t="shared" ca="1" si="147"/>
        <v>0</v>
      </c>
      <c r="H1537" s="3">
        <f t="shared" ca="1" si="148"/>
        <v>4.5317612531475389</v>
      </c>
      <c r="I1537" s="3">
        <f t="shared" ca="1" si="149"/>
        <v>10.643966898139457</v>
      </c>
      <c r="O1537" s="3">
        <f t="shared" ca="1" si="150"/>
        <v>-1.0684648479053038</v>
      </c>
      <c r="P1537" s="3">
        <f t="shared" ca="1" si="151"/>
        <v>-1.5672520108759491</v>
      </c>
      <c r="Q1537" s="3">
        <f t="shared" ca="1" si="152"/>
        <v>1.8968120615401016</v>
      </c>
    </row>
    <row r="1538" spans="7:17" x14ac:dyDescent="0.25">
      <c r="G1538" s="3">
        <f t="shared" ca="1" si="147"/>
        <v>1</v>
      </c>
      <c r="H1538" s="3">
        <f t="shared" ca="1" si="148"/>
        <v>3.3644961109608804</v>
      </c>
      <c r="I1538" s="3">
        <f t="shared" ca="1" si="149"/>
        <v>9.1712814139585745</v>
      </c>
      <c r="O1538" s="3">
        <f t="shared" ca="1" si="150"/>
        <v>1.7891059485070846</v>
      </c>
      <c r="P1538" s="3">
        <f t="shared" ca="1" si="151"/>
        <v>-2.3711947676564038</v>
      </c>
      <c r="Q1538" s="3">
        <f t="shared" ca="1" si="152"/>
        <v>2.9704317398561004</v>
      </c>
    </row>
    <row r="1539" spans="7:17" x14ac:dyDescent="0.25">
      <c r="G1539" s="3">
        <f t="shared" ca="1" si="147"/>
        <v>0</v>
      </c>
      <c r="H1539" s="3">
        <f t="shared" ca="1" si="148"/>
        <v>3.2050893746840753E-2</v>
      </c>
      <c r="I1539" s="3">
        <f t="shared" ca="1" si="149"/>
        <v>0.89513817015643959</v>
      </c>
      <c r="O1539" s="3">
        <f t="shared" ca="1" si="150"/>
        <v>1.2881325619114925</v>
      </c>
      <c r="P1539" s="3">
        <f t="shared" ca="1" si="151"/>
        <v>2.7875461588357315</v>
      </c>
      <c r="Q1539" s="3">
        <f t="shared" ca="1" si="152"/>
        <v>3.0707815104133518</v>
      </c>
    </row>
    <row r="1540" spans="7:17" x14ac:dyDescent="0.25">
      <c r="G1540" s="3">
        <f t="shared" ref="G1540:G1603" ca="1" si="153">VLOOKUP(RAND(),$B$9:$C$169,2,TRUE)</f>
        <v>0</v>
      </c>
      <c r="H1540" s="3">
        <f t="shared" ref="H1540:H1603" ca="1" si="154">_xlfn.CHISQ.INV(RAND(),2*G1540+2)</f>
        <v>1.2236809289190356</v>
      </c>
      <c r="I1540" s="3">
        <f t="shared" ref="I1540:I1603" ca="1" si="155">$C$4*SQRT(H1540)</f>
        <v>5.5310056249271602</v>
      </c>
      <c r="O1540" s="3">
        <f t="shared" ref="O1540:O1603" ca="1" si="156">_xlfn.NORM.INV(RAND(),$C$3*COS($N$2),$C$4)</f>
        <v>-2.5085055906472857</v>
      </c>
      <c r="P1540" s="3">
        <f t="shared" ref="P1540:P1603" ca="1" si="157">_xlfn.NORM.INV(RAND(),$C$3*SIN($N$2),$C$4)</f>
        <v>5.173544044260729</v>
      </c>
      <c r="Q1540" s="3">
        <f t="shared" ref="Q1540:Q1603" ca="1" si="158">SQRT(O1540^2+P1540^2)</f>
        <v>5.7496224464058816</v>
      </c>
    </row>
    <row r="1541" spans="7:17" x14ac:dyDescent="0.25">
      <c r="G1541" s="3">
        <f t="shared" ca="1" si="153"/>
        <v>0</v>
      </c>
      <c r="H1541" s="3">
        <f t="shared" ca="1" si="154"/>
        <v>1.7708053511550881</v>
      </c>
      <c r="I1541" s="3">
        <f t="shared" ca="1" si="155"/>
        <v>6.6535805232128364</v>
      </c>
      <c r="O1541" s="3">
        <f t="shared" ca="1" si="156"/>
        <v>-4.5753854439338468</v>
      </c>
      <c r="P1541" s="3">
        <f t="shared" ca="1" si="157"/>
        <v>3.980276383745244</v>
      </c>
      <c r="Q1541" s="3">
        <f t="shared" ca="1" si="158"/>
        <v>6.064383897112867</v>
      </c>
    </row>
    <row r="1542" spans="7:17" x14ac:dyDescent="0.25">
      <c r="G1542" s="3">
        <f t="shared" ca="1" si="153"/>
        <v>0</v>
      </c>
      <c r="H1542" s="3">
        <f t="shared" ca="1" si="154"/>
        <v>2.4479196432974231</v>
      </c>
      <c r="I1542" s="3">
        <f t="shared" ca="1" si="155"/>
        <v>7.8229144877363685</v>
      </c>
      <c r="O1542" s="3">
        <f t="shared" ca="1" si="156"/>
        <v>-7.5733118351506867</v>
      </c>
      <c r="P1542" s="3">
        <f t="shared" ca="1" si="157"/>
        <v>-6.7219958065284651</v>
      </c>
      <c r="Q1542" s="3">
        <f t="shared" ca="1" si="158"/>
        <v>10.126217446579929</v>
      </c>
    </row>
    <row r="1543" spans="7:17" x14ac:dyDescent="0.25">
      <c r="G1543" s="3">
        <f t="shared" ca="1" si="153"/>
        <v>1</v>
      </c>
      <c r="H1543" s="3">
        <f t="shared" ca="1" si="154"/>
        <v>4.6852938285427603</v>
      </c>
      <c r="I1543" s="3">
        <f t="shared" ca="1" si="155"/>
        <v>10.822769780124171</v>
      </c>
      <c r="O1543" s="3">
        <f t="shared" ca="1" si="156"/>
        <v>-11.076025713294204</v>
      </c>
      <c r="P1543" s="3">
        <f t="shared" ca="1" si="157"/>
        <v>-0.43704523447757015</v>
      </c>
      <c r="Q1543" s="3">
        <f t="shared" ca="1" si="158"/>
        <v>11.084644971244407</v>
      </c>
    </row>
    <row r="1544" spans="7:17" x14ac:dyDescent="0.25">
      <c r="G1544" s="3">
        <f t="shared" ca="1" si="153"/>
        <v>1</v>
      </c>
      <c r="H1544" s="3">
        <f t="shared" ca="1" si="154"/>
        <v>2.5990015771454567</v>
      </c>
      <c r="I1544" s="3">
        <f t="shared" ca="1" si="155"/>
        <v>8.0607096107375327</v>
      </c>
      <c r="O1544" s="3">
        <f t="shared" ca="1" si="156"/>
        <v>-1.4755372832564135</v>
      </c>
      <c r="P1544" s="3">
        <f t="shared" ca="1" si="157"/>
        <v>-1.5600929220747977</v>
      </c>
      <c r="Q1544" s="3">
        <f t="shared" ca="1" si="158"/>
        <v>2.1473472471371737</v>
      </c>
    </row>
    <row r="1545" spans="7:17" x14ac:dyDescent="0.25">
      <c r="G1545" s="3">
        <f t="shared" ca="1" si="153"/>
        <v>1</v>
      </c>
      <c r="H1545" s="3">
        <f t="shared" ca="1" si="154"/>
        <v>4.1305804560353945</v>
      </c>
      <c r="I1545" s="3">
        <f t="shared" ca="1" si="155"/>
        <v>10.16191475071922</v>
      </c>
      <c r="O1545" s="3">
        <f t="shared" ca="1" si="156"/>
        <v>-9.9908060950406359</v>
      </c>
      <c r="P1545" s="3">
        <f t="shared" ca="1" si="157"/>
        <v>-4.1748028329496361</v>
      </c>
      <c r="Q1545" s="3">
        <f t="shared" ca="1" si="158"/>
        <v>10.827981581195335</v>
      </c>
    </row>
    <row r="1546" spans="7:17" x14ac:dyDescent="0.25">
      <c r="G1546" s="3">
        <f t="shared" ca="1" si="153"/>
        <v>0</v>
      </c>
      <c r="H1546" s="3">
        <f t="shared" ca="1" si="154"/>
        <v>3.3430349425781687</v>
      </c>
      <c r="I1546" s="3">
        <f t="shared" ca="1" si="155"/>
        <v>9.1419841153031012</v>
      </c>
      <c r="O1546" s="3">
        <f t="shared" ca="1" si="156"/>
        <v>-10.136119206350813</v>
      </c>
      <c r="P1546" s="3">
        <f t="shared" ca="1" si="157"/>
        <v>-6.7693139624184857</v>
      </c>
      <c r="Q1546" s="3">
        <f t="shared" ca="1" si="158"/>
        <v>12.188704774796527</v>
      </c>
    </row>
    <row r="1547" spans="7:17" x14ac:dyDescent="0.25">
      <c r="G1547" s="3">
        <f t="shared" ca="1" si="153"/>
        <v>0</v>
      </c>
      <c r="H1547" s="3">
        <f t="shared" ca="1" si="154"/>
        <v>2.5815051492992303</v>
      </c>
      <c r="I1547" s="3">
        <f t="shared" ca="1" si="155"/>
        <v>8.0335315230900015</v>
      </c>
      <c r="O1547" s="3">
        <f t="shared" ca="1" si="156"/>
        <v>-12.842070228874267</v>
      </c>
      <c r="P1547" s="3">
        <f t="shared" ca="1" si="157"/>
        <v>-0.93336067420408075</v>
      </c>
      <c r="Q1547" s="3">
        <f t="shared" ca="1" si="158"/>
        <v>12.875943845461949</v>
      </c>
    </row>
    <row r="1548" spans="7:17" x14ac:dyDescent="0.25">
      <c r="G1548" s="3">
        <f t="shared" ca="1" si="153"/>
        <v>0</v>
      </c>
      <c r="H1548" s="3">
        <f t="shared" ca="1" si="154"/>
        <v>2.3748750642530028</v>
      </c>
      <c r="I1548" s="3">
        <f t="shared" ca="1" si="155"/>
        <v>7.7053148285014981</v>
      </c>
      <c r="O1548" s="3">
        <f t="shared" ca="1" si="156"/>
        <v>-5.8233932886478588</v>
      </c>
      <c r="P1548" s="3">
        <f t="shared" ca="1" si="157"/>
        <v>5.9659944029865848</v>
      </c>
      <c r="Q1548" s="3">
        <f t="shared" ca="1" si="158"/>
        <v>8.3369657916256426</v>
      </c>
    </row>
    <row r="1549" spans="7:17" x14ac:dyDescent="0.25">
      <c r="G1549" s="3">
        <f t="shared" ca="1" si="153"/>
        <v>0</v>
      </c>
      <c r="H1549" s="3">
        <f t="shared" ca="1" si="154"/>
        <v>2.1622369909113188</v>
      </c>
      <c r="I1549" s="3">
        <f t="shared" ca="1" si="155"/>
        <v>7.3522734424654645</v>
      </c>
      <c r="O1549" s="3">
        <f t="shared" ca="1" si="156"/>
        <v>-6.4248832196007166</v>
      </c>
      <c r="P1549" s="3">
        <f t="shared" ca="1" si="157"/>
        <v>10.687865458039425</v>
      </c>
      <c r="Q1549" s="3">
        <f t="shared" ca="1" si="158"/>
        <v>12.470348528997061</v>
      </c>
    </row>
    <row r="1550" spans="7:17" x14ac:dyDescent="0.25">
      <c r="G1550" s="3">
        <f t="shared" ca="1" si="153"/>
        <v>1</v>
      </c>
      <c r="H1550" s="3">
        <f t="shared" ca="1" si="154"/>
        <v>2.777563457187374</v>
      </c>
      <c r="I1550" s="3">
        <f t="shared" ca="1" si="155"/>
        <v>8.3330118462464906</v>
      </c>
      <c r="O1550" s="3">
        <f t="shared" ca="1" si="156"/>
        <v>-7.1441798624610566</v>
      </c>
      <c r="P1550" s="3">
        <f t="shared" ca="1" si="157"/>
        <v>3.4809735481728463</v>
      </c>
      <c r="Q1550" s="3">
        <f t="shared" ca="1" si="158"/>
        <v>7.9471053063535742</v>
      </c>
    </row>
    <row r="1551" spans="7:17" x14ac:dyDescent="0.25">
      <c r="G1551" s="3">
        <f t="shared" ca="1" si="153"/>
        <v>0</v>
      </c>
      <c r="H1551" s="3">
        <f t="shared" ca="1" si="154"/>
        <v>2.3675890158661992</v>
      </c>
      <c r="I1551" s="3">
        <f t="shared" ca="1" si="155"/>
        <v>7.6934859067041241</v>
      </c>
      <c r="O1551" s="3">
        <f t="shared" ca="1" si="156"/>
        <v>-7.4194413238041435</v>
      </c>
      <c r="P1551" s="3">
        <f t="shared" ca="1" si="157"/>
        <v>-11.895203759819164</v>
      </c>
      <c r="Q1551" s="3">
        <f t="shared" ca="1" si="158"/>
        <v>14.019414468692641</v>
      </c>
    </row>
    <row r="1552" spans="7:17" x14ac:dyDescent="0.25">
      <c r="G1552" s="3">
        <f t="shared" ca="1" si="153"/>
        <v>0</v>
      </c>
      <c r="H1552" s="3">
        <f t="shared" ca="1" si="154"/>
        <v>1.2668547074905827</v>
      </c>
      <c r="I1552" s="3">
        <f t="shared" ca="1" si="155"/>
        <v>5.6277320198517424</v>
      </c>
      <c r="O1552" s="3">
        <f t="shared" ca="1" si="156"/>
        <v>-11.691552124372313</v>
      </c>
      <c r="P1552" s="3">
        <f t="shared" ca="1" si="157"/>
        <v>1.996095280171664</v>
      </c>
      <c r="Q1552" s="3">
        <f t="shared" ca="1" si="158"/>
        <v>11.860724575018104</v>
      </c>
    </row>
    <row r="1553" spans="7:17" x14ac:dyDescent="0.25">
      <c r="G1553" s="3">
        <f t="shared" ca="1" si="153"/>
        <v>1</v>
      </c>
      <c r="H1553" s="3">
        <f t="shared" ca="1" si="154"/>
        <v>3.4504383167163049</v>
      </c>
      <c r="I1553" s="3">
        <f t="shared" ca="1" si="155"/>
        <v>9.2876777462349338</v>
      </c>
      <c r="O1553" s="3">
        <f t="shared" ca="1" si="156"/>
        <v>-11.131583203411378</v>
      </c>
      <c r="P1553" s="3">
        <f t="shared" ca="1" si="157"/>
        <v>-15.047389136016697</v>
      </c>
      <c r="Q1553" s="3">
        <f t="shared" ca="1" si="158"/>
        <v>18.717266478446675</v>
      </c>
    </row>
    <row r="1554" spans="7:17" x14ac:dyDescent="0.25">
      <c r="G1554" s="3">
        <f t="shared" ca="1" si="153"/>
        <v>0</v>
      </c>
      <c r="H1554" s="3">
        <f t="shared" ca="1" si="154"/>
        <v>0.62722476754393242</v>
      </c>
      <c r="I1554" s="3">
        <f t="shared" ca="1" si="155"/>
        <v>3.9598761582400921</v>
      </c>
      <c r="O1554" s="3">
        <f t="shared" ca="1" si="156"/>
        <v>-1.7875698774171274</v>
      </c>
      <c r="P1554" s="3">
        <f t="shared" ca="1" si="157"/>
        <v>-0.98218385134375008</v>
      </c>
      <c r="Q1554" s="3">
        <f t="shared" ca="1" si="158"/>
        <v>2.0396301587517098</v>
      </c>
    </row>
    <row r="1555" spans="7:17" x14ac:dyDescent="0.25">
      <c r="G1555" s="3">
        <f t="shared" ca="1" si="153"/>
        <v>0</v>
      </c>
      <c r="H1555" s="3">
        <f t="shared" ca="1" si="154"/>
        <v>3.3991373831003506</v>
      </c>
      <c r="I1555" s="3">
        <f t="shared" ca="1" si="155"/>
        <v>9.2183748338581228</v>
      </c>
      <c r="O1555" s="3">
        <f t="shared" ca="1" si="156"/>
        <v>-13.239019161336774</v>
      </c>
      <c r="P1555" s="3">
        <f t="shared" ca="1" si="157"/>
        <v>4.6387753781074741</v>
      </c>
      <c r="Q1555" s="3">
        <f t="shared" ca="1" si="158"/>
        <v>14.028181113842892</v>
      </c>
    </row>
    <row r="1556" spans="7:17" x14ac:dyDescent="0.25">
      <c r="G1556" s="3">
        <f t="shared" ca="1" si="153"/>
        <v>0</v>
      </c>
      <c r="H1556" s="3">
        <f t="shared" ca="1" si="154"/>
        <v>1.1317899692785947</v>
      </c>
      <c r="I1556" s="3">
        <f t="shared" ca="1" si="155"/>
        <v>5.3192808942529881</v>
      </c>
      <c r="O1556" s="3">
        <f t="shared" ca="1" si="156"/>
        <v>-8.8483842789569067</v>
      </c>
      <c r="P1556" s="3">
        <f t="shared" ca="1" si="157"/>
        <v>4.4639423991788636</v>
      </c>
      <c r="Q1556" s="3">
        <f t="shared" ca="1" si="158"/>
        <v>9.9106349993972884</v>
      </c>
    </row>
    <row r="1557" spans="7:17" x14ac:dyDescent="0.25">
      <c r="G1557" s="3">
        <f t="shared" ca="1" si="153"/>
        <v>0</v>
      </c>
      <c r="H1557" s="3">
        <f t="shared" ca="1" si="154"/>
        <v>0.78801238410545504</v>
      </c>
      <c r="I1557" s="3">
        <f t="shared" ca="1" si="155"/>
        <v>4.4385030812917519</v>
      </c>
      <c r="O1557" s="3">
        <f t="shared" ca="1" si="156"/>
        <v>-4.5789858216866408</v>
      </c>
      <c r="P1557" s="3">
        <f t="shared" ca="1" si="157"/>
        <v>-0.34868995995275359</v>
      </c>
      <c r="Q1557" s="3">
        <f t="shared" ca="1" si="158"/>
        <v>4.5922430078752514</v>
      </c>
    </row>
    <row r="1558" spans="7:17" x14ac:dyDescent="0.25">
      <c r="G1558" s="3">
        <f t="shared" ca="1" si="153"/>
        <v>1</v>
      </c>
      <c r="H1558" s="3">
        <f t="shared" ca="1" si="154"/>
        <v>7.7140308705431542</v>
      </c>
      <c r="I1558" s="3">
        <f t="shared" ca="1" si="155"/>
        <v>13.887072109108487</v>
      </c>
      <c r="O1558" s="3">
        <f t="shared" ca="1" si="156"/>
        <v>3.9541927479594428</v>
      </c>
      <c r="P1558" s="3">
        <f t="shared" ca="1" si="157"/>
        <v>-1.1740621080988733</v>
      </c>
      <c r="Q1558" s="3">
        <f t="shared" ca="1" si="158"/>
        <v>4.1248105558544887</v>
      </c>
    </row>
    <row r="1559" spans="7:17" x14ac:dyDescent="0.25">
      <c r="G1559" s="3">
        <f t="shared" ca="1" si="153"/>
        <v>0</v>
      </c>
      <c r="H1559" s="3">
        <f t="shared" ca="1" si="154"/>
        <v>0.90621438070885363</v>
      </c>
      <c r="I1559" s="3">
        <f t="shared" ca="1" si="155"/>
        <v>4.7597646494045627</v>
      </c>
      <c r="O1559" s="3">
        <f t="shared" ca="1" si="156"/>
        <v>-8.6581122199942016</v>
      </c>
      <c r="P1559" s="3">
        <f t="shared" ca="1" si="157"/>
        <v>-3.4718913558354809</v>
      </c>
      <c r="Q1559" s="3">
        <f t="shared" ca="1" si="158"/>
        <v>9.3282869167247444</v>
      </c>
    </row>
    <row r="1560" spans="7:17" x14ac:dyDescent="0.25">
      <c r="G1560" s="3">
        <f t="shared" ca="1" si="153"/>
        <v>2</v>
      </c>
      <c r="H1560" s="3">
        <f t="shared" ca="1" si="154"/>
        <v>10.21622474669595</v>
      </c>
      <c r="I1560" s="3">
        <f t="shared" ca="1" si="155"/>
        <v>15.981414789291929</v>
      </c>
      <c r="O1560" s="3">
        <f t="shared" ca="1" si="156"/>
        <v>3.6960990348884142</v>
      </c>
      <c r="P1560" s="3">
        <f t="shared" ca="1" si="157"/>
        <v>-2.2755993601287865</v>
      </c>
      <c r="Q1560" s="3">
        <f t="shared" ca="1" si="158"/>
        <v>4.3404493458075981</v>
      </c>
    </row>
    <row r="1561" spans="7:17" x14ac:dyDescent="0.25">
      <c r="G1561" s="3">
        <f t="shared" ca="1" si="153"/>
        <v>0</v>
      </c>
      <c r="H1561" s="3">
        <f t="shared" ca="1" si="154"/>
        <v>0.35986113791588975</v>
      </c>
      <c r="I1561" s="3">
        <f t="shared" ca="1" si="155"/>
        <v>2.9994213521773232</v>
      </c>
      <c r="O1561" s="3">
        <f t="shared" ca="1" si="156"/>
        <v>-1.6424389996353757</v>
      </c>
      <c r="P1561" s="3">
        <f t="shared" ca="1" si="157"/>
        <v>-3.3403506962079814</v>
      </c>
      <c r="Q1561" s="3">
        <f t="shared" ca="1" si="158"/>
        <v>3.722304211262212</v>
      </c>
    </row>
    <row r="1562" spans="7:17" x14ac:dyDescent="0.25">
      <c r="G1562" s="3">
        <f t="shared" ca="1" si="153"/>
        <v>1</v>
      </c>
      <c r="H1562" s="3">
        <f t="shared" ca="1" si="154"/>
        <v>5.1467888320461839</v>
      </c>
      <c r="I1562" s="3">
        <f t="shared" ca="1" si="155"/>
        <v>11.3432676421371</v>
      </c>
      <c r="O1562" s="3">
        <f t="shared" ca="1" si="156"/>
        <v>-6.0084868104876179</v>
      </c>
      <c r="P1562" s="3">
        <f t="shared" ca="1" si="157"/>
        <v>-2.1454958093460195</v>
      </c>
      <c r="Q1562" s="3">
        <f t="shared" ca="1" si="158"/>
        <v>6.3800521956897027</v>
      </c>
    </row>
    <row r="1563" spans="7:17" x14ac:dyDescent="0.25">
      <c r="G1563" s="3">
        <f t="shared" ca="1" si="153"/>
        <v>0</v>
      </c>
      <c r="H1563" s="3">
        <f t="shared" ca="1" si="154"/>
        <v>3.6670436171592833</v>
      </c>
      <c r="I1563" s="3">
        <f t="shared" ca="1" si="155"/>
        <v>9.5747632048517044</v>
      </c>
      <c r="O1563" s="3">
        <f t="shared" ca="1" si="156"/>
        <v>-13.661834526947477</v>
      </c>
      <c r="P1563" s="3">
        <f t="shared" ca="1" si="157"/>
        <v>-7.6463699175487836</v>
      </c>
      <c r="Q1563" s="3">
        <f t="shared" ca="1" si="158"/>
        <v>15.656075356157723</v>
      </c>
    </row>
    <row r="1564" spans="7:17" x14ac:dyDescent="0.25">
      <c r="G1564" s="3">
        <f t="shared" ca="1" si="153"/>
        <v>2</v>
      </c>
      <c r="H1564" s="3">
        <f t="shared" ca="1" si="154"/>
        <v>7.578812536763869</v>
      </c>
      <c r="I1564" s="3">
        <f t="shared" ca="1" si="155"/>
        <v>13.764821590529124</v>
      </c>
      <c r="O1564" s="3">
        <f t="shared" ca="1" si="156"/>
        <v>-4.3000956850037264</v>
      </c>
      <c r="P1564" s="3">
        <f t="shared" ca="1" si="157"/>
        <v>-4.2879316911970893</v>
      </c>
      <c r="Q1564" s="3">
        <f t="shared" ca="1" si="158"/>
        <v>6.0726584860800461</v>
      </c>
    </row>
    <row r="1565" spans="7:17" x14ac:dyDescent="0.25">
      <c r="G1565" s="3">
        <f t="shared" ca="1" si="153"/>
        <v>0</v>
      </c>
      <c r="H1565" s="3">
        <f t="shared" ca="1" si="154"/>
        <v>0.51726341792404651</v>
      </c>
      <c r="I1565" s="3">
        <f t="shared" ca="1" si="155"/>
        <v>3.5960513689463842</v>
      </c>
      <c r="O1565" s="3">
        <f t="shared" ca="1" si="156"/>
        <v>-6.0190427895281218</v>
      </c>
      <c r="P1565" s="3">
        <f t="shared" ca="1" si="157"/>
        <v>-11.075867417440552</v>
      </c>
      <c r="Q1565" s="3">
        <f t="shared" ca="1" si="158"/>
        <v>12.605701692126928</v>
      </c>
    </row>
    <row r="1566" spans="7:17" x14ac:dyDescent="0.25">
      <c r="G1566" s="3">
        <f t="shared" ca="1" si="153"/>
        <v>1</v>
      </c>
      <c r="H1566" s="3">
        <f t="shared" ca="1" si="154"/>
        <v>3.9046093884981978</v>
      </c>
      <c r="I1566" s="3">
        <f t="shared" ca="1" si="155"/>
        <v>9.8800422424428405</v>
      </c>
      <c r="O1566" s="3">
        <f t="shared" ca="1" si="156"/>
        <v>-10.809287153116603</v>
      </c>
      <c r="P1566" s="3">
        <f t="shared" ca="1" si="157"/>
        <v>1.293737173070219</v>
      </c>
      <c r="Q1566" s="3">
        <f t="shared" ca="1" si="158"/>
        <v>10.886433972220443</v>
      </c>
    </row>
    <row r="1567" spans="7:17" x14ac:dyDescent="0.25">
      <c r="G1567" s="3">
        <f t="shared" ca="1" si="153"/>
        <v>0</v>
      </c>
      <c r="H1567" s="3">
        <f t="shared" ca="1" si="154"/>
        <v>0.88495629707248047</v>
      </c>
      <c r="I1567" s="3">
        <f t="shared" ca="1" si="155"/>
        <v>4.7036057899033175</v>
      </c>
      <c r="O1567" s="3">
        <f t="shared" ca="1" si="156"/>
        <v>-4.9019642070922114</v>
      </c>
      <c r="P1567" s="3">
        <f t="shared" ca="1" si="157"/>
        <v>0.29970601280413339</v>
      </c>
      <c r="Q1567" s="3">
        <f t="shared" ca="1" si="158"/>
        <v>4.9111176713375668</v>
      </c>
    </row>
    <row r="1568" spans="7:17" x14ac:dyDescent="0.25">
      <c r="G1568" s="3">
        <f t="shared" ca="1" si="153"/>
        <v>0</v>
      </c>
      <c r="H1568" s="3">
        <f t="shared" ca="1" si="154"/>
        <v>5.6775908041019401</v>
      </c>
      <c r="I1568" s="3">
        <f t="shared" ca="1" si="155"/>
        <v>11.913847829418859</v>
      </c>
      <c r="O1568" s="3">
        <f t="shared" ca="1" si="156"/>
        <v>-1.7335904582142279</v>
      </c>
      <c r="P1568" s="3">
        <f t="shared" ca="1" si="157"/>
        <v>-1.9753371603601804</v>
      </c>
      <c r="Q1568" s="3">
        <f t="shared" ca="1" si="158"/>
        <v>2.6281728965026705</v>
      </c>
    </row>
    <row r="1569" spans="7:17" x14ac:dyDescent="0.25">
      <c r="G1569" s="3">
        <f t="shared" ca="1" si="153"/>
        <v>1</v>
      </c>
      <c r="H1569" s="3">
        <f t="shared" ca="1" si="154"/>
        <v>3.9217765186314715</v>
      </c>
      <c r="I1569" s="3">
        <f t="shared" ca="1" si="155"/>
        <v>9.9017378760390748</v>
      </c>
      <c r="O1569" s="3">
        <f t="shared" ca="1" si="156"/>
        <v>-8.0089050940184698</v>
      </c>
      <c r="P1569" s="3">
        <f t="shared" ca="1" si="157"/>
        <v>3.1887002013050911</v>
      </c>
      <c r="Q1569" s="3">
        <f t="shared" ca="1" si="158"/>
        <v>8.620346267917439</v>
      </c>
    </row>
    <row r="1570" spans="7:17" x14ac:dyDescent="0.25">
      <c r="G1570" s="3">
        <f t="shared" ca="1" si="153"/>
        <v>1</v>
      </c>
      <c r="H1570" s="3">
        <f t="shared" ca="1" si="154"/>
        <v>1.3112077356462963</v>
      </c>
      <c r="I1570" s="3">
        <f t="shared" ca="1" si="155"/>
        <v>5.7253989722252028</v>
      </c>
      <c r="O1570" s="3">
        <f t="shared" ca="1" si="156"/>
        <v>-10.136567481375588</v>
      </c>
      <c r="P1570" s="3">
        <f t="shared" ca="1" si="157"/>
        <v>-0.50639894022803422</v>
      </c>
      <c r="Q1570" s="3">
        <f t="shared" ca="1" si="158"/>
        <v>10.149208845577329</v>
      </c>
    </row>
    <row r="1571" spans="7:17" x14ac:dyDescent="0.25">
      <c r="G1571" s="3">
        <f t="shared" ca="1" si="153"/>
        <v>0</v>
      </c>
      <c r="H1571" s="3">
        <f t="shared" ca="1" si="154"/>
        <v>9.0427050735705478E-2</v>
      </c>
      <c r="I1571" s="3">
        <f t="shared" ca="1" si="155"/>
        <v>1.5035545445352614</v>
      </c>
      <c r="O1571" s="3">
        <f t="shared" ca="1" si="156"/>
        <v>-10.196641054979743</v>
      </c>
      <c r="P1571" s="3">
        <f t="shared" ca="1" si="157"/>
        <v>-7.8647508861544049</v>
      </c>
      <c r="Q1571" s="3">
        <f t="shared" ca="1" si="158"/>
        <v>12.877336498879142</v>
      </c>
    </row>
    <row r="1572" spans="7:17" x14ac:dyDescent="0.25">
      <c r="G1572" s="3">
        <f t="shared" ca="1" si="153"/>
        <v>0</v>
      </c>
      <c r="H1572" s="3">
        <f t="shared" ca="1" si="154"/>
        <v>6.8507479208913563E-2</v>
      </c>
      <c r="I1572" s="3">
        <f t="shared" ca="1" si="155"/>
        <v>1.3086966723510987</v>
      </c>
      <c r="O1572" s="3">
        <f t="shared" ca="1" si="156"/>
        <v>-13.057134860950063</v>
      </c>
      <c r="P1572" s="3">
        <f t="shared" ca="1" si="157"/>
        <v>-9.5989137077080482</v>
      </c>
      <c r="Q1572" s="3">
        <f t="shared" ca="1" si="158"/>
        <v>16.205798812309837</v>
      </c>
    </row>
    <row r="1573" spans="7:17" x14ac:dyDescent="0.25">
      <c r="G1573" s="3">
        <f t="shared" ca="1" si="153"/>
        <v>1</v>
      </c>
      <c r="H1573" s="3">
        <f t="shared" ca="1" si="154"/>
        <v>9.2537917058738373</v>
      </c>
      <c r="I1573" s="3">
        <f t="shared" ca="1" si="155"/>
        <v>15.210022769438773</v>
      </c>
      <c r="O1573" s="3">
        <f t="shared" ca="1" si="156"/>
        <v>-10.810795153801243</v>
      </c>
      <c r="P1573" s="3">
        <f t="shared" ca="1" si="157"/>
        <v>10.833943977717952</v>
      </c>
      <c r="Q1573" s="3">
        <f t="shared" ca="1" si="158"/>
        <v>15.305150569980798</v>
      </c>
    </row>
    <row r="1574" spans="7:17" x14ac:dyDescent="0.25">
      <c r="G1574" s="3">
        <f t="shared" ca="1" si="153"/>
        <v>1</v>
      </c>
      <c r="H1574" s="3">
        <f t="shared" ca="1" si="154"/>
        <v>2.4124899844181522</v>
      </c>
      <c r="I1574" s="3">
        <f t="shared" ca="1" si="155"/>
        <v>7.7660961628384317</v>
      </c>
      <c r="O1574" s="3">
        <f t="shared" ca="1" si="156"/>
        <v>4.9269495523570264</v>
      </c>
      <c r="P1574" s="3">
        <f t="shared" ca="1" si="157"/>
        <v>3.4191904129379918</v>
      </c>
      <c r="Q1574" s="3">
        <f t="shared" ca="1" si="158"/>
        <v>5.9971405662530692</v>
      </c>
    </row>
    <row r="1575" spans="7:17" x14ac:dyDescent="0.25">
      <c r="G1575" s="3">
        <f t="shared" ca="1" si="153"/>
        <v>0</v>
      </c>
      <c r="H1575" s="3">
        <f t="shared" ca="1" si="154"/>
        <v>2.8830965535634614</v>
      </c>
      <c r="I1575" s="3">
        <f t="shared" ca="1" si="155"/>
        <v>8.4898418029481881</v>
      </c>
      <c r="O1575" s="3">
        <f t="shared" ca="1" si="156"/>
        <v>-8.2087559431438564</v>
      </c>
      <c r="P1575" s="3">
        <f t="shared" ca="1" si="157"/>
        <v>0.14669484347008716</v>
      </c>
      <c r="Q1575" s="3">
        <f t="shared" ca="1" si="158"/>
        <v>8.2100665960271169</v>
      </c>
    </row>
    <row r="1576" spans="7:17" x14ac:dyDescent="0.25">
      <c r="G1576" s="3">
        <f t="shared" ca="1" si="153"/>
        <v>0</v>
      </c>
      <c r="H1576" s="3">
        <f t="shared" ca="1" si="154"/>
        <v>2.7662653828550465</v>
      </c>
      <c r="I1576" s="3">
        <f t="shared" ca="1" si="155"/>
        <v>8.3160468115190493</v>
      </c>
      <c r="O1576" s="3">
        <f t="shared" ca="1" si="156"/>
        <v>0.36865879421291048</v>
      </c>
      <c r="P1576" s="3">
        <f t="shared" ca="1" si="157"/>
        <v>9.4796404200355973</v>
      </c>
      <c r="Q1576" s="3">
        <f t="shared" ca="1" si="158"/>
        <v>9.4868061959609555</v>
      </c>
    </row>
    <row r="1577" spans="7:17" x14ac:dyDescent="0.25">
      <c r="G1577" s="3">
        <f t="shared" ca="1" si="153"/>
        <v>1</v>
      </c>
      <c r="H1577" s="3">
        <f t="shared" ca="1" si="154"/>
        <v>2.8814797494252851</v>
      </c>
      <c r="I1577" s="3">
        <f t="shared" ca="1" si="155"/>
        <v>8.487460971081525</v>
      </c>
      <c r="O1577" s="3">
        <f t="shared" ca="1" si="156"/>
        <v>0.35822007416257051</v>
      </c>
      <c r="P1577" s="3">
        <f t="shared" ca="1" si="157"/>
        <v>-4.3841331824748</v>
      </c>
      <c r="Q1577" s="3">
        <f t="shared" ca="1" si="158"/>
        <v>4.3987436141709431</v>
      </c>
    </row>
    <row r="1578" spans="7:17" x14ac:dyDescent="0.25">
      <c r="G1578" s="3">
        <f t="shared" ca="1" si="153"/>
        <v>0</v>
      </c>
      <c r="H1578" s="3">
        <f t="shared" ca="1" si="154"/>
        <v>3.4593824366819924E-2</v>
      </c>
      <c r="I1578" s="3">
        <f t="shared" ca="1" si="155"/>
        <v>0.92997075715879274</v>
      </c>
      <c r="O1578" s="3">
        <f t="shared" ca="1" si="156"/>
        <v>-7.1668697997774586</v>
      </c>
      <c r="P1578" s="3">
        <f t="shared" ca="1" si="157"/>
        <v>-4.1160372738131432</v>
      </c>
      <c r="Q1578" s="3">
        <f t="shared" ca="1" si="158"/>
        <v>8.2647314273593491</v>
      </c>
    </row>
    <row r="1579" spans="7:17" x14ac:dyDescent="0.25">
      <c r="G1579" s="3">
        <f t="shared" ca="1" si="153"/>
        <v>1</v>
      </c>
      <c r="H1579" s="3">
        <f t="shared" ca="1" si="154"/>
        <v>4.0891005582352129</v>
      </c>
      <c r="I1579" s="3">
        <f t="shared" ca="1" si="155"/>
        <v>10.110762283620376</v>
      </c>
      <c r="O1579" s="3">
        <f t="shared" ca="1" si="156"/>
        <v>-6.1120789959141728</v>
      </c>
      <c r="P1579" s="3">
        <f t="shared" ca="1" si="157"/>
        <v>2.5767555865424527</v>
      </c>
      <c r="Q1579" s="3">
        <f t="shared" ca="1" si="158"/>
        <v>6.6330369368090309</v>
      </c>
    </row>
    <row r="1580" spans="7:17" x14ac:dyDescent="0.25">
      <c r="G1580" s="3">
        <f t="shared" ca="1" si="153"/>
        <v>0</v>
      </c>
      <c r="H1580" s="3">
        <f t="shared" ca="1" si="154"/>
        <v>0.21416948578753398</v>
      </c>
      <c r="I1580" s="3">
        <f t="shared" ca="1" si="155"/>
        <v>2.3139224586593969</v>
      </c>
      <c r="O1580" s="3">
        <f t="shared" ca="1" si="156"/>
        <v>-7.3755997552625452</v>
      </c>
      <c r="P1580" s="3">
        <f t="shared" ca="1" si="157"/>
        <v>1.4761257268284946</v>
      </c>
      <c r="Q1580" s="3">
        <f t="shared" ca="1" si="158"/>
        <v>7.5218627288214899</v>
      </c>
    </row>
    <row r="1581" spans="7:17" x14ac:dyDescent="0.25">
      <c r="G1581" s="3">
        <f t="shared" ca="1" si="153"/>
        <v>0</v>
      </c>
      <c r="H1581" s="3">
        <f t="shared" ca="1" si="154"/>
        <v>0.51843848369105539</v>
      </c>
      <c r="I1581" s="3">
        <f t="shared" ca="1" si="155"/>
        <v>3.6001336214474571</v>
      </c>
      <c r="O1581" s="3">
        <f t="shared" ca="1" si="156"/>
        <v>-11.242647686897582</v>
      </c>
      <c r="P1581" s="3">
        <f t="shared" ca="1" si="157"/>
        <v>-1.1366017237329749E-2</v>
      </c>
      <c r="Q1581" s="3">
        <f t="shared" ca="1" si="158"/>
        <v>11.242653432266398</v>
      </c>
    </row>
    <row r="1582" spans="7:17" x14ac:dyDescent="0.25">
      <c r="G1582" s="3">
        <f t="shared" ca="1" si="153"/>
        <v>0</v>
      </c>
      <c r="H1582" s="3">
        <f t="shared" ca="1" si="154"/>
        <v>2.8847152072164275</v>
      </c>
      <c r="I1582" s="3">
        <f t="shared" ca="1" si="155"/>
        <v>8.4922246897035585</v>
      </c>
      <c r="O1582" s="3">
        <f t="shared" ca="1" si="156"/>
        <v>1.9811568085043563</v>
      </c>
      <c r="P1582" s="3">
        <f t="shared" ca="1" si="157"/>
        <v>-4.3279453125769205</v>
      </c>
      <c r="Q1582" s="3">
        <f t="shared" ca="1" si="158"/>
        <v>4.7598416915418209</v>
      </c>
    </row>
    <row r="1583" spans="7:17" x14ac:dyDescent="0.25">
      <c r="G1583" s="3">
        <f t="shared" ca="1" si="153"/>
        <v>0</v>
      </c>
      <c r="H1583" s="3">
        <f t="shared" ca="1" si="154"/>
        <v>2.0683798456957683</v>
      </c>
      <c r="I1583" s="3">
        <f t="shared" ca="1" si="155"/>
        <v>7.1909315211865437</v>
      </c>
      <c r="O1583" s="3">
        <f t="shared" ca="1" si="156"/>
        <v>-9.5232146161154532</v>
      </c>
      <c r="P1583" s="3">
        <f t="shared" ca="1" si="157"/>
        <v>4.6448577426861997</v>
      </c>
      <c r="Q1583" s="3">
        <f t="shared" ca="1" si="158"/>
        <v>10.595580214145279</v>
      </c>
    </row>
    <row r="1584" spans="7:17" x14ac:dyDescent="0.25">
      <c r="G1584" s="3">
        <f t="shared" ca="1" si="153"/>
        <v>1</v>
      </c>
      <c r="H1584" s="3">
        <f t="shared" ca="1" si="154"/>
        <v>1.1417414968571011</v>
      </c>
      <c r="I1584" s="3">
        <f t="shared" ca="1" si="155"/>
        <v>5.342615223037078</v>
      </c>
      <c r="O1584" s="3">
        <f t="shared" ca="1" si="156"/>
        <v>-3.2815569759713981</v>
      </c>
      <c r="P1584" s="3">
        <f t="shared" ca="1" si="157"/>
        <v>-4.8045902876833297</v>
      </c>
      <c r="Q1584" s="3">
        <f t="shared" ca="1" si="158"/>
        <v>5.8183076593668996</v>
      </c>
    </row>
    <row r="1585" spans="7:17" x14ac:dyDescent="0.25">
      <c r="G1585" s="3">
        <f t="shared" ca="1" si="153"/>
        <v>2</v>
      </c>
      <c r="H1585" s="3">
        <f t="shared" ca="1" si="154"/>
        <v>1.194017640297129</v>
      </c>
      <c r="I1585" s="3">
        <f t="shared" ca="1" si="155"/>
        <v>5.4635557110208213</v>
      </c>
      <c r="O1585" s="3">
        <f t="shared" ca="1" si="156"/>
        <v>-10.339644433936295</v>
      </c>
      <c r="P1585" s="3">
        <f t="shared" ca="1" si="157"/>
        <v>-5.5030942906315028</v>
      </c>
      <c r="Q1585" s="3">
        <f t="shared" ca="1" si="158"/>
        <v>11.712911413982898</v>
      </c>
    </row>
    <row r="1586" spans="7:17" x14ac:dyDescent="0.25">
      <c r="G1586" s="3">
        <f t="shared" ca="1" si="153"/>
        <v>2</v>
      </c>
      <c r="H1586" s="3">
        <f t="shared" ca="1" si="154"/>
        <v>5.5448082106951366</v>
      </c>
      <c r="I1586" s="3">
        <f t="shared" ca="1" si="155"/>
        <v>11.773708220750947</v>
      </c>
      <c r="O1586" s="3">
        <f t="shared" ca="1" si="156"/>
        <v>-13.950371399159105</v>
      </c>
      <c r="P1586" s="3">
        <f t="shared" ca="1" si="157"/>
        <v>7.034115986009243</v>
      </c>
      <c r="Q1586" s="3">
        <f t="shared" ca="1" si="158"/>
        <v>15.62343271752745</v>
      </c>
    </row>
    <row r="1587" spans="7:17" x14ac:dyDescent="0.25">
      <c r="G1587" s="3">
        <f t="shared" ca="1" si="153"/>
        <v>1</v>
      </c>
      <c r="H1587" s="3">
        <f t="shared" ca="1" si="154"/>
        <v>6.8321692733412549</v>
      </c>
      <c r="I1587" s="3">
        <f t="shared" ca="1" si="155"/>
        <v>13.069209304067764</v>
      </c>
      <c r="O1587" s="3">
        <f t="shared" ca="1" si="156"/>
        <v>-8.4451448725982239</v>
      </c>
      <c r="P1587" s="3">
        <f t="shared" ca="1" si="157"/>
        <v>4.3666428858261916</v>
      </c>
      <c r="Q1587" s="3">
        <f t="shared" ca="1" si="158"/>
        <v>9.5072625929606343</v>
      </c>
    </row>
    <row r="1588" spans="7:17" x14ac:dyDescent="0.25">
      <c r="G1588" s="3">
        <f t="shared" ca="1" si="153"/>
        <v>0</v>
      </c>
      <c r="H1588" s="3">
        <f t="shared" ca="1" si="154"/>
        <v>7.7604276269267105</v>
      </c>
      <c r="I1588" s="3">
        <f t="shared" ca="1" si="155"/>
        <v>13.928772044698261</v>
      </c>
      <c r="O1588" s="3">
        <f t="shared" ca="1" si="156"/>
        <v>5.8483057672812322</v>
      </c>
      <c r="P1588" s="3">
        <f t="shared" ca="1" si="157"/>
        <v>-3.513004498135984</v>
      </c>
      <c r="Q1588" s="3">
        <f t="shared" ca="1" si="158"/>
        <v>6.8223075972531895</v>
      </c>
    </row>
    <row r="1589" spans="7:17" x14ac:dyDescent="0.25">
      <c r="G1589" s="3">
        <f t="shared" ca="1" si="153"/>
        <v>1</v>
      </c>
      <c r="H1589" s="3">
        <f t="shared" ca="1" si="154"/>
        <v>0.47931959638063887</v>
      </c>
      <c r="I1589" s="3">
        <f t="shared" ca="1" si="155"/>
        <v>3.4616455493761884</v>
      </c>
      <c r="O1589" s="3">
        <f t="shared" ca="1" si="156"/>
        <v>-6.8462058522261948</v>
      </c>
      <c r="P1589" s="3">
        <f t="shared" ca="1" si="157"/>
        <v>-10.759944560992592</v>
      </c>
      <c r="Q1589" s="3">
        <f t="shared" ca="1" si="158"/>
        <v>12.753311002507948</v>
      </c>
    </row>
    <row r="1590" spans="7:17" x14ac:dyDescent="0.25">
      <c r="G1590" s="3">
        <f t="shared" ca="1" si="153"/>
        <v>0</v>
      </c>
      <c r="H1590" s="3">
        <f t="shared" ca="1" si="154"/>
        <v>1.6369760201192576</v>
      </c>
      <c r="I1590" s="3">
        <f t="shared" ca="1" si="155"/>
        <v>6.397218184725407</v>
      </c>
      <c r="O1590" s="3">
        <f t="shared" ca="1" si="156"/>
        <v>-5.8828157051269487</v>
      </c>
      <c r="P1590" s="3">
        <f t="shared" ca="1" si="157"/>
        <v>-3.8921898843737397</v>
      </c>
      <c r="Q1590" s="3">
        <f t="shared" ca="1" si="158"/>
        <v>7.0538402814714729</v>
      </c>
    </row>
    <row r="1591" spans="7:17" x14ac:dyDescent="0.25">
      <c r="G1591" s="3">
        <f t="shared" ca="1" si="153"/>
        <v>1</v>
      </c>
      <c r="H1591" s="3">
        <f t="shared" ca="1" si="154"/>
        <v>9.7785184677127948</v>
      </c>
      <c r="I1591" s="3">
        <f t="shared" ca="1" si="155"/>
        <v>15.635311371789813</v>
      </c>
      <c r="O1591" s="3">
        <f t="shared" ca="1" si="156"/>
        <v>0.56508634625856846</v>
      </c>
      <c r="P1591" s="3">
        <f t="shared" ca="1" si="157"/>
        <v>1.4645483149511416</v>
      </c>
      <c r="Q1591" s="3">
        <f t="shared" ca="1" si="158"/>
        <v>1.569784808677319</v>
      </c>
    </row>
    <row r="1592" spans="7:17" x14ac:dyDescent="0.25">
      <c r="G1592" s="3">
        <f t="shared" ca="1" si="153"/>
        <v>0</v>
      </c>
      <c r="H1592" s="3">
        <f t="shared" ca="1" si="154"/>
        <v>4.3039795892420605</v>
      </c>
      <c r="I1592" s="3">
        <f t="shared" ca="1" si="155"/>
        <v>10.373017387966314</v>
      </c>
      <c r="O1592" s="3">
        <f t="shared" ca="1" si="156"/>
        <v>-8.8379904263301352</v>
      </c>
      <c r="P1592" s="3">
        <f t="shared" ca="1" si="157"/>
        <v>3.3644287300374738</v>
      </c>
      <c r="Q1592" s="3">
        <f t="shared" ca="1" si="158"/>
        <v>9.456714834201394</v>
      </c>
    </row>
    <row r="1593" spans="7:17" x14ac:dyDescent="0.25">
      <c r="G1593" s="3">
        <f t="shared" ca="1" si="153"/>
        <v>0</v>
      </c>
      <c r="H1593" s="3">
        <f t="shared" ca="1" si="154"/>
        <v>2.128685350810851</v>
      </c>
      <c r="I1593" s="3">
        <f t="shared" ca="1" si="155"/>
        <v>7.2950074551210209</v>
      </c>
      <c r="O1593" s="3">
        <f t="shared" ca="1" si="156"/>
        <v>-8.7916038501655258</v>
      </c>
      <c r="P1593" s="3">
        <f t="shared" ca="1" si="157"/>
        <v>8.6844667297415459</v>
      </c>
      <c r="Q1593" s="3">
        <f t="shared" ca="1" si="158"/>
        <v>12.35768022883879</v>
      </c>
    </row>
    <row r="1594" spans="7:17" x14ac:dyDescent="0.25">
      <c r="G1594" s="3">
        <f t="shared" ca="1" si="153"/>
        <v>2</v>
      </c>
      <c r="H1594" s="3">
        <f t="shared" ca="1" si="154"/>
        <v>3.7755117016622615</v>
      </c>
      <c r="I1594" s="3">
        <f t="shared" ca="1" si="155"/>
        <v>9.7153380044935407</v>
      </c>
      <c r="O1594" s="3">
        <f t="shared" ca="1" si="156"/>
        <v>4.0615657890128158</v>
      </c>
      <c r="P1594" s="3">
        <f t="shared" ca="1" si="157"/>
        <v>-3.5729179612574398</v>
      </c>
      <c r="Q1594" s="3">
        <f t="shared" ca="1" si="158"/>
        <v>5.4094416917418862</v>
      </c>
    </row>
    <row r="1595" spans="7:17" x14ac:dyDescent="0.25">
      <c r="G1595" s="3">
        <f t="shared" ca="1" si="153"/>
        <v>0</v>
      </c>
      <c r="H1595" s="3">
        <f t="shared" ca="1" si="154"/>
        <v>0.63732057893856064</v>
      </c>
      <c r="I1595" s="3">
        <f t="shared" ca="1" si="155"/>
        <v>3.9916180269990784</v>
      </c>
      <c r="O1595" s="3">
        <f t="shared" ca="1" si="156"/>
        <v>-3.2261874734925393</v>
      </c>
      <c r="P1595" s="3">
        <f t="shared" ca="1" si="157"/>
        <v>4.5850171165401745</v>
      </c>
      <c r="Q1595" s="3">
        <f t="shared" ca="1" si="158"/>
        <v>5.6063060541756506</v>
      </c>
    </row>
    <row r="1596" spans="7:17" x14ac:dyDescent="0.25">
      <c r="G1596" s="3">
        <f t="shared" ca="1" si="153"/>
        <v>0</v>
      </c>
      <c r="H1596" s="3">
        <f t="shared" ca="1" si="154"/>
        <v>0.67952846925337118</v>
      </c>
      <c r="I1596" s="3">
        <f t="shared" ca="1" si="155"/>
        <v>4.121675840157045</v>
      </c>
      <c r="O1596" s="3">
        <f t="shared" ca="1" si="156"/>
        <v>-6.0640500430832258</v>
      </c>
      <c r="P1596" s="3">
        <f t="shared" ca="1" si="157"/>
        <v>-1.6435393342635636</v>
      </c>
      <c r="Q1596" s="3">
        <f t="shared" ca="1" si="158"/>
        <v>6.2828277445979044</v>
      </c>
    </row>
    <row r="1597" spans="7:17" x14ac:dyDescent="0.25">
      <c r="G1597" s="3">
        <f t="shared" ca="1" si="153"/>
        <v>1</v>
      </c>
      <c r="H1597" s="3">
        <f t="shared" ca="1" si="154"/>
        <v>3.0610323381176725</v>
      </c>
      <c r="I1597" s="3">
        <f t="shared" ca="1" si="155"/>
        <v>8.7479030889088953</v>
      </c>
      <c r="O1597" s="3">
        <f t="shared" ca="1" si="156"/>
        <v>4.3226626348917385</v>
      </c>
      <c r="P1597" s="3">
        <f t="shared" ca="1" si="157"/>
        <v>3.9446701230001726</v>
      </c>
      <c r="Q1597" s="3">
        <f t="shared" ca="1" si="158"/>
        <v>5.8519940733376847</v>
      </c>
    </row>
    <row r="1598" spans="7:17" x14ac:dyDescent="0.25">
      <c r="G1598" s="3">
        <f t="shared" ca="1" si="153"/>
        <v>0</v>
      </c>
      <c r="H1598" s="3">
        <f t="shared" ca="1" si="154"/>
        <v>2.4219654774155019</v>
      </c>
      <c r="I1598" s="3">
        <f t="shared" ca="1" si="155"/>
        <v>7.7813325938034259</v>
      </c>
      <c r="O1598" s="3">
        <f t="shared" ca="1" si="156"/>
        <v>-13.072788536955342</v>
      </c>
      <c r="P1598" s="3">
        <f t="shared" ca="1" si="157"/>
        <v>1.250022536721171</v>
      </c>
      <c r="Q1598" s="3">
        <f t="shared" ca="1" si="158"/>
        <v>13.132416246611353</v>
      </c>
    </row>
    <row r="1599" spans="7:17" x14ac:dyDescent="0.25">
      <c r="G1599" s="3">
        <f t="shared" ca="1" si="153"/>
        <v>1</v>
      </c>
      <c r="H1599" s="3">
        <f t="shared" ca="1" si="154"/>
        <v>8.6850397380667648</v>
      </c>
      <c r="I1599" s="3">
        <f t="shared" ca="1" si="155"/>
        <v>14.735195738491875</v>
      </c>
      <c r="O1599" s="3">
        <f t="shared" ca="1" si="156"/>
        <v>-9.8839155981586551</v>
      </c>
      <c r="P1599" s="3">
        <f t="shared" ca="1" si="157"/>
        <v>-3.6216633271088434</v>
      </c>
      <c r="Q1599" s="3">
        <f t="shared" ca="1" si="158"/>
        <v>10.52654895046088</v>
      </c>
    </row>
    <row r="1600" spans="7:17" x14ac:dyDescent="0.25">
      <c r="G1600" s="3">
        <f t="shared" ca="1" si="153"/>
        <v>2</v>
      </c>
      <c r="H1600" s="3">
        <f t="shared" ca="1" si="154"/>
        <v>3.3662480733916529</v>
      </c>
      <c r="I1600" s="3">
        <f t="shared" ca="1" si="155"/>
        <v>9.1736689407669019</v>
      </c>
      <c r="O1600" s="3">
        <f t="shared" ca="1" si="156"/>
        <v>-0.4211694203224301</v>
      </c>
      <c r="P1600" s="3">
        <f t="shared" ca="1" si="157"/>
        <v>1.5736965685656306</v>
      </c>
      <c r="Q1600" s="3">
        <f t="shared" ca="1" si="158"/>
        <v>1.6290808974786894</v>
      </c>
    </row>
    <row r="1601" spans="7:17" x14ac:dyDescent="0.25">
      <c r="G1601" s="3">
        <f t="shared" ca="1" si="153"/>
        <v>0</v>
      </c>
      <c r="H1601" s="3">
        <f t="shared" ca="1" si="154"/>
        <v>0.48564068416512324</v>
      </c>
      <c r="I1601" s="3">
        <f t="shared" ca="1" si="155"/>
        <v>3.4843962323662447</v>
      </c>
      <c r="O1601" s="3">
        <f t="shared" ca="1" si="156"/>
        <v>-3.0086486478843759</v>
      </c>
      <c r="P1601" s="3">
        <f t="shared" ca="1" si="157"/>
        <v>-5.1156290791760108</v>
      </c>
      <c r="Q1601" s="3">
        <f t="shared" ca="1" si="158"/>
        <v>5.9347811722192159</v>
      </c>
    </row>
    <row r="1602" spans="7:17" x14ac:dyDescent="0.25">
      <c r="G1602" s="3">
        <f t="shared" ca="1" si="153"/>
        <v>1</v>
      </c>
      <c r="H1602" s="3">
        <f t="shared" ca="1" si="154"/>
        <v>5.6330128622831026</v>
      </c>
      <c r="I1602" s="3">
        <f t="shared" ca="1" si="155"/>
        <v>11.866984518279173</v>
      </c>
      <c r="O1602" s="3">
        <f t="shared" ca="1" si="156"/>
        <v>-8.2538838104543437</v>
      </c>
      <c r="P1602" s="3">
        <f t="shared" ca="1" si="157"/>
        <v>2.9512958298417873</v>
      </c>
      <c r="Q1602" s="3">
        <f t="shared" ca="1" si="158"/>
        <v>8.765657136331642</v>
      </c>
    </row>
    <row r="1603" spans="7:17" x14ac:dyDescent="0.25">
      <c r="G1603" s="3">
        <f t="shared" ca="1" si="153"/>
        <v>0</v>
      </c>
      <c r="H1603" s="3">
        <f t="shared" ca="1" si="154"/>
        <v>0.58330896681813316</v>
      </c>
      <c r="I1603" s="3">
        <f t="shared" ca="1" si="155"/>
        <v>3.8187333201538607</v>
      </c>
      <c r="O1603" s="3">
        <f t="shared" ca="1" si="156"/>
        <v>-2.1827431124471537</v>
      </c>
      <c r="P1603" s="3">
        <f t="shared" ca="1" si="157"/>
        <v>-2.1819992148616407</v>
      </c>
      <c r="Q1603" s="3">
        <f t="shared" ca="1" si="158"/>
        <v>3.0863389425972487</v>
      </c>
    </row>
    <row r="1604" spans="7:17" x14ac:dyDescent="0.25">
      <c r="G1604" s="3">
        <f t="shared" ref="G1604:G1667" ca="1" si="159">VLOOKUP(RAND(),$B$9:$C$169,2,TRUE)</f>
        <v>0</v>
      </c>
      <c r="H1604" s="3">
        <f t="shared" ref="H1604:H1667" ca="1" si="160">_xlfn.CHISQ.INV(RAND(),2*G1604+2)</f>
        <v>0.74275820947311166</v>
      </c>
      <c r="I1604" s="3">
        <f t="shared" ref="I1604:I1667" ca="1" si="161">$C$4*SQRT(H1604)</f>
        <v>4.3091710614488017</v>
      </c>
      <c r="O1604" s="3">
        <f t="shared" ref="O1604:O1667" ca="1" si="162">_xlfn.NORM.INV(RAND(),$C$3*COS($N$2),$C$4)</f>
        <v>-1.7338148439158307</v>
      </c>
      <c r="P1604" s="3">
        <f t="shared" ref="P1604:P1667" ca="1" si="163">_xlfn.NORM.INV(RAND(),$C$3*SIN($N$2),$C$4)</f>
        <v>2.2306994108915124</v>
      </c>
      <c r="Q1604" s="3">
        <f t="shared" ref="Q1604:Q1667" ca="1" si="164">SQRT(O1604^2+P1604^2)</f>
        <v>2.8252670271559497</v>
      </c>
    </row>
    <row r="1605" spans="7:17" x14ac:dyDescent="0.25">
      <c r="G1605" s="3">
        <f t="shared" ca="1" si="159"/>
        <v>0</v>
      </c>
      <c r="H1605" s="3">
        <f t="shared" ca="1" si="160"/>
        <v>6.4423174905243039</v>
      </c>
      <c r="I1605" s="3">
        <f t="shared" ca="1" si="161"/>
        <v>12.690860383090959</v>
      </c>
      <c r="O1605" s="3">
        <f t="shared" ca="1" si="162"/>
        <v>-1.0898567407891702</v>
      </c>
      <c r="P1605" s="3">
        <f t="shared" ca="1" si="163"/>
        <v>-7.1663291113514189</v>
      </c>
      <c r="Q1605" s="3">
        <f t="shared" ca="1" si="164"/>
        <v>7.2487282089788971</v>
      </c>
    </row>
    <row r="1606" spans="7:17" x14ac:dyDescent="0.25">
      <c r="G1606" s="3">
        <f t="shared" ca="1" si="159"/>
        <v>1</v>
      </c>
      <c r="H1606" s="3">
        <f t="shared" ca="1" si="160"/>
        <v>6.678134802227901</v>
      </c>
      <c r="I1606" s="3">
        <f t="shared" ca="1" si="161"/>
        <v>12.921043690650439</v>
      </c>
      <c r="O1606" s="3">
        <f t="shared" ca="1" si="162"/>
        <v>-13.139191043283622</v>
      </c>
      <c r="P1606" s="3">
        <f t="shared" ca="1" si="163"/>
        <v>0.89036006037143256</v>
      </c>
      <c r="Q1606" s="3">
        <f t="shared" ca="1" si="164"/>
        <v>13.169323532703158</v>
      </c>
    </row>
    <row r="1607" spans="7:17" x14ac:dyDescent="0.25">
      <c r="G1607" s="3">
        <f t="shared" ca="1" si="159"/>
        <v>1</v>
      </c>
      <c r="H1607" s="3">
        <f t="shared" ca="1" si="160"/>
        <v>1.0770154158771796</v>
      </c>
      <c r="I1607" s="3">
        <f t="shared" ca="1" si="161"/>
        <v>5.188967661966057</v>
      </c>
      <c r="O1607" s="3">
        <f t="shared" ca="1" si="162"/>
        <v>-8.7821536193726715</v>
      </c>
      <c r="P1607" s="3">
        <f t="shared" ca="1" si="163"/>
        <v>1.8035637710789616</v>
      </c>
      <c r="Q1607" s="3">
        <f t="shared" ca="1" si="164"/>
        <v>8.9654372158087785</v>
      </c>
    </row>
    <row r="1608" spans="7:17" x14ac:dyDescent="0.25">
      <c r="G1608" s="3">
        <f t="shared" ca="1" si="159"/>
        <v>0</v>
      </c>
      <c r="H1608" s="3">
        <f t="shared" ca="1" si="160"/>
        <v>6.4631262664178735</v>
      </c>
      <c r="I1608" s="3">
        <f t="shared" ca="1" si="161"/>
        <v>12.711339687871096</v>
      </c>
      <c r="O1608" s="3">
        <f t="shared" ca="1" si="162"/>
        <v>0.42376100625650093</v>
      </c>
      <c r="P1608" s="3">
        <f t="shared" ca="1" si="163"/>
        <v>-10.011630741162419</v>
      </c>
      <c r="Q1608" s="3">
        <f t="shared" ca="1" si="164"/>
        <v>10.020594966757807</v>
      </c>
    </row>
    <row r="1609" spans="7:17" x14ac:dyDescent="0.25">
      <c r="G1609" s="3">
        <f t="shared" ca="1" si="159"/>
        <v>0</v>
      </c>
      <c r="H1609" s="3">
        <f t="shared" ca="1" si="160"/>
        <v>8.4823009917636529</v>
      </c>
      <c r="I1609" s="3">
        <f t="shared" ca="1" si="161"/>
        <v>14.562195054115</v>
      </c>
      <c r="O1609" s="3">
        <f t="shared" ca="1" si="162"/>
        <v>-21.277972587016411</v>
      </c>
      <c r="P1609" s="3">
        <f t="shared" ca="1" si="163"/>
        <v>6.1261622004936598</v>
      </c>
      <c r="Q1609" s="3">
        <f t="shared" ca="1" si="164"/>
        <v>22.142312000344027</v>
      </c>
    </row>
    <row r="1610" spans="7:17" x14ac:dyDescent="0.25">
      <c r="G1610" s="3">
        <f t="shared" ca="1" si="159"/>
        <v>1</v>
      </c>
      <c r="H1610" s="3">
        <f t="shared" ca="1" si="160"/>
        <v>6.636961640471525</v>
      </c>
      <c r="I1610" s="3">
        <f t="shared" ca="1" si="161"/>
        <v>12.881150609001825</v>
      </c>
      <c r="O1610" s="3">
        <f t="shared" ca="1" si="162"/>
        <v>-7.2894208665277151</v>
      </c>
      <c r="P1610" s="3">
        <f t="shared" ca="1" si="163"/>
        <v>1.4128449127156022</v>
      </c>
      <c r="Q1610" s="3">
        <f t="shared" ca="1" si="164"/>
        <v>7.4250782700760825</v>
      </c>
    </row>
    <row r="1611" spans="7:17" x14ac:dyDescent="0.25">
      <c r="G1611" s="3">
        <f t="shared" ca="1" si="159"/>
        <v>3</v>
      </c>
      <c r="H1611" s="3">
        <f t="shared" ca="1" si="160"/>
        <v>7.2637835119806065</v>
      </c>
      <c r="I1611" s="3">
        <f t="shared" ca="1" si="161"/>
        <v>13.475703610554632</v>
      </c>
      <c r="O1611" s="3">
        <f t="shared" ca="1" si="162"/>
        <v>-3.2705978975331762</v>
      </c>
      <c r="P1611" s="3">
        <f t="shared" ca="1" si="163"/>
        <v>-2.7048258036803383</v>
      </c>
      <c r="Q1611" s="3">
        <f t="shared" ca="1" si="164"/>
        <v>4.2441598975066217</v>
      </c>
    </row>
    <row r="1612" spans="7:17" x14ac:dyDescent="0.25">
      <c r="G1612" s="3">
        <f t="shared" ca="1" si="159"/>
        <v>0</v>
      </c>
      <c r="H1612" s="3">
        <f t="shared" ca="1" si="160"/>
        <v>1.1795702251269076</v>
      </c>
      <c r="I1612" s="3">
        <f t="shared" ca="1" si="161"/>
        <v>5.4304010559232818</v>
      </c>
      <c r="O1612" s="3">
        <f t="shared" ca="1" si="162"/>
        <v>-2.5808564316691287</v>
      </c>
      <c r="P1612" s="3">
        <f t="shared" ca="1" si="163"/>
        <v>1.0735334515212096</v>
      </c>
      <c r="Q1612" s="3">
        <f t="shared" ca="1" si="164"/>
        <v>2.7952270019486698</v>
      </c>
    </row>
    <row r="1613" spans="7:17" x14ac:dyDescent="0.25">
      <c r="G1613" s="3">
        <f t="shared" ca="1" si="159"/>
        <v>0</v>
      </c>
      <c r="H1613" s="3">
        <f t="shared" ca="1" si="160"/>
        <v>1.6489455791468528</v>
      </c>
      <c r="I1613" s="3">
        <f t="shared" ca="1" si="161"/>
        <v>6.4205637975703755</v>
      </c>
      <c r="O1613" s="3">
        <f t="shared" ca="1" si="162"/>
        <v>-0.23277137987989605</v>
      </c>
      <c r="P1613" s="3">
        <f t="shared" ca="1" si="163"/>
        <v>5.634766212361499</v>
      </c>
      <c r="Q1613" s="3">
        <f t="shared" ca="1" si="164"/>
        <v>5.6395720390169632</v>
      </c>
    </row>
    <row r="1614" spans="7:17" x14ac:dyDescent="0.25">
      <c r="G1614" s="3">
        <f t="shared" ca="1" si="159"/>
        <v>0</v>
      </c>
      <c r="H1614" s="3">
        <f t="shared" ca="1" si="160"/>
        <v>3.0967176614805458</v>
      </c>
      <c r="I1614" s="3">
        <f t="shared" ca="1" si="161"/>
        <v>8.7987465889758205</v>
      </c>
      <c r="O1614" s="3">
        <f t="shared" ca="1" si="162"/>
        <v>-3.7158632776758438</v>
      </c>
      <c r="P1614" s="3">
        <f t="shared" ca="1" si="163"/>
        <v>7.1869767825667203</v>
      </c>
      <c r="Q1614" s="3">
        <f t="shared" ca="1" si="164"/>
        <v>8.090752447796989</v>
      </c>
    </row>
    <row r="1615" spans="7:17" x14ac:dyDescent="0.25">
      <c r="G1615" s="3">
        <f t="shared" ca="1" si="159"/>
        <v>1</v>
      </c>
      <c r="H1615" s="3">
        <f t="shared" ca="1" si="160"/>
        <v>3.7488633152277324</v>
      </c>
      <c r="I1615" s="3">
        <f t="shared" ca="1" si="161"/>
        <v>9.6809908005685728</v>
      </c>
      <c r="O1615" s="3">
        <f t="shared" ca="1" si="162"/>
        <v>-3.2608570042953224</v>
      </c>
      <c r="P1615" s="3">
        <f t="shared" ca="1" si="163"/>
        <v>-1.9522680042039482</v>
      </c>
      <c r="Q1615" s="3">
        <f t="shared" ca="1" si="164"/>
        <v>3.8005971586976082</v>
      </c>
    </row>
    <row r="1616" spans="7:17" x14ac:dyDescent="0.25">
      <c r="G1616" s="3">
        <f t="shared" ca="1" si="159"/>
        <v>1</v>
      </c>
      <c r="H1616" s="3">
        <f t="shared" ca="1" si="160"/>
        <v>2.0157037597502319</v>
      </c>
      <c r="I1616" s="3">
        <f t="shared" ca="1" si="161"/>
        <v>7.0987741190825195</v>
      </c>
      <c r="O1616" s="3">
        <f t="shared" ca="1" si="162"/>
        <v>-5.4957441273285426</v>
      </c>
      <c r="P1616" s="3">
        <f t="shared" ca="1" si="163"/>
        <v>-3.1800396292737698</v>
      </c>
      <c r="Q1616" s="3">
        <f t="shared" ca="1" si="164"/>
        <v>6.3494767939427748</v>
      </c>
    </row>
    <row r="1617" spans="7:17" x14ac:dyDescent="0.25">
      <c r="G1617" s="3">
        <f t="shared" ca="1" si="159"/>
        <v>2</v>
      </c>
      <c r="H1617" s="3">
        <f t="shared" ca="1" si="160"/>
        <v>3.6323721553432202</v>
      </c>
      <c r="I1617" s="3">
        <f t="shared" ca="1" si="161"/>
        <v>9.5293915799268376</v>
      </c>
      <c r="O1617" s="3">
        <f t="shared" ca="1" si="162"/>
        <v>-15.23432785794526</v>
      </c>
      <c r="P1617" s="3">
        <f t="shared" ca="1" si="163"/>
        <v>-4.1104718755365885</v>
      </c>
      <c r="Q1617" s="3">
        <f t="shared" ca="1" si="164"/>
        <v>15.779123053038921</v>
      </c>
    </row>
    <row r="1618" spans="7:17" x14ac:dyDescent="0.25">
      <c r="G1618" s="3">
        <f t="shared" ca="1" si="159"/>
        <v>0</v>
      </c>
      <c r="H1618" s="3">
        <f t="shared" ca="1" si="160"/>
        <v>0.5707868445516675</v>
      </c>
      <c r="I1618" s="3">
        <f t="shared" ca="1" si="161"/>
        <v>3.777521821749239</v>
      </c>
      <c r="O1618" s="3">
        <f t="shared" ca="1" si="162"/>
        <v>-8.9077965204308072</v>
      </c>
      <c r="P1618" s="3">
        <f t="shared" ca="1" si="163"/>
        <v>0.63734432104248917</v>
      </c>
      <c r="Q1618" s="3">
        <f t="shared" ca="1" si="164"/>
        <v>8.9305681024761405</v>
      </c>
    </row>
    <row r="1619" spans="7:17" x14ac:dyDescent="0.25">
      <c r="G1619" s="3">
        <f t="shared" ca="1" si="159"/>
        <v>0</v>
      </c>
      <c r="H1619" s="3">
        <f t="shared" ca="1" si="160"/>
        <v>3.4234026846714318</v>
      </c>
      <c r="I1619" s="3">
        <f t="shared" ca="1" si="161"/>
        <v>9.2512197637276898</v>
      </c>
      <c r="O1619" s="3">
        <f t="shared" ca="1" si="162"/>
        <v>-8.7092182644593397</v>
      </c>
      <c r="P1619" s="3">
        <f t="shared" ca="1" si="163"/>
        <v>-1.9612021979892238</v>
      </c>
      <c r="Q1619" s="3">
        <f t="shared" ca="1" si="164"/>
        <v>8.9273062476533163</v>
      </c>
    </row>
    <row r="1620" spans="7:17" x14ac:dyDescent="0.25">
      <c r="G1620" s="3">
        <f t="shared" ca="1" si="159"/>
        <v>0</v>
      </c>
      <c r="H1620" s="3">
        <f t="shared" ca="1" si="160"/>
        <v>9.5120477203900435</v>
      </c>
      <c r="I1620" s="3">
        <f t="shared" ca="1" si="161"/>
        <v>15.420803902836944</v>
      </c>
      <c r="O1620" s="3">
        <f t="shared" ca="1" si="162"/>
        <v>-2.9018487795359476</v>
      </c>
      <c r="P1620" s="3">
        <f t="shared" ca="1" si="163"/>
        <v>7.5413403486264849</v>
      </c>
      <c r="Q1620" s="3">
        <f t="shared" ca="1" si="164"/>
        <v>8.0803799782631565</v>
      </c>
    </row>
    <row r="1621" spans="7:17" x14ac:dyDescent="0.25">
      <c r="G1621" s="3">
        <f t="shared" ca="1" si="159"/>
        <v>0</v>
      </c>
      <c r="H1621" s="3">
        <f t="shared" ca="1" si="160"/>
        <v>0.57757446930591072</v>
      </c>
      <c r="I1621" s="3">
        <f t="shared" ca="1" si="161"/>
        <v>3.7999160165255979</v>
      </c>
      <c r="O1621" s="3">
        <f t="shared" ca="1" si="162"/>
        <v>-7.12319296426754</v>
      </c>
      <c r="P1621" s="3">
        <f t="shared" ca="1" si="163"/>
        <v>-2.1657638537935511</v>
      </c>
      <c r="Q1621" s="3">
        <f t="shared" ca="1" si="164"/>
        <v>7.4451602451921266</v>
      </c>
    </row>
    <row r="1622" spans="7:17" x14ac:dyDescent="0.25">
      <c r="G1622" s="3">
        <f t="shared" ca="1" si="159"/>
        <v>0</v>
      </c>
      <c r="H1622" s="3">
        <f t="shared" ca="1" si="160"/>
        <v>0.32037386571323534</v>
      </c>
      <c r="I1622" s="3">
        <f t="shared" ca="1" si="161"/>
        <v>2.8300789110607649</v>
      </c>
      <c r="O1622" s="3">
        <f t="shared" ca="1" si="162"/>
        <v>-1.8029706494908511</v>
      </c>
      <c r="P1622" s="3">
        <f t="shared" ca="1" si="163"/>
        <v>1.9107083481830875</v>
      </c>
      <c r="Q1622" s="3">
        <f t="shared" ca="1" si="164"/>
        <v>2.6270724304331625</v>
      </c>
    </row>
    <row r="1623" spans="7:17" x14ac:dyDescent="0.25">
      <c r="G1623" s="3">
        <f t="shared" ca="1" si="159"/>
        <v>0</v>
      </c>
      <c r="H1623" s="3">
        <f t="shared" ca="1" si="160"/>
        <v>0.5618373815189156</v>
      </c>
      <c r="I1623" s="3">
        <f t="shared" ca="1" si="161"/>
        <v>3.7477906208822405</v>
      </c>
      <c r="O1623" s="3">
        <f t="shared" ca="1" si="162"/>
        <v>3.679320697107336</v>
      </c>
      <c r="P1623" s="3">
        <f t="shared" ca="1" si="163"/>
        <v>3.3568541265990879</v>
      </c>
      <c r="Q1623" s="3">
        <f t="shared" ca="1" si="164"/>
        <v>4.9805492086142209</v>
      </c>
    </row>
    <row r="1624" spans="7:17" x14ac:dyDescent="0.25">
      <c r="G1624" s="3">
        <f t="shared" ca="1" si="159"/>
        <v>0</v>
      </c>
      <c r="H1624" s="3">
        <f t="shared" ca="1" si="160"/>
        <v>1.2609497592944807</v>
      </c>
      <c r="I1624" s="3">
        <f t="shared" ca="1" si="161"/>
        <v>5.6146009637695551</v>
      </c>
      <c r="O1624" s="3">
        <f t="shared" ca="1" si="162"/>
        <v>-3.6855939887462239</v>
      </c>
      <c r="P1624" s="3">
        <f t="shared" ca="1" si="163"/>
        <v>1.963871723328716</v>
      </c>
      <c r="Q1624" s="3">
        <f t="shared" ca="1" si="164"/>
        <v>4.176169919384555</v>
      </c>
    </row>
    <row r="1625" spans="7:17" x14ac:dyDescent="0.25">
      <c r="G1625" s="3">
        <f t="shared" ca="1" si="159"/>
        <v>0</v>
      </c>
      <c r="H1625" s="3">
        <f t="shared" ca="1" si="160"/>
        <v>3.209896433790884E-2</v>
      </c>
      <c r="I1625" s="3">
        <f t="shared" ca="1" si="161"/>
        <v>0.89580919198662001</v>
      </c>
      <c r="O1625" s="3">
        <f t="shared" ca="1" si="162"/>
        <v>0.21898924325402014</v>
      </c>
      <c r="P1625" s="3">
        <f t="shared" ca="1" si="163"/>
        <v>2.0221249127327847</v>
      </c>
      <c r="Q1625" s="3">
        <f t="shared" ca="1" si="164"/>
        <v>2.0339482420542416</v>
      </c>
    </row>
    <row r="1626" spans="7:17" x14ac:dyDescent="0.25">
      <c r="G1626" s="3">
        <f t="shared" ca="1" si="159"/>
        <v>0</v>
      </c>
      <c r="H1626" s="3">
        <f t="shared" ca="1" si="160"/>
        <v>2.0408618331745645</v>
      </c>
      <c r="I1626" s="3">
        <f t="shared" ca="1" si="161"/>
        <v>7.1429367790401246</v>
      </c>
      <c r="O1626" s="3">
        <f t="shared" ca="1" si="162"/>
        <v>-9.2957901351545953</v>
      </c>
      <c r="P1626" s="3">
        <f t="shared" ca="1" si="163"/>
        <v>4.1166276339664769</v>
      </c>
      <c r="Q1626" s="3">
        <f t="shared" ca="1" si="164"/>
        <v>10.166530249479116</v>
      </c>
    </row>
    <row r="1627" spans="7:17" x14ac:dyDescent="0.25">
      <c r="G1627" s="3">
        <f t="shared" ca="1" si="159"/>
        <v>1</v>
      </c>
      <c r="H1627" s="3">
        <f t="shared" ca="1" si="160"/>
        <v>1.2679285931836595</v>
      </c>
      <c r="I1627" s="3">
        <f t="shared" ca="1" si="161"/>
        <v>5.6301167687350393</v>
      </c>
      <c r="O1627" s="3">
        <f t="shared" ca="1" si="162"/>
        <v>-7.8019375910369977</v>
      </c>
      <c r="P1627" s="3">
        <f t="shared" ca="1" si="163"/>
        <v>0.63421206705818911</v>
      </c>
      <c r="Q1627" s="3">
        <f t="shared" ca="1" si="164"/>
        <v>7.8276723948079487</v>
      </c>
    </row>
    <row r="1628" spans="7:17" x14ac:dyDescent="0.25">
      <c r="G1628" s="3">
        <f t="shared" ca="1" si="159"/>
        <v>1</v>
      </c>
      <c r="H1628" s="3">
        <f t="shared" ca="1" si="160"/>
        <v>2.0558795124764679</v>
      </c>
      <c r="I1628" s="3">
        <f t="shared" ca="1" si="161"/>
        <v>7.1691692553539079</v>
      </c>
      <c r="O1628" s="3">
        <f t="shared" ca="1" si="162"/>
        <v>7.9748180140314702</v>
      </c>
      <c r="P1628" s="3">
        <f t="shared" ca="1" si="163"/>
        <v>5.9549016301583766</v>
      </c>
      <c r="Q1628" s="3">
        <f t="shared" ca="1" si="164"/>
        <v>9.9528174795775151</v>
      </c>
    </row>
    <row r="1629" spans="7:17" x14ac:dyDescent="0.25">
      <c r="G1629" s="3">
        <f t="shared" ca="1" si="159"/>
        <v>0</v>
      </c>
      <c r="H1629" s="3">
        <f t="shared" ca="1" si="160"/>
        <v>0.9178871818917802</v>
      </c>
      <c r="I1629" s="3">
        <f t="shared" ca="1" si="161"/>
        <v>4.7903214450905596</v>
      </c>
      <c r="O1629" s="3">
        <f t="shared" ca="1" si="162"/>
        <v>-4.7568962304841191</v>
      </c>
      <c r="P1629" s="3">
        <f t="shared" ca="1" si="163"/>
        <v>0.82569720981659844</v>
      </c>
      <c r="Q1629" s="3">
        <f t="shared" ca="1" si="164"/>
        <v>4.8280262664874698</v>
      </c>
    </row>
    <row r="1630" spans="7:17" x14ac:dyDescent="0.25">
      <c r="G1630" s="3">
        <f t="shared" ca="1" si="159"/>
        <v>1</v>
      </c>
      <c r="H1630" s="3">
        <f t="shared" ca="1" si="160"/>
        <v>6.5843454050314172</v>
      </c>
      <c r="I1630" s="3">
        <f t="shared" ca="1" si="161"/>
        <v>12.829989677540096</v>
      </c>
      <c r="O1630" s="3">
        <f t="shared" ca="1" si="162"/>
        <v>0.92393563804145806</v>
      </c>
      <c r="P1630" s="3">
        <f t="shared" ca="1" si="163"/>
        <v>-4.441531668559076</v>
      </c>
      <c r="Q1630" s="3">
        <f t="shared" ca="1" si="164"/>
        <v>4.5366133432392326</v>
      </c>
    </row>
    <row r="1631" spans="7:17" x14ac:dyDescent="0.25">
      <c r="G1631" s="3">
        <f t="shared" ca="1" si="159"/>
        <v>0</v>
      </c>
      <c r="H1631" s="3">
        <f t="shared" ca="1" si="160"/>
        <v>2.3560558803482574</v>
      </c>
      <c r="I1631" s="3">
        <f t="shared" ca="1" si="161"/>
        <v>7.6747245558851453</v>
      </c>
      <c r="O1631" s="3">
        <f t="shared" ca="1" si="162"/>
        <v>-0.17569672819584881</v>
      </c>
      <c r="P1631" s="3">
        <f t="shared" ca="1" si="163"/>
        <v>-4.9722551610534991</v>
      </c>
      <c r="Q1631" s="3">
        <f t="shared" ca="1" si="164"/>
        <v>4.9753583516086444</v>
      </c>
    </row>
    <row r="1632" spans="7:17" x14ac:dyDescent="0.25">
      <c r="G1632" s="3">
        <f t="shared" ca="1" si="159"/>
        <v>0</v>
      </c>
      <c r="H1632" s="3">
        <f t="shared" ca="1" si="160"/>
        <v>1.9992891643232207</v>
      </c>
      <c r="I1632" s="3">
        <f t="shared" ca="1" si="161"/>
        <v>7.0698111083734414</v>
      </c>
      <c r="O1632" s="3">
        <f t="shared" ca="1" si="162"/>
        <v>-6.5771864616128086</v>
      </c>
      <c r="P1632" s="3">
        <f t="shared" ca="1" si="163"/>
        <v>7.7795332346831154</v>
      </c>
      <c r="Q1632" s="3">
        <f t="shared" ca="1" si="164"/>
        <v>10.187272407291461</v>
      </c>
    </row>
    <row r="1633" spans="7:17" x14ac:dyDescent="0.25">
      <c r="G1633" s="3">
        <f t="shared" ca="1" si="159"/>
        <v>2</v>
      </c>
      <c r="H1633" s="3">
        <f t="shared" ca="1" si="160"/>
        <v>17.330677129797873</v>
      </c>
      <c r="I1633" s="3">
        <f t="shared" ca="1" si="161"/>
        <v>20.815064934920255</v>
      </c>
      <c r="O1633" s="3">
        <f t="shared" ca="1" si="162"/>
        <v>-7.6086666132644005</v>
      </c>
      <c r="P1633" s="3">
        <f t="shared" ca="1" si="163"/>
        <v>-6.7822624482229612</v>
      </c>
      <c r="Q1633" s="3">
        <f t="shared" ca="1" si="164"/>
        <v>10.192688141426661</v>
      </c>
    </row>
    <row r="1634" spans="7:17" x14ac:dyDescent="0.25">
      <c r="G1634" s="3">
        <f t="shared" ca="1" si="159"/>
        <v>0</v>
      </c>
      <c r="H1634" s="3">
        <f t="shared" ca="1" si="160"/>
        <v>1.1763472967179349</v>
      </c>
      <c r="I1634" s="3">
        <f t="shared" ca="1" si="161"/>
        <v>5.4229772651144659</v>
      </c>
      <c r="O1634" s="3">
        <f t="shared" ca="1" si="162"/>
        <v>3.5982492384987754</v>
      </c>
      <c r="P1634" s="3">
        <f t="shared" ca="1" si="163"/>
        <v>-7.0446975648564294</v>
      </c>
      <c r="Q1634" s="3">
        <f t="shared" ca="1" si="164"/>
        <v>7.9104463440852131</v>
      </c>
    </row>
    <row r="1635" spans="7:17" x14ac:dyDescent="0.25">
      <c r="G1635" s="3">
        <f t="shared" ca="1" si="159"/>
        <v>0</v>
      </c>
      <c r="H1635" s="3">
        <f t="shared" ca="1" si="160"/>
        <v>2.0905305907481839</v>
      </c>
      <c r="I1635" s="3">
        <f t="shared" ca="1" si="161"/>
        <v>7.2293336324107083</v>
      </c>
      <c r="O1635" s="3">
        <f t="shared" ca="1" si="162"/>
        <v>-5.1843496526628803</v>
      </c>
      <c r="P1635" s="3">
        <f t="shared" ca="1" si="163"/>
        <v>-1.6891114037051025</v>
      </c>
      <c r="Q1635" s="3">
        <f t="shared" ca="1" si="164"/>
        <v>5.4525754149018741</v>
      </c>
    </row>
    <row r="1636" spans="7:17" x14ac:dyDescent="0.25">
      <c r="G1636" s="3">
        <f t="shared" ca="1" si="159"/>
        <v>0</v>
      </c>
      <c r="H1636" s="3">
        <f t="shared" ca="1" si="160"/>
        <v>0.61176433194133084</v>
      </c>
      <c r="I1636" s="3">
        <f t="shared" ca="1" si="161"/>
        <v>3.910768249146614</v>
      </c>
      <c r="O1636" s="3">
        <f t="shared" ca="1" si="162"/>
        <v>-8.9894700308860322</v>
      </c>
      <c r="P1636" s="3">
        <f t="shared" ca="1" si="163"/>
        <v>3.6304117321458942</v>
      </c>
      <c r="Q1636" s="3">
        <f t="shared" ca="1" si="164"/>
        <v>9.6948677546989082</v>
      </c>
    </row>
    <row r="1637" spans="7:17" x14ac:dyDescent="0.25">
      <c r="G1637" s="3">
        <f t="shared" ca="1" si="159"/>
        <v>2</v>
      </c>
      <c r="H1637" s="3">
        <f t="shared" ca="1" si="160"/>
        <v>18.15080277608002</v>
      </c>
      <c r="I1637" s="3">
        <f t="shared" ca="1" si="161"/>
        <v>21.301879480505953</v>
      </c>
      <c r="O1637" s="3">
        <f t="shared" ca="1" si="162"/>
        <v>0.31512690172277313</v>
      </c>
      <c r="P1637" s="3">
        <f t="shared" ca="1" si="163"/>
        <v>0.13565756960855033</v>
      </c>
      <c r="Q1637" s="3">
        <f t="shared" ca="1" si="164"/>
        <v>0.3430859081651314</v>
      </c>
    </row>
    <row r="1638" spans="7:17" x14ac:dyDescent="0.25">
      <c r="G1638" s="3">
        <f t="shared" ca="1" si="159"/>
        <v>0</v>
      </c>
      <c r="H1638" s="3">
        <f t="shared" ca="1" si="160"/>
        <v>0.3889327715945351</v>
      </c>
      <c r="I1638" s="3">
        <f t="shared" ca="1" si="161"/>
        <v>3.1182237395452201</v>
      </c>
      <c r="O1638" s="3">
        <f t="shared" ca="1" si="162"/>
        <v>-6.4396968425707115</v>
      </c>
      <c r="P1638" s="3">
        <f t="shared" ca="1" si="163"/>
        <v>-0.73207027406552194</v>
      </c>
      <c r="Q1638" s="3">
        <f t="shared" ca="1" si="164"/>
        <v>6.4811744545557142</v>
      </c>
    </row>
    <row r="1639" spans="7:17" x14ac:dyDescent="0.25">
      <c r="G1639" s="3">
        <f t="shared" ca="1" si="159"/>
        <v>0</v>
      </c>
      <c r="H1639" s="3">
        <f t="shared" ca="1" si="160"/>
        <v>1.0280135520600246</v>
      </c>
      <c r="I1639" s="3">
        <f t="shared" ca="1" si="161"/>
        <v>5.069550157706364</v>
      </c>
      <c r="O1639" s="3">
        <f t="shared" ca="1" si="162"/>
        <v>-16.625514302552521</v>
      </c>
      <c r="P1639" s="3">
        <f t="shared" ca="1" si="163"/>
        <v>-0.55577913639117582</v>
      </c>
      <c r="Q1639" s="3">
        <f t="shared" ca="1" si="164"/>
        <v>16.634801359584252</v>
      </c>
    </row>
    <row r="1640" spans="7:17" x14ac:dyDescent="0.25">
      <c r="G1640" s="3">
        <f t="shared" ca="1" si="159"/>
        <v>1</v>
      </c>
      <c r="H1640" s="3">
        <f t="shared" ca="1" si="160"/>
        <v>4.179307785420443</v>
      </c>
      <c r="I1640" s="3">
        <f t="shared" ca="1" si="161"/>
        <v>10.221677682039827</v>
      </c>
      <c r="O1640" s="3">
        <f t="shared" ca="1" si="162"/>
        <v>-1.6831480626591917</v>
      </c>
      <c r="P1640" s="3">
        <f t="shared" ca="1" si="163"/>
        <v>6.8537346847641256</v>
      </c>
      <c r="Q1640" s="3">
        <f t="shared" ca="1" si="164"/>
        <v>7.0573838304269803</v>
      </c>
    </row>
    <row r="1641" spans="7:17" x14ac:dyDescent="0.25">
      <c r="G1641" s="3">
        <f t="shared" ca="1" si="159"/>
        <v>1</v>
      </c>
      <c r="H1641" s="3">
        <f t="shared" ca="1" si="160"/>
        <v>4.623652497064179</v>
      </c>
      <c r="I1641" s="3">
        <f t="shared" ca="1" si="161"/>
        <v>10.751340029345386</v>
      </c>
      <c r="O1641" s="3">
        <f t="shared" ca="1" si="162"/>
        <v>-10.013773595535167</v>
      </c>
      <c r="P1641" s="3">
        <f t="shared" ca="1" si="163"/>
        <v>4.0309861440536681</v>
      </c>
      <c r="Q1641" s="3">
        <f t="shared" ca="1" si="164"/>
        <v>10.79465195901146</v>
      </c>
    </row>
    <row r="1642" spans="7:17" x14ac:dyDescent="0.25">
      <c r="G1642" s="3">
        <f t="shared" ca="1" si="159"/>
        <v>2</v>
      </c>
      <c r="H1642" s="3">
        <f t="shared" ca="1" si="160"/>
        <v>8.0042577107527855</v>
      </c>
      <c r="I1642" s="3">
        <f t="shared" ca="1" si="161"/>
        <v>14.145898443323407</v>
      </c>
      <c r="O1642" s="3">
        <f t="shared" ca="1" si="162"/>
        <v>-10.383808200322242</v>
      </c>
      <c r="P1642" s="3">
        <f t="shared" ca="1" si="163"/>
        <v>-0.43550263324140714</v>
      </c>
      <c r="Q1642" s="3">
        <f t="shared" ca="1" si="164"/>
        <v>10.392936797875739</v>
      </c>
    </row>
    <row r="1643" spans="7:17" x14ac:dyDescent="0.25">
      <c r="G1643" s="3">
        <f t="shared" ca="1" si="159"/>
        <v>1</v>
      </c>
      <c r="H1643" s="3">
        <f t="shared" ca="1" si="160"/>
        <v>2.2898214344380552</v>
      </c>
      <c r="I1643" s="3">
        <f t="shared" ca="1" si="161"/>
        <v>7.5660779708479993</v>
      </c>
      <c r="O1643" s="3">
        <f t="shared" ca="1" si="162"/>
        <v>-5.8311671289213596</v>
      </c>
      <c r="P1643" s="3">
        <f t="shared" ca="1" si="163"/>
        <v>-1.311543397443667</v>
      </c>
      <c r="Q1643" s="3">
        <f t="shared" ca="1" si="164"/>
        <v>5.9768433281115083</v>
      </c>
    </row>
    <row r="1644" spans="7:17" x14ac:dyDescent="0.25">
      <c r="G1644" s="3">
        <f t="shared" ca="1" si="159"/>
        <v>1</v>
      </c>
      <c r="H1644" s="3">
        <f t="shared" ca="1" si="160"/>
        <v>4.978462433226583</v>
      </c>
      <c r="I1644" s="3">
        <f t="shared" ca="1" si="161"/>
        <v>11.156234168870094</v>
      </c>
      <c r="O1644" s="3">
        <f t="shared" ca="1" si="162"/>
        <v>-11.34378779282685</v>
      </c>
      <c r="P1644" s="3">
        <f t="shared" ca="1" si="163"/>
        <v>2.5382328822995599</v>
      </c>
      <c r="Q1644" s="3">
        <f t="shared" ca="1" si="164"/>
        <v>11.62429127531972</v>
      </c>
    </row>
    <row r="1645" spans="7:17" x14ac:dyDescent="0.25">
      <c r="G1645" s="3">
        <f t="shared" ca="1" si="159"/>
        <v>0</v>
      </c>
      <c r="H1645" s="3">
        <f t="shared" ca="1" si="160"/>
        <v>1.8089331945684284</v>
      </c>
      <c r="I1645" s="3">
        <f t="shared" ca="1" si="161"/>
        <v>6.7248293557688665</v>
      </c>
      <c r="O1645" s="3">
        <f t="shared" ca="1" si="162"/>
        <v>-2.8895461136534681</v>
      </c>
      <c r="P1645" s="3">
        <f t="shared" ca="1" si="163"/>
        <v>-1.7295120135084845</v>
      </c>
      <c r="Q1645" s="3">
        <f t="shared" ca="1" si="164"/>
        <v>3.3675938810670196</v>
      </c>
    </row>
    <row r="1646" spans="7:17" x14ac:dyDescent="0.25">
      <c r="G1646" s="3">
        <f t="shared" ca="1" si="159"/>
        <v>0</v>
      </c>
      <c r="H1646" s="3">
        <f t="shared" ca="1" si="160"/>
        <v>0.32393597584243883</v>
      </c>
      <c r="I1646" s="3">
        <f t="shared" ca="1" si="161"/>
        <v>2.8457686828097906</v>
      </c>
      <c r="O1646" s="3">
        <f t="shared" ca="1" si="162"/>
        <v>-5.6717766081489804</v>
      </c>
      <c r="P1646" s="3">
        <f t="shared" ca="1" si="163"/>
        <v>3.0219345509587083</v>
      </c>
      <c r="Q1646" s="3">
        <f t="shared" ca="1" si="164"/>
        <v>6.4265961692815248</v>
      </c>
    </row>
    <row r="1647" spans="7:17" x14ac:dyDescent="0.25">
      <c r="G1647" s="3">
        <f t="shared" ca="1" si="159"/>
        <v>1</v>
      </c>
      <c r="H1647" s="3">
        <f t="shared" ca="1" si="160"/>
        <v>1.7588660380757726</v>
      </c>
      <c r="I1647" s="3">
        <f t="shared" ca="1" si="161"/>
        <v>6.6311123464992141</v>
      </c>
      <c r="O1647" s="3">
        <f t="shared" ca="1" si="162"/>
        <v>-2.8048436700502437</v>
      </c>
      <c r="P1647" s="3">
        <f t="shared" ca="1" si="163"/>
        <v>2.3572472854237563</v>
      </c>
      <c r="Q1647" s="3">
        <f t="shared" ca="1" si="164"/>
        <v>3.6638453540042581</v>
      </c>
    </row>
    <row r="1648" spans="7:17" x14ac:dyDescent="0.25">
      <c r="G1648" s="3">
        <f t="shared" ca="1" si="159"/>
        <v>0</v>
      </c>
      <c r="H1648" s="3">
        <f t="shared" ca="1" si="160"/>
        <v>0.20116865132056955</v>
      </c>
      <c r="I1648" s="3">
        <f t="shared" ca="1" si="161"/>
        <v>2.2425914213280667</v>
      </c>
      <c r="O1648" s="3">
        <f t="shared" ca="1" si="162"/>
        <v>-8.8641784601225933</v>
      </c>
      <c r="P1648" s="3">
        <f t="shared" ca="1" si="163"/>
        <v>6.3731177844277864</v>
      </c>
      <c r="Q1648" s="3">
        <f t="shared" ca="1" si="164"/>
        <v>10.917430561587791</v>
      </c>
    </row>
    <row r="1649" spans="7:17" x14ac:dyDescent="0.25">
      <c r="G1649" s="3">
        <f t="shared" ca="1" si="159"/>
        <v>0</v>
      </c>
      <c r="H1649" s="3">
        <f t="shared" ca="1" si="160"/>
        <v>3.6657903589744736</v>
      </c>
      <c r="I1649" s="3">
        <f t="shared" ca="1" si="161"/>
        <v>9.5731269172805717</v>
      </c>
      <c r="O1649" s="3">
        <f t="shared" ca="1" si="162"/>
        <v>-1.0908932171905721</v>
      </c>
      <c r="P1649" s="3">
        <f t="shared" ca="1" si="163"/>
        <v>1.2175419056322461</v>
      </c>
      <c r="Q1649" s="3">
        <f t="shared" ca="1" si="164"/>
        <v>1.6347649076497202</v>
      </c>
    </row>
    <row r="1650" spans="7:17" x14ac:dyDescent="0.25">
      <c r="G1650" s="3">
        <f t="shared" ca="1" si="159"/>
        <v>1</v>
      </c>
      <c r="H1650" s="3">
        <f t="shared" ca="1" si="160"/>
        <v>1.5409036592660144</v>
      </c>
      <c r="I1650" s="3">
        <f t="shared" ca="1" si="161"/>
        <v>6.20665702948458</v>
      </c>
      <c r="O1650" s="3">
        <f t="shared" ca="1" si="162"/>
        <v>-2.1834596127408545</v>
      </c>
      <c r="P1650" s="3">
        <f t="shared" ca="1" si="163"/>
        <v>2.7045343674638684</v>
      </c>
      <c r="Q1650" s="3">
        <f t="shared" ca="1" si="164"/>
        <v>3.475917436485457</v>
      </c>
    </row>
    <row r="1651" spans="7:17" x14ac:dyDescent="0.25">
      <c r="G1651" s="3">
        <f t="shared" ca="1" si="159"/>
        <v>1</v>
      </c>
      <c r="H1651" s="3">
        <f t="shared" ca="1" si="160"/>
        <v>8.9155093391499758</v>
      </c>
      <c r="I1651" s="3">
        <f t="shared" ca="1" si="161"/>
        <v>14.929425088688092</v>
      </c>
      <c r="O1651" s="3">
        <f t="shared" ca="1" si="162"/>
        <v>-12.792948896176371</v>
      </c>
      <c r="P1651" s="3">
        <f t="shared" ca="1" si="163"/>
        <v>-3.7307373762144946</v>
      </c>
      <c r="Q1651" s="3">
        <f t="shared" ca="1" si="164"/>
        <v>13.325837415729792</v>
      </c>
    </row>
    <row r="1652" spans="7:17" x14ac:dyDescent="0.25">
      <c r="G1652" s="3">
        <f t="shared" ca="1" si="159"/>
        <v>0</v>
      </c>
      <c r="H1652" s="3">
        <f t="shared" ca="1" si="160"/>
        <v>1.8562640078522328</v>
      </c>
      <c r="I1652" s="3">
        <f t="shared" ca="1" si="161"/>
        <v>6.8122390002337578</v>
      </c>
      <c r="O1652" s="3">
        <f t="shared" ca="1" si="162"/>
        <v>-19.392416411588528</v>
      </c>
      <c r="P1652" s="3">
        <f t="shared" ca="1" si="163"/>
        <v>2.8762155455715557</v>
      </c>
      <c r="Q1652" s="3">
        <f t="shared" ca="1" si="164"/>
        <v>19.604551260996399</v>
      </c>
    </row>
    <row r="1653" spans="7:17" x14ac:dyDescent="0.25">
      <c r="G1653" s="3">
        <f t="shared" ca="1" si="159"/>
        <v>0</v>
      </c>
      <c r="H1653" s="3">
        <f t="shared" ca="1" si="160"/>
        <v>0.88020331208624891</v>
      </c>
      <c r="I1653" s="3">
        <f t="shared" ca="1" si="161"/>
        <v>4.6909575570619078</v>
      </c>
      <c r="O1653" s="3">
        <f t="shared" ca="1" si="162"/>
        <v>-1.3164093701591302</v>
      </c>
      <c r="P1653" s="3">
        <f t="shared" ca="1" si="163"/>
        <v>3.4607758996832914</v>
      </c>
      <c r="Q1653" s="3">
        <f t="shared" ca="1" si="164"/>
        <v>3.7026886795505036</v>
      </c>
    </row>
    <row r="1654" spans="7:17" x14ac:dyDescent="0.25">
      <c r="G1654" s="3">
        <f t="shared" ca="1" si="159"/>
        <v>1</v>
      </c>
      <c r="H1654" s="3">
        <f t="shared" ca="1" si="160"/>
        <v>2.6816617531348728</v>
      </c>
      <c r="I1654" s="3">
        <f t="shared" ca="1" si="161"/>
        <v>8.1878900718299725</v>
      </c>
      <c r="O1654" s="3">
        <f t="shared" ca="1" si="162"/>
        <v>-1.8215786694359726</v>
      </c>
      <c r="P1654" s="3">
        <f t="shared" ca="1" si="163"/>
        <v>6.0612939311711695</v>
      </c>
      <c r="Q1654" s="3">
        <f t="shared" ca="1" si="164"/>
        <v>6.3290941665452083</v>
      </c>
    </row>
    <row r="1655" spans="7:17" x14ac:dyDescent="0.25">
      <c r="G1655" s="3">
        <f t="shared" ca="1" si="159"/>
        <v>0</v>
      </c>
      <c r="H1655" s="3">
        <f t="shared" ca="1" si="160"/>
        <v>2.1471161411841879</v>
      </c>
      <c r="I1655" s="3">
        <f t="shared" ca="1" si="161"/>
        <v>7.3265205609214457</v>
      </c>
      <c r="O1655" s="3">
        <f t="shared" ca="1" si="162"/>
        <v>-2.2867963519700258</v>
      </c>
      <c r="P1655" s="3">
        <f t="shared" ca="1" si="163"/>
        <v>1.9084166622088699</v>
      </c>
      <c r="Q1655" s="3">
        <f t="shared" ca="1" si="164"/>
        <v>2.9785049457705894</v>
      </c>
    </row>
    <row r="1656" spans="7:17" x14ac:dyDescent="0.25">
      <c r="G1656" s="3">
        <f t="shared" ca="1" si="159"/>
        <v>0</v>
      </c>
      <c r="H1656" s="3">
        <f t="shared" ca="1" si="160"/>
        <v>0.52064587876391899</v>
      </c>
      <c r="I1656" s="3">
        <f t="shared" ca="1" si="161"/>
        <v>3.6077897623195803</v>
      </c>
      <c r="O1656" s="3">
        <f t="shared" ca="1" si="162"/>
        <v>-3.4143642466116697</v>
      </c>
      <c r="P1656" s="3">
        <f t="shared" ca="1" si="163"/>
        <v>6.1314364987124677</v>
      </c>
      <c r="Q1656" s="3">
        <f t="shared" ca="1" si="164"/>
        <v>7.0180051828338996</v>
      </c>
    </row>
    <row r="1657" spans="7:17" x14ac:dyDescent="0.25">
      <c r="G1657" s="3">
        <f t="shared" ca="1" si="159"/>
        <v>0</v>
      </c>
      <c r="H1657" s="3">
        <f t="shared" ca="1" si="160"/>
        <v>0.24427719194295422</v>
      </c>
      <c r="I1657" s="3">
        <f t="shared" ca="1" si="161"/>
        <v>2.4712203055522703</v>
      </c>
      <c r="O1657" s="3">
        <f t="shared" ca="1" si="162"/>
        <v>-10.338817946682566</v>
      </c>
      <c r="P1657" s="3">
        <f t="shared" ca="1" si="163"/>
        <v>9.3607186251496195</v>
      </c>
      <c r="Q1657" s="3">
        <f t="shared" ca="1" si="164"/>
        <v>13.946835114601035</v>
      </c>
    </row>
    <row r="1658" spans="7:17" x14ac:dyDescent="0.25">
      <c r="G1658" s="3">
        <f t="shared" ca="1" si="159"/>
        <v>0</v>
      </c>
      <c r="H1658" s="3">
        <f t="shared" ca="1" si="160"/>
        <v>0.10349694151862922</v>
      </c>
      <c r="I1658" s="3">
        <f t="shared" ca="1" si="161"/>
        <v>1.6085470269674216</v>
      </c>
      <c r="O1658" s="3">
        <f t="shared" ca="1" si="162"/>
        <v>0.39666736337363773</v>
      </c>
      <c r="P1658" s="3">
        <f t="shared" ca="1" si="163"/>
        <v>0.13718670809386577</v>
      </c>
      <c r="Q1658" s="3">
        <f t="shared" ca="1" si="164"/>
        <v>0.41972037125141437</v>
      </c>
    </row>
    <row r="1659" spans="7:17" x14ac:dyDescent="0.25">
      <c r="G1659" s="3">
        <f t="shared" ca="1" si="159"/>
        <v>0</v>
      </c>
      <c r="H1659" s="3">
        <f t="shared" ca="1" si="160"/>
        <v>4.9010707241400517</v>
      </c>
      <c r="I1659" s="3">
        <f t="shared" ca="1" si="161"/>
        <v>11.069181004189122</v>
      </c>
      <c r="O1659" s="3">
        <f t="shared" ca="1" si="162"/>
        <v>-0.29531128807104512</v>
      </c>
      <c r="P1659" s="3">
        <f t="shared" ca="1" si="163"/>
        <v>-2.9272885260989678</v>
      </c>
      <c r="Q1659" s="3">
        <f t="shared" ca="1" si="164"/>
        <v>2.9421466435058683</v>
      </c>
    </row>
    <row r="1660" spans="7:17" x14ac:dyDescent="0.25">
      <c r="G1660" s="3">
        <f t="shared" ca="1" si="159"/>
        <v>0</v>
      </c>
      <c r="H1660" s="3">
        <f t="shared" ca="1" si="160"/>
        <v>4.2327721614913694</v>
      </c>
      <c r="I1660" s="3">
        <f t="shared" ca="1" si="161"/>
        <v>10.28685102629975</v>
      </c>
      <c r="O1660" s="3">
        <f t="shared" ca="1" si="162"/>
        <v>-5.8789500680603881</v>
      </c>
      <c r="P1660" s="3">
        <f t="shared" ca="1" si="163"/>
        <v>1.9684482661323495</v>
      </c>
      <c r="Q1660" s="3">
        <f t="shared" ca="1" si="164"/>
        <v>6.1997453559954137</v>
      </c>
    </row>
    <row r="1661" spans="7:17" x14ac:dyDescent="0.25">
      <c r="G1661" s="3">
        <f t="shared" ca="1" si="159"/>
        <v>0</v>
      </c>
      <c r="H1661" s="3">
        <f t="shared" ca="1" si="160"/>
        <v>5.5157818975443327</v>
      </c>
      <c r="I1661" s="3">
        <f t="shared" ca="1" si="161"/>
        <v>11.742850907620701</v>
      </c>
      <c r="O1661" s="3">
        <f t="shared" ca="1" si="162"/>
        <v>-4.5995903538856115</v>
      </c>
      <c r="P1661" s="3">
        <f t="shared" ca="1" si="163"/>
        <v>2.7146679672638858</v>
      </c>
      <c r="Q1661" s="3">
        <f t="shared" ca="1" si="164"/>
        <v>5.3409412649874932</v>
      </c>
    </row>
    <row r="1662" spans="7:17" x14ac:dyDescent="0.25">
      <c r="G1662" s="3">
        <f t="shared" ca="1" si="159"/>
        <v>0</v>
      </c>
      <c r="H1662" s="3">
        <f t="shared" ca="1" si="160"/>
        <v>0.89444942426799057</v>
      </c>
      <c r="I1662" s="3">
        <f t="shared" ca="1" si="161"/>
        <v>4.7287668166975374</v>
      </c>
      <c r="O1662" s="3">
        <f t="shared" ca="1" si="162"/>
        <v>-9.8362588933577033</v>
      </c>
      <c r="P1662" s="3">
        <f t="shared" ca="1" si="163"/>
        <v>8.7170195632017204</v>
      </c>
      <c r="Q1662" s="3">
        <f t="shared" ca="1" si="164"/>
        <v>13.142998861842758</v>
      </c>
    </row>
    <row r="1663" spans="7:17" x14ac:dyDescent="0.25">
      <c r="G1663" s="3">
        <f t="shared" ca="1" si="159"/>
        <v>2</v>
      </c>
      <c r="H1663" s="3">
        <f t="shared" ca="1" si="160"/>
        <v>7.39233596580699</v>
      </c>
      <c r="I1663" s="3">
        <f t="shared" ca="1" si="161"/>
        <v>13.594425296612386</v>
      </c>
      <c r="O1663" s="3">
        <f t="shared" ca="1" si="162"/>
        <v>-0.5342261634455534</v>
      </c>
      <c r="P1663" s="3">
        <f t="shared" ca="1" si="163"/>
        <v>3.1614641184254615</v>
      </c>
      <c r="Q1663" s="3">
        <f t="shared" ca="1" si="164"/>
        <v>3.2062833570664702</v>
      </c>
    </row>
    <row r="1664" spans="7:17" x14ac:dyDescent="0.25">
      <c r="G1664" s="3">
        <f t="shared" ca="1" si="159"/>
        <v>0</v>
      </c>
      <c r="H1664" s="3">
        <f t="shared" ca="1" si="160"/>
        <v>0.33539684331435349</v>
      </c>
      <c r="I1664" s="3">
        <f t="shared" ca="1" si="161"/>
        <v>2.8956728204095912</v>
      </c>
      <c r="O1664" s="3">
        <f t="shared" ca="1" si="162"/>
        <v>-1.9692085297955755</v>
      </c>
      <c r="P1664" s="3">
        <f t="shared" ca="1" si="163"/>
        <v>10.486304251819687</v>
      </c>
      <c r="Q1664" s="3">
        <f t="shared" ca="1" si="164"/>
        <v>10.669599762669231</v>
      </c>
    </row>
    <row r="1665" spans="7:17" x14ac:dyDescent="0.25">
      <c r="G1665" s="3">
        <f t="shared" ca="1" si="159"/>
        <v>0</v>
      </c>
      <c r="H1665" s="3">
        <f t="shared" ca="1" si="160"/>
        <v>1.826972716178165</v>
      </c>
      <c r="I1665" s="3">
        <f t="shared" ca="1" si="161"/>
        <v>6.7582777321188958</v>
      </c>
      <c r="O1665" s="3">
        <f t="shared" ca="1" si="162"/>
        <v>5.1058352997025871</v>
      </c>
      <c r="P1665" s="3">
        <f t="shared" ca="1" si="163"/>
        <v>8.3376975628110035</v>
      </c>
      <c r="Q1665" s="3">
        <f t="shared" ca="1" si="164"/>
        <v>9.7768478947252504</v>
      </c>
    </row>
    <row r="1666" spans="7:17" x14ac:dyDescent="0.25">
      <c r="G1666" s="3">
        <f t="shared" ca="1" si="159"/>
        <v>0</v>
      </c>
      <c r="H1666" s="3">
        <f t="shared" ca="1" si="160"/>
        <v>1.2033808006704656</v>
      </c>
      <c r="I1666" s="3">
        <f t="shared" ca="1" si="161"/>
        <v>5.4849357349709793</v>
      </c>
      <c r="O1666" s="3">
        <f t="shared" ca="1" si="162"/>
        <v>4.0748821659951044</v>
      </c>
      <c r="P1666" s="3">
        <f t="shared" ca="1" si="163"/>
        <v>5.3687515243244999</v>
      </c>
      <c r="Q1666" s="3">
        <f t="shared" ca="1" si="164"/>
        <v>6.7400413646120594</v>
      </c>
    </row>
    <row r="1667" spans="7:17" x14ac:dyDescent="0.25">
      <c r="G1667" s="3">
        <f t="shared" ca="1" si="159"/>
        <v>0</v>
      </c>
      <c r="H1667" s="3">
        <f t="shared" ca="1" si="160"/>
        <v>1.0492480979732297</v>
      </c>
      <c r="I1667" s="3">
        <f t="shared" ca="1" si="161"/>
        <v>5.121640601343552</v>
      </c>
      <c r="O1667" s="3">
        <f t="shared" ca="1" si="162"/>
        <v>-1.5937994461944816</v>
      </c>
      <c r="P1667" s="3">
        <f t="shared" ca="1" si="163"/>
        <v>2.6896267152759084</v>
      </c>
      <c r="Q1667" s="3">
        <f t="shared" ca="1" si="164"/>
        <v>3.1263858594574834</v>
      </c>
    </row>
    <row r="1668" spans="7:17" x14ac:dyDescent="0.25">
      <c r="G1668" s="3">
        <f t="shared" ref="G1668:G1731" ca="1" si="165">VLOOKUP(RAND(),$B$9:$C$169,2,TRUE)</f>
        <v>0</v>
      </c>
      <c r="H1668" s="3">
        <f t="shared" ref="H1668:H1731" ca="1" si="166">_xlfn.CHISQ.INV(RAND(),2*G1668+2)</f>
        <v>0.63966097166450653</v>
      </c>
      <c r="I1668" s="3">
        <f t="shared" ref="I1668:I1731" ca="1" si="167">$C$4*SQRT(H1668)</f>
        <v>3.9989403961065317</v>
      </c>
      <c r="O1668" s="3">
        <f t="shared" ref="O1668:O1731" ca="1" si="168">_xlfn.NORM.INV(RAND(),$C$3*COS($N$2),$C$4)</f>
        <v>-5.2045119567421558</v>
      </c>
      <c r="P1668" s="3">
        <f t="shared" ref="P1668:P1731" ca="1" si="169">_xlfn.NORM.INV(RAND(),$C$3*SIN($N$2),$C$4)</f>
        <v>-7.2547545234899715</v>
      </c>
      <c r="Q1668" s="3">
        <f t="shared" ref="Q1668:Q1731" ca="1" si="170">SQRT(O1668^2+P1668^2)</f>
        <v>8.9285165567394387</v>
      </c>
    </row>
    <row r="1669" spans="7:17" x14ac:dyDescent="0.25">
      <c r="G1669" s="3">
        <f t="shared" ca="1" si="165"/>
        <v>2</v>
      </c>
      <c r="H1669" s="3">
        <f t="shared" ca="1" si="166"/>
        <v>2.9606211335997639</v>
      </c>
      <c r="I1669" s="3">
        <f t="shared" ca="1" si="167"/>
        <v>8.6032277861273734</v>
      </c>
      <c r="O1669" s="3">
        <f t="shared" ca="1" si="168"/>
        <v>-5.7790172267531137</v>
      </c>
      <c r="P1669" s="3">
        <f t="shared" ca="1" si="169"/>
        <v>2.5770882815394844</v>
      </c>
      <c r="Q1669" s="3">
        <f t="shared" ca="1" si="170"/>
        <v>6.3275922844283654</v>
      </c>
    </row>
    <row r="1670" spans="7:17" x14ac:dyDescent="0.25">
      <c r="G1670" s="3">
        <f t="shared" ca="1" si="165"/>
        <v>1</v>
      </c>
      <c r="H1670" s="3">
        <f t="shared" ca="1" si="166"/>
        <v>1.0548634145828575</v>
      </c>
      <c r="I1670" s="3">
        <f t="shared" ca="1" si="167"/>
        <v>5.1353271915790755</v>
      </c>
      <c r="O1670" s="3">
        <f t="shared" ca="1" si="168"/>
        <v>-4.2234040767138374</v>
      </c>
      <c r="P1670" s="3">
        <f t="shared" ca="1" si="169"/>
        <v>5.4822037217610413</v>
      </c>
      <c r="Q1670" s="3">
        <f t="shared" ca="1" si="170"/>
        <v>6.9203829115225748</v>
      </c>
    </row>
    <row r="1671" spans="7:17" x14ac:dyDescent="0.25">
      <c r="G1671" s="3">
        <f t="shared" ca="1" si="165"/>
        <v>0</v>
      </c>
      <c r="H1671" s="3">
        <f t="shared" ca="1" si="166"/>
        <v>0.36746174292742917</v>
      </c>
      <c r="I1671" s="3">
        <f t="shared" ca="1" si="167"/>
        <v>3.0309311396311411</v>
      </c>
      <c r="O1671" s="3">
        <f t="shared" ca="1" si="168"/>
        <v>-5.6957761915792693</v>
      </c>
      <c r="P1671" s="3">
        <f t="shared" ca="1" si="169"/>
        <v>9.0901004607820894</v>
      </c>
      <c r="Q1671" s="3">
        <f t="shared" ca="1" si="170"/>
        <v>10.727152129604203</v>
      </c>
    </row>
    <row r="1672" spans="7:17" x14ac:dyDescent="0.25">
      <c r="G1672" s="3">
        <f t="shared" ca="1" si="165"/>
        <v>0</v>
      </c>
      <c r="H1672" s="3">
        <f t="shared" ca="1" si="166"/>
        <v>1.5260725577714174</v>
      </c>
      <c r="I1672" s="3">
        <f t="shared" ca="1" si="167"/>
        <v>6.1767154657054935</v>
      </c>
      <c r="O1672" s="3">
        <f t="shared" ca="1" si="168"/>
        <v>-9.8193862059735224</v>
      </c>
      <c r="P1672" s="3">
        <f t="shared" ca="1" si="169"/>
        <v>2.5595874831846199</v>
      </c>
      <c r="Q1672" s="3">
        <f t="shared" ca="1" si="170"/>
        <v>10.147503808628921</v>
      </c>
    </row>
    <row r="1673" spans="7:17" x14ac:dyDescent="0.25">
      <c r="G1673" s="3">
        <f t="shared" ca="1" si="165"/>
        <v>0</v>
      </c>
      <c r="H1673" s="3">
        <f t="shared" ca="1" si="166"/>
        <v>0.79989393098984751</v>
      </c>
      <c r="I1673" s="3">
        <f t="shared" ca="1" si="167"/>
        <v>4.4718394732756437</v>
      </c>
      <c r="O1673" s="3">
        <f t="shared" ca="1" si="168"/>
        <v>-0.98104607271308542</v>
      </c>
      <c r="P1673" s="3">
        <f t="shared" ca="1" si="169"/>
        <v>-0.22743394614089302</v>
      </c>
      <c r="Q1673" s="3">
        <f t="shared" ca="1" si="170"/>
        <v>1.0070638493377602</v>
      </c>
    </row>
    <row r="1674" spans="7:17" x14ac:dyDescent="0.25">
      <c r="G1674" s="3">
        <f t="shared" ca="1" si="165"/>
        <v>1</v>
      </c>
      <c r="H1674" s="3">
        <f t="shared" ca="1" si="166"/>
        <v>3.2245148431256916</v>
      </c>
      <c r="I1674" s="3">
        <f t="shared" ca="1" si="167"/>
        <v>8.9784670784127893</v>
      </c>
      <c r="O1674" s="3">
        <f t="shared" ca="1" si="168"/>
        <v>-11.801767940206954</v>
      </c>
      <c r="P1674" s="3">
        <f t="shared" ca="1" si="169"/>
        <v>-2.6347044205287258</v>
      </c>
      <c r="Q1674" s="3">
        <f t="shared" ca="1" si="170"/>
        <v>12.092286545482219</v>
      </c>
    </row>
    <row r="1675" spans="7:17" x14ac:dyDescent="0.25">
      <c r="G1675" s="3">
        <f t="shared" ca="1" si="165"/>
        <v>1</v>
      </c>
      <c r="H1675" s="3">
        <f t="shared" ca="1" si="166"/>
        <v>1.4361830260122808</v>
      </c>
      <c r="I1675" s="3">
        <f t="shared" ca="1" si="167"/>
        <v>5.9920426942994176</v>
      </c>
      <c r="O1675" s="3">
        <f t="shared" ca="1" si="168"/>
        <v>-2.607601608314559</v>
      </c>
      <c r="P1675" s="3">
        <f t="shared" ca="1" si="169"/>
        <v>-1.7698261895795435</v>
      </c>
      <c r="Q1675" s="3">
        <f t="shared" ca="1" si="170"/>
        <v>3.1514870916769309</v>
      </c>
    </row>
    <row r="1676" spans="7:17" x14ac:dyDescent="0.25">
      <c r="G1676" s="3">
        <f t="shared" ca="1" si="165"/>
        <v>1</v>
      </c>
      <c r="H1676" s="3">
        <f t="shared" ca="1" si="166"/>
        <v>2.6056007333761397</v>
      </c>
      <c r="I1676" s="3">
        <f t="shared" ca="1" si="167"/>
        <v>8.0709366454212415</v>
      </c>
      <c r="O1676" s="3">
        <f t="shared" ca="1" si="168"/>
        <v>-1.2095130844619852</v>
      </c>
      <c r="P1676" s="3">
        <f t="shared" ca="1" si="169"/>
        <v>-0.56823701754972267</v>
      </c>
      <c r="Q1676" s="3">
        <f t="shared" ca="1" si="170"/>
        <v>1.3363439712882867</v>
      </c>
    </row>
    <row r="1677" spans="7:17" x14ac:dyDescent="0.25">
      <c r="G1677" s="3">
        <f t="shared" ca="1" si="165"/>
        <v>1</v>
      </c>
      <c r="H1677" s="3">
        <f t="shared" ca="1" si="166"/>
        <v>0.17805381470374415</v>
      </c>
      <c r="I1677" s="3">
        <f t="shared" ca="1" si="167"/>
        <v>2.1098211695766076</v>
      </c>
      <c r="O1677" s="3">
        <f t="shared" ca="1" si="168"/>
        <v>-6.3955851672882753</v>
      </c>
      <c r="P1677" s="3">
        <f t="shared" ca="1" si="169"/>
        <v>1.690148204863241</v>
      </c>
      <c r="Q1677" s="3">
        <f t="shared" ca="1" si="170"/>
        <v>6.6151425220051179</v>
      </c>
    </row>
    <row r="1678" spans="7:17" x14ac:dyDescent="0.25">
      <c r="G1678" s="3">
        <f t="shared" ca="1" si="165"/>
        <v>1</v>
      </c>
      <c r="H1678" s="3">
        <f t="shared" ca="1" si="166"/>
        <v>2.654417910919642</v>
      </c>
      <c r="I1678" s="3">
        <f t="shared" ca="1" si="167"/>
        <v>8.1461922253891768</v>
      </c>
      <c r="O1678" s="3">
        <f t="shared" ca="1" si="168"/>
        <v>-6.7559224927247303</v>
      </c>
      <c r="P1678" s="3">
        <f t="shared" ca="1" si="169"/>
        <v>-1.9772308664886413</v>
      </c>
      <c r="Q1678" s="3">
        <f t="shared" ca="1" si="170"/>
        <v>7.0393132212666432</v>
      </c>
    </row>
    <row r="1679" spans="7:17" x14ac:dyDescent="0.25">
      <c r="G1679" s="3">
        <f t="shared" ca="1" si="165"/>
        <v>1</v>
      </c>
      <c r="H1679" s="3">
        <f t="shared" ca="1" si="166"/>
        <v>6.8050046761686387</v>
      </c>
      <c r="I1679" s="3">
        <f t="shared" ca="1" si="167"/>
        <v>13.043201942169567</v>
      </c>
      <c r="O1679" s="3">
        <f t="shared" ca="1" si="168"/>
        <v>-11.05524212149699</v>
      </c>
      <c r="P1679" s="3">
        <f t="shared" ca="1" si="169"/>
        <v>3.9733122301048192</v>
      </c>
      <c r="Q1679" s="3">
        <f t="shared" ca="1" si="170"/>
        <v>11.747577981985129</v>
      </c>
    </row>
    <row r="1680" spans="7:17" x14ac:dyDescent="0.25">
      <c r="G1680" s="3">
        <f t="shared" ca="1" si="165"/>
        <v>0</v>
      </c>
      <c r="H1680" s="3">
        <f t="shared" ca="1" si="166"/>
        <v>2.1067273647316815</v>
      </c>
      <c r="I1680" s="3">
        <f t="shared" ca="1" si="167"/>
        <v>7.2572848998983108</v>
      </c>
      <c r="O1680" s="3">
        <f t="shared" ca="1" si="168"/>
        <v>-2.1810411874981539</v>
      </c>
      <c r="P1680" s="3">
        <f t="shared" ca="1" si="169"/>
        <v>1.1975377964545022</v>
      </c>
      <c r="Q1680" s="3">
        <f t="shared" ca="1" si="170"/>
        <v>2.4881795424567863</v>
      </c>
    </row>
    <row r="1681" spans="7:17" x14ac:dyDescent="0.25">
      <c r="G1681" s="3">
        <f t="shared" ca="1" si="165"/>
        <v>0</v>
      </c>
      <c r="H1681" s="3">
        <f t="shared" ca="1" si="166"/>
        <v>1.8460730298151085</v>
      </c>
      <c r="I1681" s="3">
        <f t="shared" ca="1" si="167"/>
        <v>6.7935135052031592</v>
      </c>
      <c r="O1681" s="3">
        <f t="shared" ca="1" si="168"/>
        <v>-9.0242593653598977</v>
      </c>
      <c r="P1681" s="3">
        <f t="shared" ca="1" si="169"/>
        <v>1.4985868896615406</v>
      </c>
      <c r="Q1681" s="3">
        <f t="shared" ca="1" si="170"/>
        <v>9.1478423553945927</v>
      </c>
    </row>
    <row r="1682" spans="7:17" x14ac:dyDescent="0.25">
      <c r="G1682" s="3">
        <f t="shared" ca="1" si="165"/>
        <v>1</v>
      </c>
      <c r="H1682" s="3">
        <f t="shared" ca="1" si="166"/>
        <v>0.64270398547153296</v>
      </c>
      <c r="I1682" s="3">
        <f t="shared" ca="1" si="167"/>
        <v>4.0084410481867296</v>
      </c>
      <c r="O1682" s="3">
        <f t="shared" ca="1" si="168"/>
        <v>-3.2192950268223273</v>
      </c>
      <c r="P1682" s="3">
        <f t="shared" ca="1" si="169"/>
        <v>-0.38890791804700697</v>
      </c>
      <c r="Q1682" s="3">
        <f t="shared" ca="1" si="170"/>
        <v>3.2427010097205424</v>
      </c>
    </row>
    <row r="1683" spans="7:17" x14ac:dyDescent="0.25">
      <c r="G1683" s="3">
        <f t="shared" ca="1" si="165"/>
        <v>2</v>
      </c>
      <c r="H1683" s="3">
        <f t="shared" ca="1" si="166"/>
        <v>6.6501800326317522</v>
      </c>
      <c r="I1683" s="3">
        <f t="shared" ca="1" si="167"/>
        <v>12.893971491196721</v>
      </c>
      <c r="O1683" s="3">
        <f t="shared" ca="1" si="168"/>
        <v>-8.7817071984477586</v>
      </c>
      <c r="P1683" s="3">
        <f t="shared" ca="1" si="169"/>
        <v>1.6198881259054445</v>
      </c>
      <c r="Q1683" s="3">
        <f t="shared" ca="1" si="170"/>
        <v>8.929861077291104</v>
      </c>
    </row>
    <row r="1684" spans="7:17" x14ac:dyDescent="0.25">
      <c r="G1684" s="3">
        <f t="shared" ca="1" si="165"/>
        <v>1</v>
      </c>
      <c r="H1684" s="3">
        <f t="shared" ca="1" si="166"/>
        <v>3.2349849728135807</v>
      </c>
      <c r="I1684" s="3">
        <f t="shared" ca="1" si="167"/>
        <v>8.9930319870630679</v>
      </c>
      <c r="O1684" s="3">
        <f t="shared" ca="1" si="168"/>
        <v>-4.354397905647728</v>
      </c>
      <c r="P1684" s="3">
        <f t="shared" ca="1" si="169"/>
        <v>-9.4261321590021137</v>
      </c>
      <c r="Q1684" s="3">
        <f t="shared" ca="1" si="170"/>
        <v>10.383291799794668</v>
      </c>
    </row>
    <row r="1685" spans="7:17" x14ac:dyDescent="0.25">
      <c r="G1685" s="3">
        <f t="shared" ca="1" si="165"/>
        <v>0</v>
      </c>
      <c r="H1685" s="3">
        <f t="shared" ca="1" si="166"/>
        <v>2.1014938274937527</v>
      </c>
      <c r="I1685" s="3">
        <f t="shared" ca="1" si="167"/>
        <v>7.248265012218015</v>
      </c>
      <c r="O1685" s="3">
        <f t="shared" ca="1" si="168"/>
        <v>-13.304329294095449</v>
      </c>
      <c r="P1685" s="3">
        <f t="shared" ca="1" si="169"/>
        <v>-0.17588479570478094</v>
      </c>
      <c r="Q1685" s="3">
        <f t="shared" ca="1" si="170"/>
        <v>13.305491852129572</v>
      </c>
    </row>
    <row r="1686" spans="7:17" x14ac:dyDescent="0.25">
      <c r="G1686" s="3">
        <f t="shared" ca="1" si="165"/>
        <v>0</v>
      </c>
      <c r="H1686" s="3">
        <f t="shared" ca="1" si="166"/>
        <v>0.73940056768000051</v>
      </c>
      <c r="I1686" s="3">
        <f t="shared" ca="1" si="167"/>
        <v>4.2994202157965455</v>
      </c>
      <c r="O1686" s="3">
        <f t="shared" ca="1" si="168"/>
        <v>-6.9348024414380287</v>
      </c>
      <c r="P1686" s="3">
        <f t="shared" ca="1" si="169"/>
        <v>11.001376160822197</v>
      </c>
      <c r="Q1686" s="3">
        <f t="shared" ca="1" si="170"/>
        <v>13.00468232344342</v>
      </c>
    </row>
    <row r="1687" spans="7:17" x14ac:dyDescent="0.25">
      <c r="G1687" s="3">
        <f t="shared" ca="1" si="165"/>
        <v>0</v>
      </c>
      <c r="H1687" s="3">
        <f t="shared" ca="1" si="166"/>
        <v>1.9570090201789512</v>
      </c>
      <c r="I1687" s="3">
        <f t="shared" ca="1" si="167"/>
        <v>6.9946569254305659</v>
      </c>
      <c r="O1687" s="3">
        <f t="shared" ca="1" si="168"/>
        <v>4.0642398332986858</v>
      </c>
      <c r="P1687" s="3">
        <f t="shared" ca="1" si="169"/>
        <v>2.0215075934802842</v>
      </c>
      <c r="Q1687" s="3">
        <f t="shared" ca="1" si="170"/>
        <v>4.5392222211597195</v>
      </c>
    </row>
    <row r="1688" spans="7:17" x14ac:dyDescent="0.25">
      <c r="G1688" s="3">
        <f t="shared" ca="1" si="165"/>
        <v>0</v>
      </c>
      <c r="H1688" s="3">
        <f t="shared" ca="1" si="166"/>
        <v>0.1949117894085857</v>
      </c>
      <c r="I1688" s="3">
        <f t="shared" ca="1" si="167"/>
        <v>2.2074407659583173</v>
      </c>
      <c r="O1688" s="3">
        <f t="shared" ca="1" si="168"/>
        <v>-9.5079196194697353</v>
      </c>
      <c r="P1688" s="3">
        <f t="shared" ca="1" si="169"/>
        <v>-1.0988996616930131</v>
      </c>
      <c r="Q1688" s="3">
        <f t="shared" ca="1" si="170"/>
        <v>9.5712128780404075</v>
      </c>
    </row>
    <row r="1689" spans="7:17" x14ac:dyDescent="0.25">
      <c r="G1689" s="3">
        <f t="shared" ca="1" si="165"/>
        <v>1</v>
      </c>
      <c r="H1689" s="3">
        <f t="shared" ca="1" si="166"/>
        <v>2.3075735413238831</v>
      </c>
      <c r="I1689" s="3">
        <f t="shared" ca="1" si="167"/>
        <v>7.5953497966253725</v>
      </c>
      <c r="O1689" s="3">
        <f t="shared" ca="1" si="168"/>
        <v>-11.322368125033538</v>
      </c>
      <c r="P1689" s="3">
        <f t="shared" ca="1" si="169"/>
        <v>0.1826191257669405</v>
      </c>
      <c r="Q1689" s="3">
        <f t="shared" ca="1" si="170"/>
        <v>11.323840766448077</v>
      </c>
    </row>
    <row r="1690" spans="7:17" x14ac:dyDescent="0.25">
      <c r="G1690" s="3">
        <f t="shared" ca="1" si="165"/>
        <v>0</v>
      </c>
      <c r="H1690" s="3">
        <f t="shared" ca="1" si="166"/>
        <v>0.25701683120907792</v>
      </c>
      <c r="I1690" s="3">
        <f t="shared" ca="1" si="167"/>
        <v>2.534841371807504</v>
      </c>
      <c r="O1690" s="3">
        <f t="shared" ca="1" si="168"/>
        <v>-4.8013809054224161</v>
      </c>
      <c r="P1690" s="3">
        <f t="shared" ca="1" si="169"/>
        <v>-1.918919692126539</v>
      </c>
      <c r="Q1690" s="3">
        <f t="shared" ca="1" si="170"/>
        <v>5.1706393592848832</v>
      </c>
    </row>
    <row r="1691" spans="7:17" x14ac:dyDescent="0.25">
      <c r="G1691" s="3">
        <f t="shared" ca="1" si="165"/>
        <v>0</v>
      </c>
      <c r="H1691" s="3">
        <f t="shared" ca="1" si="166"/>
        <v>0.93463478189246518</v>
      </c>
      <c r="I1691" s="3">
        <f t="shared" ca="1" si="167"/>
        <v>4.8338255602898652</v>
      </c>
      <c r="O1691" s="3">
        <f t="shared" ca="1" si="168"/>
        <v>-7.1426035501519571</v>
      </c>
      <c r="P1691" s="3">
        <f t="shared" ca="1" si="169"/>
        <v>-4.7171648059890492</v>
      </c>
      <c r="Q1691" s="3">
        <f t="shared" ca="1" si="170"/>
        <v>8.5596979667220179</v>
      </c>
    </row>
    <row r="1692" spans="7:17" x14ac:dyDescent="0.25">
      <c r="G1692" s="3">
        <f t="shared" ca="1" si="165"/>
        <v>0</v>
      </c>
      <c r="H1692" s="3">
        <f t="shared" ca="1" si="166"/>
        <v>6.4065183799854513</v>
      </c>
      <c r="I1692" s="3">
        <f t="shared" ca="1" si="167"/>
        <v>12.655550541151353</v>
      </c>
      <c r="O1692" s="3">
        <f t="shared" ca="1" si="168"/>
        <v>-4.935936927631202</v>
      </c>
      <c r="P1692" s="3">
        <f t="shared" ca="1" si="169"/>
        <v>0.91291990380946664</v>
      </c>
      <c r="Q1692" s="3">
        <f t="shared" ca="1" si="170"/>
        <v>5.0196509942748841</v>
      </c>
    </row>
    <row r="1693" spans="7:17" x14ac:dyDescent="0.25">
      <c r="G1693" s="3">
        <f t="shared" ca="1" si="165"/>
        <v>2</v>
      </c>
      <c r="H1693" s="3">
        <f t="shared" ca="1" si="166"/>
        <v>4.2738343879593508</v>
      </c>
      <c r="I1693" s="3">
        <f t="shared" ca="1" si="167"/>
        <v>10.336627094898208</v>
      </c>
      <c r="O1693" s="3">
        <f t="shared" ca="1" si="168"/>
        <v>-7.5574383425498963</v>
      </c>
      <c r="P1693" s="3">
        <f t="shared" ca="1" si="169"/>
        <v>8.7476772594386087</v>
      </c>
      <c r="Q1693" s="3">
        <f t="shared" ca="1" si="170"/>
        <v>11.560135454947865</v>
      </c>
    </row>
    <row r="1694" spans="7:17" x14ac:dyDescent="0.25">
      <c r="G1694" s="3">
        <f t="shared" ca="1" si="165"/>
        <v>0</v>
      </c>
      <c r="H1694" s="3">
        <f t="shared" ca="1" si="166"/>
        <v>4.4892325036097409</v>
      </c>
      <c r="I1694" s="3">
        <f t="shared" ca="1" si="167"/>
        <v>10.593904501657711</v>
      </c>
      <c r="O1694" s="3">
        <f t="shared" ca="1" si="168"/>
        <v>-1.3849359277331579</v>
      </c>
      <c r="P1694" s="3">
        <f t="shared" ca="1" si="169"/>
        <v>7.3308443147576074</v>
      </c>
      <c r="Q1694" s="3">
        <f t="shared" ca="1" si="170"/>
        <v>7.4605178031514701</v>
      </c>
    </row>
    <row r="1695" spans="7:17" x14ac:dyDescent="0.25">
      <c r="G1695" s="3">
        <f t="shared" ca="1" si="165"/>
        <v>0</v>
      </c>
      <c r="H1695" s="3">
        <f t="shared" ca="1" si="166"/>
        <v>1.3584689045669953</v>
      </c>
      <c r="I1695" s="3">
        <f t="shared" ca="1" si="167"/>
        <v>5.8276687117727342</v>
      </c>
      <c r="O1695" s="3">
        <f t="shared" ca="1" si="168"/>
        <v>-5.627449397157454</v>
      </c>
      <c r="P1695" s="3">
        <f t="shared" ca="1" si="169"/>
        <v>3.1878019972503684</v>
      </c>
      <c r="Q1695" s="3">
        <f t="shared" ca="1" si="170"/>
        <v>6.4676323559121105</v>
      </c>
    </row>
    <row r="1696" spans="7:17" x14ac:dyDescent="0.25">
      <c r="G1696" s="3">
        <f t="shared" ca="1" si="165"/>
        <v>1</v>
      </c>
      <c r="H1696" s="3">
        <f t="shared" ca="1" si="166"/>
        <v>6.0544935723291644</v>
      </c>
      <c r="I1696" s="3">
        <f t="shared" ca="1" si="167"/>
        <v>12.302940270855139</v>
      </c>
      <c r="O1696" s="3">
        <f t="shared" ca="1" si="168"/>
        <v>10.255660041796958</v>
      </c>
      <c r="P1696" s="3">
        <f t="shared" ca="1" si="169"/>
        <v>8.3596563691777366</v>
      </c>
      <c r="Q1696" s="3">
        <f t="shared" ca="1" si="170"/>
        <v>13.231115504886377</v>
      </c>
    </row>
    <row r="1697" spans="7:17" x14ac:dyDescent="0.25">
      <c r="G1697" s="3">
        <f t="shared" ca="1" si="165"/>
        <v>0</v>
      </c>
      <c r="H1697" s="3">
        <f t="shared" ca="1" si="166"/>
        <v>5.1523967974204519</v>
      </c>
      <c r="I1697" s="3">
        <f t="shared" ca="1" si="167"/>
        <v>11.349445798606702</v>
      </c>
      <c r="O1697" s="3">
        <f t="shared" ca="1" si="168"/>
        <v>-2.6906413336615409</v>
      </c>
      <c r="P1697" s="3">
        <f t="shared" ca="1" si="169"/>
        <v>0.14787995433693449</v>
      </c>
      <c r="Q1697" s="3">
        <f t="shared" ca="1" si="170"/>
        <v>2.694702073941134</v>
      </c>
    </row>
    <row r="1698" spans="7:17" x14ac:dyDescent="0.25">
      <c r="G1698" s="3">
        <f t="shared" ca="1" si="165"/>
        <v>1</v>
      </c>
      <c r="H1698" s="3">
        <f t="shared" ca="1" si="166"/>
        <v>5.7304321290967843</v>
      </c>
      <c r="I1698" s="3">
        <f t="shared" ca="1" si="167"/>
        <v>11.969160506377197</v>
      </c>
      <c r="O1698" s="3">
        <f t="shared" ca="1" si="168"/>
        <v>-4.6857549069730808</v>
      </c>
      <c r="P1698" s="3">
        <f t="shared" ca="1" si="169"/>
        <v>3.1256844188161068</v>
      </c>
      <c r="Q1698" s="3">
        <f t="shared" ca="1" si="170"/>
        <v>5.6326017198317944</v>
      </c>
    </row>
    <row r="1699" spans="7:17" x14ac:dyDescent="0.25">
      <c r="G1699" s="3">
        <f t="shared" ca="1" si="165"/>
        <v>0</v>
      </c>
      <c r="H1699" s="3">
        <f t="shared" ca="1" si="166"/>
        <v>1.7368803300787952</v>
      </c>
      <c r="I1699" s="3">
        <f t="shared" ca="1" si="167"/>
        <v>6.5895377874301531</v>
      </c>
      <c r="O1699" s="3">
        <f t="shared" ca="1" si="168"/>
        <v>-0.21970981803986334</v>
      </c>
      <c r="P1699" s="3">
        <f t="shared" ca="1" si="169"/>
        <v>1.0856409216506966</v>
      </c>
      <c r="Q1699" s="3">
        <f t="shared" ca="1" si="170"/>
        <v>1.1076500417124915</v>
      </c>
    </row>
    <row r="1700" spans="7:17" x14ac:dyDescent="0.25">
      <c r="G1700" s="3">
        <f t="shared" ca="1" si="165"/>
        <v>0</v>
      </c>
      <c r="H1700" s="3">
        <f t="shared" ca="1" si="166"/>
        <v>1.1746785290058623</v>
      </c>
      <c r="I1700" s="3">
        <f t="shared" ca="1" si="167"/>
        <v>5.4191293788898012</v>
      </c>
      <c r="O1700" s="3">
        <f t="shared" ca="1" si="168"/>
        <v>-2.8856625980944801</v>
      </c>
      <c r="P1700" s="3">
        <f t="shared" ca="1" si="169"/>
        <v>-10.14135287433251</v>
      </c>
      <c r="Q1700" s="3">
        <f t="shared" ca="1" si="170"/>
        <v>10.543912307667094</v>
      </c>
    </row>
    <row r="1701" spans="7:17" x14ac:dyDescent="0.25">
      <c r="G1701" s="3">
        <f t="shared" ca="1" si="165"/>
        <v>1</v>
      </c>
      <c r="H1701" s="3">
        <f t="shared" ca="1" si="166"/>
        <v>4.7404882258209193</v>
      </c>
      <c r="I1701" s="3">
        <f t="shared" ca="1" si="167"/>
        <v>10.886331137969439</v>
      </c>
      <c r="O1701" s="3">
        <f t="shared" ca="1" si="168"/>
        <v>-4.3267457265797411</v>
      </c>
      <c r="P1701" s="3">
        <f t="shared" ca="1" si="169"/>
        <v>-2.5084181973898443</v>
      </c>
      <c r="Q1701" s="3">
        <f t="shared" ca="1" si="170"/>
        <v>5.001288877426755</v>
      </c>
    </row>
    <row r="1702" spans="7:17" x14ac:dyDescent="0.25">
      <c r="G1702" s="3">
        <f t="shared" ca="1" si="165"/>
        <v>0</v>
      </c>
      <c r="H1702" s="3">
        <f t="shared" ca="1" si="166"/>
        <v>0.45739917433712457</v>
      </c>
      <c r="I1702" s="3">
        <f t="shared" ca="1" si="167"/>
        <v>3.381564631709427</v>
      </c>
      <c r="O1702" s="3">
        <f t="shared" ca="1" si="168"/>
        <v>-10.984833751018378</v>
      </c>
      <c r="P1702" s="3">
        <f t="shared" ca="1" si="169"/>
        <v>4.315639382859934</v>
      </c>
      <c r="Q1702" s="3">
        <f t="shared" ca="1" si="170"/>
        <v>11.802174198867096</v>
      </c>
    </row>
    <row r="1703" spans="7:17" x14ac:dyDescent="0.25">
      <c r="G1703" s="3">
        <f t="shared" ca="1" si="165"/>
        <v>0</v>
      </c>
      <c r="H1703" s="3">
        <f t="shared" ca="1" si="166"/>
        <v>2.1623253620136214</v>
      </c>
      <c r="I1703" s="3">
        <f t="shared" ca="1" si="167"/>
        <v>7.3524236854482572</v>
      </c>
      <c r="O1703" s="3">
        <f t="shared" ca="1" si="168"/>
        <v>-3.172141248084789</v>
      </c>
      <c r="P1703" s="3">
        <f t="shared" ca="1" si="169"/>
        <v>3.1627753252552138</v>
      </c>
      <c r="Q1703" s="3">
        <f t="shared" ca="1" si="170"/>
        <v>4.4794673629622697</v>
      </c>
    </row>
    <row r="1704" spans="7:17" x14ac:dyDescent="0.25">
      <c r="G1704" s="3">
        <f t="shared" ca="1" si="165"/>
        <v>2</v>
      </c>
      <c r="H1704" s="3">
        <f t="shared" ca="1" si="166"/>
        <v>7.7687560881975166</v>
      </c>
      <c r="I1704" s="3">
        <f t="shared" ca="1" si="167"/>
        <v>13.936244192928664</v>
      </c>
      <c r="O1704" s="3">
        <f t="shared" ca="1" si="168"/>
        <v>-7.7359344775448076</v>
      </c>
      <c r="P1704" s="3">
        <f t="shared" ca="1" si="169"/>
        <v>-4.1093727399092534</v>
      </c>
      <c r="Q1704" s="3">
        <f t="shared" ca="1" si="170"/>
        <v>8.7596590433860921</v>
      </c>
    </row>
    <row r="1705" spans="7:17" x14ac:dyDescent="0.25">
      <c r="G1705" s="3">
        <f t="shared" ca="1" si="165"/>
        <v>2</v>
      </c>
      <c r="H1705" s="3">
        <f t="shared" ca="1" si="166"/>
        <v>9.9678861377002228</v>
      </c>
      <c r="I1705" s="3">
        <f t="shared" ca="1" si="167"/>
        <v>15.785979647855422</v>
      </c>
      <c r="O1705" s="3">
        <f t="shared" ca="1" si="168"/>
        <v>-6.1048663842336026</v>
      </c>
      <c r="P1705" s="3">
        <f t="shared" ca="1" si="169"/>
        <v>5.4167585653310191</v>
      </c>
      <c r="Q1705" s="3">
        <f t="shared" ca="1" si="170"/>
        <v>8.1615358189762564</v>
      </c>
    </row>
    <row r="1706" spans="7:17" x14ac:dyDescent="0.25">
      <c r="G1706" s="3">
        <f t="shared" ca="1" si="165"/>
        <v>2</v>
      </c>
      <c r="H1706" s="3">
        <f t="shared" ca="1" si="166"/>
        <v>1.1613229440378321</v>
      </c>
      <c r="I1706" s="3">
        <f t="shared" ca="1" si="167"/>
        <v>5.3882347388496177</v>
      </c>
      <c r="O1706" s="3">
        <f t="shared" ca="1" si="168"/>
        <v>-8.4354146616757095</v>
      </c>
      <c r="P1706" s="3">
        <f t="shared" ca="1" si="169"/>
        <v>0.40353518852466436</v>
      </c>
      <c r="Q1706" s="3">
        <f t="shared" ca="1" si="170"/>
        <v>8.4450613474853551</v>
      </c>
    </row>
    <row r="1707" spans="7:17" x14ac:dyDescent="0.25">
      <c r="G1707" s="3">
        <f t="shared" ca="1" si="165"/>
        <v>0</v>
      </c>
      <c r="H1707" s="3">
        <f t="shared" ca="1" si="166"/>
        <v>0.84562580740003601</v>
      </c>
      <c r="I1707" s="3">
        <f t="shared" ca="1" si="167"/>
        <v>4.5978957344638536</v>
      </c>
      <c r="O1707" s="3">
        <f t="shared" ca="1" si="168"/>
        <v>-7.09303346877949</v>
      </c>
      <c r="P1707" s="3">
        <f t="shared" ca="1" si="169"/>
        <v>-2.9807878590488133</v>
      </c>
      <c r="Q1707" s="3">
        <f t="shared" ca="1" si="170"/>
        <v>7.6939079829355128</v>
      </c>
    </row>
    <row r="1708" spans="7:17" x14ac:dyDescent="0.25">
      <c r="G1708" s="3">
        <f t="shared" ca="1" si="165"/>
        <v>1</v>
      </c>
      <c r="H1708" s="3">
        <f t="shared" ca="1" si="166"/>
        <v>2.2565079839201139</v>
      </c>
      <c r="I1708" s="3">
        <f t="shared" ca="1" si="167"/>
        <v>7.5108388078831014</v>
      </c>
      <c r="O1708" s="3">
        <f t="shared" ca="1" si="168"/>
        <v>1.736897968418031</v>
      </c>
      <c r="P1708" s="3">
        <f t="shared" ca="1" si="169"/>
        <v>-2.5751449935651798</v>
      </c>
      <c r="Q1708" s="3">
        <f t="shared" ca="1" si="170"/>
        <v>3.1061529728232147</v>
      </c>
    </row>
    <row r="1709" spans="7:17" x14ac:dyDescent="0.25">
      <c r="G1709" s="3">
        <f t="shared" ca="1" si="165"/>
        <v>0</v>
      </c>
      <c r="H1709" s="3">
        <f t="shared" ca="1" si="166"/>
        <v>0.76606557677142773</v>
      </c>
      <c r="I1709" s="3">
        <f t="shared" ca="1" si="167"/>
        <v>4.3762586097356833</v>
      </c>
      <c r="O1709" s="3">
        <f t="shared" ca="1" si="168"/>
        <v>-9.2812977814452751</v>
      </c>
      <c r="P1709" s="3">
        <f t="shared" ca="1" si="169"/>
        <v>-4.0650494315597285</v>
      </c>
      <c r="Q1709" s="3">
        <f t="shared" ca="1" si="170"/>
        <v>10.132478245172059</v>
      </c>
    </row>
    <row r="1710" spans="7:17" x14ac:dyDescent="0.25">
      <c r="G1710" s="3">
        <f t="shared" ca="1" si="165"/>
        <v>0</v>
      </c>
      <c r="H1710" s="3">
        <f t="shared" ca="1" si="166"/>
        <v>5.2896983065968479</v>
      </c>
      <c r="I1710" s="3">
        <f t="shared" ca="1" si="167"/>
        <v>11.499672067712243</v>
      </c>
      <c r="O1710" s="3">
        <f t="shared" ca="1" si="168"/>
        <v>-15.401709808920135</v>
      </c>
      <c r="P1710" s="3">
        <f t="shared" ca="1" si="169"/>
        <v>8.0418848906263491</v>
      </c>
      <c r="Q1710" s="3">
        <f t="shared" ca="1" si="170"/>
        <v>17.374825974157872</v>
      </c>
    </row>
    <row r="1711" spans="7:17" x14ac:dyDescent="0.25">
      <c r="G1711" s="3">
        <f t="shared" ca="1" si="165"/>
        <v>0</v>
      </c>
      <c r="H1711" s="3">
        <f t="shared" ca="1" si="166"/>
        <v>0.65940996755733583</v>
      </c>
      <c r="I1711" s="3">
        <f t="shared" ca="1" si="167"/>
        <v>4.0602030970055418</v>
      </c>
      <c r="O1711" s="3">
        <f t="shared" ca="1" si="168"/>
        <v>-15.732035063920325</v>
      </c>
      <c r="P1711" s="3">
        <f t="shared" ca="1" si="169"/>
        <v>-0.31300781928164162</v>
      </c>
      <c r="Q1711" s="3">
        <f t="shared" ca="1" si="170"/>
        <v>15.735148589935527</v>
      </c>
    </row>
    <row r="1712" spans="7:17" x14ac:dyDescent="0.25">
      <c r="G1712" s="3">
        <f t="shared" ca="1" si="165"/>
        <v>0</v>
      </c>
      <c r="H1712" s="3">
        <f t="shared" ca="1" si="166"/>
        <v>5.2471243765829498E-2</v>
      </c>
      <c r="I1712" s="3">
        <f t="shared" ca="1" si="167"/>
        <v>1.1453301245255612</v>
      </c>
      <c r="O1712" s="3">
        <f t="shared" ca="1" si="168"/>
        <v>-7.8199105843014785</v>
      </c>
      <c r="P1712" s="3">
        <f t="shared" ca="1" si="169"/>
        <v>-8.6668959819447514E-2</v>
      </c>
      <c r="Q1712" s="3">
        <f t="shared" ca="1" si="170"/>
        <v>7.8203908505308402</v>
      </c>
    </row>
    <row r="1713" spans="7:17" x14ac:dyDescent="0.25">
      <c r="G1713" s="3">
        <f t="shared" ca="1" si="165"/>
        <v>0</v>
      </c>
      <c r="H1713" s="3">
        <f t="shared" ca="1" si="166"/>
        <v>1.408953058480922</v>
      </c>
      <c r="I1713" s="3">
        <f t="shared" ca="1" si="167"/>
        <v>5.9349664246752942</v>
      </c>
      <c r="O1713" s="3">
        <f t="shared" ca="1" si="168"/>
        <v>-4.9135645335648235</v>
      </c>
      <c r="P1713" s="3">
        <f t="shared" ca="1" si="169"/>
        <v>10.757156587232808</v>
      </c>
      <c r="Q1713" s="3">
        <f t="shared" ca="1" si="170"/>
        <v>11.82622231601251</v>
      </c>
    </row>
    <row r="1714" spans="7:17" x14ac:dyDescent="0.25">
      <c r="G1714" s="3">
        <f t="shared" ca="1" si="165"/>
        <v>0</v>
      </c>
      <c r="H1714" s="3">
        <f t="shared" ca="1" si="166"/>
        <v>0.31014485186918755</v>
      </c>
      <c r="I1714" s="3">
        <f t="shared" ca="1" si="167"/>
        <v>2.7845325095480011</v>
      </c>
      <c r="O1714" s="3">
        <f t="shared" ca="1" si="168"/>
        <v>-10.481676100431693</v>
      </c>
      <c r="P1714" s="3">
        <f t="shared" ca="1" si="169"/>
        <v>4.2927052281197309</v>
      </c>
      <c r="Q1714" s="3">
        <f t="shared" ca="1" si="170"/>
        <v>11.326643459113887</v>
      </c>
    </row>
    <row r="1715" spans="7:17" x14ac:dyDescent="0.25">
      <c r="G1715" s="3">
        <f t="shared" ca="1" si="165"/>
        <v>0</v>
      </c>
      <c r="H1715" s="3">
        <f t="shared" ca="1" si="166"/>
        <v>2.4528742769635192</v>
      </c>
      <c r="I1715" s="3">
        <f t="shared" ca="1" si="167"/>
        <v>7.8308273460783173</v>
      </c>
      <c r="O1715" s="3">
        <f t="shared" ca="1" si="168"/>
        <v>-2.0382023302321697</v>
      </c>
      <c r="P1715" s="3">
        <f t="shared" ca="1" si="169"/>
        <v>3.0146226518645434</v>
      </c>
      <c r="Q1715" s="3">
        <f t="shared" ca="1" si="170"/>
        <v>3.6389859125996433</v>
      </c>
    </row>
    <row r="1716" spans="7:17" x14ac:dyDescent="0.25">
      <c r="G1716" s="3">
        <f t="shared" ca="1" si="165"/>
        <v>1</v>
      </c>
      <c r="H1716" s="3">
        <f t="shared" ca="1" si="166"/>
        <v>2.9331126306423507</v>
      </c>
      <c r="I1716" s="3">
        <f t="shared" ca="1" si="167"/>
        <v>8.563166223194477</v>
      </c>
      <c r="O1716" s="3">
        <f t="shared" ca="1" si="168"/>
        <v>-12.776911648028076</v>
      </c>
      <c r="P1716" s="3">
        <f t="shared" ca="1" si="169"/>
        <v>2.8621556338770682</v>
      </c>
      <c r="Q1716" s="3">
        <f t="shared" ca="1" si="170"/>
        <v>13.093563538397396</v>
      </c>
    </row>
    <row r="1717" spans="7:17" x14ac:dyDescent="0.25">
      <c r="G1717" s="3">
        <f t="shared" ca="1" si="165"/>
        <v>0</v>
      </c>
      <c r="H1717" s="3">
        <f t="shared" ca="1" si="166"/>
        <v>0.87629532114660702</v>
      </c>
      <c r="I1717" s="3">
        <f t="shared" ca="1" si="167"/>
        <v>4.6805323445806009</v>
      </c>
      <c r="O1717" s="3">
        <f t="shared" ca="1" si="168"/>
        <v>-5.6159179273590238</v>
      </c>
      <c r="P1717" s="3">
        <f t="shared" ca="1" si="169"/>
        <v>4.5768939404812672</v>
      </c>
      <c r="Q1717" s="3">
        <f t="shared" ca="1" si="170"/>
        <v>7.2447561939134024</v>
      </c>
    </row>
    <row r="1718" spans="7:17" x14ac:dyDescent="0.25">
      <c r="G1718" s="3">
        <f t="shared" ca="1" si="165"/>
        <v>3</v>
      </c>
      <c r="H1718" s="3">
        <f t="shared" ca="1" si="166"/>
        <v>10.067185617705379</v>
      </c>
      <c r="I1718" s="3">
        <f t="shared" ca="1" si="167"/>
        <v>15.864414279847663</v>
      </c>
      <c r="O1718" s="3">
        <f t="shared" ca="1" si="168"/>
        <v>-4.4305565448284687</v>
      </c>
      <c r="P1718" s="3">
        <f t="shared" ca="1" si="169"/>
        <v>3.9515510371796521</v>
      </c>
      <c r="Q1718" s="3">
        <f t="shared" ca="1" si="170"/>
        <v>5.9367151604534616</v>
      </c>
    </row>
    <row r="1719" spans="7:17" x14ac:dyDescent="0.25">
      <c r="G1719" s="3">
        <f t="shared" ca="1" si="165"/>
        <v>1</v>
      </c>
      <c r="H1719" s="3">
        <f t="shared" ca="1" si="166"/>
        <v>1.7914709119123879</v>
      </c>
      <c r="I1719" s="3">
        <f t="shared" ca="1" si="167"/>
        <v>6.6922920436730573</v>
      </c>
      <c r="O1719" s="3">
        <f t="shared" ca="1" si="168"/>
        <v>-8.7866325067462725</v>
      </c>
      <c r="P1719" s="3">
        <f t="shared" ca="1" si="169"/>
        <v>1.2970439704077061</v>
      </c>
      <c r="Q1719" s="3">
        <f t="shared" ca="1" si="170"/>
        <v>8.8818485615203588</v>
      </c>
    </row>
    <row r="1720" spans="7:17" x14ac:dyDescent="0.25">
      <c r="G1720" s="3">
        <f t="shared" ca="1" si="165"/>
        <v>1</v>
      </c>
      <c r="H1720" s="3">
        <f t="shared" ca="1" si="166"/>
        <v>6.47675882456568</v>
      </c>
      <c r="I1720" s="3">
        <f t="shared" ca="1" si="167"/>
        <v>12.7247385283212</v>
      </c>
      <c r="O1720" s="3">
        <f t="shared" ca="1" si="168"/>
        <v>-3.1409131574119895</v>
      </c>
      <c r="P1720" s="3">
        <f t="shared" ca="1" si="169"/>
        <v>-2.1279933965771929</v>
      </c>
      <c r="Q1720" s="3">
        <f t="shared" ca="1" si="170"/>
        <v>3.7939018646085052</v>
      </c>
    </row>
    <row r="1721" spans="7:17" x14ac:dyDescent="0.25">
      <c r="G1721" s="3">
        <f t="shared" ca="1" si="165"/>
        <v>1</v>
      </c>
      <c r="H1721" s="3">
        <f t="shared" ca="1" si="166"/>
        <v>1.0555825358473874</v>
      </c>
      <c r="I1721" s="3">
        <f t="shared" ca="1" si="167"/>
        <v>5.137077320440552</v>
      </c>
      <c r="O1721" s="3">
        <f t="shared" ca="1" si="168"/>
        <v>-5.2347752908536611</v>
      </c>
      <c r="P1721" s="3">
        <f t="shared" ca="1" si="169"/>
        <v>-1.5919108597640557</v>
      </c>
      <c r="Q1721" s="3">
        <f t="shared" ca="1" si="170"/>
        <v>5.4714762661613339</v>
      </c>
    </row>
    <row r="1722" spans="7:17" x14ac:dyDescent="0.25">
      <c r="G1722" s="3">
        <f t="shared" ca="1" si="165"/>
        <v>0</v>
      </c>
      <c r="H1722" s="3">
        <f t="shared" ca="1" si="166"/>
        <v>0.21850653512664125</v>
      </c>
      <c r="I1722" s="3">
        <f t="shared" ca="1" si="167"/>
        <v>2.3372341299420629</v>
      </c>
      <c r="O1722" s="3">
        <f t="shared" ca="1" si="168"/>
        <v>-6.0015950842375752</v>
      </c>
      <c r="P1722" s="3">
        <f t="shared" ca="1" si="169"/>
        <v>-0.29225410056467394</v>
      </c>
      <c r="Q1722" s="3">
        <f t="shared" ca="1" si="170"/>
        <v>6.0087066840079233</v>
      </c>
    </row>
    <row r="1723" spans="7:17" x14ac:dyDescent="0.25">
      <c r="G1723" s="3">
        <f t="shared" ca="1" si="165"/>
        <v>0</v>
      </c>
      <c r="H1723" s="3">
        <f t="shared" ca="1" si="166"/>
        <v>0.21992201330444566</v>
      </c>
      <c r="I1723" s="3">
        <f t="shared" ca="1" si="167"/>
        <v>2.3447921725839889</v>
      </c>
      <c r="O1723" s="3">
        <f t="shared" ca="1" si="168"/>
        <v>-8.6519042562871498</v>
      </c>
      <c r="P1723" s="3">
        <f t="shared" ca="1" si="169"/>
        <v>3.5622242301291194</v>
      </c>
      <c r="Q1723" s="3">
        <f t="shared" ca="1" si="170"/>
        <v>9.356542562596438</v>
      </c>
    </row>
    <row r="1724" spans="7:17" x14ac:dyDescent="0.25">
      <c r="G1724" s="3">
        <f t="shared" ca="1" si="165"/>
        <v>3</v>
      </c>
      <c r="H1724" s="3">
        <f t="shared" ca="1" si="166"/>
        <v>21.950846172851332</v>
      </c>
      <c r="I1724" s="3">
        <f t="shared" ca="1" si="167"/>
        <v>23.42586507092712</v>
      </c>
      <c r="O1724" s="3">
        <f t="shared" ca="1" si="168"/>
        <v>-0.31686110942550272</v>
      </c>
      <c r="P1724" s="3">
        <f t="shared" ca="1" si="169"/>
        <v>4.81708496214367</v>
      </c>
      <c r="Q1724" s="3">
        <f t="shared" ca="1" si="170"/>
        <v>4.8274950538739079</v>
      </c>
    </row>
    <row r="1725" spans="7:17" x14ac:dyDescent="0.25">
      <c r="G1725" s="3">
        <f t="shared" ca="1" si="165"/>
        <v>0</v>
      </c>
      <c r="H1725" s="3">
        <f t="shared" ca="1" si="166"/>
        <v>2.5560867232192899</v>
      </c>
      <c r="I1725" s="3">
        <f t="shared" ca="1" si="167"/>
        <v>7.9938831665519263</v>
      </c>
      <c r="O1725" s="3">
        <f t="shared" ca="1" si="168"/>
        <v>-13.005616372652394</v>
      </c>
      <c r="P1725" s="3">
        <f t="shared" ca="1" si="169"/>
        <v>1.6267216940553666</v>
      </c>
      <c r="Q1725" s="3">
        <f t="shared" ca="1" si="170"/>
        <v>13.10695543223194</v>
      </c>
    </row>
    <row r="1726" spans="7:17" x14ac:dyDescent="0.25">
      <c r="G1726" s="3">
        <f t="shared" ca="1" si="165"/>
        <v>0</v>
      </c>
      <c r="H1726" s="3">
        <f t="shared" ca="1" si="166"/>
        <v>0.37739309600409254</v>
      </c>
      <c r="I1726" s="3">
        <f t="shared" ca="1" si="167"/>
        <v>3.0716164148705665</v>
      </c>
      <c r="O1726" s="3">
        <f t="shared" ca="1" si="168"/>
        <v>-10.860106424811285</v>
      </c>
      <c r="P1726" s="3">
        <f t="shared" ca="1" si="169"/>
        <v>-0.79061947919932951</v>
      </c>
      <c r="Q1726" s="3">
        <f t="shared" ca="1" si="170"/>
        <v>10.888847079425661</v>
      </c>
    </row>
    <row r="1727" spans="7:17" x14ac:dyDescent="0.25">
      <c r="G1727" s="3">
        <f t="shared" ca="1" si="165"/>
        <v>1</v>
      </c>
      <c r="H1727" s="3">
        <f t="shared" ca="1" si="166"/>
        <v>1.6373701919489501</v>
      </c>
      <c r="I1727" s="3">
        <f t="shared" ca="1" si="167"/>
        <v>6.3979883399959201</v>
      </c>
      <c r="O1727" s="3">
        <f t="shared" ca="1" si="168"/>
        <v>-4.774333717156833</v>
      </c>
      <c r="P1727" s="3">
        <f t="shared" ca="1" si="169"/>
        <v>1.5526667024970124</v>
      </c>
      <c r="Q1727" s="3">
        <f t="shared" ca="1" si="170"/>
        <v>5.0204617648004781</v>
      </c>
    </row>
    <row r="1728" spans="7:17" x14ac:dyDescent="0.25">
      <c r="G1728" s="3">
        <f t="shared" ca="1" si="165"/>
        <v>0</v>
      </c>
      <c r="H1728" s="3">
        <f t="shared" ca="1" si="166"/>
        <v>2.0798089087790865</v>
      </c>
      <c r="I1728" s="3">
        <f t="shared" ca="1" si="167"/>
        <v>7.2107712985142687</v>
      </c>
      <c r="O1728" s="3">
        <f t="shared" ca="1" si="168"/>
        <v>-1.6380228175444982</v>
      </c>
      <c r="P1728" s="3">
        <f t="shared" ca="1" si="169"/>
        <v>-1.0936942805971246</v>
      </c>
      <c r="Q1728" s="3">
        <f t="shared" ca="1" si="170"/>
        <v>1.9695902950124624</v>
      </c>
    </row>
    <row r="1729" spans="7:17" x14ac:dyDescent="0.25">
      <c r="G1729" s="3">
        <f t="shared" ca="1" si="165"/>
        <v>1</v>
      </c>
      <c r="H1729" s="3">
        <f t="shared" ca="1" si="166"/>
        <v>4.6611296761492502</v>
      </c>
      <c r="I1729" s="3">
        <f t="shared" ca="1" si="167"/>
        <v>10.794824774109642</v>
      </c>
      <c r="O1729" s="3">
        <f t="shared" ca="1" si="168"/>
        <v>-5.6120152288560528</v>
      </c>
      <c r="P1729" s="3">
        <f t="shared" ca="1" si="169"/>
        <v>0.87196366320412988</v>
      </c>
      <c r="Q1729" s="3">
        <f t="shared" ca="1" si="170"/>
        <v>5.6793516847313317</v>
      </c>
    </row>
    <row r="1730" spans="7:17" x14ac:dyDescent="0.25">
      <c r="G1730" s="3">
        <f t="shared" ca="1" si="165"/>
        <v>1</v>
      </c>
      <c r="H1730" s="3">
        <f t="shared" ca="1" si="166"/>
        <v>1.2582975138444663</v>
      </c>
      <c r="I1730" s="3">
        <f t="shared" ca="1" si="167"/>
        <v>5.608693060429645</v>
      </c>
      <c r="O1730" s="3">
        <f t="shared" ca="1" si="168"/>
        <v>-5.5631866640793532</v>
      </c>
      <c r="P1730" s="3">
        <f t="shared" ca="1" si="169"/>
        <v>-1.9685222373634585</v>
      </c>
      <c r="Q1730" s="3">
        <f t="shared" ca="1" si="170"/>
        <v>5.9011969682755723</v>
      </c>
    </row>
    <row r="1731" spans="7:17" x14ac:dyDescent="0.25">
      <c r="G1731" s="3">
        <f t="shared" ca="1" si="165"/>
        <v>2</v>
      </c>
      <c r="H1731" s="3">
        <f t="shared" ca="1" si="166"/>
        <v>8.3780437587236403</v>
      </c>
      <c r="I1731" s="3">
        <f t="shared" ca="1" si="167"/>
        <v>14.472425296683724</v>
      </c>
      <c r="O1731" s="3">
        <f t="shared" ca="1" si="168"/>
        <v>-2.2978632450991126</v>
      </c>
      <c r="P1731" s="3">
        <f t="shared" ca="1" si="169"/>
        <v>-3.4489806302695274</v>
      </c>
      <c r="Q1731" s="3">
        <f t="shared" ca="1" si="170"/>
        <v>4.1443507188885222</v>
      </c>
    </row>
    <row r="1732" spans="7:17" x14ac:dyDescent="0.25">
      <c r="G1732" s="3">
        <f t="shared" ref="G1732:G1795" ca="1" si="171">VLOOKUP(RAND(),$B$9:$C$169,2,TRUE)</f>
        <v>0</v>
      </c>
      <c r="H1732" s="3">
        <f t="shared" ref="H1732:H1795" ca="1" si="172">_xlfn.CHISQ.INV(RAND(),2*G1732+2)</f>
        <v>0.72639917811434107</v>
      </c>
      <c r="I1732" s="3">
        <f t="shared" ref="I1732:I1795" ca="1" si="173">$C$4*SQRT(H1732)</f>
        <v>4.2614527397189947</v>
      </c>
      <c r="O1732" s="3">
        <f t="shared" ref="O1732:O1795" ca="1" si="174">_xlfn.NORM.INV(RAND(),$C$3*COS($N$2),$C$4)</f>
        <v>-13.709764870512808</v>
      </c>
      <c r="P1732" s="3">
        <f t="shared" ref="P1732:P1795" ca="1" si="175">_xlfn.NORM.INV(RAND(),$C$3*SIN($N$2),$C$4)</f>
        <v>-4.461545767633428</v>
      </c>
      <c r="Q1732" s="3">
        <f t="shared" ref="Q1732:Q1795" ca="1" si="176">SQRT(O1732^2+P1732^2)</f>
        <v>14.417456205636098</v>
      </c>
    </row>
    <row r="1733" spans="7:17" x14ac:dyDescent="0.25">
      <c r="G1733" s="3">
        <f t="shared" ca="1" si="171"/>
        <v>1</v>
      </c>
      <c r="H1733" s="3">
        <f t="shared" ca="1" si="172"/>
        <v>3.0167091416215492</v>
      </c>
      <c r="I1733" s="3">
        <f t="shared" ca="1" si="173"/>
        <v>8.6843381175849395</v>
      </c>
      <c r="O1733" s="3">
        <f t="shared" ca="1" si="174"/>
        <v>2.0962921941708057</v>
      </c>
      <c r="P1733" s="3">
        <f t="shared" ca="1" si="175"/>
        <v>-2.9249784956959801</v>
      </c>
      <c r="Q1733" s="3">
        <f t="shared" ca="1" si="176"/>
        <v>3.5986025292640154</v>
      </c>
    </row>
    <row r="1734" spans="7:17" x14ac:dyDescent="0.25">
      <c r="G1734" s="3">
        <f t="shared" ca="1" si="171"/>
        <v>1</v>
      </c>
      <c r="H1734" s="3">
        <f t="shared" ca="1" si="172"/>
        <v>10.080465614826343</v>
      </c>
      <c r="I1734" s="3">
        <f t="shared" ca="1" si="173"/>
        <v>15.874874499367186</v>
      </c>
      <c r="O1734" s="3">
        <f t="shared" ca="1" si="174"/>
        <v>1.5140742025914866</v>
      </c>
      <c r="P1734" s="3">
        <f t="shared" ca="1" si="175"/>
        <v>-1.8672038151872596</v>
      </c>
      <c r="Q1734" s="3">
        <f t="shared" ca="1" si="176"/>
        <v>2.403928197430802</v>
      </c>
    </row>
    <row r="1735" spans="7:17" x14ac:dyDescent="0.25">
      <c r="G1735" s="3">
        <f t="shared" ca="1" si="171"/>
        <v>2</v>
      </c>
      <c r="H1735" s="3">
        <f t="shared" ca="1" si="172"/>
        <v>13.117750647660376</v>
      </c>
      <c r="I1735" s="3">
        <f t="shared" ca="1" si="173"/>
        <v>18.109217713405222</v>
      </c>
      <c r="O1735" s="3">
        <f t="shared" ca="1" si="174"/>
        <v>-4.7799299613201276</v>
      </c>
      <c r="P1735" s="3">
        <f t="shared" ca="1" si="175"/>
        <v>8.7634344641528799</v>
      </c>
      <c r="Q1735" s="3">
        <f t="shared" ca="1" si="176"/>
        <v>9.9822599666923271</v>
      </c>
    </row>
    <row r="1736" spans="7:17" x14ac:dyDescent="0.25">
      <c r="G1736" s="3">
        <f t="shared" ca="1" si="171"/>
        <v>1</v>
      </c>
      <c r="H1736" s="3">
        <f t="shared" ca="1" si="172"/>
        <v>1.5145518806395155</v>
      </c>
      <c r="I1736" s="3">
        <f t="shared" ca="1" si="173"/>
        <v>6.1533565649966917</v>
      </c>
      <c r="O1736" s="3">
        <f t="shared" ca="1" si="174"/>
        <v>-2.2939295217762554</v>
      </c>
      <c r="P1736" s="3">
        <f t="shared" ca="1" si="175"/>
        <v>-4.1353578857715378</v>
      </c>
      <c r="Q1736" s="3">
        <f t="shared" ca="1" si="176"/>
        <v>4.7289848270310069</v>
      </c>
    </row>
    <row r="1737" spans="7:17" x14ac:dyDescent="0.25">
      <c r="G1737" s="3">
        <f t="shared" ca="1" si="171"/>
        <v>0</v>
      </c>
      <c r="H1737" s="3">
        <f t="shared" ca="1" si="172"/>
        <v>0.4661708553733489</v>
      </c>
      <c r="I1737" s="3">
        <f t="shared" ca="1" si="173"/>
        <v>3.413835289572964</v>
      </c>
      <c r="O1737" s="3">
        <f t="shared" ca="1" si="174"/>
        <v>-9.6453292731858333</v>
      </c>
      <c r="P1737" s="3">
        <f t="shared" ca="1" si="175"/>
        <v>-3.806357079945522</v>
      </c>
      <c r="Q1737" s="3">
        <f t="shared" ca="1" si="176"/>
        <v>10.369220366460873</v>
      </c>
    </row>
    <row r="1738" spans="7:17" x14ac:dyDescent="0.25">
      <c r="G1738" s="3">
        <f t="shared" ca="1" si="171"/>
        <v>0</v>
      </c>
      <c r="H1738" s="3">
        <f t="shared" ca="1" si="172"/>
        <v>0.24599538096950266</v>
      </c>
      <c r="I1738" s="3">
        <f t="shared" ca="1" si="173"/>
        <v>2.4798960712573352</v>
      </c>
      <c r="O1738" s="3">
        <f t="shared" ca="1" si="174"/>
        <v>-7.7102615340003471</v>
      </c>
      <c r="P1738" s="3">
        <f t="shared" ca="1" si="175"/>
        <v>-5.9495895500372464</v>
      </c>
      <c r="Q1738" s="3">
        <f t="shared" ca="1" si="176"/>
        <v>9.738878207298713</v>
      </c>
    </row>
    <row r="1739" spans="7:17" x14ac:dyDescent="0.25">
      <c r="G1739" s="3">
        <f t="shared" ca="1" si="171"/>
        <v>0</v>
      </c>
      <c r="H1739" s="3">
        <f t="shared" ca="1" si="172"/>
        <v>0.23879375526394378</v>
      </c>
      <c r="I1739" s="3">
        <f t="shared" ca="1" si="173"/>
        <v>2.4433263968611714</v>
      </c>
      <c r="O1739" s="3">
        <f t="shared" ca="1" si="174"/>
        <v>-15.713012876621836</v>
      </c>
      <c r="P1739" s="3">
        <f t="shared" ca="1" si="175"/>
        <v>-4.3815986253261352</v>
      </c>
      <c r="Q1739" s="3">
        <f t="shared" ca="1" si="176"/>
        <v>16.312485407636185</v>
      </c>
    </row>
    <row r="1740" spans="7:17" x14ac:dyDescent="0.25">
      <c r="G1740" s="3">
        <f t="shared" ca="1" si="171"/>
        <v>0</v>
      </c>
      <c r="H1740" s="3">
        <f t="shared" ca="1" si="172"/>
        <v>0.76225023074764875</v>
      </c>
      <c r="I1740" s="3">
        <f t="shared" ca="1" si="173"/>
        <v>4.3653471532847448</v>
      </c>
      <c r="O1740" s="3">
        <f t="shared" ca="1" si="174"/>
        <v>-6.0036868448342346</v>
      </c>
      <c r="P1740" s="3">
        <f t="shared" ca="1" si="175"/>
        <v>1.10383043746451</v>
      </c>
      <c r="Q1740" s="3">
        <f t="shared" ca="1" si="176"/>
        <v>6.1043179279513886</v>
      </c>
    </row>
    <row r="1741" spans="7:17" x14ac:dyDescent="0.25">
      <c r="G1741" s="3">
        <f t="shared" ca="1" si="171"/>
        <v>0</v>
      </c>
      <c r="H1741" s="3">
        <f t="shared" ca="1" si="172"/>
        <v>6.3130202761947043E-2</v>
      </c>
      <c r="I1741" s="3">
        <f t="shared" ca="1" si="173"/>
        <v>1.2562862209897376</v>
      </c>
      <c r="O1741" s="3">
        <f t="shared" ca="1" si="174"/>
        <v>-6.0080822250126547</v>
      </c>
      <c r="P1741" s="3">
        <f t="shared" ca="1" si="175"/>
        <v>0.799242743917985</v>
      </c>
      <c r="Q1741" s="3">
        <f t="shared" ca="1" si="176"/>
        <v>6.061009898211565</v>
      </c>
    </row>
    <row r="1742" spans="7:17" x14ac:dyDescent="0.25">
      <c r="G1742" s="3">
        <f t="shared" ca="1" si="171"/>
        <v>1</v>
      </c>
      <c r="H1742" s="3">
        <f t="shared" ca="1" si="172"/>
        <v>1.0029613799799983</v>
      </c>
      <c r="I1742" s="3">
        <f t="shared" ca="1" si="173"/>
        <v>5.0073979769437091</v>
      </c>
      <c r="O1742" s="3">
        <f t="shared" ca="1" si="174"/>
        <v>4.3471283991581267</v>
      </c>
      <c r="P1742" s="3">
        <f t="shared" ca="1" si="175"/>
        <v>4.6701788113547265</v>
      </c>
      <c r="Q1742" s="3">
        <f t="shared" ca="1" si="176"/>
        <v>6.3802896054014466</v>
      </c>
    </row>
    <row r="1743" spans="7:17" x14ac:dyDescent="0.25">
      <c r="G1743" s="3">
        <f t="shared" ca="1" si="171"/>
        <v>1</v>
      </c>
      <c r="H1743" s="3">
        <f t="shared" ca="1" si="172"/>
        <v>1.0725708801285345</v>
      </c>
      <c r="I1743" s="3">
        <f t="shared" ca="1" si="173"/>
        <v>5.1782498977176994</v>
      </c>
      <c r="O1743" s="3">
        <f t="shared" ca="1" si="174"/>
        <v>2.0321009853889667</v>
      </c>
      <c r="P1743" s="3">
        <f t="shared" ca="1" si="175"/>
        <v>-1.1309490757627216</v>
      </c>
      <c r="Q1743" s="3">
        <f t="shared" ca="1" si="176"/>
        <v>2.3256139462058969</v>
      </c>
    </row>
    <row r="1744" spans="7:17" x14ac:dyDescent="0.25">
      <c r="G1744" s="3">
        <f t="shared" ca="1" si="171"/>
        <v>1</v>
      </c>
      <c r="H1744" s="3">
        <f t="shared" ca="1" si="172"/>
        <v>4.7959163576676795</v>
      </c>
      <c r="I1744" s="3">
        <f t="shared" ca="1" si="173"/>
        <v>10.949790360627549</v>
      </c>
      <c r="O1744" s="3">
        <f t="shared" ca="1" si="174"/>
        <v>7.8778139333665393</v>
      </c>
      <c r="P1744" s="3">
        <f t="shared" ca="1" si="175"/>
        <v>-1.0702504301563223</v>
      </c>
      <c r="Q1744" s="3">
        <f t="shared" ca="1" si="176"/>
        <v>7.9501816552827131</v>
      </c>
    </row>
    <row r="1745" spans="7:17" x14ac:dyDescent="0.25">
      <c r="G1745" s="3">
        <f t="shared" ca="1" si="171"/>
        <v>1</v>
      </c>
      <c r="H1745" s="3">
        <f t="shared" ca="1" si="172"/>
        <v>2.0628837702449969</v>
      </c>
      <c r="I1745" s="3">
        <f t="shared" ca="1" si="173"/>
        <v>7.1813713353457036</v>
      </c>
      <c r="O1745" s="3">
        <f t="shared" ca="1" si="174"/>
        <v>-4.5552174566798671</v>
      </c>
      <c r="P1745" s="3">
        <f t="shared" ca="1" si="175"/>
        <v>-4.3553599803208138</v>
      </c>
      <c r="Q1745" s="3">
        <f t="shared" ca="1" si="176"/>
        <v>6.3023143872565672</v>
      </c>
    </row>
    <row r="1746" spans="7:17" x14ac:dyDescent="0.25">
      <c r="G1746" s="3">
        <f t="shared" ca="1" si="171"/>
        <v>0</v>
      </c>
      <c r="H1746" s="3">
        <f t="shared" ca="1" si="172"/>
        <v>0.14950975850316461</v>
      </c>
      <c r="I1746" s="3">
        <f t="shared" ca="1" si="173"/>
        <v>1.933324588003555</v>
      </c>
      <c r="O1746" s="3">
        <f t="shared" ca="1" si="174"/>
        <v>-11.391950301491342</v>
      </c>
      <c r="P1746" s="3">
        <f t="shared" ca="1" si="175"/>
        <v>-4.5832745739500256</v>
      </c>
      <c r="Q1746" s="3">
        <f t="shared" ca="1" si="176"/>
        <v>12.279370402910137</v>
      </c>
    </row>
    <row r="1747" spans="7:17" x14ac:dyDescent="0.25">
      <c r="G1747" s="3">
        <f t="shared" ca="1" si="171"/>
        <v>1</v>
      </c>
      <c r="H1747" s="3">
        <f t="shared" ca="1" si="172"/>
        <v>3.9758720787606037</v>
      </c>
      <c r="I1747" s="3">
        <f t="shared" ca="1" si="173"/>
        <v>9.9697944797781606</v>
      </c>
      <c r="O1747" s="3">
        <f t="shared" ca="1" si="174"/>
        <v>-3.1107405691592098</v>
      </c>
      <c r="P1747" s="3">
        <f t="shared" ca="1" si="175"/>
        <v>-9.7034460804778142</v>
      </c>
      <c r="Q1747" s="3">
        <f t="shared" ca="1" si="176"/>
        <v>10.189875991657269</v>
      </c>
    </row>
    <row r="1748" spans="7:17" x14ac:dyDescent="0.25">
      <c r="G1748" s="3">
        <f t="shared" ca="1" si="171"/>
        <v>1</v>
      </c>
      <c r="H1748" s="3">
        <f t="shared" ca="1" si="172"/>
        <v>3.3296354678855806</v>
      </c>
      <c r="I1748" s="3">
        <f t="shared" ca="1" si="173"/>
        <v>9.1236443758587775</v>
      </c>
      <c r="O1748" s="3">
        <f t="shared" ca="1" si="174"/>
        <v>4.5426516862114035</v>
      </c>
      <c r="P1748" s="3">
        <f t="shared" ca="1" si="175"/>
        <v>0.78183233452775902</v>
      </c>
      <c r="Q1748" s="3">
        <f t="shared" ca="1" si="176"/>
        <v>4.6094409792894009</v>
      </c>
    </row>
    <row r="1749" spans="7:17" x14ac:dyDescent="0.25">
      <c r="G1749" s="3">
        <f t="shared" ca="1" si="171"/>
        <v>0</v>
      </c>
      <c r="H1749" s="3">
        <f t="shared" ca="1" si="172"/>
        <v>1.2951323391263241</v>
      </c>
      <c r="I1749" s="3">
        <f t="shared" ca="1" si="173"/>
        <v>5.690194063312612</v>
      </c>
      <c r="O1749" s="3">
        <f t="shared" ca="1" si="174"/>
        <v>2.3777489753766643</v>
      </c>
      <c r="P1749" s="3">
        <f t="shared" ca="1" si="175"/>
        <v>-3.4222650892601316</v>
      </c>
      <c r="Q1749" s="3">
        <f t="shared" ca="1" si="176"/>
        <v>4.1672039224248953</v>
      </c>
    </row>
    <row r="1750" spans="7:17" x14ac:dyDescent="0.25">
      <c r="G1750" s="3">
        <f t="shared" ca="1" si="171"/>
        <v>0</v>
      </c>
      <c r="H1750" s="3">
        <f t="shared" ca="1" si="172"/>
        <v>2.5389780507186699</v>
      </c>
      <c r="I1750" s="3">
        <f t="shared" ca="1" si="173"/>
        <v>7.9670854939536548</v>
      </c>
      <c r="O1750" s="3">
        <f t="shared" ca="1" si="174"/>
        <v>-6.3046320070771333</v>
      </c>
      <c r="P1750" s="3">
        <f t="shared" ca="1" si="175"/>
        <v>4.7444854047179144</v>
      </c>
      <c r="Q1750" s="3">
        <f t="shared" ca="1" si="176"/>
        <v>7.8904072455255916</v>
      </c>
    </row>
    <row r="1751" spans="7:17" x14ac:dyDescent="0.25">
      <c r="G1751" s="3">
        <f t="shared" ca="1" si="171"/>
        <v>1</v>
      </c>
      <c r="H1751" s="3">
        <f t="shared" ca="1" si="172"/>
        <v>2.2187780181138455</v>
      </c>
      <c r="I1751" s="3">
        <f t="shared" ca="1" si="173"/>
        <v>7.4477815792923288</v>
      </c>
      <c r="O1751" s="3">
        <f t="shared" ca="1" si="174"/>
        <v>-2.6487725384315142</v>
      </c>
      <c r="P1751" s="3">
        <f t="shared" ca="1" si="175"/>
        <v>8.9057587064027732</v>
      </c>
      <c r="Q1751" s="3">
        <f t="shared" ca="1" si="176"/>
        <v>9.2913149821226995</v>
      </c>
    </row>
    <row r="1752" spans="7:17" x14ac:dyDescent="0.25">
      <c r="G1752" s="3">
        <f t="shared" ca="1" si="171"/>
        <v>2</v>
      </c>
      <c r="H1752" s="3">
        <f t="shared" ca="1" si="172"/>
        <v>10.521321804644501</v>
      </c>
      <c r="I1752" s="3">
        <f t="shared" ca="1" si="173"/>
        <v>16.21829353280155</v>
      </c>
      <c r="O1752" s="3">
        <f t="shared" ca="1" si="174"/>
        <v>-8.8726335831610399</v>
      </c>
      <c r="P1752" s="3">
        <f t="shared" ca="1" si="175"/>
        <v>-0.89450142126316945</v>
      </c>
      <c r="Q1752" s="3">
        <f t="shared" ca="1" si="176"/>
        <v>8.9176095167751619</v>
      </c>
    </row>
    <row r="1753" spans="7:17" x14ac:dyDescent="0.25">
      <c r="G1753" s="3">
        <f t="shared" ca="1" si="171"/>
        <v>1</v>
      </c>
      <c r="H1753" s="3">
        <f t="shared" ca="1" si="172"/>
        <v>7.1081532093739677</v>
      </c>
      <c r="I1753" s="3">
        <f t="shared" ca="1" si="173"/>
        <v>13.330560012030597</v>
      </c>
      <c r="O1753" s="3">
        <f t="shared" ca="1" si="174"/>
        <v>-5.3116565085977374</v>
      </c>
      <c r="P1753" s="3">
        <f t="shared" ca="1" si="175"/>
        <v>-1.2834205720925367</v>
      </c>
      <c r="Q1753" s="3">
        <f t="shared" ca="1" si="176"/>
        <v>5.4645094226471089</v>
      </c>
    </row>
    <row r="1754" spans="7:17" x14ac:dyDescent="0.25">
      <c r="G1754" s="3">
        <f t="shared" ca="1" si="171"/>
        <v>3</v>
      </c>
      <c r="H1754" s="3">
        <f t="shared" ca="1" si="172"/>
        <v>6.0796326668760798</v>
      </c>
      <c r="I1754" s="3">
        <f t="shared" ca="1" si="173"/>
        <v>12.328455567178802</v>
      </c>
      <c r="O1754" s="3">
        <f t="shared" ca="1" si="174"/>
        <v>-9.3103541934951366</v>
      </c>
      <c r="P1754" s="3">
        <f t="shared" ca="1" si="175"/>
        <v>2.5343097859031887</v>
      </c>
      <c r="Q1754" s="3">
        <f t="shared" ca="1" si="176"/>
        <v>9.6491150526489804</v>
      </c>
    </row>
    <row r="1755" spans="7:17" x14ac:dyDescent="0.25">
      <c r="G1755" s="3">
        <f t="shared" ca="1" si="171"/>
        <v>0</v>
      </c>
      <c r="H1755" s="3">
        <f t="shared" ca="1" si="172"/>
        <v>0.75323028652423096</v>
      </c>
      <c r="I1755" s="3">
        <f t="shared" ca="1" si="173"/>
        <v>4.3394420336151249</v>
      </c>
      <c r="O1755" s="3">
        <f t="shared" ca="1" si="174"/>
        <v>-14.045678748499673</v>
      </c>
      <c r="P1755" s="3">
        <f t="shared" ca="1" si="175"/>
        <v>4.9261788703316984</v>
      </c>
      <c r="Q1755" s="3">
        <f t="shared" ca="1" si="176"/>
        <v>14.884499647907479</v>
      </c>
    </row>
    <row r="1756" spans="7:17" x14ac:dyDescent="0.25">
      <c r="G1756" s="3">
        <f t="shared" ca="1" si="171"/>
        <v>1</v>
      </c>
      <c r="H1756" s="3">
        <f t="shared" ca="1" si="172"/>
        <v>3.8856496697541281</v>
      </c>
      <c r="I1756" s="3">
        <f t="shared" ca="1" si="173"/>
        <v>9.8560256566150031</v>
      </c>
      <c r="O1756" s="3">
        <f t="shared" ca="1" si="174"/>
        <v>0.9376410501573087</v>
      </c>
      <c r="P1756" s="3">
        <f t="shared" ca="1" si="175"/>
        <v>-3.5881385044795757</v>
      </c>
      <c r="Q1756" s="3">
        <f t="shared" ca="1" si="176"/>
        <v>3.708626250550064</v>
      </c>
    </row>
    <row r="1757" spans="7:17" x14ac:dyDescent="0.25">
      <c r="G1757" s="3">
        <f t="shared" ca="1" si="171"/>
        <v>1</v>
      </c>
      <c r="H1757" s="3">
        <f t="shared" ca="1" si="172"/>
        <v>2.9116133808998201</v>
      </c>
      <c r="I1757" s="3">
        <f t="shared" ca="1" si="173"/>
        <v>8.5317251785612207</v>
      </c>
      <c r="O1757" s="3">
        <f t="shared" ca="1" si="174"/>
        <v>-4.8359303146875918</v>
      </c>
      <c r="P1757" s="3">
        <f t="shared" ca="1" si="175"/>
        <v>-2.5009834554752879</v>
      </c>
      <c r="Q1757" s="3">
        <f t="shared" ca="1" si="176"/>
        <v>5.4443677551278205</v>
      </c>
    </row>
    <row r="1758" spans="7:17" x14ac:dyDescent="0.25">
      <c r="G1758" s="3">
        <f t="shared" ca="1" si="171"/>
        <v>0</v>
      </c>
      <c r="H1758" s="3">
        <f t="shared" ca="1" si="172"/>
        <v>2.0402459010131535</v>
      </c>
      <c r="I1758" s="3">
        <f t="shared" ca="1" si="173"/>
        <v>7.141858828437373</v>
      </c>
      <c r="O1758" s="3">
        <f t="shared" ca="1" si="174"/>
        <v>-2.0787244738316564</v>
      </c>
      <c r="P1758" s="3">
        <f t="shared" ca="1" si="175"/>
        <v>4.5559810091238067</v>
      </c>
      <c r="Q1758" s="3">
        <f t="shared" ca="1" si="176"/>
        <v>5.0077997557413845</v>
      </c>
    </row>
    <row r="1759" spans="7:17" x14ac:dyDescent="0.25">
      <c r="G1759" s="3">
        <f t="shared" ca="1" si="171"/>
        <v>2</v>
      </c>
      <c r="H1759" s="3">
        <f t="shared" ca="1" si="172"/>
        <v>11.648266313920049</v>
      </c>
      <c r="I1759" s="3">
        <f t="shared" ca="1" si="173"/>
        <v>17.064778283001548</v>
      </c>
      <c r="O1759" s="3">
        <f t="shared" ca="1" si="174"/>
        <v>-9.2467116183189049</v>
      </c>
      <c r="P1759" s="3">
        <f t="shared" ca="1" si="175"/>
        <v>-2.3980965057739403</v>
      </c>
      <c r="Q1759" s="3">
        <f t="shared" ca="1" si="176"/>
        <v>9.5526196722867081</v>
      </c>
    </row>
    <row r="1760" spans="7:17" x14ac:dyDescent="0.25">
      <c r="G1760" s="3">
        <f t="shared" ca="1" si="171"/>
        <v>1</v>
      </c>
      <c r="H1760" s="3">
        <f t="shared" ca="1" si="172"/>
        <v>1.9994285945381061</v>
      </c>
      <c r="I1760" s="3">
        <f t="shared" ca="1" si="173"/>
        <v>7.0700576280149701</v>
      </c>
      <c r="O1760" s="3">
        <f t="shared" ca="1" si="174"/>
        <v>-9.8359135024059423</v>
      </c>
      <c r="P1760" s="3">
        <f t="shared" ca="1" si="175"/>
        <v>-5.7986502524970387</v>
      </c>
      <c r="Q1760" s="3">
        <f t="shared" ca="1" si="176"/>
        <v>11.417948115909246</v>
      </c>
    </row>
    <row r="1761" spans="7:17" x14ac:dyDescent="0.25">
      <c r="G1761" s="3">
        <f t="shared" ca="1" si="171"/>
        <v>0</v>
      </c>
      <c r="H1761" s="3">
        <f t="shared" ca="1" si="172"/>
        <v>1.1698378822312676</v>
      </c>
      <c r="I1761" s="3">
        <f t="shared" ca="1" si="173"/>
        <v>5.4079522053899183</v>
      </c>
      <c r="O1761" s="3">
        <f t="shared" ca="1" si="174"/>
        <v>-8.860691598513851</v>
      </c>
      <c r="P1761" s="3">
        <f t="shared" ca="1" si="175"/>
        <v>1.9076130696180775</v>
      </c>
      <c r="Q1761" s="3">
        <f t="shared" ca="1" si="176"/>
        <v>9.0637102351824801</v>
      </c>
    </row>
    <row r="1762" spans="7:17" x14ac:dyDescent="0.25">
      <c r="G1762" s="3">
        <f t="shared" ca="1" si="171"/>
        <v>0</v>
      </c>
      <c r="H1762" s="3">
        <f t="shared" ca="1" si="172"/>
        <v>1.4847499755032583</v>
      </c>
      <c r="I1762" s="3">
        <f t="shared" ca="1" si="173"/>
        <v>6.0925158504169241</v>
      </c>
      <c r="O1762" s="3">
        <f t="shared" ca="1" si="174"/>
        <v>-2.1965382872423627</v>
      </c>
      <c r="P1762" s="3">
        <f t="shared" ca="1" si="175"/>
        <v>0.6347015819514672</v>
      </c>
      <c r="Q1762" s="3">
        <f t="shared" ca="1" si="176"/>
        <v>2.2864003467138705</v>
      </c>
    </row>
    <row r="1763" spans="7:17" x14ac:dyDescent="0.25">
      <c r="G1763" s="3">
        <f t="shared" ca="1" si="171"/>
        <v>0</v>
      </c>
      <c r="H1763" s="3">
        <f t="shared" ca="1" si="172"/>
        <v>0.45559416620435533</v>
      </c>
      <c r="I1763" s="3">
        <f t="shared" ca="1" si="173"/>
        <v>3.3748857988247369</v>
      </c>
      <c r="O1763" s="3">
        <f t="shared" ca="1" si="174"/>
        <v>-10.219424397255144</v>
      </c>
      <c r="P1763" s="3">
        <f t="shared" ca="1" si="175"/>
        <v>7.8845239394384246</v>
      </c>
      <c r="Q1763" s="3">
        <f t="shared" ca="1" si="176"/>
        <v>12.907453380229242</v>
      </c>
    </row>
    <row r="1764" spans="7:17" x14ac:dyDescent="0.25">
      <c r="G1764" s="3">
        <f t="shared" ca="1" si="171"/>
        <v>0</v>
      </c>
      <c r="H1764" s="3">
        <f t="shared" ca="1" si="172"/>
        <v>4.7215561799962344</v>
      </c>
      <c r="I1764" s="3">
        <f t="shared" ca="1" si="173"/>
        <v>10.864571068381201</v>
      </c>
      <c r="O1764" s="3">
        <f t="shared" ca="1" si="174"/>
        <v>-4.1362709040986294</v>
      </c>
      <c r="P1764" s="3">
        <f t="shared" ca="1" si="175"/>
        <v>-0.39924174877918905</v>
      </c>
      <c r="Q1764" s="3">
        <f t="shared" ca="1" si="176"/>
        <v>4.1554940700308016</v>
      </c>
    </row>
    <row r="1765" spans="7:17" x14ac:dyDescent="0.25">
      <c r="G1765" s="3">
        <f t="shared" ca="1" si="171"/>
        <v>2</v>
      </c>
      <c r="H1765" s="3">
        <f t="shared" ca="1" si="172"/>
        <v>2.7154504948086782</v>
      </c>
      <c r="I1765" s="3">
        <f t="shared" ca="1" si="173"/>
        <v>8.2393120083060918</v>
      </c>
      <c r="O1765" s="3">
        <f t="shared" ca="1" si="174"/>
        <v>-3.4226596105881106</v>
      </c>
      <c r="P1765" s="3">
        <f t="shared" ca="1" si="175"/>
        <v>2.3303563569454755</v>
      </c>
      <c r="Q1765" s="3">
        <f t="shared" ca="1" si="176"/>
        <v>4.1406713900413958</v>
      </c>
    </row>
    <row r="1766" spans="7:17" x14ac:dyDescent="0.25">
      <c r="G1766" s="3">
        <f t="shared" ca="1" si="171"/>
        <v>0</v>
      </c>
      <c r="H1766" s="3">
        <f t="shared" ca="1" si="172"/>
        <v>0.68762750215684398</v>
      </c>
      <c r="I1766" s="3">
        <f t="shared" ca="1" si="173"/>
        <v>4.1461654035893334</v>
      </c>
      <c r="O1766" s="3">
        <f t="shared" ca="1" si="174"/>
        <v>-7.2219160368638642</v>
      </c>
      <c r="P1766" s="3">
        <f t="shared" ca="1" si="175"/>
        <v>10.441407815944455</v>
      </c>
      <c r="Q1766" s="3">
        <f t="shared" ca="1" si="176"/>
        <v>12.695631863848975</v>
      </c>
    </row>
    <row r="1767" spans="7:17" x14ac:dyDescent="0.25">
      <c r="G1767" s="3">
        <f t="shared" ca="1" si="171"/>
        <v>0</v>
      </c>
      <c r="H1767" s="3">
        <f t="shared" ca="1" si="172"/>
        <v>1.0434634299313721</v>
      </c>
      <c r="I1767" s="3">
        <f t="shared" ca="1" si="173"/>
        <v>5.1075028877411608</v>
      </c>
      <c r="O1767" s="3">
        <f t="shared" ca="1" si="174"/>
        <v>-2.3363032127662549</v>
      </c>
      <c r="P1767" s="3">
        <f t="shared" ca="1" si="175"/>
        <v>2.4489125863094348</v>
      </c>
      <c r="Q1767" s="3">
        <f t="shared" ca="1" si="176"/>
        <v>3.3845953314047295</v>
      </c>
    </row>
    <row r="1768" spans="7:17" x14ac:dyDescent="0.25">
      <c r="G1768" s="3">
        <f t="shared" ca="1" si="171"/>
        <v>0</v>
      </c>
      <c r="H1768" s="3">
        <f t="shared" ca="1" si="172"/>
        <v>0.84472607238556352</v>
      </c>
      <c r="I1768" s="3">
        <f t="shared" ca="1" si="173"/>
        <v>4.5954490324275268</v>
      </c>
      <c r="O1768" s="3">
        <f t="shared" ca="1" si="174"/>
        <v>-9.9201949653987782</v>
      </c>
      <c r="P1768" s="3">
        <f t="shared" ca="1" si="175"/>
        <v>3.7137228784718226</v>
      </c>
      <c r="Q1768" s="3">
        <f t="shared" ca="1" si="176"/>
        <v>10.592544820278473</v>
      </c>
    </row>
    <row r="1769" spans="7:17" x14ac:dyDescent="0.25">
      <c r="G1769" s="3">
        <f t="shared" ca="1" si="171"/>
        <v>0</v>
      </c>
      <c r="H1769" s="3">
        <f t="shared" ca="1" si="172"/>
        <v>7.9727794297217738</v>
      </c>
      <c r="I1769" s="3">
        <f t="shared" ca="1" si="173"/>
        <v>14.118055310241717</v>
      </c>
      <c r="O1769" s="3">
        <f t="shared" ca="1" si="174"/>
        <v>3.3183311530298312</v>
      </c>
      <c r="P1769" s="3">
        <f t="shared" ca="1" si="175"/>
        <v>-1.3521200744445543</v>
      </c>
      <c r="Q1769" s="3">
        <f t="shared" ca="1" si="176"/>
        <v>3.5832318285151792</v>
      </c>
    </row>
    <row r="1770" spans="7:17" x14ac:dyDescent="0.25">
      <c r="G1770" s="3">
        <f t="shared" ca="1" si="171"/>
        <v>1</v>
      </c>
      <c r="H1770" s="3">
        <f t="shared" ca="1" si="172"/>
        <v>6.6477872930012056</v>
      </c>
      <c r="I1770" s="3">
        <f t="shared" ca="1" si="173"/>
        <v>12.891651652330285</v>
      </c>
      <c r="O1770" s="3">
        <f t="shared" ca="1" si="174"/>
        <v>-9.2223672203472411</v>
      </c>
      <c r="P1770" s="3">
        <f t="shared" ca="1" si="175"/>
        <v>3.7541341483694195E-2</v>
      </c>
      <c r="Q1770" s="3">
        <f t="shared" ca="1" si="176"/>
        <v>9.2224436294973202</v>
      </c>
    </row>
    <row r="1771" spans="7:17" x14ac:dyDescent="0.25">
      <c r="G1771" s="3">
        <f t="shared" ca="1" si="171"/>
        <v>1</v>
      </c>
      <c r="H1771" s="3">
        <f t="shared" ca="1" si="172"/>
        <v>3.4850159492543491</v>
      </c>
      <c r="I1771" s="3">
        <f t="shared" ca="1" si="173"/>
        <v>9.3340987101786492</v>
      </c>
      <c r="O1771" s="3">
        <f t="shared" ca="1" si="174"/>
        <v>-1.1692029982999315</v>
      </c>
      <c r="P1771" s="3">
        <f t="shared" ca="1" si="175"/>
        <v>-7.0300428256865457</v>
      </c>
      <c r="Q1771" s="3">
        <f t="shared" ca="1" si="176"/>
        <v>7.1266077331518973</v>
      </c>
    </row>
    <row r="1772" spans="7:17" x14ac:dyDescent="0.25">
      <c r="G1772" s="3">
        <f t="shared" ca="1" si="171"/>
        <v>2</v>
      </c>
      <c r="H1772" s="3">
        <f t="shared" ca="1" si="172"/>
        <v>2.1633573969506696</v>
      </c>
      <c r="I1772" s="3">
        <f t="shared" ca="1" si="173"/>
        <v>7.3541780590196986</v>
      </c>
      <c r="O1772" s="3">
        <f t="shared" ca="1" si="174"/>
        <v>-6.5054480813311848</v>
      </c>
      <c r="P1772" s="3">
        <f t="shared" ca="1" si="175"/>
        <v>3.1691408462894781</v>
      </c>
      <c r="Q1772" s="3">
        <f t="shared" ca="1" si="176"/>
        <v>7.2363187079146796</v>
      </c>
    </row>
    <row r="1773" spans="7:17" x14ac:dyDescent="0.25">
      <c r="G1773" s="3">
        <f t="shared" ca="1" si="171"/>
        <v>0</v>
      </c>
      <c r="H1773" s="3">
        <f t="shared" ca="1" si="172"/>
        <v>3.1494128518864284</v>
      </c>
      <c r="I1773" s="3">
        <f t="shared" ca="1" si="173"/>
        <v>8.8732925848954576</v>
      </c>
      <c r="O1773" s="3">
        <f t="shared" ca="1" si="174"/>
        <v>-5.7133668863905172</v>
      </c>
      <c r="P1773" s="3">
        <f t="shared" ca="1" si="175"/>
        <v>-5.3189516781680473</v>
      </c>
      <c r="Q1773" s="3">
        <f t="shared" ca="1" si="176"/>
        <v>7.8060110256897763</v>
      </c>
    </row>
    <row r="1774" spans="7:17" x14ac:dyDescent="0.25">
      <c r="G1774" s="3">
        <f t="shared" ca="1" si="171"/>
        <v>1</v>
      </c>
      <c r="H1774" s="3">
        <f t="shared" ca="1" si="172"/>
        <v>0.85280612926261667</v>
      </c>
      <c r="I1774" s="3">
        <f t="shared" ca="1" si="173"/>
        <v>4.6173751452059228</v>
      </c>
      <c r="O1774" s="3">
        <f t="shared" ca="1" si="174"/>
        <v>0.24209254040544437</v>
      </c>
      <c r="P1774" s="3">
        <f t="shared" ca="1" si="175"/>
        <v>-2.9726837500190473</v>
      </c>
      <c r="Q1774" s="3">
        <f t="shared" ca="1" si="176"/>
        <v>2.9825253520711721</v>
      </c>
    </row>
    <row r="1775" spans="7:17" x14ac:dyDescent="0.25">
      <c r="G1775" s="3">
        <f t="shared" ca="1" si="171"/>
        <v>0</v>
      </c>
      <c r="H1775" s="3">
        <f t="shared" ca="1" si="172"/>
        <v>9.591100016726017</v>
      </c>
      <c r="I1775" s="3">
        <f t="shared" ca="1" si="173"/>
        <v>15.484750576555971</v>
      </c>
      <c r="O1775" s="3">
        <f t="shared" ca="1" si="174"/>
        <v>7.8070802151300533</v>
      </c>
      <c r="P1775" s="3">
        <f t="shared" ca="1" si="175"/>
        <v>-5.3162062156296175</v>
      </c>
      <c r="Q1775" s="3">
        <f t="shared" ca="1" si="176"/>
        <v>9.4452395423606959</v>
      </c>
    </row>
    <row r="1776" spans="7:17" x14ac:dyDescent="0.25">
      <c r="G1776" s="3">
        <f t="shared" ca="1" si="171"/>
        <v>0</v>
      </c>
      <c r="H1776" s="3">
        <f t="shared" ca="1" si="172"/>
        <v>1.4680145317891511</v>
      </c>
      <c r="I1776" s="3">
        <f t="shared" ca="1" si="173"/>
        <v>6.0580824767189148</v>
      </c>
      <c r="O1776" s="3">
        <f t="shared" ca="1" si="174"/>
        <v>-9.4083113664245808</v>
      </c>
      <c r="P1776" s="3">
        <f t="shared" ca="1" si="175"/>
        <v>2.1181611833481635</v>
      </c>
      <c r="Q1776" s="3">
        <f t="shared" ca="1" si="176"/>
        <v>9.6438026507305121</v>
      </c>
    </row>
    <row r="1777" spans="7:17" x14ac:dyDescent="0.25">
      <c r="G1777" s="3">
        <f t="shared" ca="1" si="171"/>
        <v>0</v>
      </c>
      <c r="H1777" s="3">
        <f t="shared" ca="1" si="172"/>
        <v>0.53376443328483247</v>
      </c>
      <c r="I1777" s="3">
        <f t="shared" ca="1" si="173"/>
        <v>3.6529591884006605</v>
      </c>
      <c r="O1777" s="3">
        <f t="shared" ca="1" si="174"/>
        <v>-6.346585597790309</v>
      </c>
      <c r="P1777" s="3">
        <f t="shared" ca="1" si="175"/>
        <v>-1.4390037525921855</v>
      </c>
      <c r="Q1777" s="3">
        <f t="shared" ca="1" si="176"/>
        <v>6.5076785838003524</v>
      </c>
    </row>
    <row r="1778" spans="7:17" x14ac:dyDescent="0.25">
      <c r="G1778" s="3">
        <f t="shared" ca="1" si="171"/>
        <v>1</v>
      </c>
      <c r="H1778" s="3">
        <f t="shared" ca="1" si="172"/>
        <v>2.8161288983722508</v>
      </c>
      <c r="I1778" s="3">
        <f t="shared" ca="1" si="173"/>
        <v>8.390662814063397</v>
      </c>
      <c r="O1778" s="3">
        <f t="shared" ca="1" si="174"/>
        <v>-10.555041986052597</v>
      </c>
      <c r="P1778" s="3">
        <f t="shared" ca="1" si="175"/>
        <v>0.44498502718694855</v>
      </c>
      <c r="Q1778" s="3">
        <f t="shared" ca="1" si="176"/>
        <v>10.564417778645151</v>
      </c>
    </row>
    <row r="1779" spans="7:17" x14ac:dyDescent="0.25">
      <c r="G1779" s="3">
        <f t="shared" ca="1" si="171"/>
        <v>0</v>
      </c>
      <c r="H1779" s="3">
        <f t="shared" ca="1" si="172"/>
        <v>0.50089265926257676</v>
      </c>
      <c r="I1779" s="3">
        <f t="shared" ca="1" si="173"/>
        <v>3.538688525649639</v>
      </c>
      <c r="O1779" s="3">
        <f t="shared" ca="1" si="174"/>
        <v>-9.4970720659036925</v>
      </c>
      <c r="P1779" s="3">
        <f t="shared" ca="1" si="175"/>
        <v>0.76258294468635324</v>
      </c>
      <c r="Q1779" s="3">
        <f t="shared" ca="1" si="176"/>
        <v>9.527639296934721</v>
      </c>
    </row>
    <row r="1780" spans="7:17" x14ac:dyDescent="0.25">
      <c r="G1780" s="3">
        <f t="shared" ca="1" si="171"/>
        <v>1</v>
      </c>
      <c r="H1780" s="3">
        <f t="shared" ca="1" si="172"/>
        <v>6.1171465538984782</v>
      </c>
      <c r="I1780" s="3">
        <f t="shared" ca="1" si="173"/>
        <v>12.366432947598994</v>
      </c>
      <c r="O1780" s="3">
        <f t="shared" ca="1" si="174"/>
        <v>-10.509133845656901</v>
      </c>
      <c r="P1780" s="3">
        <f t="shared" ca="1" si="175"/>
        <v>-2.9544543914386323</v>
      </c>
      <c r="Q1780" s="3">
        <f t="shared" ca="1" si="176"/>
        <v>10.916533100624136</v>
      </c>
    </row>
    <row r="1781" spans="7:17" x14ac:dyDescent="0.25">
      <c r="G1781" s="3">
        <f t="shared" ca="1" si="171"/>
        <v>0</v>
      </c>
      <c r="H1781" s="3">
        <f t="shared" ca="1" si="172"/>
        <v>3.1851301674398158</v>
      </c>
      <c r="I1781" s="3">
        <f t="shared" ca="1" si="173"/>
        <v>8.9234664893187894</v>
      </c>
      <c r="O1781" s="3">
        <f t="shared" ca="1" si="174"/>
        <v>-3.2808896332426936</v>
      </c>
      <c r="P1781" s="3">
        <f t="shared" ca="1" si="175"/>
        <v>8.2438533197123771</v>
      </c>
      <c r="Q1781" s="3">
        <f t="shared" ca="1" si="176"/>
        <v>8.8727309404969645</v>
      </c>
    </row>
    <row r="1782" spans="7:17" x14ac:dyDescent="0.25">
      <c r="G1782" s="3">
        <f t="shared" ca="1" si="171"/>
        <v>0</v>
      </c>
      <c r="H1782" s="3">
        <f t="shared" ca="1" si="172"/>
        <v>2.0221972447359176</v>
      </c>
      <c r="I1782" s="3">
        <f t="shared" ca="1" si="173"/>
        <v>7.1101990913333744</v>
      </c>
      <c r="O1782" s="3">
        <f t="shared" ca="1" si="174"/>
        <v>-3.8639471204155234</v>
      </c>
      <c r="P1782" s="3">
        <f t="shared" ca="1" si="175"/>
        <v>5.4963533993237288</v>
      </c>
      <c r="Q1782" s="3">
        <f t="shared" ca="1" si="176"/>
        <v>6.7186299228060573</v>
      </c>
    </row>
    <row r="1783" spans="7:17" x14ac:dyDescent="0.25">
      <c r="G1783" s="3">
        <f t="shared" ca="1" si="171"/>
        <v>1</v>
      </c>
      <c r="H1783" s="3">
        <f t="shared" ca="1" si="172"/>
        <v>4.2775763114738501</v>
      </c>
      <c r="I1783" s="3">
        <f t="shared" ca="1" si="173"/>
        <v>10.341151182863843</v>
      </c>
      <c r="O1783" s="3">
        <f t="shared" ca="1" si="174"/>
        <v>-9.5473863031733615</v>
      </c>
      <c r="P1783" s="3">
        <f t="shared" ca="1" si="175"/>
        <v>-6.7489534627301575</v>
      </c>
      <c r="Q1783" s="3">
        <f t="shared" ca="1" si="176"/>
        <v>11.691918493734025</v>
      </c>
    </row>
    <row r="1784" spans="7:17" x14ac:dyDescent="0.25">
      <c r="G1784" s="3">
        <f t="shared" ca="1" si="171"/>
        <v>0</v>
      </c>
      <c r="H1784" s="3">
        <f t="shared" ca="1" si="172"/>
        <v>1.8808894073632354</v>
      </c>
      <c r="I1784" s="3">
        <f t="shared" ca="1" si="173"/>
        <v>6.8572760761165865</v>
      </c>
      <c r="O1784" s="3">
        <f t="shared" ca="1" si="174"/>
        <v>-11.251013799772966</v>
      </c>
      <c r="P1784" s="3">
        <f t="shared" ca="1" si="175"/>
        <v>2.9377971653466273</v>
      </c>
      <c r="Q1784" s="3">
        <f t="shared" ca="1" si="176"/>
        <v>11.628239923023621</v>
      </c>
    </row>
    <row r="1785" spans="7:17" x14ac:dyDescent="0.25">
      <c r="G1785" s="3">
        <f t="shared" ca="1" si="171"/>
        <v>1</v>
      </c>
      <c r="H1785" s="3">
        <f t="shared" ca="1" si="172"/>
        <v>10.646627633261286</v>
      </c>
      <c r="I1785" s="3">
        <f t="shared" ca="1" si="173"/>
        <v>16.314585217881948</v>
      </c>
      <c r="O1785" s="3">
        <f t="shared" ca="1" si="174"/>
        <v>-1.6515922577311999</v>
      </c>
      <c r="P1785" s="3">
        <f t="shared" ca="1" si="175"/>
        <v>-4.3860226894273611</v>
      </c>
      <c r="Q1785" s="3">
        <f t="shared" ca="1" si="176"/>
        <v>4.6866781432022044</v>
      </c>
    </row>
    <row r="1786" spans="7:17" x14ac:dyDescent="0.25">
      <c r="G1786" s="3">
        <f t="shared" ca="1" si="171"/>
        <v>0</v>
      </c>
      <c r="H1786" s="3">
        <f t="shared" ca="1" si="172"/>
        <v>2.8110344307198196</v>
      </c>
      <c r="I1786" s="3">
        <f t="shared" ca="1" si="173"/>
        <v>8.3830698892467481</v>
      </c>
      <c r="O1786" s="3">
        <f t="shared" ca="1" si="174"/>
        <v>-2.9835352534519259</v>
      </c>
      <c r="P1786" s="3">
        <f t="shared" ca="1" si="175"/>
        <v>2.0639461762838356</v>
      </c>
      <c r="Q1786" s="3">
        <f t="shared" ca="1" si="176"/>
        <v>3.6278583802550943</v>
      </c>
    </row>
    <row r="1787" spans="7:17" x14ac:dyDescent="0.25">
      <c r="G1787" s="3">
        <f t="shared" ca="1" si="171"/>
        <v>0</v>
      </c>
      <c r="H1787" s="3">
        <f t="shared" ca="1" si="172"/>
        <v>0.61838948205155964</v>
      </c>
      <c r="I1787" s="3">
        <f t="shared" ca="1" si="173"/>
        <v>3.9318872124323443</v>
      </c>
      <c r="O1787" s="3">
        <f t="shared" ca="1" si="174"/>
        <v>-2.2679111024201495</v>
      </c>
      <c r="P1787" s="3">
        <f t="shared" ca="1" si="175"/>
        <v>1.0857701628533682</v>
      </c>
      <c r="Q1787" s="3">
        <f t="shared" ca="1" si="176"/>
        <v>2.5144219246226771</v>
      </c>
    </row>
    <row r="1788" spans="7:17" x14ac:dyDescent="0.25">
      <c r="G1788" s="3">
        <f t="shared" ca="1" si="171"/>
        <v>2</v>
      </c>
      <c r="H1788" s="3">
        <f t="shared" ca="1" si="172"/>
        <v>2.1689544383237389</v>
      </c>
      <c r="I1788" s="3">
        <f t="shared" ca="1" si="173"/>
        <v>7.363685283748449</v>
      </c>
      <c r="O1788" s="3">
        <f t="shared" ca="1" si="174"/>
        <v>-5.8938938701639429</v>
      </c>
      <c r="P1788" s="3">
        <f t="shared" ca="1" si="175"/>
        <v>-5.0490523756727512</v>
      </c>
      <c r="Q1788" s="3">
        <f t="shared" ca="1" si="176"/>
        <v>7.7608578678547353</v>
      </c>
    </row>
    <row r="1789" spans="7:17" x14ac:dyDescent="0.25">
      <c r="G1789" s="3">
        <f t="shared" ca="1" si="171"/>
        <v>0</v>
      </c>
      <c r="H1789" s="3">
        <f t="shared" ca="1" si="172"/>
        <v>0.68672858734530606</v>
      </c>
      <c r="I1789" s="3">
        <f t="shared" ca="1" si="173"/>
        <v>4.143454438464679</v>
      </c>
      <c r="O1789" s="3">
        <f t="shared" ca="1" si="174"/>
        <v>-8.0399704380694708</v>
      </c>
      <c r="P1789" s="3">
        <f t="shared" ca="1" si="175"/>
        <v>-9.6461003095148392</v>
      </c>
      <c r="Q1789" s="3">
        <f t="shared" ca="1" si="176"/>
        <v>12.55740322782753</v>
      </c>
    </row>
    <row r="1790" spans="7:17" x14ac:dyDescent="0.25">
      <c r="G1790" s="3">
        <f t="shared" ca="1" si="171"/>
        <v>0</v>
      </c>
      <c r="H1790" s="3">
        <f t="shared" ca="1" si="172"/>
        <v>0.34480831688262165</v>
      </c>
      <c r="I1790" s="3">
        <f t="shared" ca="1" si="173"/>
        <v>2.9360190602353962</v>
      </c>
      <c r="O1790" s="3">
        <f t="shared" ca="1" si="174"/>
        <v>5.3067831710290125</v>
      </c>
      <c r="P1790" s="3">
        <f t="shared" ca="1" si="175"/>
        <v>-1.9836651358185555</v>
      </c>
      <c r="Q1790" s="3">
        <f t="shared" ca="1" si="176"/>
        <v>5.6654103995543688</v>
      </c>
    </row>
    <row r="1791" spans="7:17" x14ac:dyDescent="0.25">
      <c r="G1791" s="3">
        <f t="shared" ca="1" si="171"/>
        <v>0</v>
      </c>
      <c r="H1791" s="3">
        <f t="shared" ca="1" si="172"/>
        <v>0.48527788312831255</v>
      </c>
      <c r="I1791" s="3">
        <f t="shared" ca="1" si="173"/>
        <v>3.4830944687458327</v>
      </c>
      <c r="O1791" s="3">
        <f t="shared" ca="1" si="174"/>
        <v>6.5978746390771157</v>
      </c>
      <c r="P1791" s="3">
        <f t="shared" ca="1" si="175"/>
        <v>-9.0937008352743636</v>
      </c>
      <c r="Q1791" s="3">
        <f t="shared" ca="1" si="176"/>
        <v>11.235094331355061</v>
      </c>
    </row>
    <row r="1792" spans="7:17" x14ac:dyDescent="0.25">
      <c r="G1792" s="3">
        <f t="shared" ca="1" si="171"/>
        <v>0</v>
      </c>
      <c r="H1792" s="3">
        <f t="shared" ca="1" si="172"/>
        <v>1.8963944568519047</v>
      </c>
      <c r="I1792" s="3">
        <f t="shared" ca="1" si="173"/>
        <v>6.8854819309397373</v>
      </c>
      <c r="O1792" s="3">
        <f t="shared" ca="1" si="174"/>
        <v>1.4992199389356582</v>
      </c>
      <c r="P1792" s="3">
        <f t="shared" ca="1" si="175"/>
        <v>-5.7322772662387047</v>
      </c>
      <c r="Q1792" s="3">
        <f t="shared" ca="1" si="176"/>
        <v>5.925087601237581</v>
      </c>
    </row>
    <row r="1793" spans="7:17" x14ac:dyDescent="0.25">
      <c r="G1793" s="3">
        <f t="shared" ca="1" si="171"/>
        <v>2</v>
      </c>
      <c r="H1793" s="3">
        <f t="shared" ca="1" si="172"/>
        <v>10.777879462682559</v>
      </c>
      <c r="I1793" s="3">
        <f t="shared" ca="1" si="173"/>
        <v>16.414840436844457</v>
      </c>
      <c r="O1793" s="3">
        <f t="shared" ca="1" si="174"/>
        <v>-6.9660062554072866</v>
      </c>
      <c r="P1793" s="3">
        <f t="shared" ca="1" si="175"/>
        <v>5.766208926833567</v>
      </c>
      <c r="Q1793" s="3">
        <f t="shared" ca="1" si="176"/>
        <v>9.0429203545242274</v>
      </c>
    </row>
    <row r="1794" spans="7:17" x14ac:dyDescent="0.25">
      <c r="G1794" s="3">
        <f t="shared" ca="1" si="171"/>
        <v>0</v>
      </c>
      <c r="H1794" s="3">
        <f t="shared" ca="1" si="172"/>
        <v>2.7143834324879568</v>
      </c>
      <c r="I1794" s="3">
        <f t="shared" ca="1" si="173"/>
        <v>8.2376929908924694</v>
      </c>
      <c r="O1794" s="3">
        <f t="shared" ca="1" si="174"/>
        <v>-2.9428776609118303</v>
      </c>
      <c r="P1794" s="3">
        <f t="shared" ca="1" si="175"/>
        <v>4.5495980757163563</v>
      </c>
      <c r="Q1794" s="3">
        <f t="shared" ca="1" si="176"/>
        <v>5.4184288846173718</v>
      </c>
    </row>
    <row r="1795" spans="7:17" x14ac:dyDescent="0.25">
      <c r="G1795" s="3">
        <f t="shared" ca="1" si="171"/>
        <v>0</v>
      </c>
      <c r="H1795" s="3">
        <f t="shared" ca="1" si="172"/>
        <v>0.88022602194941479</v>
      </c>
      <c r="I1795" s="3">
        <f t="shared" ca="1" si="173"/>
        <v>4.69101807167009</v>
      </c>
      <c r="O1795" s="3">
        <f t="shared" ca="1" si="174"/>
        <v>-8.3452523401004264</v>
      </c>
      <c r="P1795" s="3">
        <f t="shared" ca="1" si="175"/>
        <v>2.0773231089917235</v>
      </c>
      <c r="Q1795" s="3">
        <f t="shared" ca="1" si="176"/>
        <v>8.5999132506730938</v>
      </c>
    </row>
    <row r="1796" spans="7:17" x14ac:dyDescent="0.25">
      <c r="G1796" s="3">
        <f t="shared" ref="G1796:G1859" ca="1" si="177">VLOOKUP(RAND(),$B$9:$C$169,2,TRUE)</f>
        <v>1</v>
      </c>
      <c r="H1796" s="3">
        <f t="shared" ref="H1796:H1859" ca="1" si="178">_xlfn.CHISQ.INV(RAND(),2*G1796+2)</f>
        <v>3.4653026935241265</v>
      </c>
      <c r="I1796" s="3">
        <f t="shared" ref="I1796:I1859" ca="1" si="179">$C$4*SQRT(H1796)</f>
        <v>9.3076617546032026</v>
      </c>
      <c r="O1796" s="3">
        <f t="shared" ref="O1796:O1859" ca="1" si="180">_xlfn.NORM.INV(RAND(),$C$3*COS($N$2),$C$4)</f>
        <v>-6.0088115578626002</v>
      </c>
      <c r="P1796" s="3">
        <f t="shared" ref="P1796:P1859" ca="1" si="181">_xlfn.NORM.INV(RAND(),$C$3*SIN($N$2),$C$4)</f>
        <v>-7.6672210096834386</v>
      </c>
      <c r="Q1796" s="3">
        <f t="shared" ref="Q1796:Q1859" ca="1" si="182">SQRT(O1796^2+P1796^2)</f>
        <v>9.7412573289711588</v>
      </c>
    </row>
    <row r="1797" spans="7:17" x14ac:dyDescent="0.25">
      <c r="G1797" s="3">
        <f t="shared" ca="1" si="177"/>
        <v>0</v>
      </c>
      <c r="H1797" s="3">
        <f t="shared" ca="1" si="178"/>
        <v>0.13258602345514875</v>
      </c>
      <c r="I1797" s="3">
        <f t="shared" ca="1" si="179"/>
        <v>1.8206181879731729</v>
      </c>
      <c r="O1797" s="3">
        <f t="shared" ca="1" si="180"/>
        <v>-8.760883209420026</v>
      </c>
      <c r="P1797" s="3">
        <f t="shared" ca="1" si="181"/>
        <v>2.1275061140955249</v>
      </c>
      <c r="Q1797" s="3">
        <f t="shared" ca="1" si="182"/>
        <v>9.0155064680034247</v>
      </c>
    </row>
    <row r="1798" spans="7:17" x14ac:dyDescent="0.25">
      <c r="G1798" s="3">
        <f t="shared" ca="1" si="177"/>
        <v>1</v>
      </c>
      <c r="H1798" s="3">
        <f t="shared" ca="1" si="178"/>
        <v>1.7885605548579149</v>
      </c>
      <c r="I1798" s="3">
        <f t="shared" ca="1" si="179"/>
        <v>6.6868538096363288</v>
      </c>
      <c r="O1798" s="3">
        <f t="shared" ca="1" si="180"/>
        <v>-3.7363271481998117</v>
      </c>
      <c r="P1798" s="3">
        <f t="shared" ca="1" si="181"/>
        <v>-3.5167456609577785</v>
      </c>
      <c r="Q1798" s="3">
        <f t="shared" ca="1" si="182"/>
        <v>5.1310467355346026</v>
      </c>
    </row>
    <row r="1799" spans="7:17" x14ac:dyDescent="0.25">
      <c r="G1799" s="3">
        <f t="shared" ca="1" si="177"/>
        <v>0</v>
      </c>
      <c r="H1799" s="3">
        <f t="shared" ca="1" si="178"/>
        <v>0.92181647572386827</v>
      </c>
      <c r="I1799" s="3">
        <f t="shared" ca="1" si="179"/>
        <v>4.8005637057638042</v>
      </c>
      <c r="O1799" s="3">
        <f t="shared" ca="1" si="180"/>
        <v>-6.0230113048704954</v>
      </c>
      <c r="P1799" s="3">
        <f t="shared" ca="1" si="181"/>
        <v>-8.5304378037632222</v>
      </c>
      <c r="Q1799" s="3">
        <f t="shared" ca="1" si="182"/>
        <v>10.442463038118474</v>
      </c>
    </row>
    <row r="1800" spans="7:17" x14ac:dyDescent="0.25">
      <c r="G1800" s="3">
        <f t="shared" ca="1" si="177"/>
        <v>0</v>
      </c>
      <c r="H1800" s="3">
        <f t="shared" ca="1" si="178"/>
        <v>3.4321746234461026</v>
      </c>
      <c r="I1800" s="3">
        <f t="shared" ca="1" si="179"/>
        <v>9.2630645893328722</v>
      </c>
      <c r="O1800" s="3">
        <f t="shared" ca="1" si="180"/>
        <v>1.3891391095921879</v>
      </c>
      <c r="P1800" s="3">
        <f t="shared" ca="1" si="181"/>
        <v>9.2168741973397985</v>
      </c>
      <c r="Q1800" s="3">
        <f t="shared" ca="1" si="182"/>
        <v>9.3209697690415627</v>
      </c>
    </row>
    <row r="1801" spans="7:17" x14ac:dyDescent="0.25">
      <c r="G1801" s="3">
        <f t="shared" ca="1" si="177"/>
        <v>1</v>
      </c>
      <c r="H1801" s="3">
        <f t="shared" ca="1" si="178"/>
        <v>3.7551676774996956</v>
      </c>
      <c r="I1801" s="3">
        <f t="shared" ca="1" si="179"/>
        <v>9.6891275116747426</v>
      </c>
      <c r="O1801" s="3">
        <f t="shared" ca="1" si="180"/>
        <v>-0.28400693413480926</v>
      </c>
      <c r="P1801" s="3">
        <f t="shared" ca="1" si="181"/>
        <v>4.6130401224072139</v>
      </c>
      <c r="Q1801" s="3">
        <f t="shared" ca="1" si="182"/>
        <v>4.6217744546413577</v>
      </c>
    </row>
    <row r="1802" spans="7:17" x14ac:dyDescent="0.25">
      <c r="G1802" s="3">
        <f t="shared" ca="1" si="177"/>
        <v>1</v>
      </c>
      <c r="H1802" s="3">
        <f t="shared" ca="1" si="178"/>
        <v>11.613686784808264</v>
      </c>
      <c r="I1802" s="3">
        <f t="shared" ca="1" si="179"/>
        <v>17.039429850209384</v>
      </c>
      <c r="O1802" s="3">
        <f t="shared" ca="1" si="180"/>
        <v>-13.065027869215442</v>
      </c>
      <c r="P1802" s="3">
        <f t="shared" ca="1" si="181"/>
        <v>10.486573282441203</v>
      </c>
      <c r="Q1802" s="3">
        <f t="shared" ca="1" si="182"/>
        <v>16.75300487767451</v>
      </c>
    </row>
    <row r="1803" spans="7:17" x14ac:dyDescent="0.25">
      <c r="G1803" s="3">
        <f t="shared" ca="1" si="177"/>
        <v>0</v>
      </c>
      <c r="H1803" s="3">
        <f t="shared" ca="1" si="178"/>
        <v>1.4367944579816125</v>
      </c>
      <c r="I1803" s="3">
        <f t="shared" ca="1" si="179"/>
        <v>5.9933180667757249</v>
      </c>
      <c r="O1803" s="3">
        <f t="shared" ca="1" si="180"/>
        <v>-9.7298641841792346</v>
      </c>
      <c r="P1803" s="3">
        <f t="shared" ca="1" si="181"/>
        <v>-7.4782397604740627</v>
      </c>
      <c r="Q1803" s="3">
        <f t="shared" ca="1" si="182"/>
        <v>12.271688023972455</v>
      </c>
    </row>
    <row r="1804" spans="7:17" x14ac:dyDescent="0.25">
      <c r="G1804" s="3">
        <f t="shared" ca="1" si="177"/>
        <v>0</v>
      </c>
      <c r="H1804" s="3">
        <f t="shared" ca="1" si="178"/>
        <v>2.5659043485074586</v>
      </c>
      <c r="I1804" s="3">
        <f t="shared" ca="1" si="179"/>
        <v>8.0092202312513834</v>
      </c>
      <c r="O1804" s="3">
        <f t="shared" ca="1" si="180"/>
        <v>-5.9540679804703363</v>
      </c>
      <c r="P1804" s="3">
        <f t="shared" ca="1" si="181"/>
        <v>7.5567632979423012</v>
      </c>
      <c r="Q1804" s="3">
        <f t="shared" ca="1" si="182"/>
        <v>9.6205819500272387</v>
      </c>
    </row>
    <row r="1805" spans="7:17" x14ac:dyDescent="0.25">
      <c r="G1805" s="3">
        <f t="shared" ca="1" si="177"/>
        <v>0</v>
      </c>
      <c r="H1805" s="3">
        <f t="shared" ca="1" si="178"/>
        <v>2.4302327591176147</v>
      </c>
      <c r="I1805" s="3">
        <f t="shared" ca="1" si="179"/>
        <v>7.794601912730398</v>
      </c>
      <c r="O1805" s="3">
        <f t="shared" ca="1" si="180"/>
        <v>-16.494190541390736</v>
      </c>
      <c r="P1805" s="3">
        <f t="shared" ca="1" si="181"/>
        <v>-5.9954268695603723</v>
      </c>
      <c r="Q1805" s="3">
        <f t="shared" ca="1" si="182"/>
        <v>17.550027491828896</v>
      </c>
    </row>
    <row r="1806" spans="7:17" x14ac:dyDescent="0.25">
      <c r="G1806" s="3">
        <f t="shared" ca="1" si="177"/>
        <v>0</v>
      </c>
      <c r="H1806" s="3">
        <f t="shared" ca="1" si="178"/>
        <v>2.8964936138363839</v>
      </c>
      <c r="I1806" s="3">
        <f t="shared" ca="1" si="179"/>
        <v>8.5095440739154533</v>
      </c>
      <c r="O1806" s="3">
        <f t="shared" ca="1" si="180"/>
        <v>-2.1760474076936087</v>
      </c>
      <c r="P1806" s="3">
        <f t="shared" ca="1" si="181"/>
        <v>-5.532930955563125</v>
      </c>
      <c r="Q1806" s="3">
        <f t="shared" ca="1" si="182"/>
        <v>5.94546106534714</v>
      </c>
    </row>
    <row r="1807" spans="7:17" x14ac:dyDescent="0.25">
      <c r="G1807" s="3">
        <f t="shared" ca="1" si="177"/>
        <v>1</v>
      </c>
      <c r="H1807" s="3">
        <f t="shared" ca="1" si="178"/>
        <v>7.7458816759714999</v>
      </c>
      <c r="I1807" s="3">
        <f t="shared" ca="1" si="179"/>
        <v>13.915712051464972</v>
      </c>
      <c r="O1807" s="3">
        <f t="shared" ca="1" si="180"/>
        <v>-4.1817947458067994</v>
      </c>
      <c r="P1807" s="3">
        <f t="shared" ca="1" si="181"/>
        <v>2.5856189786563779</v>
      </c>
      <c r="Q1807" s="3">
        <f t="shared" ca="1" si="182"/>
        <v>4.916587515629657</v>
      </c>
    </row>
    <row r="1808" spans="7:17" x14ac:dyDescent="0.25">
      <c r="G1808" s="3">
        <f t="shared" ca="1" si="177"/>
        <v>0</v>
      </c>
      <c r="H1808" s="3">
        <f t="shared" ca="1" si="178"/>
        <v>3.1556742077254132</v>
      </c>
      <c r="I1808" s="3">
        <f t="shared" ca="1" si="179"/>
        <v>8.8821087132017986</v>
      </c>
      <c r="O1808" s="3">
        <f t="shared" ca="1" si="180"/>
        <v>-16.065116180310859</v>
      </c>
      <c r="P1808" s="3">
        <f t="shared" ca="1" si="181"/>
        <v>0.14375962841554876</v>
      </c>
      <c r="Q1808" s="3">
        <f t="shared" ca="1" si="182"/>
        <v>16.065759388141228</v>
      </c>
    </row>
    <row r="1809" spans="7:17" x14ac:dyDescent="0.25">
      <c r="G1809" s="3">
        <f t="shared" ca="1" si="177"/>
        <v>0</v>
      </c>
      <c r="H1809" s="3">
        <f t="shared" ca="1" si="178"/>
        <v>0.39173646581997301</v>
      </c>
      <c r="I1809" s="3">
        <f t="shared" ca="1" si="179"/>
        <v>3.129442705259089</v>
      </c>
      <c r="O1809" s="3">
        <f t="shared" ca="1" si="180"/>
        <v>-0.17041967977779571</v>
      </c>
      <c r="P1809" s="3">
        <f t="shared" ca="1" si="181"/>
        <v>2.6847442951810039</v>
      </c>
      <c r="Q1809" s="3">
        <f t="shared" ca="1" si="182"/>
        <v>2.6901477278697006</v>
      </c>
    </row>
    <row r="1810" spans="7:17" x14ac:dyDescent="0.25">
      <c r="G1810" s="3">
        <f t="shared" ca="1" si="177"/>
        <v>1</v>
      </c>
      <c r="H1810" s="3">
        <f t="shared" ca="1" si="178"/>
        <v>3.0126357887691921</v>
      </c>
      <c r="I1810" s="3">
        <f t="shared" ca="1" si="179"/>
        <v>8.6784730638073544</v>
      </c>
      <c r="O1810" s="3">
        <f t="shared" ca="1" si="180"/>
        <v>-3.7479059844404667</v>
      </c>
      <c r="P1810" s="3">
        <f t="shared" ca="1" si="181"/>
        <v>6.5094708423538794</v>
      </c>
      <c r="Q1810" s="3">
        <f t="shared" ca="1" si="182"/>
        <v>7.5113254433328871</v>
      </c>
    </row>
    <row r="1811" spans="7:17" x14ac:dyDescent="0.25">
      <c r="G1811" s="3">
        <f t="shared" ca="1" si="177"/>
        <v>1</v>
      </c>
      <c r="H1811" s="3">
        <f t="shared" ca="1" si="178"/>
        <v>3.3641945811941323</v>
      </c>
      <c r="I1811" s="3">
        <f t="shared" ca="1" si="179"/>
        <v>9.1708704346890269</v>
      </c>
      <c r="O1811" s="3">
        <f t="shared" ca="1" si="180"/>
        <v>-7.6729018781377878</v>
      </c>
      <c r="P1811" s="3">
        <f t="shared" ca="1" si="181"/>
        <v>-0.33034942732655664</v>
      </c>
      <c r="Q1811" s="3">
        <f t="shared" ca="1" si="182"/>
        <v>7.6800100244508389</v>
      </c>
    </row>
    <row r="1812" spans="7:17" x14ac:dyDescent="0.25">
      <c r="G1812" s="3">
        <f t="shared" ca="1" si="177"/>
        <v>1</v>
      </c>
      <c r="H1812" s="3">
        <f t="shared" ca="1" si="178"/>
        <v>6.546399740968619</v>
      </c>
      <c r="I1812" s="3">
        <f t="shared" ca="1" si="179"/>
        <v>12.792966564648541</v>
      </c>
      <c r="O1812" s="3">
        <f t="shared" ca="1" si="180"/>
        <v>-4.610514948370291</v>
      </c>
      <c r="P1812" s="3">
        <f t="shared" ca="1" si="181"/>
        <v>6.0807748442795022</v>
      </c>
      <c r="Q1812" s="3">
        <f t="shared" ca="1" si="182"/>
        <v>7.6310334028864215</v>
      </c>
    </row>
    <row r="1813" spans="7:17" x14ac:dyDescent="0.25">
      <c r="G1813" s="3">
        <f t="shared" ca="1" si="177"/>
        <v>1</v>
      </c>
      <c r="H1813" s="3">
        <f t="shared" ca="1" si="178"/>
        <v>0.83475726656396376</v>
      </c>
      <c r="I1813" s="3">
        <f t="shared" ca="1" si="179"/>
        <v>4.5682525832203167</v>
      </c>
      <c r="O1813" s="3">
        <f t="shared" ca="1" si="180"/>
        <v>-9.0268763082132519</v>
      </c>
      <c r="P1813" s="3">
        <f t="shared" ca="1" si="181"/>
        <v>-0.50728536313398687</v>
      </c>
      <c r="Q1813" s="3">
        <f t="shared" ca="1" si="182"/>
        <v>9.0411190857897505</v>
      </c>
    </row>
    <row r="1814" spans="7:17" x14ac:dyDescent="0.25">
      <c r="G1814" s="3">
        <f t="shared" ca="1" si="177"/>
        <v>0</v>
      </c>
      <c r="H1814" s="3">
        <f t="shared" ca="1" si="178"/>
        <v>0.78462349962926359</v>
      </c>
      <c r="I1814" s="3">
        <f t="shared" ca="1" si="179"/>
        <v>4.428948801999363</v>
      </c>
      <c r="O1814" s="3">
        <f t="shared" ca="1" si="180"/>
        <v>-5.2902881612647716</v>
      </c>
      <c r="P1814" s="3">
        <f t="shared" ca="1" si="181"/>
        <v>-9.0019045923192191</v>
      </c>
      <c r="Q1814" s="3">
        <f t="shared" ca="1" si="182"/>
        <v>10.441333014440065</v>
      </c>
    </row>
    <row r="1815" spans="7:17" x14ac:dyDescent="0.25">
      <c r="G1815" s="3">
        <f t="shared" ca="1" si="177"/>
        <v>3</v>
      </c>
      <c r="H1815" s="3">
        <f t="shared" ca="1" si="178"/>
        <v>4.2889092088297112</v>
      </c>
      <c r="I1815" s="3">
        <f t="shared" ca="1" si="179"/>
        <v>10.35484090755347</v>
      </c>
      <c r="O1815" s="3">
        <f t="shared" ca="1" si="180"/>
        <v>-5.5449307156724741</v>
      </c>
      <c r="P1815" s="3">
        <f t="shared" ca="1" si="181"/>
        <v>1.1086608910918261</v>
      </c>
      <c r="Q1815" s="3">
        <f t="shared" ca="1" si="182"/>
        <v>5.6546782059675671</v>
      </c>
    </row>
    <row r="1816" spans="7:17" x14ac:dyDescent="0.25">
      <c r="G1816" s="3">
        <f t="shared" ca="1" si="177"/>
        <v>1</v>
      </c>
      <c r="H1816" s="3">
        <f t="shared" ca="1" si="178"/>
        <v>8.5991279419290159</v>
      </c>
      <c r="I1816" s="3">
        <f t="shared" ca="1" si="179"/>
        <v>14.662134856432926</v>
      </c>
      <c r="O1816" s="3">
        <f t="shared" ca="1" si="180"/>
        <v>-9.2257230098035485</v>
      </c>
      <c r="P1816" s="3">
        <f t="shared" ca="1" si="181"/>
        <v>-9.4069306800184202E-2</v>
      </c>
      <c r="Q1816" s="3">
        <f t="shared" ca="1" si="182"/>
        <v>9.2262025822166134</v>
      </c>
    </row>
    <row r="1817" spans="7:17" x14ac:dyDescent="0.25">
      <c r="G1817" s="3">
        <f t="shared" ca="1" si="177"/>
        <v>1</v>
      </c>
      <c r="H1817" s="3">
        <f t="shared" ca="1" si="178"/>
        <v>2.4043257310552963</v>
      </c>
      <c r="I1817" s="3">
        <f t="shared" ca="1" si="179"/>
        <v>7.7529441682745537</v>
      </c>
      <c r="O1817" s="3">
        <f t="shared" ca="1" si="180"/>
        <v>-2.9277387665349504</v>
      </c>
      <c r="P1817" s="3">
        <f t="shared" ca="1" si="181"/>
        <v>5.2597631506951501</v>
      </c>
      <c r="Q1817" s="3">
        <f t="shared" ca="1" si="182"/>
        <v>6.0196978899677491</v>
      </c>
    </row>
    <row r="1818" spans="7:17" x14ac:dyDescent="0.25">
      <c r="G1818" s="3">
        <f t="shared" ca="1" si="177"/>
        <v>0</v>
      </c>
      <c r="H1818" s="3">
        <f t="shared" ca="1" si="178"/>
        <v>1.7544420473599205</v>
      </c>
      <c r="I1818" s="3">
        <f t="shared" ca="1" si="179"/>
        <v>6.6227676377778808</v>
      </c>
      <c r="O1818" s="3">
        <f t="shared" ca="1" si="180"/>
        <v>-14.780736074807921</v>
      </c>
      <c r="P1818" s="3">
        <f t="shared" ca="1" si="181"/>
        <v>1.8417067061593571</v>
      </c>
      <c r="Q1818" s="3">
        <f t="shared" ca="1" si="182"/>
        <v>14.895034155873581</v>
      </c>
    </row>
    <row r="1819" spans="7:17" x14ac:dyDescent="0.25">
      <c r="G1819" s="3">
        <f t="shared" ca="1" si="177"/>
        <v>0</v>
      </c>
      <c r="H1819" s="3">
        <f t="shared" ca="1" si="178"/>
        <v>2.4148952788442339</v>
      </c>
      <c r="I1819" s="3">
        <f t="shared" ca="1" si="179"/>
        <v>7.7699666647358177</v>
      </c>
      <c r="O1819" s="3">
        <f t="shared" ca="1" si="180"/>
        <v>4.3467971446791314</v>
      </c>
      <c r="P1819" s="3">
        <f t="shared" ca="1" si="181"/>
        <v>4.1800954995510606</v>
      </c>
      <c r="Q1819" s="3">
        <f t="shared" ca="1" si="182"/>
        <v>6.030575743853789</v>
      </c>
    </row>
    <row r="1820" spans="7:17" x14ac:dyDescent="0.25">
      <c r="G1820" s="3">
        <f t="shared" ca="1" si="177"/>
        <v>0</v>
      </c>
      <c r="H1820" s="3">
        <f t="shared" ca="1" si="178"/>
        <v>8.7305897093003626</v>
      </c>
      <c r="I1820" s="3">
        <f t="shared" ca="1" si="179"/>
        <v>14.773785660165409</v>
      </c>
      <c r="O1820" s="3">
        <f t="shared" ca="1" si="180"/>
        <v>0.39302402032887507</v>
      </c>
      <c r="P1820" s="3">
        <f t="shared" ca="1" si="181"/>
        <v>2.857429475093225</v>
      </c>
      <c r="Q1820" s="3">
        <f t="shared" ca="1" si="182"/>
        <v>2.8843319999069137</v>
      </c>
    </row>
    <row r="1821" spans="7:17" x14ac:dyDescent="0.25">
      <c r="G1821" s="3">
        <f t="shared" ca="1" si="177"/>
        <v>1</v>
      </c>
      <c r="H1821" s="3">
        <f t="shared" ca="1" si="178"/>
        <v>8.657530532177832</v>
      </c>
      <c r="I1821" s="3">
        <f t="shared" ca="1" si="179"/>
        <v>14.711840921667342</v>
      </c>
      <c r="O1821" s="3">
        <f t="shared" ca="1" si="180"/>
        <v>-10.297845931296273</v>
      </c>
      <c r="P1821" s="3">
        <f t="shared" ca="1" si="181"/>
        <v>3.8644373593364052</v>
      </c>
      <c r="Q1821" s="3">
        <f t="shared" ca="1" si="182"/>
        <v>10.99906845732629</v>
      </c>
    </row>
    <row r="1822" spans="7:17" x14ac:dyDescent="0.25">
      <c r="G1822" s="3">
        <f t="shared" ca="1" si="177"/>
        <v>0</v>
      </c>
      <c r="H1822" s="3">
        <f t="shared" ca="1" si="178"/>
        <v>3.0553938872302822</v>
      </c>
      <c r="I1822" s="3">
        <f t="shared" ca="1" si="179"/>
        <v>8.7398425146427581</v>
      </c>
      <c r="O1822" s="3">
        <f t="shared" ca="1" si="180"/>
        <v>-6.7155330852207298</v>
      </c>
      <c r="P1822" s="3">
        <f t="shared" ca="1" si="181"/>
        <v>10.177572515847398</v>
      </c>
      <c r="Q1822" s="3">
        <f t="shared" ca="1" si="182"/>
        <v>12.193496911633947</v>
      </c>
    </row>
    <row r="1823" spans="7:17" x14ac:dyDescent="0.25">
      <c r="G1823" s="3">
        <f t="shared" ca="1" si="177"/>
        <v>2</v>
      </c>
      <c r="H1823" s="3">
        <f t="shared" ca="1" si="178"/>
        <v>6.208996262704372</v>
      </c>
      <c r="I1823" s="3">
        <f t="shared" ca="1" si="179"/>
        <v>12.458928788929221</v>
      </c>
      <c r="O1823" s="3">
        <f t="shared" ca="1" si="180"/>
        <v>-4.3796259552570422</v>
      </c>
      <c r="P1823" s="3">
        <f t="shared" ca="1" si="181"/>
        <v>-1.1785614487894405</v>
      </c>
      <c r="Q1823" s="3">
        <f t="shared" ca="1" si="182"/>
        <v>4.5354305855711017</v>
      </c>
    </row>
    <row r="1824" spans="7:17" x14ac:dyDescent="0.25">
      <c r="G1824" s="3">
        <f t="shared" ca="1" si="177"/>
        <v>0</v>
      </c>
      <c r="H1824" s="3">
        <f t="shared" ca="1" si="178"/>
        <v>0.38673232528967078</v>
      </c>
      <c r="I1824" s="3">
        <f t="shared" ca="1" si="179"/>
        <v>3.1093903151971398</v>
      </c>
      <c r="O1824" s="3">
        <f t="shared" ca="1" si="180"/>
        <v>-5.4733742085247226</v>
      </c>
      <c r="P1824" s="3">
        <f t="shared" ca="1" si="181"/>
        <v>2.6523362985226</v>
      </c>
      <c r="Q1824" s="3">
        <f t="shared" ca="1" si="182"/>
        <v>6.0821635186012717</v>
      </c>
    </row>
    <row r="1825" spans="7:17" x14ac:dyDescent="0.25">
      <c r="G1825" s="3">
        <f t="shared" ca="1" si="177"/>
        <v>0</v>
      </c>
      <c r="H1825" s="3">
        <f t="shared" ca="1" si="178"/>
        <v>1.7422683609367375</v>
      </c>
      <c r="I1825" s="3">
        <f t="shared" ca="1" si="179"/>
        <v>6.5997506788831375</v>
      </c>
      <c r="O1825" s="3">
        <f t="shared" ca="1" si="180"/>
        <v>-7.6421368717425544</v>
      </c>
      <c r="P1825" s="3">
        <f t="shared" ca="1" si="181"/>
        <v>-0.82109694498261254</v>
      </c>
      <c r="Q1825" s="3">
        <f t="shared" ca="1" si="182"/>
        <v>7.6861210086432319</v>
      </c>
    </row>
    <row r="1826" spans="7:17" x14ac:dyDescent="0.25">
      <c r="G1826" s="3">
        <f t="shared" ca="1" si="177"/>
        <v>2</v>
      </c>
      <c r="H1826" s="3">
        <f t="shared" ca="1" si="178"/>
        <v>2.160750171317988</v>
      </c>
      <c r="I1826" s="3">
        <f t="shared" ca="1" si="179"/>
        <v>7.3497451848992492</v>
      </c>
      <c r="O1826" s="3">
        <f t="shared" ca="1" si="180"/>
        <v>-7.4521473858839098</v>
      </c>
      <c r="P1826" s="3">
        <f t="shared" ca="1" si="181"/>
        <v>1.8594494717704164</v>
      </c>
      <c r="Q1826" s="3">
        <f t="shared" ca="1" si="182"/>
        <v>7.6806284247451826</v>
      </c>
    </row>
    <row r="1827" spans="7:17" x14ac:dyDescent="0.25">
      <c r="G1827" s="3">
        <f t="shared" ca="1" si="177"/>
        <v>0</v>
      </c>
      <c r="H1827" s="3">
        <f t="shared" ca="1" si="178"/>
        <v>1.7969410129739913</v>
      </c>
      <c r="I1827" s="3">
        <f t="shared" ca="1" si="179"/>
        <v>6.7025014229278446</v>
      </c>
      <c r="O1827" s="3">
        <f t="shared" ca="1" si="180"/>
        <v>-0.55762906231231568</v>
      </c>
      <c r="P1827" s="3">
        <f t="shared" ca="1" si="181"/>
        <v>0.1793251064184464</v>
      </c>
      <c r="Q1827" s="3">
        <f t="shared" ca="1" si="182"/>
        <v>0.58575392864862597</v>
      </c>
    </row>
    <row r="1828" spans="7:17" x14ac:dyDescent="0.25">
      <c r="G1828" s="3">
        <f t="shared" ca="1" si="177"/>
        <v>0</v>
      </c>
      <c r="H1828" s="3">
        <f t="shared" ca="1" si="178"/>
        <v>0.45733955759979161</v>
      </c>
      <c r="I1828" s="3">
        <f t="shared" ca="1" si="179"/>
        <v>3.3813442504416482</v>
      </c>
      <c r="O1828" s="3">
        <f t="shared" ca="1" si="180"/>
        <v>-13.582073637497082</v>
      </c>
      <c r="P1828" s="3">
        <f t="shared" ca="1" si="181"/>
        <v>-3.4711905476640115</v>
      </c>
      <c r="Q1828" s="3">
        <f t="shared" ca="1" si="182"/>
        <v>14.018626470256821</v>
      </c>
    </row>
    <row r="1829" spans="7:17" x14ac:dyDescent="0.25">
      <c r="G1829" s="3">
        <f t="shared" ca="1" si="177"/>
        <v>0</v>
      </c>
      <c r="H1829" s="3">
        <f t="shared" ca="1" si="178"/>
        <v>2.3461417281756014</v>
      </c>
      <c r="I1829" s="3">
        <f t="shared" ca="1" si="179"/>
        <v>7.6585601260543772</v>
      </c>
      <c r="O1829" s="3">
        <f t="shared" ca="1" si="180"/>
        <v>-4.3209263415842818</v>
      </c>
      <c r="P1829" s="3">
        <f t="shared" ca="1" si="181"/>
        <v>3.7348607265560316</v>
      </c>
      <c r="Q1829" s="3">
        <f t="shared" ca="1" si="182"/>
        <v>5.7113561521032441</v>
      </c>
    </row>
    <row r="1830" spans="7:17" x14ac:dyDescent="0.25">
      <c r="G1830" s="3">
        <f t="shared" ca="1" si="177"/>
        <v>0</v>
      </c>
      <c r="H1830" s="3">
        <f t="shared" ca="1" si="178"/>
        <v>0.66048414184046755</v>
      </c>
      <c r="I1830" s="3">
        <f t="shared" ca="1" si="179"/>
        <v>4.063508772724834</v>
      </c>
      <c r="O1830" s="3">
        <f t="shared" ca="1" si="180"/>
        <v>-5.3863956337664289</v>
      </c>
      <c r="P1830" s="3">
        <f t="shared" ca="1" si="181"/>
        <v>5.09235266657182</v>
      </c>
      <c r="Q1830" s="3">
        <f t="shared" ca="1" si="182"/>
        <v>7.4125106141036436</v>
      </c>
    </row>
    <row r="1831" spans="7:17" x14ac:dyDescent="0.25">
      <c r="G1831" s="3">
        <f t="shared" ca="1" si="177"/>
        <v>1</v>
      </c>
      <c r="H1831" s="3">
        <f t="shared" ca="1" si="178"/>
        <v>3.9490644567083315</v>
      </c>
      <c r="I1831" s="3">
        <f t="shared" ca="1" si="179"/>
        <v>9.936126580197552</v>
      </c>
      <c r="O1831" s="3">
        <f t="shared" ca="1" si="180"/>
        <v>-6.537330958813337</v>
      </c>
      <c r="P1831" s="3">
        <f t="shared" ca="1" si="181"/>
        <v>-2.7560836150144175</v>
      </c>
      <c r="Q1831" s="3">
        <f t="shared" ca="1" si="182"/>
        <v>7.0945537532680829</v>
      </c>
    </row>
    <row r="1832" spans="7:17" x14ac:dyDescent="0.25">
      <c r="G1832" s="3">
        <f t="shared" ca="1" si="177"/>
        <v>0</v>
      </c>
      <c r="H1832" s="3">
        <f t="shared" ca="1" si="178"/>
        <v>1.090639154360747</v>
      </c>
      <c r="I1832" s="3">
        <f t="shared" ca="1" si="179"/>
        <v>5.2216835272753439</v>
      </c>
      <c r="O1832" s="3">
        <f t="shared" ca="1" si="180"/>
        <v>-0.13940631390994795</v>
      </c>
      <c r="P1832" s="3">
        <f t="shared" ca="1" si="181"/>
        <v>6.5213551370716738</v>
      </c>
      <c r="Q1832" s="3">
        <f t="shared" ca="1" si="182"/>
        <v>6.5228450038437265</v>
      </c>
    </row>
    <row r="1833" spans="7:17" x14ac:dyDescent="0.25">
      <c r="G1833" s="3">
        <f t="shared" ca="1" si="177"/>
        <v>1</v>
      </c>
      <c r="H1833" s="3">
        <f t="shared" ca="1" si="178"/>
        <v>3.3762116051077116</v>
      </c>
      <c r="I1833" s="3">
        <f t="shared" ca="1" si="179"/>
        <v>9.18723517320052</v>
      </c>
      <c r="O1833" s="3">
        <f t="shared" ca="1" si="180"/>
        <v>-4.7129085853649491</v>
      </c>
      <c r="P1833" s="3">
        <f t="shared" ca="1" si="181"/>
        <v>1.5239149398211691</v>
      </c>
      <c r="Q1833" s="3">
        <f t="shared" ca="1" si="182"/>
        <v>4.9531630376777223</v>
      </c>
    </row>
    <row r="1834" spans="7:17" x14ac:dyDescent="0.25">
      <c r="G1834" s="3">
        <f t="shared" ca="1" si="177"/>
        <v>0</v>
      </c>
      <c r="H1834" s="3">
        <f t="shared" ca="1" si="178"/>
        <v>6.0268705943645857</v>
      </c>
      <c r="I1834" s="3">
        <f t="shared" ca="1" si="179"/>
        <v>12.274842763111657</v>
      </c>
      <c r="O1834" s="3">
        <f t="shared" ca="1" si="180"/>
        <v>-13.220090757544375</v>
      </c>
      <c r="P1834" s="3">
        <f t="shared" ca="1" si="181"/>
        <v>-3.6372149507214768</v>
      </c>
      <c r="Q1834" s="3">
        <f t="shared" ca="1" si="182"/>
        <v>13.711314022932378</v>
      </c>
    </row>
    <row r="1835" spans="7:17" x14ac:dyDescent="0.25">
      <c r="G1835" s="3">
        <f t="shared" ca="1" si="177"/>
        <v>0</v>
      </c>
      <c r="H1835" s="3">
        <f t="shared" ca="1" si="178"/>
        <v>0.73787222681153375</v>
      </c>
      <c r="I1835" s="3">
        <f t="shared" ca="1" si="179"/>
        <v>4.2949744667795571</v>
      </c>
      <c r="O1835" s="3">
        <f t="shared" ca="1" si="180"/>
        <v>1.7160692045879653</v>
      </c>
      <c r="P1835" s="3">
        <f t="shared" ca="1" si="181"/>
        <v>-2.3223592666964343</v>
      </c>
      <c r="Q1835" s="3">
        <f t="shared" ca="1" si="182"/>
        <v>2.8876021330068955</v>
      </c>
    </row>
    <row r="1836" spans="7:17" x14ac:dyDescent="0.25">
      <c r="G1836" s="3">
        <f t="shared" ca="1" si="177"/>
        <v>0</v>
      </c>
      <c r="H1836" s="3">
        <f t="shared" ca="1" si="178"/>
        <v>0.73229814794048631</v>
      </c>
      <c r="I1836" s="3">
        <f t="shared" ca="1" si="179"/>
        <v>4.2787210353693492</v>
      </c>
      <c r="O1836" s="3">
        <f t="shared" ca="1" si="180"/>
        <v>3.2448179150884258</v>
      </c>
      <c r="P1836" s="3">
        <f t="shared" ca="1" si="181"/>
        <v>-3.1643964814227532</v>
      </c>
      <c r="Q1836" s="3">
        <f t="shared" ca="1" si="182"/>
        <v>4.5323557223280142</v>
      </c>
    </row>
    <row r="1837" spans="7:17" x14ac:dyDescent="0.25">
      <c r="G1837" s="3">
        <f t="shared" ca="1" si="177"/>
        <v>0</v>
      </c>
      <c r="H1837" s="3">
        <f t="shared" ca="1" si="178"/>
        <v>5.4633018471654236</v>
      </c>
      <c r="I1837" s="3">
        <f t="shared" ca="1" si="179"/>
        <v>11.686853561978758</v>
      </c>
      <c r="O1837" s="3">
        <f t="shared" ca="1" si="180"/>
        <v>-5.7226148648367765</v>
      </c>
      <c r="P1837" s="3">
        <f t="shared" ca="1" si="181"/>
        <v>2.7742581119188539</v>
      </c>
      <c r="Q1837" s="3">
        <f t="shared" ca="1" si="182"/>
        <v>6.3596249073981079</v>
      </c>
    </row>
    <row r="1838" spans="7:17" x14ac:dyDescent="0.25">
      <c r="G1838" s="3">
        <f t="shared" ca="1" si="177"/>
        <v>0</v>
      </c>
      <c r="H1838" s="3">
        <f t="shared" ca="1" si="178"/>
        <v>1.2536841962438028</v>
      </c>
      <c r="I1838" s="3">
        <f t="shared" ca="1" si="179"/>
        <v>5.5984019957569213</v>
      </c>
      <c r="O1838" s="3">
        <f t="shared" ca="1" si="180"/>
        <v>1.176958885708844</v>
      </c>
      <c r="P1838" s="3">
        <f t="shared" ca="1" si="181"/>
        <v>-1.316821310996787</v>
      </c>
      <c r="Q1838" s="3">
        <f t="shared" ca="1" si="182"/>
        <v>1.7661400238215261</v>
      </c>
    </row>
    <row r="1839" spans="7:17" x14ac:dyDescent="0.25">
      <c r="G1839" s="3">
        <f t="shared" ca="1" si="177"/>
        <v>0</v>
      </c>
      <c r="H1839" s="3">
        <f t="shared" ca="1" si="178"/>
        <v>3.5173189639473388</v>
      </c>
      <c r="I1839" s="3">
        <f t="shared" ca="1" si="179"/>
        <v>9.3772583465895547</v>
      </c>
      <c r="O1839" s="3">
        <f t="shared" ca="1" si="180"/>
        <v>-6.6484512811469436</v>
      </c>
      <c r="P1839" s="3">
        <f t="shared" ca="1" si="181"/>
        <v>5.1348248675568726</v>
      </c>
      <c r="Q1839" s="3">
        <f t="shared" ca="1" si="182"/>
        <v>8.4004958697844074</v>
      </c>
    </row>
    <row r="1840" spans="7:17" x14ac:dyDescent="0.25">
      <c r="G1840" s="3">
        <f t="shared" ca="1" si="177"/>
        <v>1</v>
      </c>
      <c r="H1840" s="3">
        <f t="shared" ca="1" si="178"/>
        <v>3.3667768903617739</v>
      </c>
      <c r="I1840" s="3">
        <f t="shared" ca="1" si="179"/>
        <v>9.1743894760929106</v>
      </c>
      <c r="O1840" s="3">
        <f t="shared" ca="1" si="180"/>
        <v>-3.903075440174705</v>
      </c>
      <c r="P1840" s="3">
        <f t="shared" ca="1" si="181"/>
        <v>1.4048582474804061</v>
      </c>
      <c r="Q1840" s="3">
        <f t="shared" ca="1" si="182"/>
        <v>4.1482073944305968</v>
      </c>
    </row>
    <row r="1841" spans="7:17" x14ac:dyDescent="0.25">
      <c r="G1841" s="3">
        <f t="shared" ca="1" si="177"/>
        <v>0</v>
      </c>
      <c r="H1841" s="3">
        <f t="shared" ca="1" si="178"/>
        <v>4.6318866397183522E-2</v>
      </c>
      <c r="I1841" s="3">
        <f t="shared" ca="1" si="179"/>
        <v>1.0760909162006658</v>
      </c>
      <c r="O1841" s="3">
        <f t="shared" ca="1" si="180"/>
        <v>4.7409712060431222</v>
      </c>
      <c r="P1841" s="3">
        <f t="shared" ca="1" si="181"/>
        <v>3.3897638399856347</v>
      </c>
      <c r="Q1841" s="3">
        <f t="shared" ca="1" si="182"/>
        <v>5.8281478076147089</v>
      </c>
    </row>
    <row r="1842" spans="7:17" x14ac:dyDescent="0.25">
      <c r="G1842" s="3">
        <f t="shared" ca="1" si="177"/>
        <v>1</v>
      </c>
      <c r="H1842" s="3">
        <f t="shared" ca="1" si="178"/>
        <v>3.4809287989956661</v>
      </c>
      <c r="I1842" s="3">
        <f t="shared" ca="1" si="179"/>
        <v>9.3286236913540286</v>
      </c>
      <c r="O1842" s="3">
        <f t="shared" ca="1" si="180"/>
        <v>3.2688533789275844</v>
      </c>
      <c r="P1842" s="3">
        <f t="shared" ca="1" si="181"/>
        <v>14.761749575237877</v>
      </c>
      <c r="Q1842" s="3">
        <f t="shared" ca="1" si="182"/>
        <v>15.119346974488083</v>
      </c>
    </row>
    <row r="1843" spans="7:17" x14ac:dyDescent="0.25">
      <c r="G1843" s="3">
        <f t="shared" ca="1" si="177"/>
        <v>1</v>
      </c>
      <c r="H1843" s="3">
        <f t="shared" ca="1" si="178"/>
        <v>0.52872295226216737</v>
      </c>
      <c r="I1843" s="3">
        <f t="shared" ca="1" si="179"/>
        <v>3.6356668998347725</v>
      </c>
      <c r="O1843" s="3">
        <f t="shared" ca="1" si="180"/>
        <v>-4.2164772335077281</v>
      </c>
      <c r="P1843" s="3">
        <f t="shared" ca="1" si="181"/>
        <v>-6.0015397068180318</v>
      </c>
      <c r="Q1843" s="3">
        <f t="shared" ca="1" si="182"/>
        <v>7.334654668980841</v>
      </c>
    </row>
    <row r="1844" spans="7:17" x14ac:dyDescent="0.25">
      <c r="G1844" s="3">
        <f t="shared" ca="1" si="177"/>
        <v>1</v>
      </c>
      <c r="H1844" s="3">
        <f t="shared" ca="1" si="178"/>
        <v>2.7455136009009586</v>
      </c>
      <c r="I1844" s="3">
        <f t="shared" ca="1" si="179"/>
        <v>8.2847957139886059</v>
      </c>
      <c r="O1844" s="3">
        <f t="shared" ca="1" si="180"/>
        <v>-10.94420224605736</v>
      </c>
      <c r="P1844" s="3">
        <f t="shared" ca="1" si="181"/>
        <v>2.1870760670970264</v>
      </c>
      <c r="Q1844" s="3">
        <f t="shared" ca="1" si="182"/>
        <v>11.16059427297111</v>
      </c>
    </row>
    <row r="1845" spans="7:17" x14ac:dyDescent="0.25">
      <c r="G1845" s="3">
        <f t="shared" ca="1" si="177"/>
        <v>1</v>
      </c>
      <c r="H1845" s="3">
        <f t="shared" ca="1" si="178"/>
        <v>7.2882073260553053</v>
      </c>
      <c r="I1845" s="3">
        <f t="shared" ca="1" si="179"/>
        <v>13.498340014660419</v>
      </c>
      <c r="O1845" s="3">
        <f t="shared" ca="1" si="180"/>
        <v>-3.5676376790886311</v>
      </c>
      <c r="P1845" s="3">
        <f t="shared" ca="1" si="181"/>
        <v>2.2440255960445032</v>
      </c>
      <c r="Q1845" s="3">
        <f t="shared" ca="1" si="182"/>
        <v>4.2146992164276451</v>
      </c>
    </row>
    <row r="1846" spans="7:17" x14ac:dyDescent="0.25">
      <c r="G1846" s="3">
        <f t="shared" ca="1" si="177"/>
        <v>1</v>
      </c>
      <c r="H1846" s="3">
        <f t="shared" ca="1" si="178"/>
        <v>4.2736044464927865</v>
      </c>
      <c r="I1846" s="3">
        <f t="shared" ca="1" si="179"/>
        <v>10.336349024792055</v>
      </c>
      <c r="O1846" s="3">
        <f t="shared" ca="1" si="180"/>
        <v>-8.0647676011403817</v>
      </c>
      <c r="P1846" s="3">
        <f t="shared" ca="1" si="181"/>
        <v>-6.2263027571965077</v>
      </c>
      <c r="Q1846" s="3">
        <f t="shared" ca="1" si="182"/>
        <v>10.188587855275943</v>
      </c>
    </row>
    <row r="1847" spans="7:17" x14ac:dyDescent="0.25">
      <c r="G1847" s="3">
        <f t="shared" ca="1" si="177"/>
        <v>0</v>
      </c>
      <c r="H1847" s="3">
        <f t="shared" ca="1" si="178"/>
        <v>2.8220411655333373</v>
      </c>
      <c r="I1847" s="3">
        <f t="shared" ca="1" si="179"/>
        <v>8.3994660031655251</v>
      </c>
      <c r="O1847" s="3">
        <f t="shared" ca="1" si="180"/>
        <v>-8.7874086282922406</v>
      </c>
      <c r="P1847" s="3">
        <f t="shared" ca="1" si="181"/>
        <v>-0.47397520002981691</v>
      </c>
      <c r="Q1847" s="3">
        <f t="shared" ca="1" si="182"/>
        <v>8.8001819805517787</v>
      </c>
    </row>
    <row r="1848" spans="7:17" x14ac:dyDescent="0.25">
      <c r="G1848" s="3">
        <f t="shared" ca="1" si="177"/>
        <v>1</v>
      </c>
      <c r="H1848" s="3">
        <f t="shared" ca="1" si="178"/>
        <v>2.6578622557068359</v>
      </c>
      <c r="I1848" s="3">
        <f t="shared" ca="1" si="179"/>
        <v>8.1514757187070668</v>
      </c>
      <c r="O1848" s="3">
        <f t="shared" ca="1" si="180"/>
        <v>3.9113004252457806</v>
      </c>
      <c r="P1848" s="3">
        <f t="shared" ca="1" si="181"/>
        <v>-3.0043732399778267</v>
      </c>
      <c r="Q1848" s="3">
        <f t="shared" ca="1" si="182"/>
        <v>4.9319904279735463</v>
      </c>
    </row>
    <row r="1849" spans="7:17" x14ac:dyDescent="0.25">
      <c r="G1849" s="3">
        <f t="shared" ca="1" si="177"/>
        <v>0</v>
      </c>
      <c r="H1849" s="3">
        <f t="shared" ca="1" si="178"/>
        <v>1.2723705217954187</v>
      </c>
      <c r="I1849" s="3">
        <f t="shared" ca="1" si="179"/>
        <v>5.6399701280135748</v>
      </c>
      <c r="O1849" s="3">
        <f t="shared" ca="1" si="180"/>
        <v>6.6433819400162957</v>
      </c>
      <c r="P1849" s="3">
        <f t="shared" ca="1" si="181"/>
        <v>-0.69594336528211298</v>
      </c>
      <c r="Q1849" s="3">
        <f t="shared" ca="1" si="182"/>
        <v>6.6797350822180723</v>
      </c>
    </row>
    <row r="1850" spans="7:17" x14ac:dyDescent="0.25">
      <c r="G1850" s="3">
        <f t="shared" ca="1" si="177"/>
        <v>1</v>
      </c>
      <c r="H1850" s="3">
        <f t="shared" ca="1" si="178"/>
        <v>3.7412846291206394</v>
      </c>
      <c r="I1850" s="3">
        <f t="shared" ca="1" si="179"/>
        <v>9.6712003250897443</v>
      </c>
      <c r="O1850" s="3">
        <f t="shared" ca="1" si="180"/>
        <v>-2.4778059151972585</v>
      </c>
      <c r="P1850" s="3">
        <f t="shared" ca="1" si="181"/>
        <v>3.4613459702390332</v>
      </c>
      <c r="Q1850" s="3">
        <f t="shared" ca="1" si="182"/>
        <v>4.256810787323829</v>
      </c>
    </row>
    <row r="1851" spans="7:17" x14ac:dyDescent="0.25">
      <c r="G1851" s="3">
        <f t="shared" ca="1" si="177"/>
        <v>0</v>
      </c>
      <c r="H1851" s="3">
        <f t="shared" ca="1" si="178"/>
        <v>1.5177564635368301</v>
      </c>
      <c r="I1851" s="3">
        <f t="shared" ca="1" si="179"/>
        <v>6.1598629520810562</v>
      </c>
      <c r="O1851" s="3">
        <f t="shared" ca="1" si="180"/>
        <v>-5.2881228970274829</v>
      </c>
      <c r="P1851" s="3">
        <f t="shared" ca="1" si="181"/>
        <v>-3.7359497557895311</v>
      </c>
      <c r="Q1851" s="3">
        <f t="shared" ca="1" si="182"/>
        <v>6.4746864288434995</v>
      </c>
    </row>
    <row r="1852" spans="7:17" x14ac:dyDescent="0.25">
      <c r="G1852" s="3">
        <f t="shared" ca="1" si="177"/>
        <v>0</v>
      </c>
      <c r="H1852" s="3">
        <f t="shared" ca="1" si="178"/>
        <v>1.5019284213225692</v>
      </c>
      <c r="I1852" s="3">
        <f t="shared" ca="1" si="179"/>
        <v>6.1276594661472679</v>
      </c>
      <c r="O1852" s="3">
        <f t="shared" ca="1" si="180"/>
        <v>-8.5337765790914126</v>
      </c>
      <c r="P1852" s="3">
        <f t="shared" ca="1" si="181"/>
        <v>5.7945009383667072</v>
      </c>
      <c r="Q1852" s="3">
        <f t="shared" ca="1" si="182"/>
        <v>10.315114338997013</v>
      </c>
    </row>
    <row r="1853" spans="7:17" x14ac:dyDescent="0.25">
      <c r="G1853" s="3">
        <f t="shared" ca="1" si="177"/>
        <v>1</v>
      </c>
      <c r="H1853" s="3">
        <f t="shared" ca="1" si="178"/>
        <v>1.194564128635401</v>
      </c>
      <c r="I1853" s="3">
        <f t="shared" ca="1" si="179"/>
        <v>5.4648058717474148</v>
      </c>
      <c r="O1853" s="3">
        <f t="shared" ca="1" si="180"/>
        <v>-2.8102004304371291</v>
      </c>
      <c r="P1853" s="3">
        <f t="shared" ca="1" si="181"/>
        <v>5.7139532207283343</v>
      </c>
      <c r="Q1853" s="3">
        <f t="shared" ca="1" si="182"/>
        <v>6.3676124150187352</v>
      </c>
    </row>
    <row r="1854" spans="7:17" x14ac:dyDescent="0.25">
      <c r="G1854" s="3">
        <f t="shared" ca="1" si="177"/>
        <v>0</v>
      </c>
      <c r="H1854" s="3">
        <f t="shared" ca="1" si="178"/>
        <v>0.2915956712372833</v>
      </c>
      <c r="I1854" s="3">
        <f t="shared" ca="1" si="179"/>
        <v>2.699979959357492</v>
      </c>
      <c r="O1854" s="3">
        <f t="shared" ca="1" si="180"/>
        <v>-6.7051949925839125</v>
      </c>
      <c r="P1854" s="3">
        <f t="shared" ca="1" si="181"/>
        <v>-4.916346219325769</v>
      </c>
      <c r="Q1854" s="3">
        <f t="shared" ca="1" si="182"/>
        <v>8.31445127695455</v>
      </c>
    </row>
    <row r="1855" spans="7:17" x14ac:dyDescent="0.25">
      <c r="G1855" s="3">
        <f t="shared" ca="1" si="177"/>
        <v>0</v>
      </c>
      <c r="H1855" s="3">
        <f t="shared" ca="1" si="178"/>
        <v>1.1089426948660188</v>
      </c>
      <c r="I1855" s="3">
        <f t="shared" ca="1" si="179"/>
        <v>5.2653174046443274</v>
      </c>
      <c r="O1855" s="3">
        <f t="shared" ca="1" si="180"/>
        <v>-8.1049434524994588</v>
      </c>
      <c r="P1855" s="3">
        <f t="shared" ca="1" si="181"/>
        <v>4.1132518944199905</v>
      </c>
      <c r="Q1855" s="3">
        <f t="shared" ca="1" si="182"/>
        <v>9.0889465569538626</v>
      </c>
    </row>
    <row r="1856" spans="7:17" x14ac:dyDescent="0.25">
      <c r="G1856" s="3">
        <f t="shared" ca="1" si="177"/>
        <v>0</v>
      </c>
      <c r="H1856" s="3">
        <f t="shared" ca="1" si="178"/>
        <v>1.9918429856815818</v>
      </c>
      <c r="I1856" s="3">
        <f t="shared" ca="1" si="179"/>
        <v>7.056633378746521</v>
      </c>
      <c r="O1856" s="3">
        <f t="shared" ca="1" si="180"/>
        <v>-11.938169290266377</v>
      </c>
      <c r="P1856" s="3">
        <f t="shared" ca="1" si="181"/>
        <v>-1.4405717209310434</v>
      </c>
      <c r="Q1856" s="3">
        <f t="shared" ca="1" si="182"/>
        <v>12.024771635511646</v>
      </c>
    </row>
    <row r="1857" spans="7:17" x14ac:dyDescent="0.25">
      <c r="G1857" s="3">
        <f t="shared" ca="1" si="177"/>
        <v>0</v>
      </c>
      <c r="H1857" s="3">
        <f t="shared" ca="1" si="178"/>
        <v>0.61405733767341653</v>
      </c>
      <c r="I1857" s="3">
        <f t="shared" ca="1" si="179"/>
        <v>3.9180905351759563</v>
      </c>
      <c r="O1857" s="3">
        <f t="shared" ca="1" si="180"/>
        <v>-2.7399805339538257</v>
      </c>
      <c r="P1857" s="3">
        <f t="shared" ca="1" si="181"/>
        <v>-8.8453192436244734</v>
      </c>
      <c r="Q1857" s="3">
        <f t="shared" ca="1" si="182"/>
        <v>9.2599765576419966</v>
      </c>
    </row>
    <row r="1858" spans="7:17" x14ac:dyDescent="0.25">
      <c r="G1858" s="3">
        <f t="shared" ca="1" si="177"/>
        <v>3</v>
      </c>
      <c r="H1858" s="3">
        <f t="shared" ca="1" si="178"/>
        <v>7.4090072101395235</v>
      </c>
      <c r="I1858" s="3">
        <f t="shared" ca="1" si="179"/>
        <v>13.609745782103651</v>
      </c>
      <c r="O1858" s="3">
        <f t="shared" ca="1" si="180"/>
        <v>-1.0904384532534954</v>
      </c>
      <c r="P1858" s="3">
        <f t="shared" ca="1" si="181"/>
        <v>4.8400482789893102</v>
      </c>
      <c r="Q1858" s="3">
        <f t="shared" ca="1" si="182"/>
        <v>4.9613630549760472</v>
      </c>
    </row>
    <row r="1859" spans="7:17" x14ac:dyDescent="0.25">
      <c r="G1859" s="3">
        <f t="shared" ca="1" si="177"/>
        <v>0</v>
      </c>
      <c r="H1859" s="3">
        <f t="shared" ca="1" si="178"/>
        <v>0.69446828793509685</v>
      </c>
      <c r="I1859" s="3">
        <f t="shared" ca="1" si="179"/>
        <v>4.1667381965246415</v>
      </c>
      <c r="O1859" s="3">
        <f t="shared" ca="1" si="180"/>
        <v>-4.1363678665329271</v>
      </c>
      <c r="P1859" s="3">
        <f t="shared" ca="1" si="181"/>
        <v>3.1123766460079048</v>
      </c>
      <c r="Q1859" s="3">
        <f t="shared" ca="1" si="182"/>
        <v>5.1765265877711446</v>
      </c>
    </row>
    <row r="1860" spans="7:17" x14ac:dyDescent="0.25">
      <c r="G1860" s="3">
        <f t="shared" ref="G1860:G1923" ca="1" si="183">VLOOKUP(RAND(),$B$9:$C$169,2,TRUE)</f>
        <v>0</v>
      </c>
      <c r="H1860" s="3">
        <f t="shared" ref="H1860:H1923" ca="1" si="184">_xlfn.CHISQ.INV(RAND(),2*G1860+2)</f>
        <v>6.8472651699156613</v>
      </c>
      <c r="I1860" s="3">
        <f t="shared" ref="I1860:I1923" ca="1" si="185">$C$4*SQRT(H1860)</f>
        <v>13.083639755354453</v>
      </c>
      <c r="O1860" s="3">
        <f t="shared" ref="O1860:O1923" ca="1" si="186">_xlfn.NORM.INV(RAND(),$C$3*COS($N$2),$C$4)</f>
        <v>-6.4900330451045072</v>
      </c>
      <c r="P1860" s="3">
        <f t="shared" ref="P1860:P1923" ca="1" si="187">_xlfn.NORM.INV(RAND(),$C$3*SIN($N$2),$C$4)</f>
        <v>-6.249558764495271</v>
      </c>
      <c r="Q1860" s="3">
        <f t="shared" ref="Q1860:Q1923" ca="1" si="188">SQRT(O1860^2+P1860^2)</f>
        <v>9.0098564737418627</v>
      </c>
    </row>
    <row r="1861" spans="7:17" x14ac:dyDescent="0.25">
      <c r="G1861" s="3">
        <f t="shared" ca="1" si="183"/>
        <v>1</v>
      </c>
      <c r="H1861" s="3">
        <f t="shared" ca="1" si="184"/>
        <v>6.3450525768526091</v>
      </c>
      <c r="I1861" s="3">
        <f t="shared" ca="1" si="185"/>
        <v>12.594693899468744</v>
      </c>
      <c r="O1861" s="3">
        <f t="shared" ca="1" si="186"/>
        <v>-12.015188922454012</v>
      </c>
      <c r="P1861" s="3">
        <f t="shared" ca="1" si="187"/>
        <v>0.34627972891292219</v>
      </c>
      <c r="Q1861" s="3">
        <f t="shared" ca="1" si="188"/>
        <v>12.020177806210588</v>
      </c>
    </row>
    <row r="1862" spans="7:17" x14ac:dyDescent="0.25">
      <c r="G1862" s="3">
        <f t="shared" ca="1" si="183"/>
        <v>0</v>
      </c>
      <c r="H1862" s="3">
        <f t="shared" ca="1" si="184"/>
        <v>2.4897901119813652</v>
      </c>
      <c r="I1862" s="3">
        <f t="shared" ca="1" si="185"/>
        <v>7.8895343842038059</v>
      </c>
      <c r="O1862" s="3">
        <f t="shared" ca="1" si="186"/>
        <v>4.4643605154113501</v>
      </c>
      <c r="P1862" s="3">
        <f t="shared" ca="1" si="187"/>
        <v>-4.8171539670640984</v>
      </c>
      <c r="Q1862" s="3">
        <f t="shared" ca="1" si="188"/>
        <v>6.5677611980008281</v>
      </c>
    </row>
    <row r="1863" spans="7:17" x14ac:dyDescent="0.25">
      <c r="G1863" s="3">
        <f t="shared" ca="1" si="183"/>
        <v>1</v>
      </c>
      <c r="H1863" s="3">
        <f t="shared" ca="1" si="184"/>
        <v>16.119937918152598</v>
      </c>
      <c r="I1863" s="3">
        <f t="shared" ca="1" si="185"/>
        <v>20.074821243383838</v>
      </c>
      <c r="O1863" s="3">
        <f t="shared" ca="1" si="186"/>
        <v>-5.2070672040319019</v>
      </c>
      <c r="P1863" s="3">
        <f t="shared" ca="1" si="187"/>
        <v>5.6071628424388544</v>
      </c>
      <c r="Q1863" s="3">
        <f t="shared" ca="1" si="188"/>
        <v>7.6520470469627657</v>
      </c>
    </row>
    <row r="1864" spans="7:17" x14ac:dyDescent="0.25">
      <c r="G1864" s="3">
        <f t="shared" ca="1" si="183"/>
        <v>2</v>
      </c>
      <c r="H1864" s="3">
        <f t="shared" ca="1" si="184"/>
        <v>5.2780855747075064</v>
      </c>
      <c r="I1864" s="3">
        <f t="shared" ca="1" si="185"/>
        <v>11.487042237568714</v>
      </c>
      <c r="O1864" s="3">
        <f t="shared" ca="1" si="186"/>
        <v>-6.1910493116888956</v>
      </c>
      <c r="P1864" s="3">
        <f t="shared" ca="1" si="187"/>
        <v>5.4290777724965311</v>
      </c>
      <c r="Q1864" s="3">
        <f t="shared" ca="1" si="188"/>
        <v>8.2343170354061215</v>
      </c>
    </row>
    <row r="1865" spans="7:17" x14ac:dyDescent="0.25">
      <c r="G1865" s="3">
        <f t="shared" ca="1" si="183"/>
        <v>0</v>
      </c>
      <c r="H1865" s="3">
        <f t="shared" ca="1" si="184"/>
        <v>1.0916199372503159</v>
      </c>
      <c r="I1865" s="3">
        <f t="shared" ca="1" si="185"/>
        <v>5.2240308604810037</v>
      </c>
      <c r="O1865" s="3">
        <f t="shared" ca="1" si="186"/>
        <v>-0.26197237193509793</v>
      </c>
      <c r="P1865" s="3">
        <f t="shared" ca="1" si="187"/>
        <v>3.0345752553138192</v>
      </c>
      <c r="Q1865" s="3">
        <f t="shared" ca="1" si="188"/>
        <v>3.045862193832845</v>
      </c>
    </row>
    <row r="1866" spans="7:17" x14ac:dyDescent="0.25">
      <c r="G1866" s="3">
        <f t="shared" ca="1" si="183"/>
        <v>1</v>
      </c>
      <c r="H1866" s="3">
        <f t="shared" ca="1" si="184"/>
        <v>3.1444957301579595</v>
      </c>
      <c r="I1866" s="3">
        <f t="shared" ca="1" si="185"/>
        <v>8.8663630229056718</v>
      </c>
      <c r="O1866" s="3">
        <f t="shared" ca="1" si="186"/>
        <v>-7.7308302104635302</v>
      </c>
      <c r="P1866" s="3">
        <f t="shared" ca="1" si="187"/>
        <v>9.4729711230057347</v>
      </c>
      <c r="Q1866" s="3">
        <f t="shared" ca="1" si="188"/>
        <v>12.227138571240458</v>
      </c>
    </row>
    <row r="1867" spans="7:17" x14ac:dyDescent="0.25">
      <c r="G1867" s="3">
        <f t="shared" ca="1" si="183"/>
        <v>0</v>
      </c>
      <c r="H1867" s="3">
        <f t="shared" ca="1" si="184"/>
        <v>4.7931819214316631</v>
      </c>
      <c r="I1867" s="3">
        <f t="shared" ca="1" si="185"/>
        <v>10.946668353238422</v>
      </c>
      <c r="O1867" s="3">
        <f t="shared" ca="1" si="186"/>
        <v>-5.5103870138055946</v>
      </c>
      <c r="P1867" s="3">
        <f t="shared" ca="1" si="187"/>
        <v>-3.996146647935729</v>
      </c>
      <c r="Q1867" s="3">
        <f t="shared" ca="1" si="188"/>
        <v>6.8068754266348446</v>
      </c>
    </row>
    <row r="1868" spans="7:17" x14ac:dyDescent="0.25">
      <c r="G1868" s="3">
        <f t="shared" ca="1" si="183"/>
        <v>2</v>
      </c>
      <c r="H1868" s="3">
        <f t="shared" ca="1" si="184"/>
        <v>3.998530356213283</v>
      </c>
      <c r="I1868" s="3">
        <f t="shared" ca="1" si="185"/>
        <v>9.9981627764970931</v>
      </c>
      <c r="O1868" s="3">
        <f t="shared" ca="1" si="186"/>
        <v>-7.2464618273144019</v>
      </c>
      <c r="P1868" s="3">
        <f t="shared" ca="1" si="187"/>
        <v>-2.4006956379537354</v>
      </c>
      <c r="Q1868" s="3">
        <f t="shared" ca="1" si="188"/>
        <v>7.633776821522547</v>
      </c>
    </row>
    <row r="1869" spans="7:17" x14ac:dyDescent="0.25">
      <c r="G1869" s="3">
        <f t="shared" ca="1" si="183"/>
        <v>0</v>
      </c>
      <c r="H1869" s="3">
        <f t="shared" ca="1" si="184"/>
        <v>0.50108624929410606</v>
      </c>
      <c r="I1869" s="3">
        <f t="shared" ca="1" si="185"/>
        <v>3.5393722935504615</v>
      </c>
      <c r="O1869" s="3">
        <f t="shared" ca="1" si="186"/>
        <v>9.3085085378881693</v>
      </c>
      <c r="P1869" s="3">
        <f t="shared" ca="1" si="187"/>
        <v>0.46872508596727486</v>
      </c>
      <c r="Q1869" s="3">
        <f t="shared" ca="1" si="188"/>
        <v>9.3203022701064793</v>
      </c>
    </row>
    <row r="1870" spans="7:17" x14ac:dyDescent="0.25">
      <c r="G1870" s="3">
        <f t="shared" ca="1" si="183"/>
        <v>2</v>
      </c>
      <c r="H1870" s="3">
        <f t="shared" ca="1" si="184"/>
        <v>3.2470766832614277</v>
      </c>
      <c r="I1870" s="3">
        <f t="shared" ca="1" si="185"/>
        <v>9.0098233657234204</v>
      </c>
      <c r="O1870" s="3">
        <f t="shared" ca="1" si="186"/>
        <v>-13.442493673885366</v>
      </c>
      <c r="P1870" s="3">
        <f t="shared" ca="1" si="187"/>
        <v>-0.86741394816349815</v>
      </c>
      <c r="Q1870" s="3">
        <f t="shared" ca="1" si="188"/>
        <v>13.470450739671508</v>
      </c>
    </row>
    <row r="1871" spans="7:17" x14ac:dyDescent="0.25">
      <c r="G1871" s="3">
        <f t="shared" ca="1" si="183"/>
        <v>1</v>
      </c>
      <c r="H1871" s="3">
        <f t="shared" ca="1" si="184"/>
        <v>9.4207524964568492</v>
      </c>
      <c r="I1871" s="3">
        <f t="shared" ca="1" si="185"/>
        <v>15.346622182468078</v>
      </c>
      <c r="O1871" s="3">
        <f t="shared" ca="1" si="186"/>
        <v>-15.804218296700503</v>
      </c>
      <c r="P1871" s="3">
        <f t="shared" ca="1" si="187"/>
        <v>-2.1594822199250476</v>
      </c>
      <c r="Q1871" s="3">
        <f t="shared" ca="1" si="188"/>
        <v>15.951071419435603</v>
      </c>
    </row>
    <row r="1872" spans="7:17" x14ac:dyDescent="0.25">
      <c r="G1872" s="3">
        <f t="shared" ca="1" si="183"/>
        <v>1</v>
      </c>
      <c r="H1872" s="3">
        <f t="shared" ca="1" si="184"/>
        <v>1.6581164587392141</v>
      </c>
      <c r="I1872" s="3">
        <f t="shared" ca="1" si="185"/>
        <v>6.4383935471886424</v>
      </c>
      <c r="O1872" s="3">
        <f t="shared" ca="1" si="186"/>
        <v>-6.6415096022424596</v>
      </c>
      <c r="P1872" s="3">
        <f t="shared" ca="1" si="187"/>
        <v>4.1542510603484235</v>
      </c>
      <c r="Q1872" s="3">
        <f t="shared" ca="1" si="188"/>
        <v>7.8337380393452527</v>
      </c>
    </row>
    <row r="1873" spans="7:17" x14ac:dyDescent="0.25">
      <c r="G1873" s="3">
        <f t="shared" ca="1" si="183"/>
        <v>1</v>
      </c>
      <c r="H1873" s="3">
        <f t="shared" ca="1" si="184"/>
        <v>1.550265849287517</v>
      </c>
      <c r="I1873" s="3">
        <f t="shared" ca="1" si="185"/>
        <v>6.2254836143216963</v>
      </c>
      <c r="O1873" s="3">
        <f t="shared" ca="1" si="186"/>
        <v>-0.44751600124981117</v>
      </c>
      <c r="P1873" s="3">
        <f t="shared" ca="1" si="187"/>
        <v>0.54680269056743969</v>
      </c>
      <c r="Q1873" s="3">
        <f t="shared" ca="1" si="188"/>
        <v>0.70658598470845158</v>
      </c>
    </row>
    <row r="1874" spans="7:17" x14ac:dyDescent="0.25">
      <c r="G1874" s="3">
        <f t="shared" ca="1" si="183"/>
        <v>1</v>
      </c>
      <c r="H1874" s="3">
        <f t="shared" ca="1" si="184"/>
        <v>3.3898433665928218</v>
      </c>
      <c r="I1874" s="3">
        <f t="shared" ca="1" si="185"/>
        <v>9.2057636383311809</v>
      </c>
      <c r="O1874" s="3">
        <f t="shared" ca="1" si="186"/>
        <v>-6.5941308480089091</v>
      </c>
      <c r="P1874" s="3">
        <f t="shared" ca="1" si="187"/>
        <v>-0.43102959466349472</v>
      </c>
      <c r="Q1874" s="3">
        <f t="shared" ca="1" si="188"/>
        <v>6.608203095557708</v>
      </c>
    </row>
    <row r="1875" spans="7:17" x14ac:dyDescent="0.25">
      <c r="G1875" s="3">
        <f t="shared" ca="1" si="183"/>
        <v>1</v>
      </c>
      <c r="H1875" s="3">
        <f t="shared" ca="1" si="184"/>
        <v>2.5272332983849495</v>
      </c>
      <c r="I1875" s="3">
        <f t="shared" ca="1" si="185"/>
        <v>7.9486371447955619</v>
      </c>
      <c r="O1875" s="3">
        <f t="shared" ca="1" si="186"/>
        <v>-13.147829287839114</v>
      </c>
      <c r="P1875" s="3">
        <f t="shared" ca="1" si="187"/>
        <v>3.00648615966257</v>
      </c>
      <c r="Q1875" s="3">
        <f t="shared" ca="1" si="188"/>
        <v>13.487192962599838</v>
      </c>
    </row>
    <row r="1876" spans="7:17" x14ac:dyDescent="0.25">
      <c r="G1876" s="3">
        <f t="shared" ca="1" si="183"/>
        <v>0</v>
      </c>
      <c r="H1876" s="3">
        <f t="shared" ca="1" si="184"/>
        <v>3.1480206804206849</v>
      </c>
      <c r="I1876" s="3">
        <f t="shared" ca="1" si="185"/>
        <v>8.8713311859335473</v>
      </c>
      <c r="O1876" s="3">
        <f t="shared" ca="1" si="186"/>
        <v>-1.3204078467558213</v>
      </c>
      <c r="P1876" s="3">
        <f t="shared" ca="1" si="187"/>
        <v>0.17691909779440085</v>
      </c>
      <c r="Q1876" s="3">
        <f t="shared" ca="1" si="188"/>
        <v>1.3322076598408858</v>
      </c>
    </row>
    <row r="1877" spans="7:17" x14ac:dyDescent="0.25">
      <c r="G1877" s="3">
        <f t="shared" ca="1" si="183"/>
        <v>2</v>
      </c>
      <c r="H1877" s="3">
        <f t="shared" ca="1" si="184"/>
        <v>5.8607733736821608</v>
      </c>
      <c r="I1877" s="3">
        <f t="shared" ca="1" si="185"/>
        <v>12.104517104868497</v>
      </c>
      <c r="O1877" s="3">
        <f t="shared" ca="1" si="186"/>
        <v>-5.9765513291246553</v>
      </c>
      <c r="P1877" s="3">
        <f t="shared" ca="1" si="187"/>
        <v>5.1054800367427555</v>
      </c>
      <c r="Q1877" s="3">
        <f t="shared" ca="1" si="188"/>
        <v>7.8603493685230355</v>
      </c>
    </row>
    <row r="1878" spans="7:17" x14ac:dyDescent="0.25">
      <c r="G1878" s="3">
        <f t="shared" ca="1" si="183"/>
        <v>1</v>
      </c>
      <c r="H1878" s="3">
        <f t="shared" ca="1" si="184"/>
        <v>3.8642389594026256</v>
      </c>
      <c r="I1878" s="3">
        <f t="shared" ca="1" si="185"/>
        <v>9.8288338059540727</v>
      </c>
      <c r="O1878" s="3">
        <f t="shared" ca="1" si="186"/>
        <v>-3.5382802867842029</v>
      </c>
      <c r="P1878" s="3">
        <f t="shared" ca="1" si="187"/>
        <v>-4.4264015135495081</v>
      </c>
      <c r="Q1878" s="3">
        <f t="shared" ca="1" si="188"/>
        <v>5.6667854862345965</v>
      </c>
    </row>
    <row r="1879" spans="7:17" x14ac:dyDescent="0.25">
      <c r="G1879" s="3">
        <f t="shared" ca="1" si="183"/>
        <v>0</v>
      </c>
      <c r="H1879" s="3">
        <f t="shared" ca="1" si="184"/>
        <v>0.34282368121955392</v>
      </c>
      <c r="I1879" s="3">
        <f t="shared" ca="1" si="185"/>
        <v>2.9275573487958946</v>
      </c>
      <c r="O1879" s="3">
        <f t="shared" ca="1" si="186"/>
        <v>-7.8606855765845394</v>
      </c>
      <c r="P1879" s="3">
        <f t="shared" ca="1" si="187"/>
        <v>-3.0401235110987144</v>
      </c>
      <c r="Q1879" s="3">
        <f t="shared" ca="1" si="188"/>
        <v>8.4280916402623074</v>
      </c>
    </row>
    <row r="1880" spans="7:17" x14ac:dyDescent="0.25">
      <c r="G1880" s="3">
        <f t="shared" ca="1" si="183"/>
        <v>0</v>
      </c>
      <c r="H1880" s="3">
        <f t="shared" ca="1" si="184"/>
        <v>3.564680400033283</v>
      </c>
      <c r="I1880" s="3">
        <f t="shared" ca="1" si="185"/>
        <v>9.4401806127230472</v>
      </c>
      <c r="O1880" s="3">
        <f t="shared" ca="1" si="186"/>
        <v>-5.5855891648047828</v>
      </c>
      <c r="P1880" s="3">
        <f t="shared" ca="1" si="187"/>
        <v>-1.4903260692915405</v>
      </c>
      <c r="Q1880" s="3">
        <f t="shared" ca="1" si="188"/>
        <v>5.7809928308893932</v>
      </c>
    </row>
    <row r="1881" spans="7:17" x14ac:dyDescent="0.25">
      <c r="G1881" s="3">
        <f t="shared" ca="1" si="183"/>
        <v>1</v>
      </c>
      <c r="H1881" s="3">
        <f t="shared" ca="1" si="184"/>
        <v>0.41508356604703589</v>
      </c>
      <c r="I1881" s="3">
        <f t="shared" ca="1" si="185"/>
        <v>3.2213489645140743</v>
      </c>
      <c r="O1881" s="3">
        <f t="shared" ca="1" si="186"/>
        <v>-6.7704800947343085</v>
      </c>
      <c r="P1881" s="3">
        <f t="shared" ca="1" si="187"/>
        <v>0.33434653905065459</v>
      </c>
      <c r="Q1881" s="3">
        <f t="shared" ca="1" si="188"/>
        <v>6.7787305833296427</v>
      </c>
    </row>
    <row r="1882" spans="7:17" x14ac:dyDescent="0.25">
      <c r="G1882" s="3">
        <f t="shared" ca="1" si="183"/>
        <v>3</v>
      </c>
      <c r="H1882" s="3">
        <f t="shared" ca="1" si="184"/>
        <v>9.093770988949073</v>
      </c>
      <c r="I1882" s="3">
        <f t="shared" ca="1" si="185"/>
        <v>15.077940002657089</v>
      </c>
      <c r="O1882" s="3">
        <f t="shared" ca="1" si="186"/>
        <v>-3.1350720454404453</v>
      </c>
      <c r="P1882" s="3">
        <f t="shared" ca="1" si="187"/>
        <v>0.75005643882057593</v>
      </c>
      <c r="Q1882" s="3">
        <f t="shared" ca="1" si="188"/>
        <v>3.2235479508638214</v>
      </c>
    </row>
    <row r="1883" spans="7:17" x14ac:dyDescent="0.25">
      <c r="G1883" s="3">
        <f t="shared" ca="1" si="183"/>
        <v>0</v>
      </c>
      <c r="H1883" s="3">
        <f t="shared" ca="1" si="184"/>
        <v>1.2409646202328126</v>
      </c>
      <c r="I1883" s="3">
        <f t="shared" ca="1" si="185"/>
        <v>5.5699295781742446</v>
      </c>
      <c r="O1883" s="3">
        <f t="shared" ca="1" si="186"/>
        <v>-2.8940394838647538</v>
      </c>
      <c r="P1883" s="3">
        <f t="shared" ca="1" si="187"/>
        <v>-2.1524703827268215</v>
      </c>
      <c r="Q1883" s="3">
        <f t="shared" ca="1" si="188"/>
        <v>3.6067427524962632</v>
      </c>
    </row>
    <row r="1884" spans="7:17" x14ac:dyDescent="0.25">
      <c r="G1884" s="3">
        <f t="shared" ca="1" si="183"/>
        <v>0</v>
      </c>
      <c r="H1884" s="3">
        <f t="shared" ca="1" si="184"/>
        <v>1.917983255870247</v>
      </c>
      <c r="I1884" s="3">
        <f t="shared" ca="1" si="185"/>
        <v>6.9245636250059963</v>
      </c>
      <c r="O1884" s="3">
        <f t="shared" ca="1" si="186"/>
        <v>-9.6184550426575601</v>
      </c>
      <c r="P1884" s="3">
        <f t="shared" ca="1" si="187"/>
        <v>3.4063933106737099</v>
      </c>
      <c r="Q1884" s="3">
        <f t="shared" ca="1" si="188"/>
        <v>10.203832260216121</v>
      </c>
    </row>
    <row r="1885" spans="7:17" x14ac:dyDescent="0.25">
      <c r="G1885" s="3">
        <f t="shared" ca="1" si="183"/>
        <v>1</v>
      </c>
      <c r="H1885" s="3">
        <f t="shared" ca="1" si="184"/>
        <v>3.8364574015369488</v>
      </c>
      <c r="I1885" s="3">
        <f t="shared" ca="1" si="185"/>
        <v>9.7934383664994655</v>
      </c>
      <c r="O1885" s="3">
        <f t="shared" ca="1" si="186"/>
        <v>-0.50304119435076355</v>
      </c>
      <c r="P1885" s="3">
        <f t="shared" ca="1" si="187"/>
        <v>-4.589035524641961</v>
      </c>
      <c r="Q1885" s="3">
        <f t="shared" ca="1" si="188"/>
        <v>4.6165243950010444</v>
      </c>
    </row>
    <row r="1886" spans="7:17" x14ac:dyDescent="0.25">
      <c r="G1886" s="3">
        <f t="shared" ca="1" si="183"/>
        <v>2</v>
      </c>
      <c r="H1886" s="3">
        <f t="shared" ca="1" si="184"/>
        <v>1.1365512719229598</v>
      </c>
      <c r="I1886" s="3">
        <f t="shared" ca="1" si="185"/>
        <v>5.3304579351190826</v>
      </c>
      <c r="O1886" s="3">
        <f t="shared" ca="1" si="186"/>
        <v>-6.6287991909879906</v>
      </c>
      <c r="P1886" s="3">
        <f t="shared" ca="1" si="187"/>
        <v>-4.895898908952506</v>
      </c>
      <c r="Q1886" s="3">
        <f t="shared" ca="1" si="188"/>
        <v>8.2408012256773535</v>
      </c>
    </row>
    <row r="1887" spans="7:17" x14ac:dyDescent="0.25">
      <c r="G1887" s="3">
        <f t="shared" ca="1" si="183"/>
        <v>0</v>
      </c>
      <c r="H1887" s="3">
        <f t="shared" ca="1" si="184"/>
        <v>4.089039444080564</v>
      </c>
      <c r="I1887" s="3">
        <f t="shared" ca="1" si="185"/>
        <v>10.110686727518271</v>
      </c>
      <c r="O1887" s="3">
        <f t="shared" ca="1" si="186"/>
        <v>-4.8680766702146245</v>
      </c>
      <c r="P1887" s="3">
        <f t="shared" ca="1" si="187"/>
        <v>-4.3221572521493918</v>
      </c>
      <c r="Q1887" s="3">
        <f t="shared" ca="1" si="188"/>
        <v>6.5099319335455021</v>
      </c>
    </row>
    <row r="1888" spans="7:17" x14ac:dyDescent="0.25">
      <c r="G1888" s="3">
        <f t="shared" ca="1" si="183"/>
        <v>1</v>
      </c>
      <c r="H1888" s="3">
        <f t="shared" ca="1" si="184"/>
        <v>3.2108711481817256</v>
      </c>
      <c r="I1888" s="3">
        <f t="shared" ca="1" si="185"/>
        <v>8.9594519198745139</v>
      </c>
      <c r="O1888" s="3">
        <f t="shared" ca="1" si="186"/>
        <v>-0.83272593169610865</v>
      </c>
      <c r="P1888" s="3">
        <f t="shared" ca="1" si="187"/>
        <v>2.4747026241334744</v>
      </c>
      <c r="Q1888" s="3">
        <f t="shared" ca="1" si="188"/>
        <v>2.6110506611730564</v>
      </c>
    </row>
    <row r="1889" spans="7:17" x14ac:dyDescent="0.25">
      <c r="G1889" s="3">
        <f t="shared" ca="1" si="183"/>
        <v>1</v>
      </c>
      <c r="H1889" s="3">
        <f t="shared" ca="1" si="184"/>
        <v>0.5673537786237054</v>
      </c>
      <c r="I1889" s="3">
        <f t="shared" ca="1" si="185"/>
        <v>3.7661445093879009</v>
      </c>
      <c r="O1889" s="3">
        <f t="shared" ca="1" si="186"/>
        <v>-10.105879920838508</v>
      </c>
      <c r="P1889" s="3">
        <f t="shared" ca="1" si="187"/>
        <v>-2.2085546137759784</v>
      </c>
      <c r="Q1889" s="3">
        <f t="shared" ca="1" si="188"/>
        <v>10.344395702815998</v>
      </c>
    </row>
    <row r="1890" spans="7:17" x14ac:dyDescent="0.25">
      <c r="G1890" s="3">
        <f t="shared" ca="1" si="183"/>
        <v>0</v>
      </c>
      <c r="H1890" s="3">
        <f t="shared" ca="1" si="184"/>
        <v>1.4843909215906874</v>
      </c>
      <c r="I1890" s="3">
        <f t="shared" ca="1" si="185"/>
        <v>6.0917791358327475</v>
      </c>
      <c r="O1890" s="3">
        <f t="shared" ca="1" si="186"/>
        <v>-4.7700810458570162</v>
      </c>
      <c r="P1890" s="3">
        <f t="shared" ca="1" si="187"/>
        <v>-0.95939284866079855</v>
      </c>
      <c r="Q1890" s="3">
        <f t="shared" ca="1" si="188"/>
        <v>4.8656045690238585</v>
      </c>
    </row>
    <row r="1891" spans="7:17" x14ac:dyDescent="0.25">
      <c r="G1891" s="3">
        <f t="shared" ca="1" si="183"/>
        <v>0</v>
      </c>
      <c r="H1891" s="3">
        <f t="shared" ca="1" si="184"/>
        <v>0.72737585866699817</v>
      </c>
      <c r="I1891" s="3">
        <f t="shared" ca="1" si="185"/>
        <v>4.2643166470930547</v>
      </c>
      <c r="O1891" s="3">
        <f t="shared" ca="1" si="186"/>
        <v>0.16120033756065855</v>
      </c>
      <c r="P1891" s="3">
        <f t="shared" ca="1" si="187"/>
        <v>1.1366700304129571</v>
      </c>
      <c r="Q1891" s="3">
        <f t="shared" ca="1" si="188"/>
        <v>1.1480436868293222</v>
      </c>
    </row>
    <row r="1892" spans="7:17" x14ac:dyDescent="0.25">
      <c r="G1892" s="3">
        <f t="shared" ca="1" si="183"/>
        <v>0</v>
      </c>
      <c r="H1892" s="3">
        <f t="shared" ca="1" si="184"/>
        <v>1.0455811373538086</v>
      </c>
      <c r="I1892" s="3">
        <f t="shared" ca="1" si="185"/>
        <v>5.1126830953859459</v>
      </c>
      <c r="O1892" s="3">
        <f t="shared" ca="1" si="186"/>
        <v>0.78717056765082472</v>
      </c>
      <c r="P1892" s="3">
        <f t="shared" ca="1" si="187"/>
        <v>6.0249949651842583</v>
      </c>
      <c r="Q1892" s="3">
        <f t="shared" ca="1" si="188"/>
        <v>6.0761996209037914</v>
      </c>
    </row>
    <row r="1893" spans="7:17" x14ac:dyDescent="0.25">
      <c r="G1893" s="3">
        <f t="shared" ca="1" si="183"/>
        <v>1</v>
      </c>
      <c r="H1893" s="3">
        <f t="shared" ca="1" si="184"/>
        <v>4.3716037970172552</v>
      </c>
      <c r="I1893" s="3">
        <f t="shared" ca="1" si="185"/>
        <v>10.454190304630549</v>
      </c>
      <c r="O1893" s="3">
        <f t="shared" ca="1" si="186"/>
        <v>-4.8713300880679453</v>
      </c>
      <c r="P1893" s="3">
        <f t="shared" ca="1" si="187"/>
        <v>-2.0115722412306085</v>
      </c>
      <c r="Q1893" s="3">
        <f t="shared" ca="1" si="188"/>
        <v>5.2703206457108083</v>
      </c>
    </row>
    <row r="1894" spans="7:17" x14ac:dyDescent="0.25">
      <c r="G1894" s="3">
        <f t="shared" ca="1" si="183"/>
        <v>1</v>
      </c>
      <c r="H1894" s="3">
        <f t="shared" ca="1" si="184"/>
        <v>1.3527430431309404</v>
      </c>
      <c r="I1894" s="3">
        <f t="shared" ca="1" si="185"/>
        <v>5.8153741133544887</v>
      </c>
      <c r="O1894" s="3">
        <f t="shared" ca="1" si="186"/>
        <v>-9.4612088311705911</v>
      </c>
      <c r="P1894" s="3">
        <f t="shared" ca="1" si="187"/>
        <v>4.5271738554678222</v>
      </c>
      <c r="Q1894" s="3">
        <f t="shared" ca="1" si="188"/>
        <v>10.488554507874369</v>
      </c>
    </row>
    <row r="1895" spans="7:17" x14ac:dyDescent="0.25">
      <c r="G1895" s="3">
        <f t="shared" ca="1" si="183"/>
        <v>1</v>
      </c>
      <c r="H1895" s="3">
        <f t="shared" ca="1" si="184"/>
        <v>10.763087111712538</v>
      </c>
      <c r="I1895" s="3">
        <f t="shared" ca="1" si="185"/>
        <v>16.403572104661027</v>
      </c>
      <c r="O1895" s="3">
        <f t="shared" ca="1" si="186"/>
        <v>-2.6210945313265817</v>
      </c>
      <c r="P1895" s="3">
        <f t="shared" ca="1" si="187"/>
        <v>-2.5580581443116204</v>
      </c>
      <c r="Q1895" s="3">
        <f t="shared" ca="1" si="188"/>
        <v>3.6624852234280922</v>
      </c>
    </row>
    <row r="1896" spans="7:17" x14ac:dyDescent="0.25">
      <c r="G1896" s="3">
        <f t="shared" ca="1" si="183"/>
        <v>1</v>
      </c>
      <c r="H1896" s="3">
        <f t="shared" ca="1" si="184"/>
        <v>9.2500068389052661</v>
      </c>
      <c r="I1896" s="3">
        <f t="shared" ca="1" si="185"/>
        <v>15.20691194729001</v>
      </c>
      <c r="O1896" s="3">
        <f t="shared" ca="1" si="186"/>
        <v>-8.7352614809001103</v>
      </c>
      <c r="P1896" s="3">
        <f t="shared" ca="1" si="187"/>
        <v>-1.0663119823448135</v>
      </c>
      <c r="Q1896" s="3">
        <f t="shared" ca="1" si="188"/>
        <v>8.8001030893614711</v>
      </c>
    </row>
    <row r="1897" spans="7:17" x14ac:dyDescent="0.25">
      <c r="G1897" s="3">
        <f t="shared" ca="1" si="183"/>
        <v>0</v>
      </c>
      <c r="H1897" s="3">
        <f t="shared" ca="1" si="184"/>
        <v>1.0065927722231767</v>
      </c>
      <c r="I1897" s="3">
        <f t="shared" ca="1" si="185"/>
        <v>5.0164548543348246</v>
      </c>
      <c r="O1897" s="3">
        <f t="shared" ca="1" si="186"/>
        <v>-14.111843067730179</v>
      </c>
      <c r="P1897" s="3">
        <f t="shared" ca="1" si="187"/>
        <v>-3.3587631078621869</v>
      </c>
      <c r="Q1897" s="3">
        <f t="shared" ca="1" si="188"/>
        <v>14.506047166026326</v>
      </c>
    </row>
    <row r="1898" spans="7:17" x14ac:dyDescent="0.25">
      <c r="G1898" s="3">
        <f t="shared" ca="1" si="183"/>
        <v>1</v>
      </c>
      <c r="H1898" s="3">
        <f t="shared" ca="1" si="184"/>
        <v>4.6195649998167365</v>
      </c>
      <c r="I1898" s="3">
        <f t="shared" ca="1" si="185"/>
        <v>10.746586667189653</v>
      </c>
      <c r="O1898" s="3">
        <f t="shared" ca="1" si="186"/>
        <v>-15.563485646931293</v>
      </c>
      <c r="P1898" s="3">
        <f t="shared" ca="1" si="187"/>
        <v>10.242797165575597</v>
      </c>
      <c r="Q1898" s="3">
        <f t="shared" ca="1" si="188"/>
        <v>18.631612363329154</v>
      </c>
    </row>
    <row r="1899" spans="7:17" x14ac:dyDescent="0.25">
      <c r="G1899" s="3">
        <f t="shared" ca="1" si="183"/>
        <v>0</v>
      </c>
      <c r="H1899" s="3">
        <f t="shared" ca="1" si="184"/>
        <v>0.17254115823899521</v>
      </c>
      <c r="I1899" s="3">
        <f t="shared" ca="1" si="185"/>
        <v>2.0769036944391237</v>
      </c>
      <c r="O1899" s="3">
        <f t="shared" ca="1" si="186"/>
        <v>-7.4724461306573859</v>
      </c>
      <c r="P1899" s="3">
        <f t="shared" ca="1" si="187"/>
        <v>-1.09870705725633</v>
      </c>
      <c r="Q1899" s="3">
        <f t="shared" ca="1" si="188"/>
        <v>7.552788119180982</v>
      </c>
    </row>
    <row r="1900" spans="7:17" x14ac:dyDescent="0.25">
      <c r="G1900" s="3">
        <f t="shared" ca="1" si="183"/>
        <v>0</v>
      </c>
      <c r="H1900" s="3">
        <f t="shared" ca="1" si="184"/>
        <v>0.6421656778808652</v>
      </c>
      <c r="I1900" s="3">
        <f t="shared" ca="1" si="185"/>
        <v>4.006762027750292</v>
      </c>
      <c r="O1900" s="3">
        <f t="shared" ca="1" si="186"/>
        <v>-6.9814329620443232</v>
      </c>
      <c r="P1900" s="3">
        <f t="shared" ca="1" si="187"/>
        <v>3.5783172385083355</v>
      </c>
      <c r="Q1900" s="3">
        <f t="shared" ca="1" si="188"/>
        <v>7.8450468744886983</v>
      </c>
    </row>
    <row r="1901" spans="7:17" x14ac:dyDescent="0.25">
      <c r="G1901" s="3">
        <f t="shared" ca="1" si="183"/>
        <v>2</v>
      </c>
      <c r="H1901" s="3">
        <f t="shared" ca="1" si="184"/>
        <v>6.3929975545885425</v>
      </c>
      <c r="I1901" s="3">
        <f t="shared" ca="1" si="185"/>
        <v>12.642188847850422</v>
      </c>
      <c r="O1901" s="3">
        <f t="shared" ca="1" si="186"/>
        <v>-8.6139700118954323</v>
      </c>
      <c r="P1901" s="3">
        <f t="shared" ca="1" si="187"/>
        <v>4.037600407574871</v>
      </c>
      <c r="Q1901" s="3">
        <f t="shared" ca="1" si="188"/>
        <v>9.513290514700083</v>
      </c>
    </row>
    <row r="1902" spans="7:17" x14ac:dyDescent="0.25">
      <c r="G1902" s="3">
        <f t="shared" ca="1" si="183"/>
        <v>1</v>
      </c>
      <c r="H1902" s="3">
        <f t="shared" ca="1" si="184"/>
        <v>1.9141637394269011</v>
      </c>
      <c r="I1902" s="3">
        <f t="shared" ca="1" si="185"/>
        <v>6.9176653204439233</v>
      </c>
      <c r="O1902" s="3">
        <f t="shared" ca="1" si="186"/>
        <v>-5.9206033314911606</v>
      </c>
      <c r="P1902" s="3">
        <f t="shared" ca="1" si="187"/>
        <v>3.4756687443328631</v>
      </c>
      <c r="Q1902" s="3">
        <f t="shared" ca="1" si="188"/>
        <v>6.8654072733667162</v>
      </c>
    </row>
    <row r="1903" spans="7:17" x14ac:dyDescent="0.25">
      <c r="G1903" s="3">
        <f t="shared" ca="1" si="183"/>
        <v>0</v>
      </c>
      <c r="H1903" s="3">
        <f t="shared" ca="1" si="184"/>
        <v>0.91328396278503088</v>
      </c>
      <c r="I1903" s="3">
        <f t="shared" ca="1" si="185"/>
        <v>4.7782945775271921</v>
      </c>
      <c r="O1903" s="3">
        <f t="shared" ca="1" si="186"/>
        <v>-4.1225888393764887</v>
      </c>
      <c r="P1903" s="3">
        <f t="shared" ca="1" si="187"/>
        <v>-9.9948041890642951</v>
      </c>
      <c r="Q1903" s="3">
        <f t="shared" ca="1" si="188"/>
        <v>10.811653412697281</v>
      </c>
    </row>
    <row r="1904" spans="7:17" x14ac:dyDescent="0.25">
      <c r="G1904" s="3">
        <f t="shared" ca="1" si="183"/>
        <v>2</v>
      </c>
      <c r="H1904" s="3">
        <f t="shared" ca="1" si="184"/>
        <v>4.1062250872462638</v>
      </c>
      <c r="I1904" s="3">
        <f t="shared" ca="1" si="185"/>
        <v>10.131911329120316</v>
      </c>
      <c r="O1904" s="3">
        <f t="shared" ca="1" si="186"/>
        <v>-13.744028684711626</v>
      </c>
      <c r="P1904" s="3">
        <f t="shared" ca="1" si="187"/>
        <v>-0.14617762181980057</v>
      </c>
      <c r="Q1904" s="3">
        <f t="shared" ca="1" si="188"/>
        <v>13.744806014756879</v>
      </c>
    </row>
    <row r="1905" spans="7:17" x14ac:dyDescent="0.25">
      <c r="G1905" s="3">
        <f t="shared" ca="1" si="183"/>
        <v>2</v>
      </c>
      <c r="H1905" s="3">
        <f t="shared" ca="1" si="184"/>
        <v>8.8818765198338294</v>
      </c>
      <c r="I1905" s="3">
        <f t="shared" ca="1" si="185"/>
        <v>14.901238639651595</v>
      </c>
      <c r="O1905" s="3">
        <f t="shared" ca="1" si="186"/>
        <v>-11.59433563586134</v>
      </c>
      <c r="P1905" s="3">
        <f t="shared" ca="1" si="187"/>
        <v>-5.837413657367712</v>
      </c>
      <c r="Q1905" s="3">
        <f t="shared" ca="1" si="188"/>
        <v>12.980909715587241</v>
      </c>
    </row>
    <row r="1906" spans="7:17" x14ac:dyDescent="0.25">
      <c r="G1906" s="3">
        <f t="shared" ca="1" si="183"/>
        <v>2</v>
      </c>
      <c r="H1906" s="3">
        <f t="shared" ca="1" si="184"/>
        <v>2.2121975138269576</v>
      </c>
      <c r="I1906" s="3">
        <f t="shared" ca="1" si="185"/>
        <v>7.4367289748701983</v>
      </c>
      <c r="O1906" s="3">
        <f t="shared" ca="1" si="186"/>
        <v>-7.105895179956474</v>
      </c>
      <c r="P1906" s="3">
        <f t="shared" ca="1" si="187"/>
        <v>1.5172025461762948</v>
      </c>
      <c r="Q1906" s="3">
        <f t="shared" ca="1" si="188"/>
        <v>7.2660615105194699</v>
      </c>
    </row>
    <row r="1907" spans="7:17" x14ac:dyDescent="0.25">
      <c r="G1907" s="3">
        <f t="shared" ca="1" si="183"/>
        <v>0</v>
      </c>
      <c r="H1907" s="3">
        <f t="shared" ca="1" si="184"/>
        <v>3.6465277123841688</v>
      </c>
      <c r="I1907" s="3">
        <f t="shared" ca="1" si="185"/>
        <v>9.5479418101287266</v>
      </c>
      <c r="O1907" s="3">
        <f t="shared" ca="1" si="186"/>
        <v>-6.7211372151425941</v>
      </c>
      <c r="P1907" s="3">
        <f t="shared" ca="1" si="187"/>
        <v>0.5776882106136414</v>
      </c>
      <c r="Q1907" s="3">
        <f t="shared" ca="1" si="188"/>
        <v>6.745917960771294</v>
      </c>
    </row>
    <row r="1908" spans="7:17" x14ac:dyDescent="0.25">
      <c r="G1908" s="3">
        <f t="shared" ca="1" si="183"/>
        <v>1</v>
      </c>
      <c r="H1908" s="3">
        <f t="shared" ca="1" si="184"/>
        <v>3.8619354215620403</v>
      </c>
      <c r="I1908" s="3">
        <f t="shared" ca="1" si="185"/>
        <v>9.8259038026560699</v>
      </c>
      <c r="O1908" s="3">
        <f t="shared" ca="1" si="186"/>
        <v>-7.3182663302472015</v>
      </c>
      <c r="P1908" s="3">
        <f t="shared" ca="1" si="187"/>
        <v>2.8211755096450464</v>
      </c>
      <c r="Q1908" s="3">
        <f t="shared" ca="1" si="188"/>
        <v>7.8432170272567889</v>
      </c>
    </row>
    <row r="1909" spans="7:17" x14ac:dyDescent="0.25">
      <c r="G1909" s="3">
        <f t="shared" ca="1" si="183"/>
        <v>1</v>
      </c>
      <c r="H1909" s="3">
        <f t="shared" ca="1" si="184"/>
        <v>0.47908614619379786</v>
      </c>
      <c r="I1909" s="3">
        <f t="shared" ca="1" si="185"/>
        <v>3.4608024582233736</v>
      </c>
      <c r="O1909" s="3">
        <f t="shared" ca="1" si="186"/>
        <v>-9.2889555130115973</v>
      </c>
      <c r="P1909" s="3">
        <f t="shared" ca="1" si="187"/>
        <v>0.89276617660514923</v>
      </c>
      <c r="Q1909" s="3">
        <f t="shared" ca="1" si="188"/>
        <v>9.3317589965021455</v>
      </c>
    </row>
    <row r="1910" spans="7:17" x14ac:dyDescent="0.25">
      <c r="G1910" s="3">
        <f t="shared" ca="1" si="183"/>
        <v>0</v>
      </c>
      <c r="H1910" s="3">
        <f t="shared" ca="1" si="184"/>
        <v>2.3192322985523868</v>
      </c>
      <c r="I1910" s="3">
        <f t="shared" ca="1" si="185"/>
        <v>7.6145129498747108</v>
      </c>
      <c r="O1910" s="3">
        <f t="shared" ca="1" si="186"/>
        <v>-4.9277262676798141</v>
      </c>
      <c r="P1910" s="3">
        <f t="shared" ca="1" si="187"/>
        <v>1.2082703802144057</v>
      </c>
      <c r="Q1910" s="3">
        <f t="shared" ca="1" si="188"/>
        <v>5.0736972200639938</v>
      </c>
    </row>
    <row r="1911" spans="7:17" x14ac:dyDescent="0.25">
      <c r="G1911" s="3">
        <f t="shared" ca="1" si="183"/>
        <v>0</v>
      </c>
      <c r="H1911" s="3">
        <f t="shared" ca="1" si="184"/>
        <v>4.8829701107832215E-3</v>
      </c>
      <c r="I1911" s="3">
        <f t="shared" ca="1" si="185"/>
        <v>0.34939126029364354</v>
      </c>
      <c r="O1911" s="3">
        <f t="shared" ca="1" si="186"/>
        <v>-4.7995420234184838</v>
      </c>
      <c r="P1911" s="3">
        <f t="shared" ca="1" si="187"/>
        <v>-0.40963205902456878</v>
      </c>
      <c r="Q1911" s="3">
        <f t="shared" ca="1" si="188"/>
        <v>4.8169909755303362</v>
      </c>
    </row>
    <row r="1912" spans="7:17" x14ac:dyDescent="0.25">
      <c r="G1912" s="3">
        <f t="shared" ca="1" si="183"/>
        <v>0</v>
      </c>
      <c r="H1912" s="3">
        <f t="shared" ca="1" si="184"/>
        <v>2.6912791477007727</v>
      </c>
      <c r="I1912" s="3">
        <f t="shared" ca="1" si="185"/>
        <v>8.2025592769890618</v>
      </c>
      <c r="O1912" s="3">
        <f t="shared" ca="1" si="186"/>
        <v>-1.6194509521956411</v>
      </c>
      <c r="P1912" s="3">
        <f t="shared" ca="1" si="187"/>
        <v>5.9460891610369311</v>
      </c>
      <c r="Q1912" s="3">
        <f t="shared" ca="1" si="188"/>
        <v>6.1626778025115216</v>
      </c>
    </row>
    <row r="1913" spans="7:17" x14ac:dyDescent="0.25">
      <c r="G1913" s="3">
        <f t="shared" ca="1" si="183"/>
        <v>0</v>
      </c>
      <c r="H1913" s="3">
        <f t="shared" ca="1" si="184"/>
        <v>6.407479341492095E-2</v>
      </c>
      <c r="I1913" s="3">
        <f t="shared" ca="1" si="185"/>
        <v>1.2656499655801456</v>
      </c>
      <c r="O1913" s="3">
        <f t="shared" ca="1" si="186"/>
        <v>1.9150627132232012</v>
      </c>
      <c r="P1913" s="3">
        <f t="shared" ca="1" si="187"/>
        <v>-5.6798178088575551</v>
      </c>
      <c r="Q1913" s="3">
        <f t="shared" ca="1" si="188"/>
        <v>5.9939799413572654</v>
      </c>
    </row>
    <row r="1914" spans="7:17" x14ac:dyDescent="0.25">
      <c r="G1914" s="3">
        <f t="shared" ca="1" si="183"/>
        <v>1</v>
      </c>
      <c r="H1914" s="3">
        <f t="shared" ca="1" si="184"/>
        <v>5.0565870657052798</v>
      </c>
      <c r="I1914" s="3">
        <f t="shared" ca="1" si="185"/>
        <v>11.243428153487351</v>
      </c>
      <c r="O1914" s="3">
        <f t="shared" ca="1" si="186"/>
        <v>-1.2055256295993342</v>
      </c>
      <c r="P1914" s="3">
        <f t="shared" ca="1" si="187"/>
        <v>0.2342768709300066</v>
      </c>
      <c r="Q1914" s="3">
        <f t="shared" ca="1" si="188"/>
        <v>1.2280788638656828</v>
      </c>
    </row>
    <row r="1915" spans="7:17" x14ac:dyDescent="0.25">
      <c r="G1915" s="3">
        <f t="shared" ca="1" si="183"/>
        <v>0</v>
      </c>
      <c r="H1915" s="3">
        <f t="shared" ca="1" si="184"/>
        <v>0.98184921908147027</v>
      </c>
      <c r="I1915" s="3">
        <f t="shared" ca="1" si="185"/>
        <v>4.9544152507674157</v>
      </c>
      <c r="O1915" s="3">
        <f t="shared" ca="1" si="186"/>
        <v>1.332960688182327</v>
      </c>
      <c r="P1915" s="3">
        <f t="shared" ca="1" si="187"/>
        <v>-3.6268408444228979</v>
      </c>
      <c r="Q1915" s="3">
        <f t="shared" ca="1" si="188"/>
        <v>3.8640339940292581</v>
      </c>
    </row>
    <row r="1916" spans="7:17" x14ac:dyDescent="0.25">
      <c r="G1916" s="3">
        <f t="shared" ca="1" si="183"/>
        <v>0</v>
      </c>
      <c r="H1916" s="3">
        <f t="shared" ca="1" si="184"/>
        <v>3.2004365895879072</v>
      </c>
      <c r="I1916" s="3">
        <f t="shared" ca="1" si="185"/>
        <v>8.9448820416871726</v>
      </c>
      <c r="O1916" s="3">
        <f t="shared" ca="1" si="186"/>
        <v>-6.04684351116041</v>
      </c>
      <c r="P1916" s="3">
        <f t="shared" ca="1" si="187"/>
        <v>10.820169268910364</v>
      </c>
      <c r="Q1916" s="3">
        <f t="shared" ca="1" si="188"/>
        <v>12.395175652500251</v>
      </c>
    </row>
    <row r="1917" spans="7:17" x14ac:dyDescent="0.25">
      <c r="G1917" s="3">
        <f t="shared" ca="1" si="183"/>
        <v>0</v>
      </c>
      <c r="H1917" s="3">
        <f t="shared" ca="1" si="184"/>
        <v>2.1905752933847582</v>
      </c>
      <c r="I1917" s="3">
        <f t="shared" ca="1" si="185"/>
        <v>7.4002960977665584</v>
      </c>
      <c r="O1917" s="3">
        <f t="shared" ca="1" si="186"/>
        <v>-4.4431423736651849</v>
      </c>
      <c r="P1917" s="3">
        <f t="shared" ca="1" si="187"/>
        <v>7.2606883406688523</v>
      </c>
      <c r="Q1917" s="3">
        <f t="shared" ca="1" si="188"/>
        <v>8.5122916616492699</v>
      </c>
    </row>
    <row r="1918" spans="7:17" x14ac:dyDescent="0.25">
      <c r="G1918" s="3">
        <f t="shared" ca="1" si="183"/>
        <v>0</v>
      </c>
      <c r="H1918" s="3">
        <f t="shared" ca="1" si="184"/>
        <v>2.2682390345726637</v>
      </c>
      <c r="I1918" s="3">
        <f t="shared" ca="1" si="185"/>
        <v>7.5303370352406276</v>
      </c>
      <c r="O1918" s="3">
        <f t="shared" ca="1" si="186"/>
        <v>-6.4062459640065956</v>
      </c>
      <c r="P1918" s="3">
        <f t="shared" ca="1" si="187"/>
        <v>-1.0847600274064852</v>
      </c>
      <c r="Q1918" s="3">
        <f t="shared" ca="1" si="188"/>
        <v>6.4974373154659766</v>
      </c>
    </row>
    <row r="1919" spans="7:17" x14ac:dyDescent="0.25">
      <c r="G1919" s="3">
        <f t="shared" ca="1" si="183"/>
        <v>0</v>
      </c>
      <c r="H1919" s="3">
        <f t="shared" ca="1" si="184"/>
        <v>2.4248595922100495</v>
      </c>
      <c r="I1919" s="3">
        <f t="shared" ca="1" si="185"/>
        <v>7.7859803368138074</v>
      </c>
      <c r="O1919" s="3">
        <f t="shared" ca="1" si="186"/>
        <v>-11.527948872170928</v>
      </c>
      <c r="P1919" s="3">
        <f t="shared" ca="1" si="187"/>
        <v>-3.5720439518242224</v>
      </c>
      <c r="Q1919" s="3">
        <f t="shared" ca="1" si="188"/>
        <v>12.06868274473859</v>
      </c>
    </row>
    <row r="1920" spans="7:17" x14ac:dyDescent="0.25">
      <c r="G1920" s="3">
        <f t="shared" ca="1" si="183"/>
        <v>0</v>
      </c>
      <c r="H1920" s="3">
        <f t="shared" ca="1" si="184"/>
        <v>0.39065640705371896</v>
      </c>
      <c r="I1920" s="3">
        <f t="shared" ca="1" si="185"/>
        <v>3.1251256256897859</v>
      </c>
      <c r="O1920" s="3">
        <f t="shared" ca="1" si="186"/>
        <v>-9.7290281563271321</v>
      </c>
      <c r="P1920" s="3">
        <f t="shared" ca="1" si="187"/>
        <v>2.4947595184746443</v>
      </c>
      <c r="Q1920" s="3">
        <f t="shared" ca="1" si="188"/>
        <v>10.043794796869655</v>
      </c>
    </row>
    <row r="1921" spans="7:17" x14ac:dyDescent="0.25">
      <c r="G1921" s="3">
        <f t="shared" ca="1" si="183"/>
        <v>1</v>
      </c>
      <c r="H1921" s="3">
        <f t="shared" ca="1" si="184"/>
        <v>6.207821908726185</v>
      </c>
      <c r="I1921" s="3">
        <f t="shared" ca="1" si="185"/>
        <v>12.457750507943022</v>
      </c>
      <c r="O1921" s="3">
        <f t="shared" ca="1" si="186"/>
        <v>-2.1951995995340172</v>
      </c>
      <c r="P1921" s="3">
        <f t="shared" ca="1" si="187"/>
        <v>13.223878730417519</v>
      </c>
      <c r="Q1921" s="3">
        <f t="shared" ca="1" si="188"/>
        <v>13.404845018073994</v>
      </c>
    </row>
    <row r="1922" spans="7:17" x14ac:dyDescent="0.25">
      <c r="G1922" s="3">
        <f t="shared" ca="1" si="183"/>
        <v>1</v>
      </c>
      <c r="H1922" s="3">
        <f t="shared" ca="1" si="184"/>
        <v>6.449956486394151</v>
      </c>
      <c r="I1922" s="3">
        <f t="shared" ca="1" si="185"/>
        <v>12.698382265464122</v>
      </c>
      <c r="O1922" s="3">
        <f t="shared" ca="1" si="186"/>
        <v>-11.181095543775641</v>
      </c>
      <c r="P1922" s="3">
        <f t="shared" ca="1" si="187"/>
        <v>0.86046727997414751</v>
      </c>
      <c r="Q1922" s="3">
        <f t="shared" ca="1" si="188"/>
        <v>11.214156299024264</v>
      </c>
    </row>
    <row r="1923" spans="7:17" x14ac:dyDescent="0.25">
      <c r="G1923" s="3">
        <f t="shared" ca="1" si="183"/>
        <v>0</v>
      </c>
      <c r="H1923" s="3">
        <f t="shared" ca="1" si="184"/>
        <v>0.57466812191837846</v>
      </c>
      <c r="I1923" s="3">
        <f t="shared" ca="1" si="185"/>
        <v>3.7903433944643403</v>
      </c>
      <c r="O1923" s="3">
        <f t="shared" ca="1" si="186"/>
        <v>-6.4790651941778687</v>
      </c>
      <c r="P1923" s="3">
        <f t="shared" ca="1" si="187"/>
        <v>-3.5839664948621026</v>
      </c>
      <c r="Q1923" s="3">
        <f t="shared" ca="1" si="188"/>
        <v>7.4042623958569465</v>
      </c>
    </row>
    <row r="1924" spans="7:17" x14ac:dyDescent="0.25">
      <c r="G1924" s="3">
        <f t="shared" ref="G1924:G1987" ca="1" si="189">VLOOKUP(RAND(),$B$9:$C$169,2,TRUE)</f>
        <v>0</v>
      </c>
      <c r="H1924" s="3">
        <f t="shared" ref="H1924:H1987" ca="1" si="190">_xlfn.CHISQ.INV(RAND(),2*G1924+2)</f>
        <v>1.2476578769094879</v>
      </c>
      <c r="I1924" s="3">
        <f t="shared" ref="I1924:I1987" ca="1" si="191">$C$4*SQRT(H1924)</f>
        <v>5.5849303417981142</v>
      </c>
      <c r="O1924" s="3">
        <f t="shared" ref="O1924:O1987" ca="1" si="192">_xlfn.NORM.INV(RAND(),$C$3*COS($N$2),$C$4)</f>
        <v>-10.101643219305908</v>
      </c>
      <c r="P1924" s="3">
        <f t="shared" ref="P1924:P1987" ca="1" si="193">_xlfn.NORM.INV(RAND(),$C$3*SIN($N$2),$C$4)</f>
        <v>-0.89173709987984195</v>
      </c>
      <c r="Q1924" s="3">
        <f t="shared" ref="Q1924:Q1987" ca="1" si="194">SQRT(O1924^2+P1924^2)</f>
        <v>10.140926525000127</v>
      </c>
    </row>
    <row r="1925" spans="7:17" x14ac:dyDescent="0.25">
      <c r="G1925" s="3">
        <f t="shared" ca="1" si="189"/>
        <v>1</v>
      </c>
      <c r="H1925" s="3">
        <f t="shared" ca="1" si="190"/>
        <v>6.0523889347016349</v>
      </c>
      <c r="I1925" s="3">
        <f t="shared" ca="1" si="191"/>
        <v>12.300801736778821</v>
      </c>
      <c r="O1925" s="3">
        <f t="shared" ca="1" si="192"/>
        <v>-3.6417870309626941</v>
      </c>
      <c r="P1925" s="3">
        <f t="shared" ca="1" si="193"/>
        <v>-0.88869982250848878</v>
      </c>
      <c r="Q1925" s="3">
        <f t="shared" ca="1" si="194"/>
        <v>3.7486531119076214</v>
      </c>
    </row>
    <row r="1926" spans="7:17" x14ac:dyDescent="0.25">
      <c r="G1926" s="3">
        <f t="shared" ca="1" si="189"/>
        <v>0</v>
      </c>
      <c r="H1926" s="3">
        <f t="shared" ca="1" si="190"/>
        <v>3.2894319178990328E-2</v>
      </c>
      <c r="I1926" s="3">
        <f t="shared" ca="1" si="191"/>
        <v>0.90683955553050188</v>
      </c>
      <c r="O1926" s="3">
        <f t="shared" ca="1" si="192"/>
        <v>-14.031307297967881</v>
      </c>
      <c r="P1926" s="3">
        <f t="shared" ca="1" si="193"/>
        <v>-2.596231083214589</v>
      </c>
      <c r="Q1926" s="3">
        <f t="shared" ca="1" si="194"/>
        <v>14.269477927641795</v>
      </c>
    </row>
    <row r="1927" spans="7:17" x14ac:dyDescent="0.25">
      <c r="G1927" s="3">
        <f t="shared" ca="1" si="189"/>
        <v>0</v>
      </c>
      <c r="H1927" s="3">
        <f t="shared" ca="1" si="190"/>
        <v>2.6312315525151599</v>
      </c>
      <c r="I1927" s="3">
        <f t="shared" ca="1" si="191"/>
        <v>8.1105356674438589</v>
      </c>
      <c r="O1927" s="3">
        <f t="shared" ca="1" si="192"/>
        <v>-14.983121032361424</v>
      </c>
      <c r="P1927" s="3">
        <f t="shared" ca="1" si="193"/>
        <v>1.7058541062799097</v>
      </c>
      <c r="Q1927" s="3">
        <f t="shared" ca="1" si="194"/>
        <v>15.079915586710136</v>
      </c>
    </row>
    <row r="1928" spans="7:17" x14ac:dyDescent="0.25">
      <c r="G1928" s="3">
        <f t="shared" ca="1" si="189"/>
        <v>2</v>
      </c>
      <c r="H1928" s="3">
        <f t="shared" ca="1" si="190"/>
        <v>8.0179612738245254</v>
      </c>
      <c r="I1928" s="3">
        <f t="shared" ca="1" si="191"/>
        <v>14.158002396016647</v>
      </c>
      <c r="O1928" s="3">
        <f t="shared" ca="1" si="192"/>
        <v>-2.7995545358386216</v>
      </c>
      <c r="P1928" s="3">
        <f t="shared" ca="1" si="193"/>
        <v>0.815628833057779</v>
      </c>
      <c r="Q1928" s="3">
        <f t="shared" ca="1" si="194"/>
        <v>2.915948557922412</v>
      </c>
    </row>
    <row r="1929" spans="7:17" x14ac:dyDescent="0.25">
      <c r="G1929" s="3">
        <f t="shared" ca="1" si="189"/>
        <v>0</v>
      </c>
      <c r="H1929" s="3">
        <f t="shared" ca="1" si="190"/>
        <v>2.2713017604747048</v>
      </c>
      <c r="I1929" s="3">
        <f t="shared" ca="1" si="191"/>
        <v>7.5354192990083577</v>
      </c>
      <c r="O1929" s="3">
        <f t="shared" ca="1" si="192"/>
        <v>-10.946365828547039</v>
      </c>
      <c r="P1929" s="3">
        <f t="shared" ca="1" si="193"/>
        <v>-8.5491502907779058</v>
      </c>
      <c r="Q1929" s="3">
        <f t="shared" ca="1" si="194"/>
        <v>13.889236679770788</v>
      </c>
    </row>
    <row r="1930" spans="7:17" x14ac:dyDescent="0.25">
      <c r="G1930" s="3">
        <f t="shared" ca="1" si="189"/>
        <v>0</v>
      </c>
      <c r="H1930" s="3">
        <f t="shared" ca="1" si="190"/>
        <v>2.9750214092469105</v>
      </c>
      <c r="I1930" s="3">
        <f t="shared" ca="1" si="191"/>
        <v>8.6241251864274773</v>
      </c>
      <c r="O1930" s="3">
        <f t="shared" ca="1" si="192"/>
        <v>-12.702076438889819</v>
      </c>
      <c r="P1930" s="3">
        <f t="shared" ca="1" si="193"/>
        <v>-5.5740029833434478E-2</v>
      </c>
      <c r="Q1930" s="3">
        <f t="shared" ca="1" si="194"/>
        <v>12.702198739207542</v>
      </c>
    </row>
    <row r="1931" spans="7:17" x14ac:dyDescent="0.25">
      <c r="G1931" s="3">
        <f t="shared" ca="1" si="189"/>
        <v>0</v>
      </c>
      <c r="H1931" s="3">
        <f t="shared" ca="1" si="190"/>
        <v>2.6242277902941775</v>
      </c>
      <c r="I1931" s="3">
        <f t="shared" ca="1" si="191"/>
        <v>8.099734239921359</v>
      </c>
      <c r="O1931" s="3">
        <f t="shared" ca="1" si="192"/>
        <v>-8.2427051054359168</v>
      </c>
      <c r="P1931" s="3">
        <f t="shared" ca="1" si="193"/>
        <v>-5.3416626082830145</v>
      </c>
      <c r="Q1931" s="3">
        <f t="shared" ca="1" si="194"/>
        <v>9.8221966420912299</v>
      </c>
    </row>
    <row r="1932" spans="7:17" x14ac:dyDescent="0.25">
      <c r="G1932" s="3">
        <f t="shared" ca="1" si="189"/>
        <v>1</v>
      </c>
      <c r="H1932" s="3">
        <f t="shared" ca="1" si="190"/>
        <v>9.68397311517883</v>
      </c>
      <c r="I1932" s="3">
        <f t="shared" ca="1" si="191"/>
        <v>15.559541377542935</v>
      </c>
      <c r="O1932" s="3">
        <f t="shared" ca="1" si="192"/>
        <v>-6.4718713660799114</v>
      </c>
      <c r="P1932" s="3">
        <f t="shared" ca="1" si="193"/>
        <v>-0.57880921379881622</v>
      </c>
      <c r="Q1932" s="3">
        <f t="shared" ca="1" si="194"/>
        <v>6.4977026005399372</v>
      </c>
    </row>
    <row r="1933" spans="7:17" x14ac:dyDescent="0.25">
      <c r="G1933" s="3">
        <f t="shared" ca="1" si="189"/>
        <v>1</v>
      </c>
      <c r="H1933" s="3">
        <f t="shared" ca="1" si="190"/>
        <v>0.9767025385096707</v>
      </c>
      <c r="I1933" s="3">
        <f t="shared" ca="1" si="191"/>
        <v>4.9414131038339395</v>
      </c>
      <c r="O1933" s="3">
        <f t="shared" ca="1" si="192"/>
        <v>-3.0869408704619543</v>
      </c>
      <c r="P1933" s="3">
        <f t="shared" ca="1" si="193"/>
        <v>4.9311854001703272</v>
      </c>
      <c r="Q1933" s="3">
        <f t="shared" ca="1" si="194"/>
        <v>5.8177137595950352</v>
      </c>
    </row>
    <row r="1934" spans="7:17" x14ac:dyDescent="0.25">
      <c r="G1934" s="3">
        <f t="shared" ca="1" si="189"/>
        <v>1</v>
      </c>
      <c r="H1934" s="3">
        <f t="shared" ca="1" si="190"/>
        <v>3.7573704777067571</v>
      </c>
      <c r="I1934" s="3">
        <f t="shared" ca="1" si="191"/>
        <v>9.6919689404511047</v>
      </c>
      <c r="O1934" s="3">
        <f t="shared" ca="1" si="192"/>
        <v>-11.800057580016343</v>
      </c>
      <c r="P1934" s="3">
        <f t="shared" ca="1" si="193"/>
        <v>8.7253312482490948</v>
      </c>
      <c r="Q1934" s="3">
        <f t="shared" ca="1" si="194"/>
        <v>14.675583950336465</v>
      </c>
    </row>
    <row r="1935" spans="7:17" x14ac:dyDescent="0.25">
      <c r="G1935" s="3">
        <f t="shared" ca="1" si="189"/>
        <v>1</v>
      </c>
      <c r="H1935" s="3">
        <f t="shared" ca="1" si="190"/>
        <v>1.9898208669525388</v>
      </c>
      <c r="I1935" s="3">
        <f t="shared" ca="1" si="191"/>
        <v>7.0530505225620965</v>
      </c>
      <c r="O1935" s="3">
        <f t="shared" ca="1" si="192"/>
        <v>-4.4406518538422954</v>
      </c>
      <c r="P1935" s="3">
        <f t="shared" ca="1" si="193"/>
        <v>11.097527919157431</v>
      </c>
      <c r="Q1935" s="3">
        <f t="shared" ca="1" si="194"/>
        <v>11.953012791907806</v>
      </c>
    </row>
    <row r="1936" spans="7:17" x14ac:dyDescent="0.25">
      <c r="G1936" s="3">
        <f t="shared" ca="1" si="189"/>
        <v>1</v>
      </c>
      <c r="H1936" s="3">
        <f t="shared" ca="1" si="190"/>
        <v>2.2018386053034833</v>
      </c>
      <c r="I1936" s="3">
        <f t="shared" ca="1" si="191"/>
        <v>7.4192968084978972</v>
      </c>
      <c r="O1936" s="3">
        <f t="shared" ca="1" si="192"/>
        <v>-3.0319022093473027</v>
      </c>
      <c r="P1936" s="3">
        <f t="shared" ca="1" si="193"/>
        <v>-6.2736878269433847</v>
      </c>
      <c r="Q1936" s="3">
        <f t="shared" ca="1" si="194"/>
        <v>6.9678970971866878</v>
      </c>
    </row>
    <row r="1937" spans="7:17" x14ac:dyDescent="0.25">
      <c r="G1937" s="3">
        <f t="shared" ca="1" si="189"/>
        <v>0</v>
      </c>
      <c r="H1937" s="3">
        <f t="shared" ca="1" si="190"/>
        <v>0.55686969143628884</v>
      </c>
      <c r="I1937" s="3">
        <f t="shared" ca="1" si="191"/>
        <v>3.7311851047498594</v>
      </c>
      <c r="O1937" s="3">
        <f t="shared" ca="1" si="192"/>
        <v>-4.8931067774814396</v>
      </c>
      <c r="P1937" s="3">
        <f t="shared" ca="1" si="193"/>
        <v>-1.1879377745740436</v>
      </c>
      <c r="Q1937" s="3">
        <f t="shared" ca="1" si="194"/>
        <v>5.0352447896894477</v>
      </c>
    </row>
    <row r="1938" spans="7:17" x14ac:dyDescent="0.25">
      <c r="G1938" s="3">
        <f t="shared" ca="1" si="189"/>
        <v>0</v>
      </c>
      <c r="H1938" s="3">
        <f t="shared" ca="1" si="190"/>
        <v>0.30360220095209889</v>
      </c>
      <c r="I1938" s="3">
        <f t="shared" ca="1" si="191"/>
        <v>2.7550054489605773</v>
      </c>
      <c r="O1938" s="3">
        <f t="shared" ca="1" si="192"/>
        <v>2.6491876080553114</v>
      </c>
      <c r="P1938" s="3">
        <f t="shared" ca="1" si="193"/>
        <v>-3.5749673123195937</v>
      </c>
      <c r="Q1938" s="3">
        <f t="shared" ca="1" si="194"/>
        <v>4.4495602329699286</v>
      </c>
    </row>
    <row r="1939" spans="7:17" x14ac:dyDescent="0.25">
      <c r="G1939" s="3">
        <f t="shared" ca="1" si="189"/>
        <v>2</v>
      </c>
      <c r="H1939" s="3">
        <f t="shared" ca="1" si="190"/>
        <v>2.2171253919933771</v>
      </c>
      <c r="I1939" s="3">
        <f t="shared" ca="1" si="191"/>
        <v>7.4450073740617899</v>
      </c>
      <c r="O1939" s="3">
        <f t="shared" ca="1" si="192"/>
        <v>0.5447895969536436</v>
      </c>
      <c r="P1939" s="3">
        <f t="shared" ca="1" si="193"/>
        <v>-13.100146848407084</v>
      </c>
      <c r="Q1939" s="3">
        <f t="shared" ca="1" si="194"/>
        <v>13.111469908243658</v>
      </c>
    </row>
    <row r="1940" spans="7:17" x14ac:dyDescent="0.25">
      <c r="G1940" s="3">
        <f t="shared" ca="1" si="189"/>
        <v>0</v>
      </c>
      <c r="H1940" s="3">
        <f t="shared" ca="1" si="190"/>
        <v>6.4910656428527096</v>
      </c>
      <c r="I1940" s="3">
        <f t="shared" ca="1" si="191"/>
        <v>12.738784913456925</v>
      </c>
      <c r="O1940" s="3">
        <f t="shared" ca="1" si="192"/>
        <v>-7.106166591355997</v>
      </c>
      <c r="P1940" s="3">
        <f t="shared" ca="1" si="193"/>
        <v>3.4668380037019912</v>
      </c>
      <c r="Q1940" s="3">
        <f t="shared" ca="1" si="194"/>
        <v>7.9067420198218503</v>
      </c>
    </row>
    <row r="1941" spans="7:17" x14ac:dyDescent="0.25">
      <c r="G1941" s="3">
        <f t="shared" ca="1" si="189"/>
        <v>0</v>
      </c>
      <c r="H1941" s="3">
        <f t="shared" ca="1" si="190"/>
        <v>0.13281734103985776</v>
      </c>
      <c r="I1941" s="3">
        <f t="shared" ca="1" si="191"/>
        <v>1.8222056760959902</v>
      </c>
      <c r="O1941" s="3">
        <f t="shared" ca="1" si="192"/>
        <v>-7.0192518157579169</v>
      </c>
      <c r="P1941" s="3">
        <f t="shared" ca="1" si="193"/>
        <v>-0.61442212885384162</v>
      </c>
      <c r="Q1941" s="3">
        <f t="shared" ca="1" si="194"/>
        <v>7.0460918675139412</v>
      </c>
    </row>
    <row r="1942" spans="7:17" x14ac:dyDescent="0.25">
      <c r="G1942" s="3">
        <f t="shared" ca="1" si="189"/>
        <v>0</v>
      </c>
      <c r="H1942" s="3">
        <f t="shared" ca="1" si="190"/>
        <v>1.8278864718075445</v>
      </c>
      <c r="I1942" s="3">
        <f t="shared" ca="1" si="191"/>
        <v>6.7599675883238239</v>
      </c>
      <c r="O1942" s="3">
        <f t="shared" ca="1" si="192"/>
        <v>-4.9248145831238634</v>
      </c>
      <c r="P1942" s="3">
        <f t="shared" ca="1" si="193"/>
        <v>-8.0725810885462437</v>
      </c>
      <c r="Q1942" s="3">
        <f t="shared" ca="1" si="194"/>
        <v>9.4562341399366758</v>
      </c>
    </row>
    <row r="1943" spans="7:17" x14ac:dyDescent="0.25">
      <c r="G1943" s="3">
        <f t="shared" ca="1" si="189"/>
        <v>2</v>
      </c>
      <c r="H1943" s="3">
        <f t="shared" ca="1" si="190"/>
        <v>5.6783187197452598</v>
      </c>
      <c r="I1943" s="3">
        <f t="shared" ca="1" si="191"/>
        <v>11.914611533475671</v>
      </c>
      <c r="O1943" s="3">
        <f t="shared" ca="1" si="192"/>
        <v>-13.317950659490327</v>
      </c>
      <c r="P1943" s="3">
        <f t="shared" ca="1" si="193"/>
        <v>5.5923827119800711</v>
      </c>
      <c r="Q1943" s="3">
        <f t="shared" ca="1" si="194"/>
        <v>14.444464481796215</v>
      </c>
    </row>
    <row r="1944" spans="7:17" x14ac:dyDescent="0.25">
      <c r="G1944" s="3">
        <f t="shared" ca="1" si="189"/>
        <v>3</v>
      </c>
      <c r="H1944" s="3">
        <f t="shared" ca="1" si="190"/>
        <v>2.6647259709739251</v>
      </c>
      <c r="I1944" s="3">
        <f t="shared" ca="1" si="191"/>
        <v>8.1619941971523193</v>
      </c>
      <c r="O1944" s="3">
        <f t="shared" ca="1" si="192"/>
        <v>-8.6004893372072644</v>
      </c>
      <c r="P1944" s="3">
        <f t="shared" ca="1" si="193"/>
        <v>-4.1044180991371944</v>
      </c>
      <c r="Q1944" s="3">
        <f t="shared" ca="1" si="194"/>
        <v>9.5296728575508212</v>
      </c>
    </row>
    <row r="1945" spans="7:17" x14ac:dyDescent="0.25">
      <c r="G1945" s="3">
        <f t="shared" ca="1" si="189"/>
        <v>0</v>
      </c>
      <c r="H1945" s="3">
        <f t="shared" ca="1" si="190"/>
        <v>1.3050020213379754</v>
      </c>
      <c r="I1945" s="3">
        <f t="shared" ca="1" si="191"/>
        <v>5.7118342529742039</v>
      </c>
      <c r="O1945" s="3">
        <f t="shared" ca="1" si="192"/>
        <v>-3.7504927139276836</v>
      </c>
      <c r="P1945" s="3">
        <f t="shared" ca="1" si="193"/>
        <v>-1.9238254789463538</v>
      </c>
      <c r="Q1945" s="3">
        <f t="shared" ca="1" si="194"/>
        <v>4.2151275272128848</v>
      </c>
    </row>
    <row r="1946" spans="7:17" x14ac:dyDescent="0.25">
      <c r="G1946" s="3">
        <f t="shared" ca="1" si="189"/>
        <v>1</v>
      </c>
      <c r="H1946" s="3">
        <f t="shared" ca="1" si="190"/>
        <v>3.1527910533275194</v>
      </c>
      <c r="I1946" s="3">
        <f t="shared" ca="1" si="191"/>
        <v>8.8780502551623339</v>
      </c>
      <c r="O1946" s="3">
        <f t="shared" ca="1" si="192"/>
        <v>-5.4214380677511302</v>
      </c>
      <c r="P1946" s="3">
        <f t="shared" ca="1" si="193"/>
        <v>2.7373389386457996</v>
      </c>
      <c r="Q1946" s="3">
        <f t="shared" ca="1" si="194"/>
        <v>6.0733034822481597</v>
      </c>
    </row>
    <row r="1947" spans="7:17" x14ac:dyDescent="0.25">
      <c r="G1947" s="3">
        <f t="shared" ca="1" si="189"/>
        <v>0</v>
      </c>
      <c r="H1947" s="3">
        <f t="shared" ca="1" si="190"/>
        <v>2.023318242132079</v>
      </c>
      <c r="I1947" s="3">
        <f t="shared" ca="1" si="191"/>
        <v>7.1121695742791431</v>
      </c>
      <c r="O1947" s="3">
        <f t="shared" ca="1" si="192"/>
        <v>-10.171547439171682</v>
      </c>
      <c r="P1947" s="3">
        <f t="shared" ca="1" si="193"/>
        <v>5.3860658993952741</v>
      </c>
      <c r="Q1947" s="3">
        <f t="shared" ca="1" si="194"/>
        <v>11.50956485623799</v>
      </c>
    </row>
    <row r="1948" spans="7:17" x14ac:dyDescent="0.25">
      <c r="G1948" s="3">
        <f t="shared" ca="1" si="189"/>
        <v>0</v>
      </c>
      <c r="H1948" s="3">
        <f t="shared" ca="1" si="190"/>
        <v>0.99480897373091171</v>
      </c>
      <c r="I1948" s="3">
        <f t="shared" ca="1" si="191"/>
        <v>4.987005548750953</v>
      </c>
      <c r="O1948" s="3">
        <f t="shared" ca="1" si="192"/>
        <v>-5.1939098400384252</v>
      </c>
      <c r="P1948" s="3">
        <f t="shared" ca="1" si="193"/>
        <v>5.7461303035845992</v>
      </c>
      <c r="Q1948" s="3">
        <f t="shared" ca="1" si="194"/>
        <v>7.7456254035565921</v>
      </c>
    </row>
    <row r="1949" spans="7:17" x14ac:dyDescent="0.25">
      <c r="G1949" s="3">
        <f t="shared" ca="1" si="189"/>
        <v>0</v>
      </c>
      <c r="H1949" s="3">
        <f t="shared" ca="1" si="190"/>
        <v>0.30694243698819673</v>
      </c>
      <c r="I1949" s="3">
        <f t="shared" ca="1" si="191"/>
        <v>2.7701192979193006</v>
      </c>
      <c r="O1949" s="3">
        <f t="shared" ca="1" si="192"/>
        <v>-1.4261237645712765</v>
      </c>
      <c r="P1949" s="3">
        <f t="shared" ca="1" si="193"/>
        <v>2.8161072858220448</v>
      </c>
      <c r="Q1949" s="3">
        <f t="shared" ca="1" si="194"/>
        <v>3.1566262428635663</v>
      </c>
    </row>
    <row r="1950" spans="7:17" x14ac:dyDescent="0.25">
      <c r="G1950" s="3">
        <f t="shared" ca="1" si="189"/>
        <v>1</v>
      </c>
      <c r="H1950" s="3">
        <f t="shared" ca="1" si="190"/>
        <v>2.550513097100795</v>
      </c>
      <c r="I1950" s="3">
        <f t="shared" ca="1" si="191"/>
        <v>7.9851629556020871</v>
      </c>
      <c r="O1950" s="3">
        <f t="shared" ca="1" si="192"/>
        <v>2.6897146834722445</v>
      </c>
      <c r="P1950" s="3">
        <f t="shared" ca="1" si="193"/>
        <v>-1.9491530289936774</v>
      </c>
      <c r="Q1950" s="3">
        <f t="shared" ca="1" si="194"/>
        <v>3.3217107954970166</v>
      </c>
    </row>
    <row r="1951" spans="7:17" x14ac:dyDescent="0.25">
      <c r="G1951" s="3">
        <f t="shared" ca="1" si="189"/>
        <v>0</v>
      </c>
      <c r="H1951" s="3">
        <f t="shared" ca="1" si="190"/>
        <v>4.5589440132818586</v>
      </c>
      <c r="I1951" s="3">
        <f t="shared" ca="1" si="191"/>
        <v>10.675841902728163</v>
      </c>
      <c r="O1951" s="3">
        <f t="shared" ca="1" si="192"/>
        <v>-12.253028630517552</v>
      </c>
      <c r="P1951" s="3">
        <f t="shared" ca="1" si="193"/>
        <v>7.6472616988873723</v>
      </c>
      <c r="Q1951" s="3">
        <f t="shared" ca="1" si="194"/>
        <v>14.443591039334802</v>
      </c>
    </row>
    <row r="1952" spans="7:17" x14ac:dyDescent="0.25">
      <c r="G1952" s="3">
        <f t="shared" ca="1" si="189"/>
        <v>1</v>
      </c>
      <c r="H1952" s="3">
        <f t="shared" ca="1" si="190"/>
        <v>1.3799462661171584</v>
      </c>
      <c r="I1952" s="3">
        <f t="shared" ca="1" si="191"/>
        <v>5.873555707825453</v>
      </c>
      <c r="O1952" s="3">
        <f t="shared" ca="1" si="192"/>
        <v>5.0862945166068148</v>
      </c>
      <c r="P1952" s="3">
        <f t="shared" ca="1" si="193"/>
        <v>4.7486939730123741</v>
      </c>
      <c r="Q1952" s="3">
        <f t="shared" ca="1" si="194"/>
        <v>6.9584830501330242</v>
      </c>
    </row>
    <row r="1953" spans="7:17" x14ac:dyDescent="0.25">
      <c r="G1953" s="3">
        <f t="shared" ca="1" si="189"/>
        <v>1</v>
      </c>
      <c r="H1953" s="3">
        <f t="shared" ca="1" si="190"/>
        <v>1.8901777882985173</v>
      </c>
      <c r="I1953" s="3">
        <f t="shared" ca="1" si="191"/>
        <v>6.8741868397260584</v>
      </c>
      <c r="O1953" s="3">
        <f t="shared" ca="1" si="192"/>
        <v>1.8849925024489842</v>
      </c>
      <c r="P1953" s="3">
        <f t="shared" ca="1" si="193"/>
        <v>-10.002573117369742</v>
      </c>
      <c r="Q1953" s="3">
        <f t="shared" ca="1" si="194"/>
        <v>10.17863771349667</v>
      </c>
    </row>
    <row r="1954" spans="7:17" x14ac:dyDescent="0.25">
      <c r="G1954" s="3">
        <f t="shared" ca="1" si="189"/>
        <v>2</v>
      </c>
      <c r="H1954" s="3">
        <f t="shared" ca="1" si="190"/>
        <v>16.214806528588582</v>
      </c>
      <c r="I1954" s="3">
        <f t="shared" ca="1" si="191"/>
        <v>20.133806476042096</v>
      </c>
      <c r="O1954" s="3">
        <f t="shared" ca="1" si="192"/>
        <v>-1.2243323601214371</v>
      </c>
      <c r="P1954" s="3">
        <f t="shared" ca="1" si="193"/>
        <v>6.3904933156422379</v>
      </c>
      <c r="Q1954" s="3">
        <f t="shared" ca="1" si="194"/>
        <v>6.506719184451458</v>
      </c>
    </row>
    <row r="1955" spans="7:17" x14ac:dyDescent="0.25">
      <c r="G1955" s="3">
        <f t="shared" ca="1" si="189"/>
        <v>1</v>
      </c>
      <c r="H1955" s="3">
        <f t="shared" ca="1" si="190"/>
        <v>3.9649343490271818</v>
      </c>
      <c r="I1955" s="3">
        <f t="shared" ca="1" si="191"/>
        <v>9.9560714504105245</v>
      </c>
      <c r="O1955" s="3">
        <f t="shared" ca="1" si="192"/>
        <v>1.2698163217650285</v>
      </c>
      <c r="P1955" s="3">
        <f t="shared" ca="1" si="193"/>
        <v>-4.2165766853724636</v>
      </c>
      <c r="Q1955" s="3">
        <f t="shared" ca="1" si="194"/>
        <v>4.4036294615518567</v>
      </c>
    </row>
    <row r="1956" spans="7:17" x14ac:dyDescent="0.25">
      <c r="G1956" s="3">
        <f t="shared" ca="1" si="189"/>
        <v>1</v>
      </c>
      <c r="H1956" s="3">
        <f t="shared" ca="1" si="190"/>
        <v>1.2151767540643819</v>
      </c>
      <c r="I1956" s="3">
        <f t="shared" ca="1" si="191"/>
        <v>5.5117527930422963</v>
      </c>
      <c r="O1956" s="3">
        <f t="shared" ca="1" si="192"/>
        <v>1.0489354425812962</v>
      </c>
      <c r="P1956" s="3">
        <f t="shared" ca="1" si="193"/>
        <v>3.5998151570611352</v>
      </c>
      <c r="Q1956" s="3">
        <f t="shared" ca="1" si="194"/>
        <v>3.7495246002273817</v>
      </c>
    </row>
    <row r="1957" spans="7:17" x14ac:dyDescent="0.25">
      <c r="G1957" s="3">
        <f t="shared" ca="1" si="189"/>
        <v>1</v>
      </c>
      <c r="H1957" s="3">
        <f t="shared" ca="1" si="190"/>
        <v>2.2093423150229552</v>
      </c>
      <c r="I1957" s="3">
        <f t="shared" ca="1" si="191"/>
        <v>7.4319282743830275</v>
      </c>
      <c r="O1957" s="3">
        <f t="shared" ca="1" si="192"/>
        <v>-12.5763262356911</v>
      </c>
      <c r="P1957" s="3">
        <f t="shared" ca="1" si="193"/>
        <v>-7.955681054119168</v>
      </c>
      <c r="Q1957" s="3">
        <f t="shared" ca="1" si="194"/>
        <v>14.881426095015321</v>
      </c>
    </row>
    <row r="1958" spans="7:17" x14ac:dyDescent="0.25">
      <c r="G1958" s="3">
        <f t="shared" ca="1" si="189"/>
        <v>0</v>
      </c>
      <c r="H1958" s="3">
        <f t="shared" ca="1" si="190"/>
        <v>8.8928308650428054</v>
      </c>
      <c r="I1958" s="3">
        <f t="shared" ca="1" si="191"/>
        <v>14.91042493110341</v>
      </c>
      <c r="O1958" s="3">
        <f t="shared" ca="1" si="192"/>
        <v>-7.1855272346803485</v>
      </c>
      <c r="P1958" s="3">
        <f t="shared" ca="1" si="193"/>
        <v>1.8995258372095221</v>
      </c>
      <c r="Q1958" s="3">
        <f t="shared" ca="1" si="194"/>
        <v>7.4323616735570361</v>
      </c>
    </row>
    <row r="1959" spans="7:17" x14ac:dyDescent="0.25">
      <c r="G1959" s="3">
        <f t="shared" ca="1" si="189"/>
        <v>0</v>
      </c>
      <c r="H1959" s="3">
        <f t="shared" ca="1" si="190"/>
        <v>0.11083714963344457</v>
      </c>
      <c r="I1959" s="3">
        <f t="shared" ca="1" si="191"/>
        <v>1.6646106874690292</v>
      </c>
      <c r="O1959" s="3">
        <f t="shared" ca="1" si="192"/>
        <v>-5.1349802952551187</v>
      </c>
      <c r="P1959" s="3">
        <f t="shared" ca="1" si="193"/>
        <v>4.1390169003203452</v>
      </c>
      <c r="Q1959" s="3">
        <f t="shared" ca="1" si="194"/>
        <v>6.595413825818345</v>
      </c>
    </row>
    <row r="1960" spans="7:17" x14ac:dyDescent="0.25">
      <c r="G1960" s="3">
        <f t="shared" ca="1" si="189"/>
        <v>0</v>
      </c>
      <c r="H1960" s="3">
        <f t="shared" ca="1" si="190"/>
        <v>2.7661658434926495</v>
      </c>
      <c r="I1960" s="3">
        <f t="shared" ca="1" si="191"/>
        <v>8.3158971907615751</v>
      </c>
      <c r="O1960" s="3">
        <f t="shared" ca="1" si="192"/>
        <v>-6.7576097578888952</v>
      </c>
      <c r="P1960" s="3">
        <f t="shared" ca="1" si="193"/>
        <v>2.1108098552248822</v>
      </c>
      <c r="Q1960" s="3">
        <f t="shared" ca="1" si="194"/>
        <v>7.079605065597212</v>
      </c>
    </row>
    <row r="1961" spans="7:17" x14ac:dyDescent="0.25">
      <c r="G1961" s="3">
        <f t="shared" ca="1" si="189"/>
        <v>0</v>
      </c>
      <c r="H1961" s="3">
        <f t="shared" ca="1" si="190"/>
        <v>1.374486181886901</v>
      </c>
      <c r="I1961" s="3">
        <f t="shared" ca="1" si="191"/>
        <v>5.8619241335224164</v>
      </c>
      <c r="O1961" s="3">
        <f t="shared" ca="1" si="192"/>
        <v>-1.3550878225562881</v>
      </c>
      <c r="P1961" s="3">
        <f t="shared" ca="1" si="193"/>
        <v>0.96265209242859495</v>
      </c>
      <c r="Q1961" s="3">
        <f t="shared" ca="1" si="194"/>
        <v>1.6622160081943305</v>
      </c>
    </row>
    <row r="1962" spans="7:17" x14ac:dyDescent="0.25">
      <c r="G1962" s="3">
        <f t="shared" ca="1" si="189"/>
        <v>0</v>
      </c>
      <c r="H1962" s="3">
        <f t="shared" ca="1" si="190"/>
        <v>1.4247977138409158</v>
      </c>
      <c r="I1962" s="3">
        <f t="shared" ca="1" si="191"/>
        <v>5.9682445363794283</v>
      </c>
      <c r="O1962" s="3">
        <f t="shared" ca="1" si="192"/>
        <v>-8.5707838876111708</v>
      </c>
      <c r="P1962" s="3">
        <f t="shared" ca="1" si="193"/>
        <v>10.562472215563417</v>
      </c>
      <c r="Q1962" s="3">
        <f t="shared" ca="1" si="194"/>
        <v>13.602358462880046</v>
      </c>
    </row>
    <row r="1963" spans="7:17" x14ac:dyDescent="0.25">
      <c r="G1963" s="3">
        <f t="shared" ca="1" si="189"/>
        <v>1</v>
      </c>
      <c r="H1963" s="3">
        <f t="shared" ca="1" si="190"/>
        <v>2.7563593513307461</v>
      </c>
      <c r="I1963" s="3">
        <f t="shared" ca="1" si="191"/>
        <v>8.3011435226279904</v>
      </c>
      <c r="O1963" s="3">
        <f t="shared" ca="1" si="192"/>
        <v>-12.404305172670819</v>
      </c>
      <c r="P1963" s="3">
        <f t="shared" ca="1" si="193"/>
        <v>-4.3380403869453774</v>
      </c>
      <c r="Q1963" s="3">
        <f t="shared" ca="1" si="194"/>
        <v>13.140980983759059</v>
      </c>
    </row>
    <row r="1964" spans="7:17" x14ac:dyDescent="0.25">
      <c r="G1964" s="3">
        <f t="shared" ca="1" si="189"/>
        <v>2</v>
      </c>
      <c r="H1964" s="3">
        <f t="shared" ca="1" si="190"/>
        <v>4.0123335849768846</v>
      </c>
      <c r="I1964" s="3">
        <f t="shared" ca="1" si="191"/>
        <v>10.015405115342171</v>
      </c>
      <c r="O1964" s="3">
        <f t="shared" ca="1" si="192"/>
        <v>-4.7735162048962607</v>
      </c>
      <c r="P1964" s="3">
        <f t="shared" ca="1" si="193"/>
        <v>6.523592566980323</v>
      </c>
      <c r="Q1964" s="3">
        <f t="shared" ca="1" si="194"/>
        <v>8.083546062117053</v>
      </c>
    </row>
    <row r="1965" spans="7:17" x14ac:dyDescent="0.25">
      <c r="G1965" s="3">
        <f t="shared" ca="1" si="189"/>
        <v>0</v>
      </c>
      <c r="H1965" s="3">
        <f t="shared" ca="1" si="190"/>
        <v>0.95869965031659909</v>
      </c>
      <c r="I1965" s="3">
        <f t="shared" ca="1" si="191"/>
        <v>4.8956604516566484</v>
      </c>
      <c r="O1965" s="3">
        <f t="shared" ca="1" si="192"/>
        <v>-8.9117277504648627</v>
      </c>
      <c r="P1965" s="3">
        <f t="shared" ca="1" si="193"/>
        <v>-2.1901904015901508</v>
      </c>
      <c r="Q1965" s="3">
        <f t="shared" ca="1" si="194"/>
        <v>9.1769180825385561</v>
      </c>
    </row>
    <row r="1966" spans="7:17" x14ac:dyDescent="0.25">
      <c r="G1966" s="3">
        <f t="shared" ca="1" si="189"/>
        <v>0</v>
      </c>
      <c r="H1966" s="3">
        <f t="shared" ca="1" si="190"/>
        <v>2.1338530005706597</v>
      </c>
      <c r="I1966" s="3">
        <f t="shared" ca="1" si="191"/>
        <v>7.3038568588292101</v>
      </c>
      <c r="O1966" s="3">
        <f t="shared" ca="1" si="192"/>
        <v>-9.511004140060157</v>
      </c>
      <c r="P1966" s="3">
        <f t="shared" ca="1" si="193"/>
        <v>2.3647039994622251E-2</v>
      </c>
      <c r="Q1966" s="3">
        <f t="shared" ca="1" si="194"/>
        <v>9.5110335366216621</v>
      </c>
    </row>
    <row r="1967" spans="7:17" x14ac:dyDescent="0.25">
      <c r="G1967" s="3">
        <f t="shared" ca="1" si="189"/>
        <v>0</v>
      </c>
      <c r="H1967" s="3">
        <f t="shared" ca="1" si="190"/>
        <v>0.41961087530921537</v>
      </c>
      <c r="I1967" s="3">
        <f t="shared" ca="1" si="191"/>
        <v>3.2388689202760865</v>
      </c>
      <c r="O1967" s="3">
        <f t="shared" ca="1" si="192"/>
        <v>-3.9903235055543469</v>
      </c>
      <c r="P1967" s="3">
        <f t="shared" ca="1" si="193"/>
        <v>7.5488723184724371</v>
      </c>
      <c r="Q1967" s="3">
        <f t="shared" ca="1" si="194"/>
        <v>8.5386272292201024</v>
      </c>
    </row>
    <row r="1968" spans="7:17" x14ac:dyDescent="0.25">
      <c r="G1968" s="3">
        <f t="shared" ca="1" si="189"/>
        <v>0</v>
      </c>
      <c r="H1968" s="3">
        <f t="shared" ca="1" si="190"/>
        <v>7.8683659541072402</v>
      </c>
      <c r="I1968" s="3">
        <f t="shared" ca="1" si="191"/>
        <v>14.025303877373958</v>
      </c>
      <c r="O1968" s="3">
        <f t="shared" ca="1" si="192"/>
        <v>2.8555511071133548</v>
      </c>
      <c r="P1968" s="3">
        <f t="shared" ca="1" si="193"/>
        <v>-1.6901078820349797</v>
      </c>
      <c r="Q1968" s="3">
        <f t="shared" ca="1" si="194"/>
        <v>3.3182279575479847</v>
      </c>
    </row>
    <row r="1969" spans="7:17" x14ac:dyDescent="0.25">
      <c r="G1969" s="3">
        <f t="shared" ca="1" si="189"/>
        <v>1</v>
      </c>
      <c r="H1969" s="3">
        <f t="shared" ca="1" si="190"/>
        <v>2.2668076803492134</v>
      </c>
      <c r="I1969" s="3">
        <f t="shared" ca="1" si="191"/>
        <v>7.5279606806046973</v>
      </c>
      <c r="O1969" s="3">
        <f t="shared" ca="1" si="192"/>
        <v>-9.0564311715562624</v>
      </c>
      <c r="P1969" s="3">
        <f t="shared" ca="1" si="193"/>
        <v>-0.9538541201584444</v>
      </c>
      <c r="Q1969" s="3">
        <f t="shared" ca="1" si="194"/>
        <v>9.106524213314275</v>
      </c>
    </row>
    <row r="1970" spans="7:17" x14ac:dyDescent="0.25">
      <c r="G1970" s="3">
        <f t="shared" ca="1" si="189"/>
        <v>2</v>
      </c>
      <c r="H1970" s="3">
        <f t="shared" ca="1" si="190"/>
        <v>7.7580567774422118</v>
      </c>
      <c r="I1970" s="3">
        <f t="shared" ca="1" si="191"/>
        <v>13.926644227381386</v>
      </c>
      <c r="O1970" s="3">
        <f t="shared" ca="1" si="192"/>
        <v>9.4828470542634768E-2</v>
      </c>
      <c r="P1970" s="3">
        <f t="shared" ca="1" si="193"/>
        <v>-2.8800127785227772</v>
      </c>
      <c r="Q1970" s="3">
        <f t="shared" ca="1" si="194"/>
        <v>2.8815735359834114</v>
      </c>
    </row>
    <row r="1971" spans="7:17" x14ac:dyDescent="0.25">
      <c r="G1971" s="3">
        <f t="shared" ca="1" si="189"/>
        <v>0</v>
      </c>
      <c r="H1971" s="3">
        <f t="shared" ca="1" si="190"/>
        <v>3.4796849806531411</v>
      </c>
      <c r="I1971" s="3">
        <f t="shared" ca="1" si="191"/>
        <v>9.32695687329627</v>
      </c>
      <c r="O1971" s="3">
        <f t="shared" ca="1" si="192"/>
        <v>-10.58812166917625</v>
      </c>
      <c r="P1971" s="3">
        <f t="shared" ca="1" si="193"/>
        <v>-2.6066093047558199</v>
      </c>
      <c r="Q1971" s="3">
        <f t="shared" ca="1" si="194"/>
        <v>10.90425295693929</v>
      </c>
    </row>
    <row r="1972" spans="7:17" x14ac:dyDescent="0.25">
      <c r="G1972" s="3">
        <f t="shared" ca="1" si="189"/>
        <v>2</v>
      </c>
      <c r="H1972" s="3">
        <f t="shared" ca="1" si="190"/>
        <v>9.730441698523272</v>
      </c>
      <c r="I1972" s="3">
        <f t="shared" ca="1" si="191"/>
        <v>15.596827961578656</v>
      </c>
      <c r="O1972" s="3">
        <f t="shared" ca="1" si="192"/>
        <v>-0.49472510082007037</v>
      </c>
      <c r="P1972" s="3">
        <f t="shared" ca="1" si="193"/>
        <v>1.1387248044007436</v>
      </c>
      <c r="Q1972" s="3">
        <f t="shared" ca="1" si="194"/>
        <v>1.2415502831294996</v>
      </c>
    </row>
    <row r="1973" spans="7:17" x14ac:dyDescent="0.25">
      <c r="G1973" s="3">
        <f t="shared" ca="1" si="189"/>
        <v>2</v>
      </c>
      <c r="H1973" s="3">
        <f t="shared" ca="1" si="190"/>
        <v>8.9947035876721966</v>
      </c>
      <c r="I1973" s="3">
        <f t="shared" ca="1" si="191"/>
        <v>14.995585673517553</v>
      </c>
      <c r="O1973" s="3">
        <f t="shared" ca="1" si="192"/>
        <v>-0.56476877589828334</v>
      </c>
      <c r="P1973" s="3">
        <f t="shared" ca="1" si="193"/>
        <v>5.5759279747818384</v>
      </c>
      <c r="Q1973" s="3">
        <f t="shared" ca="1" si="194"/>
        <v>5.6044568470266887</v>
      </c>
    </row>
    <row r="1974" spans="7:17" x14ac:dyDescent="0.25">
      <c r="G1974" s="3">
        <f t="shared" ca="1" si="189"/>
        <v>0</v>
      </c>
      <c r="H1974" s="3">
        <f t="shared" ca="1" si="190"/>
        <v>0.31028763595236891</v>
      </c>
      <c r="I1974" s="3">
        <f t="shared" ca="1" si="191"/>
        <v>2.785173405518806</v>
      </c>
      <c r="O1974" s="3">
        <f t="shared" ca="1" si="192"/>
        <v>-4.0707794381300522</v>
      </c>
      <c r="P1974" s="3">
        <f t="shared" ca="1" si="193"/>
        <v>-3.712741242828955</v>
      </c>
      <c r="Q1974" s="3">
        <f t="shared" ca="1" si="194"/>
        <v>5.5096000553674962</v>
      </c>
    </row>
    <row r="1975" spans="7:17" x14ac:dyDescent="0.25">
      <c r="G1975" s="3">
        <f t="shared" ca="1" si="189"/>
        <v>1</v>
      </c>
      <c r="H1975" s="3">
        <f t="shared" ca="1" si="190"/>
        <v>1.8673840221622087</v>
      </c>
      <c r="I1975" s="3">
        <f t="shared" ca="1" si="191"/>
        <v>6.832613010704998</v>
      </c>
      <c r="O1975" s="3">
        <f t="shared" ca="1" si="192"/>
        <v>-4.3861709815525876</v>
      </c>
      <c r="P1975" s="3">
        <f t="shared" ca="1" si="193"/>
        <v>4.0897002714984065</v>
      </c>
      <c r="Q1975" s="3">
        <f t="shared" ca="1" si="194"/>
        <v>5.9970112714674908</v>
      </c>
    </row>
    <row r="1976" spans="7:17" x14ac:dyDescent="0.25">
      <c r="G1976" s="3">
        <f t="shared" ca="1" si="189"/>
        <v>0</v>
      </c>
      <c r="H1976" s="3">
        <f t="shared" ca="1" si="190"/>
        <v>4.9885116946626962</v>
      </c>
      <c r="I1976" s="3">
        <f t="shared" ca="1" si="191"/>
        <v>11.167488185199366</v>
      </c>
      <c r="O1976" s="3">
        <f t="shared" ca="1" si="192"/>
        <v>-3.5646830896328252</v>
      </c>
      <c r="P1976" s="3">
        <f t="shared" ca="1" si="193"/>
        <v>-9.0023336768781288</v>
      </c>
      <c r="Q1976" s="3">
        <f t="shared" ca="1" si="194"/>
        <v>9.6824055461113741</v>
      </c>
    </row>
    <row r="1977" spans="7:17" x14ac:dyDescent="0.25">
      <c r="G1977" s="3">
        <f t="shared" ca="1" si="189"/>
        <v>0</v>
      </c>
      <c r="H1977" s="3">
        <f t="shared" ca="1" si="190"/>
        <v>0.45697643927908876</v>
      </c>
      <c r="I1977" s="3">
        <f t="shared" ca="1" si="191"/>
        <v>3.3800016245524529</v>
      </c>
      <c r="O1977" s="3">
        <f t="shared" ca="1" si="192"/>
        <v>2.816194638142111E-2</v>
      </c>
      <c r="P1977" s="3">
        <f t="shared" ca="1" si="193"/>
        <v>-3.1663619663007707</v>
      </c>
      <c r="Q1977" s="3">
        <f t="shared" ca="1" si="194"/>
        <v>3.1664872014363286</v>
      </c>
    </row>
    <row r="1978" spans="7:17" x14ac:dyDescent="0.25">
      <c r="G1978" s="3">
        <f t="shared" ca="1" si="189"/>
        <v>1</v>
      </c>
      <c r="H1978" s="3">
        <f t="shared" ca="1" si="190"/>
        <v>4.866881679462522</v>
      </c>
      <c r="I1978" s="3">
        <f t="shared" ca="1" si="191"/>
        <v>11.03050506488996</v>
      </c>
      <c r="O1978" s="3">
        <f t="shared" ca="1" si="192"/>
        <v>-0.39398221372773534</v>
      </c>
      <c r="P1978" s="3">
        <f t="shared" ca="1" si="193"/>
        <v>6.7441939129303909</v>
      </c>
      <c r="Q1978" s="3">
        <f t="shared" ca="1" si="194"/>
        <v>6.7556919349494571</v>
      </c>
    </row>
    <row r="1979" spans="7:17" x14ac:dyDescent="0.25">
      <c r="G1979" s="3">
        <f t="shared" ca="1" si="189"/>
        <v>0</v>
      </c>
      <c r="H1979" s="3">
        <f t="shared" ca="1" si="190"/>
        <v>1.4802053011532919</v>
      </c>
      <c r="I1979" s="3">
        <f t="shared" ca="1" si="191"/>
        <v>6.0831844069395347</v>
      </c>
      <c r="O1979" s="3">
        <f t="shared" ca="1" si="192"/>
        <v>-4.8268450596738735</v>
      </c>
      <c r="P1979" s="3">
        <f t="shared" ca="1" si="193"/>
        <v>-0.88722258838999069</v>
      </c>
      <c r="Q1979" s="3">
        <f t="shared" ca="1" si="194"/>
        <v>4.9077079325737705</v>
      </c>
    </row>
    <row r="1980" spans="7:17" x14ac:dyDescent="0.25">
      <c r="G1980" s="3">
        <f t="shared" ca="1" si="189"/>
        <v>1</v>
      </c>
      <c r="H1980" s="3">
        <f t="shared" ca="1" si="190"/>
        <v>2.6937326911498083</v>
      </c>
      <c r="I1980" s="3">
        <f t="shared" ca="1" si="191"/>
        <v>8.2062974159327915</v>
      </c>
      <c r="O1980" s="3">
        <f t="shared" ca="1" si="192"/>
        <v>-3.7261697031294463</v>
      </c>
      <c r="P1980" s="3">
        <f t="shared" ca="1" si="193"/>
        <v>1.6219632746112893</v>
      </c>
      <c r="Q1980" s="3">
        <f t="shared" ca="1" si="194"/>
        <v>4.0638781380237727</v>
      </c>
    </row>
    <row r="1981" spans="7:17" x14ac:dyDescent="0.25">
      <c r="G1981" s="3">
        <f t="shared" ca="1" si="189"/>
        <v>0</v>
      </c>
      <c r="H1981" s="3">
        <f t="shared" ca="1" si="190"/>
        <v>2.0708700231684469</v>
      </c>
      <c r="I1981" s="3">
        <f t="shared" ca="1" si="191"/>
        <v>7.1952588959127226</v>
      </c>
      <c r="O1981" s="3">
        <f t="shared" ca="1" si="192"/>
        <v>4.1334435133585892</v>
      </c>
      <c r="P1981" s="3">
        <f t="shared" ca="1" si="193"/>
        <v>3.6182701447968584</v>
      </c>
      <c r="Q1981" s="3">
        <f t="shared" ca="1" si="194"/>
        <v>5.4933809369872098</v>
      </c>
    </row>
    <row r="1982" spans="7:17" x14ac:dyDescent="0.25">
      <c r="G1982" s="3">
        <f t="shared" ca="1" si="189"/>
        <v>3</v>
      </c>
      <c r="H1982" s="3">
        <f t="shared" ca="1" si="190"/>
        <v>4.9385372002031902</v>
      </c>
      <c r="I1982" s="3">
        <f t="shared" ca="1" si="191"/>
        <v>11.111409901766731</v>
      </c>
      <c r="O1982" s="3">
        <f t="shared" ca="1" si="192"/>
        <v>-9.43656811543595</v>
      </c>
      <c r="P1982" s="3">
        <f t="shared" ca="1" si="193"/>
        <v>-0.73615169486234733</v>
      </c>
      <c r="Q1982" s="3">
        <f t="shared" ca="1" si="194"/>
        <v>9.4652383549021692</v>
      </c>
    </row>
    <row r="1983" spans="7:17" x14ac:dyDescent="0.25">
      <c r="G1983" s="3">
        <f t="shared" ca="1" si="189"/>
        <v>0</v>
      </c>
      <c r="H1983" s="3">
        <f t="shared" ca="1" si="190"/>
        <v>2.6244866468016568</v>
      </c>
      <c r="I1983" s="3">
        <f t="shared" ca="1" si="191"/>
        <v>8.100133713096433</v>
      </c>
      <c r="O1983" s="3">
        <f t="shared" ca="1" si="192"/>
        <v>3.7062394373511598</v>
      </c>
      <c r="P1983" s="3">
        <f t="shared" ca="1" si="193"/>
        <v>-2.2859272673854467</v>
      </c>
      <c r="Q1983" s="3">
        <f t="shared" ca="1" si="194"/>
        <v>4.3545004580035744</v>
      </c>
    </row>
    <row r="1984" spans="7:17" x14ac:dyDescent="0.25">
      <c r="G1984" s="3">
        <f t="shared" ca="1" si="189"/>
        <v>3</v>
      </c>
      <c r="H1984" s="3">
        <f t="shared" ca="1" si="190"/>
        <v>7.5592648300403411</v>
      </c>
      <c r="I1984" s="3">
        <f t="shared" ca="1" si="191"/>
        <v>13.747058621792828</v>
      </c>
      <c r="O1984" s="3">
        <f t="shared" ca="1" si="192"/>
        <v>-11.375825217844431</v>
      </c>
      <c r="P1984" s="3">
        <f t="shared" ca="1" si="193"/>
        <v>7.6512147128739718</v>
      </c>
      <c r="Q1984" s="3">
        <f t="shared" ca="1" si="194"/>
        <v>13.709503490989176</v>
      </c>
    </row>
    <row r="1985" spans="7:17" x14ac:dyDescent="0.25">
      <c r="G1985" s="3">
        <f t="shared" ca="1" si="189"/>
        <v>0</v>
      </c>
      <c r="H1985" s="3">
        <f t="shared" ca="1" si="190"/>
        <v>1.2656985878538789</v>
      </c>
      <c r="I1985" s="3">
        <f t="shared" ca="1" si="191"/>
        <v>5.6251635261872144</v>
      </c>
      <c r="O1985" s="3">
        <f t="shared" ca="1" si="192"/>
        <v>-8.9504638314203078</v>
      </c>
      <c r="P1985" s="3">
        <f t="shared" ca="1" si="193"/>
        <v>4.2886885502317887E-3</v>
      </c>
      <c r="Q1985" s="3">
        <f t="shared" ca="1" si="194"/>
        <v>8.9504648589004905</v>
      </c>
    </row>
    <row r="1986" spans="7:17" x14ac:dyDescent="0.25">
      <c r="G1986" s="3">
        <f t="shared" ca="1" si="189"/>
        <v>1</v>
      </c>
      <c r="H1986" s="3">
        <f t="shared" ca="1" si="190"/>
        <v>11.577500132429043</v>
      </c>
      <c r="I1986" s="3">
        <f t="shared" ca="1" si="191"/>
        <v>17.012862878149758</v>
      </c>
      <c r="O1986" s="3">
        <f t="shared" ca="1" si="192"/>
        <v>-4.3857402048181351</v>
      </c>
      <c r="P1986" s="3">
        <f t="shared" ca="1" si="193"/>
        <v>0.43613059927416958</v>
      </c>
      <c r="Q1986" s="3">
        <f t="shared" ca="1" si="194"/>
        <v>4.40737189760309</v>
      </c>
    </row>
    <row r="1987" spans="7:17" x14ac:dyDescent="0.25">
      <c r="G1987" s="3">
        <f t="shared" ca="1" si="189"/>
        <v>1</v>
      </c>
      <c r="H1987" s="3">
        <f t="shared" ca="1" si="190"/>
        <v>2.4510031349192754</v>
      </c>
      <c r="I1987" s="3">
        <f t="shared" ca="1" si="191"/>
        <v>7.8278399557593081</v>
      </c>
      <c r="O1987" s="3">
        <f t="shared" ca="1" si="192"/>
        <v>-4.4542269966046577</v>
      </c>
      <c r="P1987" s="3">
        <f t="shared" ca="1" si="193"/>
        <v>5.8849504958520011</v>
      </c>
      <c r="Q1987" s="3">
        <f t="shared" ca="1" si="194"/>
        <v>7.3805677610811529</v>
      </c>
    </row>
    <row r="1988" spans="7:17" x14ac:dyDescent="0.25">
      <c r="G1988" s="3">
        <f t="shared" ref="G1988:G2051" ca="1" si="195">VLOOKUP(RAND(),$B$9:$C$169,2,TRUE)</f>
        <v>1</v>
      </c>
      <c r="H1988" s="3">
        <f t="shared" ref="H1988:H2051" ca="1" si="196">_xlfn.CHISQ.INV(RAND(),2*G1988+2)</f>
        <v>11.457608146439179</v>
      </c>
      <c r="I1988" s="3">
        <f t="shared" ref="I1988:I2051" ca="1" si="197">$C$4*SQRT(H1988)</f>
        <v>16.92454441516756</v>
      </c>
      <c r="O1988" s="3">
        <f t="shared" ref="O1988:O2051" ca="1" si="198">_xlfn.NORM.INV(RAND(),$C$3*COS($N$2),$C$4)</f>
        <v>-5.6412195919006702</v>
      </c>
      <c r="P1988" s="3">
        <f t="shared" ref="P1988:P2051" ca="1" si="199">_xlfn.NORM.INV(RAND(),$C$3*SIN($N$2),$C$4)</f>
        <v>-8.684182394734842</v>
      </c>
      <c r="Q1988" s="3">
        <f t="shared" ref="Q1988:Q2051" ca="1" si="200">SQRT(O1988^2+P1988^2)</f>
        <v>10.355596667940798</v>
      </c>
    </row>
    <row r="1989" spans="7:17" x14ac:dyDescent="0.25">
      <c r="G1989" s="3">
        <f t="shared" ca="1" si="195"/>
        <v>2</v>
      </c>
      <c r="H1989" s="3">
        <f t="shared" ca="1" si="196"/>
        <v>8.0050405211874462</v>
      </c>
      <c r="I1989" s="3">
        <f t="shared" ca="1" si="197"/>
        <v>14.146590155570568</v>
      </c>
      <c r="O1989" s="3">
        <f t="shared" ca="1" si="198"/>
        <v>1.8517530664885875</v>
      </c>
      <c r="P1989" s="3">
        <f t="shared" ca="1" si="199"/>
        <v>4.2313485744876509</v>
      </c>
      <c r="Q1989" s="3">
        <f t="shared" ca="1" si="200"/>
        <v>4.6187985643529164</v>
      </c>
    </row>
    <row r="1990" spans="7:17" x14ac:dyDescent="0.25">
      <c r="G1990" s="3">
        <f t="shared" ca="1" si="195"/>
        <v>0</v>
      </c>
      <c r="H1990" s="3">
        <f t="shared" ca="1" si="196"/>
        <v>1.4853876806920348</v>
      </c>
      <c r="I1990" s="3">
        <f t="shared" ca="1" si="197"/>
        <v>6.0938240881486614</v>
      </c>
      <c r="O1990" s="3">
        <f t="shared" ca="1" si="198"/>
        <v>-6.3490325364792977</v>
      </c>
      <c r="P1990" s="3">
        <f t="shared" ca="1" si="199"/>
        <v>-4.4496488289024061</v>
      </c>
      <c r="Q1990" s="3">
        <f t="shared" ca="1" si="200"/>
        <v>7.7530373951004066</v>
      </c>
    </row>
    <row r="1991" spans="7:17" x14ac:dyDescent="0.25">
      <c r="G1991" s="3">
        <f t="shared" ca="1" si="195"/>
        <v>0</v>
      </c>
      <c r="H1991" s="3">
        <f t="shared" ca="1" si="196"/>
        <v>4.0740038684381528</v>
      </c>
      <c r="I1991" s="3">
        <f t="shared" ca="1" si="197"/>
        <v>10.092080891023109</v>
      </c>
      <c r="O1991" s="3">
        <f t="shared" ca="1" si="198"/>
        <v>1.837771330569959</v>
      </c>
      <c r="P1991" s="3">
        <f t="shared" ca="1" si="199"/>
        <v>0.1746251309283533</v>
      </c>
      <c r="Q1991" s="3">
        <f t="shared" ca="1" si="200"/>
        <v>1.8460491325575878</v>
      </c>
    </row>
    <row r="1992" spans="7:17" x14ac:dyDescent="0.25">
      <c r="G1992" s="3">
        <f t="shared" ca="1" si="195"/>
        <v>0</v>
      </c>
      <c r="H1992" s="3">
        <f t="shared" ca="1" si="196"/>
        <v>7.135942780412833</v>
      </c>
      <c r="I1992" s="3">
        <f t="shared" ca="1" si="197"/>
        <v>13.356592735811061</v>
      </c>
      <c r="O1992" s="3">
        <f t="shared" ca="1" si="198"/>
        <v>2.0261557313970577</v>
      </c>
      <c r="P1992" s="3">
        <f t="shared" ca="1" si="199"/>
        <v>0.31208506399825781</v>
      </c>
      <c r="Q1992" s="3">
        <f t="shared" ca="1" si="200"/>
        <v>2.0500497884305013</v>
      </c>
    </row>
    <row r="1993" spans="7:17" x14ac:dyDescent="0.25">
      <c r="G1993" s="3">
        <f t="shared" ca="1" si="195"/>
        <v>0</v>
      </c>
      <c r="H1993" s="3">
        <f t="shared" ca="1" si="196"/>
        <v>3.9374608328660208</v>
      </c>
      <c r="I1993" s="3">
        <f t="shared" ca="1" si="197"/>
        <v>9.9215180704189869</v>
      </c>
      <c r="O1993" s="3">
        <f t="shared" ca="1" si="198"/>
        <v>8.4217915817040652</v>
      </c>
      <c r="P1993" s="3">
        <f t="shared" ca="1" si="199"/>
        <v>-2.2252871699641008</v>
      </c>
      <c r="Q1993" s="3">
        <f t="shared" ca="1" si="200"/>
        <v>8.710825244169941</v>
      </c>
    </row>
    <row r="1994" spans="7:17" x14ac:dyDescent="0.25">
      <c r="G1994" s="3">
        <f t="shared" ca="1" si="195"/>
        <v>1</v>
      </c>
      <c r="H1994" s="3">
        <f t="shared" ca="1" si="196"/>
        <v>1.0816597063478262</v>
      </c>
      <c r="I1994" s="3">
        <f t="shared" ca="1" si="197"/>
        <v>5.2001435228939261</v>
      </c>
      <c r="O1994" s="3">
        <f t="shared" ca="1" si="198"/>
        <v>6.2877232993766619</v>
      </c>
      <c r="P1994" s="3">
        <f t="shared" ca="1" si="199"/>
        <v>2.596910201754695</v>
      </c>
      <c r="Q1994" s="3">
        <f t="shared" ca="1" si="200"/>
        <v>6.8028969480289607</v>
      </c>
    </row>
    <row r="1995" spans="7:17" x14ac:dyDescent="0.25">
      <c r="G1995" s="3">
        <f t="shared" ca="1" si="195"/>
        <v>2</v>
      </c>
      <c r="H1995" s="3">
        <f t="shared" ca="1" si="196"/>
        <v>3.387712452491646</v>
      </c>
      <c r="I1995" s="3">
        <f t="shared" ca="1" si="197"/>
        <v>9.2028697324416768</v>
      </c>
      <c r="O1995" s="3">
        <f t="shared" ca="1" si="198"/>
        <v>-5.2394501390115105</v>
      </c>
      <c r="P1995" s="3">
        <f t="shared" ca="1" si="199"/>
        <v>4.5921965677596273</v>
      </c>
      <c r="Q1995" s="3">
        <f t="shared" ca="1" si="200"/>
        <v>6.9670730637858993</v>
      </c>
    </row>
    <row r="1996" spans="7:17" x14ac:dyDescent="0.25">
      <c r="G1996" s="3">
        <f t="shared" ca="1" si="195"/>
        <v>2</v>
      </c>
      <c r="H1996" s="3">
        <f t="shared" ca="1" si="196"/>
        <v>5.791674882239656</v>
      </c>
      <c r="I1996" s="3">
        <f t="shared" ca="1" si="197"/>
        <v>12.03294943295248</v>
      </c>
      <c r="O1996" s="3">
        <f t="shared" ca="1" si="198"/>
        <v>-9.2193556693730354</v>
      </c>
      <c r="P1996" s="3">
        <f t="shared" ca="1" si="199"/>
        <v>4.3971206491377606</v>
      </c>
      <c r="Q1996" s="3">
        <f t="shared" ca="1" si="200"/>
        <v>10.214263995094038</v>
      </c>
    </row>
    <row r="1997" spans="7:17" x14ac:dyDescent="0.25">
      <c r="G1997" s="3">
        <f t="shared" ca="1" si="195"/>
        <v>0</v>
      </c>
      <c r="H1997" s="3">
        <f t="shared" ca="1" si="196"/>
        <v>0.69117656072254841</v>
      </c>
      <c r="I1997" s="3">
        <f t="shared" ca="1" si="197"/>
        <v>4.1568514548951239</v>
      </c>
      <c r="O1997" s="3">
        <f t="shared" ca="1" si="198"/>
        <v>-9.2729418187884782</v>
      </c>
      <c r="P1997" s="3">
        <f t="shared" ca="1" si="199"/>
        <v>-1.2912741191571659</v>
      </c>
      <c r="Q1997" s="3">
        <f t="shared" ca="1" si="200"/>
        <v>9.362416292039212</v>
      </c>
    </row>
    <row r="1998" spans="7:17" x14ac:dyDescent="0.25">
      <c r="G1998" s="3">
        <f t="shared" ca="1" si="195"/>
        <v>1</v>
      </c>
      <c r="H1998" s="3">
        <f t="shared" ca="1" si="196"/>
        <v>1.901744656232548</v>
      </c>
      <c r="I1998" s="3">
        <f t="shared" ca="1" si="197"/>
        <v>6.8951879166425698</v>
      </c>
      <c r="O1998" s="3">
        <f t="shared" ca="1" si="198"/>
        <v>4.9131521747230789</v>
      </c>
      <c r="P1998" s="3">
        <f t="shared" ca="1" si="199"/>
        <v>-1.8137669666355876</v>
      </c>
      <c r="Q1998" s="3">
        <f t="shared" ca="1" si="200"/>
        <v>5.2372526100279506</v>
      </c>
    </row>
    <row r="1999" spans="7:17" x14ac:dyDescent="0.25">
      <c r="G1999" s="3">
        <f t="shared" ca="1" si="195"/>
        <v>0</v>
      </c>
      <c r="H1999" s="3">
        <f t="shared" ca="1" si="196"/>
        <v>1.8150718881549528</v>
      </c>
      <c r="I1999" s="3">
        <f t="shared" ca="1" si="197"/>
        <v>6.7362301923163095</v>
      </c>
      <c r="O1999" s="3">
        <f t="shared" ca="1" si="198"/>
        <v>-1.9571987597492453</v>
      </c>
      <c r="P1999" s="3">
        <f t="shared" ca="1" si="199"/>
        <v>2.2230588206671076</v>
      </c>
      <c r="Q1999" s="3">
        <f t="shared" ca="1" si="200"/>
        <v>2.9618604803923181</v>
      </c>
    </row>
    <row r="2000" spans="7:17" x14ac:dyDescent="0.25">
      <c r="G2000" s="3">
        <f t="shared" ca="1" si="195"/>
        <v>2</v>
      </c>
      <c r="H2000" s="3">
        <f t="shared" ca="1" si="196"/>
        <v>2.7408376744125951</v>
      </c>
      <c r="I2000" s="3">
        <f t="shared" ca="1" si="197"/>
        <v>8.2777377259922211</v>
      </c>
      <c r="O2000" s="3">
        <f t="shared" ca="1" si="198"/>
        <v>-6.1699944954961188</v>
      </c>
      <c r="P2000" s="3">
        <f t="shared" ca="1" si="199"/>
        <v>3.6027701656790478</v>
      </c>
      <c r="Q2000" s="3">
        <f t="shared" ca="1" si="200"/>
        <v>7.1448432411886715</v>
      </c>
    </row>
    <row r="2001" spans="7:17" x14ac:dyDescent="0.25">
      <c r="G2001" s="3">
        <f t="shared" ca="1" si="195"/>
        <v>0</v>
      </c>
      <c r="H2001" s="3">
        <f t="shared" ca="1" si="196"/>
        <v>2.0479944809356518</v>
      </c>
      <c r="I2001" s="3">
        <f t="shared" ca="1" si="197"/>
        <v>7.1554078865841948</v>
      </c>
      <c r="O2001" s="3">
        <f t="shared" ca="1" si="198"/>
        <v>1.4600221649044451</v>
      </c>
      <c r="P2001" s="3">
        <f t="shared" ca="1" si="199"/>
        <v>-2.2334469856196431</v>
      </c>
      <c r="Q2001" s="3">
        <f t="shared" ca="1" si="200"/>
        <v>2.6683234735664514</v>
      </c>
    </row>
    <row r="2002" spans="7:17" x14ac:dyDescent="0.25">
      <c r="G2002" s="3">
        <f t="shared" ca="1" si="195"/>
        <v>0</v>
      </c>
      <c r="H2002" s="3">
        <f t="shared" ca="1" si="196"/>
        <v>0.2516111786599271</v>
      </c>
      <c r="I2002" s="3">
        <f t="shared" ca="1" si="197"/>
        <v>2.508042955473087</v>
      </c>
      <c r="O2002" s="3">
        <f t="shared" ca="1" si="198"/>
        <v>-3.2891266048718961</v>
      </c>
      <c r="P2002" s="3">
        <f t="shared" ca="1" si="199"/>
        <v>1.4957832146318371</v>
      </c>
      <c r="Q2002" s="3">
        <f t="shared" ca="1" si="200"/>
        <v>3.6132701598483439</v>
      </c>
    </row>
    <row r="2003" spans="7:17" x14ac:dyDescent="0.25">
      <c r="G2003" s="3">
        <f t="shared" ca="1" si="195"/>
        <v>0</v>
      </c>
      <c r="H2003" s="3">
        <f t="shared" ca="1" si="196"/>
        <v>1.2604937027632834</v>
      </c>
      <c r="I2003" s="3">
        <f t="shared" ca="1" si="197"/>
        <v>5.6135855359192739</v>
      </c>
      <c r="O2003" s="3">
        <f t="shared" ca="1" si="198"/>
        <v>-8.2802054188381611</v>
      </c>
      <c r="P2003" s="3">
        <f t="shared" ca="1" si="199"/>
        <v>-2.869260219083968</v>
      </c>
      <c r="Q2003" s="3">
        <f t="shared" ca="1" si="200"/>
        <v>8.7632446036256813</v>
      </c>
    </row>
    <row r="2004" spans="7:17" x14ac:dyDescent="0.25">
      <c r="G2004" s="3">
        <f t="shared" ca="1" si="195"/>
        <v>2</v>
      </c>
      <c r="H2004" s="3">
        <f t="shared" ca="1" si="196"/>
        <v>7.5036438266111345</v>
      </c>
      <c r="I2004" s="3">
        <f t="shared" ca="1" si="197"/>
        <v>13.696389877090912</v>
      </c>
      <c r="O2004" s="3">
        <f t="shared" ca="1" si="198"/>
        <v>-8.5693191038782555</v>
      </c>
      <c r="P2004" s="3">
        <f t="shared" ca="1" si="199"/>
        <v>0.65205578608696546</v>
      </c>
      <c r="Q2004" s="3">
        <f t="shared" ca="1" si="200"/>
        <v>8.5940913802601795</v>
      </c>
    </row>
    <row r="2005" spans="7:17" x14ac:dyDescent="0.25">
      <c r="G2005" s="3">
        <f t="shared" ca="1" si="195"/>
        <v>1</v>
      </c>
      <c r="H2005" s="3">
        <f t="shared" ca="1" si="196"/>
        <v>4.6644912606664688</v>
      </c>
      <c r="I2005" s="3">
        <f t="shared" ca="1" si="197"/>
        <v>10.798716660634343</v>
      </c>
      <c r="O2005" s="3">
        <f t="shared" ca="1" si="198"/>
        <v>-2.775078690130238</v>
      </c>
      <c r="P2005" s="3">
        <f t="shared" ca="1" si="199"/>
        <v>4.9869674070960786</v>
      </c>
      <c r="Q2005" s="3">
        <f t="shared" ca="1" si="200"/>
        <v>5.7070925746700079</v>
      </c>
    </row>
    <row r="2006" spans="7:17" x14ac:dyDescent="0.25">
      <c r="G2006" s="3">
        <f t="shared" ca="1" si="195"/>
        <v>0</v>
      </c>
      <c r="H2006" s="3">
        <f t="shared" ca="1" si="196"/>
        <v>1.6944892119619954</v>
      </c>
      <c r="I2006" s="3">
        <f t="shared" ca="1" si="197"/>
        <v>6.5086273744200387</v>
      </c>
      <c r="O2006" s="3">
        <f t="shared" ca="1" si="198"/>
        <v>1.0037561388060787</v>
      </c>
      <c r="P2006" s="3">
        <f t="shared" ca="1" si="199"/>
        <v>6.708022533879797</v>
      </c>
      <c r="Q2006" s="3">
        <f t="shared" ca="1" si="200"/>
        <v>6.7827054116502818</v>
      </c>
    </row>
    <row r="2007" spans="7:17" x14ac:dyDescent="0.25">
      <c r="G2007" s="3">
        <f t="shared" ca="1" si="195"/>
        <v>1</v>
      </c>
      <c r="H2007" s="3">
        <f t="shared" ca="1" si="196"/>
        <v>1.6621134982279977</v>
      </c>
      <c r="I2007" s="3">
        <f t="shared" ca="1" si="197"/>
        <v>6.4461490407606883</v>
      </c>
      <c r="O2007" s="3">
        <f t="shared" ca="1" si="198"/>
        <v>-6.5389572678614982</v>
      </c>
      <c r="P2007" s="3">
        <f t="shared" ca="1" si="199"/>
        <v>0.26325271068403666</v>
      </c>
      <c r="Q2007" s="3">
        <f t="shared" ca="1" si="200"/>
        <v>6.5442542845309122</v>
      </c>
    </row>
    <row r="2008" spans="7:17" x14ac:dyDescent="0.25">
      <c r="G2008" s="3">
        <f t="shared" ca="1" si="195"/>
        <v>1</v>
      </c>
      <c r="H2008" s="3">
        <f t="shared" ca="1" si="196"/>
        <v>3.6223133134871612</v>
      </c>
      <c r="I2008" s="3">
        <f t="shared" ca="1" si="197"/>
        <v>9.5161879362052879</v>
      </c>
      <c r="O2008" s="3">
        <f t="shared" ca="1" si="198"/>
        <v>-6.0854405563874288</v>
      </c>
      <c r="P2008" s="3">
        <f t="shared" ca="1" si="199"/>
        <v>-7.0924417340718788</v>
      </c>
      <c r="Q2008" s="3">
        <f t="shared" ca="1" si="200"/>
        <v>9.3453366186847138</v>
      </c>
    </row>
    <row r="2009" spans="7:17" x14ac:dyDescent="0.25">
      <c r="G2009" s="3">
        <f t="shared" ca="1" si="195"/>
        <v>2</v>
      </c>
      <c r="H2009" s="3">
        <f t="shared" ca="1" si="196"/>
        <v>9.6957800473418825</v>
      </c>
      <c r="I2009" s="3">
        <f t="shared" ca="1" si="197"/>
        <v>15.569023771050869</v>
      </c>
      <c r="O2009" s="3">
        <f t="shared" ca="1" si="198"/>
        <v>-5.7986141820488326</v>
      </c>
      <c r="P2009" s="3">
        <f t="shared" ca="1" si="199"/>
        <v>-4.8435949263170484</v>
      </c>
      <c r="Q2009" s="3">
        <f t="shared" ca="1" si="200"/>
        <v>7.5554178072759219</v>
      </c>
    </row>
    <row r="2010" spans="7:17" x14ac:dyDescent="0.25">
      <c r="G2010" s="3">
        <f t="shared" ca="1" si="195"/>
        <v>0</v>
      </c>
      <c r="H2010" s="3">
        <f t="shared" ca="1" si="196"/>
        <v>1.6092447635921203</v>
      </c>
      <c r="I2010" s="3">
        <f t="shared" ca="1" si="197"/>
        <v>6.3428005714986035</v>
      </c>
      <c r="O2010" s="3">
        <f t="shared" ca="1" si="198"/>
        <v>2.1319756770073583</v>
      </c>
      <c r="P2010" s="3">
        <f t="shared" ca="1" si="199"/>
        <v>6.2588883353014513</v>
      </c>
      <c r="Q2010" s="3">
        <f t="shared" ca="1" si="200"/>
        <v>6.6120347459101847</v>
      </c>
    </row>
    <row r="2011" spans="7:17" x14ac:dyDescent="0.25">
      <c r="G2011" s="3">
        <f t="shared" ca="1" si="195"/>
        <v>3</v>
      </c>
      <c r="H2011" s="3">
        <f t="shared" ca="1" si="196"/>
        <v>7.3652271965647351</v>
      </c>
      <c r="I2011" s="3">
        <f t="shared" ca="1" si="197"/>
        <v>13.569476036830544</v>
      </c>
      <c r="O2011" s="3">
        <f t="shared" ca="1" si="198"/>
        <v>1.6141695888981991</v>
      </c>
      <c r="P2011" s="3">
        <f t="shared" ca="1" si="199"/>
        <v>-3.096168033880613</v>
      </c>
      <c r="Q2011" s="3">
        <f t="shared" ca="1" si="200"/>
        <v>3.4916758090847897</v>
      </c>
    </row>
    <row r="2012" spans="7:17" x14ac:dyDescent="0.25">
      <c r="G2012" s="3">
        <f t="shared" ca="1" si="195"/>
        <v>0</v>
      </c>
      <c r="H2012" s="3">
        <f t="shared" ca="1" si="196"/>
        <v>0.47342384534827342</v>
      </c>
      <c r="I2012" s="3">
        <f t="shared" ca="1" si="197"/>
        <v>3.4402901234789542</v>
      </c>
      <c r="O2012" s="3">
        <f t="shared" ca="1" si="198"/>
        <v>-5.4921596761430864</v>
      </c>
      <c r="P2012" s="3">
        <f t="shared" ca="1" si="199"/>
        <v>-2.5151255630280467</v>
      </c>
      <c r="Q2012" s="3">
        <f t="shared" ca="1" si="200"/>
        <v>6.0406683823935641</v>
      </c>
    </row>
    <row r="2013" spans="7:17" x14ac:dyDescent="0.25">
      <c r="G2013" s="3">
        <f t="shared" ca="1" si="195"/>
        <v>0</v>
      </c>
      <c r="H2013" s="3">
        <f t="shared" ca="1" si="196"/>
        <v>2.0091019159795254</v>
      </c>
      <c r="I2013" s="3">
        <f t="shared" ca="1" si="197"/>
        <v>7.0871396133763396</v>
      </c>
      <c r="O2013" s="3">
        <f t="shared" ca="1" si="198"/>
        <v>-2.2896917523743179</v>
      </c>
      <c r="P2013" s="3">
        <f t="shared" ca="1" si="199"/>
        <v>4.0451567135092699</v>
      </c>
      <c r="Q2013" s="3">
        <f t="shared" ca="1" si="200"/>
        <v>4.6482234410299261</v>
      </c>
    </row>
    <row r="2014" spans="7:17" x14ac:dyDescent="0.25">
      <c r="G2014" s="3">
        <f t="shared" ca="1" si="195"/>
        <v>0</v>
      </c>
      <c r="H2014" s="3">
        <f t="shared" ca="1" si="196"/>
        <v>8.2424620771589407E-2</v>
      </c>
      <c r="I2014" s="3">
        <f t="shared" ca="1" si="197"/>
        <v>1.4354844197307526</v>
      </c>
      <c r="O2014" s="3">
        <f t="shared" ca="1" si="198"/>
        <v>-14.582124859163372</v>
      </c>
      <c r="P2014" s="3">
        <f t="shared" ca="1" si="199"/>
        <v>-2.5852188996494165</v>
      </c>
      <c r="Q2014" s="3">
        <f t="shared" ca="1" si="200"/>
        <v>14.809514582434325</v>
      </c>
    </row>
    <row r="2015" spans="7:17" x14ac:dyDescent="0.25">
      <c r="G2015" s="3">
        <f t="shared" ca="1" si="195"/>
        <v>2</v>
      </c>
      <c r="H2015" s="3">
        <f t="shared" ca="1" si="196"/>
        <v>2.4708906707533367</v>
      </c>
      <c r="I2015" s="3">
        <f t="shared" ca="1" si="197"/>
        <v>7.8595334956238609</v>
      </c>
      <c r="O2015" s="3">
        <f t="shared" ca="1" si="198"/>
        <v>-11.823176170582107</v>
      </c>
      <c r="P2015" s="3">
        <f t="shared" ca="1" si="199"/>
        <v>-5.1085599883479746</v>
      </c>
      <c r="Q2015" s="3">
        <f t="shared" ca="1" si="200"/>
        <v>12.879630426187331</v>
      </c>
    </row>
    <row r="2016" spans="7:17" x14ac:dyDescent="0.25">
      <c r="G2016" s="3">
        <f t="shared" ca="1" si="195"/>
        <v>0</v>
      </c>
      <c r="H2016" s="3">
        <f t="shared" ca="1" si="196"/>
        <v>2.8714512500477851</v>
      </c>
      <c r="I2016" s="3">
        <f t="shared" ca="1" si="197"/>
        <v>8.4726785169268997</v>
      </c>
      <c r="O2016" s="3">
        <f t="shared" ca="1" si="198"/>
        <v>-1.6862291734154242</v>
      </c>
      <c r="P2016" s="3">
        <f t="shared" ca="1" si="199"/>
        <v>4.826526191762138</v>
      </c>
      <c r="Q2016" s="3">
        <f t="shared" ca="1" si="200"/>
        <v>5.1126044150748831</v>
      </c>
    </row>
    <row r="2017" spans="7:17" x14ac:dyDescent="0.25">
      <c r="G2017" s="3">
        <f t="shared" ca="1" si="195"/>
        <v>0</v>
      </c>
      <c r="H2017" s="3">
        <f t="shared" ca="1" si="196"/>
        <v>8.3552470449470312E-2</v>
      </c>
      <c r="I2017" s="3">
        <f t="shared" ca="1" si="197"/>
        <v>1.4452722100825013</v>
      </c>
      <c r="O2017" s="3">
        <f t="shared" ca="1" si="198"/>
        <v>-5.3221778047958797</v>
      </c>
      <c r="P2017" s="3">
        <f t="shared" ca="1" si="199"/>
        <v>-4.0100481552342639</v>
      </c>
      <c r="Q2017" s="3">
        <f t="shared" ca="1" si="200"/>
        <v>6.6637874210661625</v>
      </c>
    </row>
    <row r="2018" spans="7:17" x14ac:dyDescent="0.25">
      <c r="G2018" s="3">
        <f t="shared" ca="1" si="195"/>
        <v>0</v>
      </c>
      <c r="H2018" s="3">
        <f t="shared" ca="1" si="196"/>
        <v>1.2831575800898487</v>
      </c>
      <c r="I2018" s="3">
        <f t="shared" ca="1" si="197"/>
        <v>5.6638272839349737</v>
      </c>
      <c r="O2018" s="3">
        <f t="shared" ca="1" si="198"/>
        <v>-3.967817280906015</v>
      </c>
      <c r="P2018" s="3">
        <f t="shared" ca="1" si="199"/>
        <v>-4.8731502697529896</v>
      </c>
      <c r="Q2018" s="3">
        <f t="shared" ca="1" si="200"/>
        <v>6.2841998318202803</v>
      </c>
    </row>
    <row r="2019" spans="7:17" x14ac:dyDescent="0.25">
      <c r="G2019" s="3">
        <f t="shared" ca="1" si="195"/>
        <v>1</v>
      </c>
      <c r="H2019" s="3">
        <f t="shared" ca="1" si="196"/>
        <v>3.9035542841982545</v>
      </c>
      <c r="I2019" s="3">
        <f t="shared" ca="1" si="197"/>
        <v>9.8787072587943587</v>
      </c>
      <c r="O2019" s="3">
        <f t="shared" ca="1" si="198"/>
        <v>-13.193698224466585</v>
      </c>
      <c r="P2019" s="3">
        <f t="shared" ca="1" si="199"/>
        <v>1.8273966972088611</v>
      </c>
      <c r="Q2019" s="3">
        <f t="shared" ca="1" si="200"/>
        <v>13.319649076731061</v>
      </c>
    </row>
    <row r="2020" spans="7:17" x14ac:dyDescent="0.25">
      <c r="G2020" s="3">
        <f t="shared" ca="1" si="195"/>
        <v>0</v>
      </c>
      <c r="H2020" s="3">
        <f t="shared" ca="1" si="196"/>
        <v>1.0646078680792759</v>
      </c>
      <c r="I2020" s="3">
        <f t="shared" ca="1" si="197"/>
        <v>5.158991829997591</v>
      </c>
      <c r="O2020" s="3">
        <f t="shared" ca="1" si="198"/>
        <v>-1.1783706392072268</v>
      </c>
      <c r="P2020" s="3">
        <f t="shared" ca="1" si="199"/>
        <v>7.4284752834847039</v>
      </c>
      <c r="Q2020" s="3">
        <f t="shared" ca="1" si="200"/>
        <v>7.5213564202668124</v>
      </c>
    </row>
    <row r="2021" spans="7:17" x14ac:dyDescent="0.25">
      <c r="G2021" s="3">
        <f t="shared" ca="1" si="195"/>
        <v>1</v>
      </c>
      <c r="H2021" s="3">
        <f t="shared" ca="1" si="196"/>
        <v>2.1949304841482804</v>
      </c>
      <c r="I2021" s="3">
        <f t="shared" ca="1" si="197"/>
        <v>7.4076488917676855</v>
      </c>
      <c r="O2021" s="3">
        <f t="shared" ca="1" si="198"/>
        <v>-6.2097018224194205</v>
      </c>
      <c r="P2021" s="3">
        <f t="shared" ca="1" si="199"/>
        <v>-2.2633032945314464</v>
      </c>
      <c r="Q2021" s="3">
        <f t="shared" ca="1" si="200"/>
        <v>6.6093069626395753</v>
      </c>
    </row>
    <row r="2022" spans="7:17" x14ac:dyDescent="0.25">
      <c r="G2022" s="3">
        <f t="shared" ca="1" si="195"/>
        <v>0</v>
      </c>
      <c r="H2022" s="3">
        <f t="shared" ca="1" si="196"/>
        <v>0.80642842944683557</v>
      </c>
      <c r="I2022" s="3">
        <f t="shared" ca="1" si="197"/>
        <v>4.4900680101943768</v>
      </c>
      <c r="O2022" s="3">
        <f t="shared" ca="1" si="198"/>
        <v>1.7102616039580223</v>
      </c>
      <c r="P2022" s="3">
        <f t="shared" ca="1" si="199"/>
        <v>-1.5610671880388101</v>
      </c>
      <c r="Q2022" s="3">
        <f t="shared" ca="1" si="200"/>
        <v>2.3155831921018222</v>
      </c>
    </row>
    <row r="2023" spans="7:17" x14ac:dyDescent="0.25">
      <c r="G2023" s="3">
        <f t="shared" ca="1" si="195"/>
        <v>2</v>
      </c>
      <c r="H2023" s="3">
        <f t="shared" ca="1" si="196"/>
        <v>2.8882633502990105</v>
      </c>
      <c r="I2023" s="3">
        <f t="shared" ca="1" si="197"/>
        <v>8.4974457195956994</v>
      </c>
      <c r="O2023" s="3">
        <f t="shared" ca="1" si="198"/>
        <v>-3.4257046347186297</v>
      </c>
      <c r="P2023" s="3">
        <f t="shared" ca="1" si="199"/>
        <v>4.8059386402554596</v>
      </c>
      <c r="Q2023" s="3">
        <f t="shared" ca="1" si="200"/>
        <v>5.9019063410251773</v>
      </c>
    </row>
    <row r="2024" spans="7:17" x14ac:dyDescent="0.25">
      <c r="G2024" s="3">
        <f t="shared" ca="1" si="195"/>
        <v>1</v>
      </c>
      <c r="H2024" s="3">
        <f t="shared" ca="1" si="196"/>
        <v>2.9261530300755334</v>
      </c>
      <c r="I2024" s="3">
        <f t="shared" ca="1" si="197"/>
        <v>8.5530009792989219</v>
      </c>
      <c r="O2024" s="3">
        <f t="shared" ca="1" si="198"/>
        <v>-7.6791694216988917</v>
      </c>
      <c r="P2024" s="3">
        <f t="shared" ca="1" si="199"/>
        <v>5.7746897386453018</v>
      </c>
      <c r="Q2024" s="3">
        <f t="shared" ca="1" si="200"/>
        <v>9.6081571898450235</v>
      </c>
    </row>
    <row r="2025" spans="7:17" x14ac:dyDescent="0.25">
      <c r="G2025" s="3">
        <f t="shared" ca="1" si="195"/>
        <v>0</v>
      </c>
      <c r="H2025" s="3">
        <f t="shared" ca="1" si="196"/>
        <v>2.3026158020518799</v>
      </c>
      <c r="I2025" s="3">
        <f t="shared" ca="1" si="197"/>
        <v>7.5871862407151305</v>
      </c>
      <c r="O2025" s="3">
        <f t="shared" ca="1" si="198"/>
        <v>-15.575925379138782</v>
      </c>
      <c r="P2025" s="3">
        <f t="shared" ca="1" si="199"/>
        <v>8.4962127522738413</v>
      </c>
      <c r="Q2025" s="3">
        <f t="shared" ca="1" si="200"/>
        <v>17.742465514927744</v>
      </c>
    </row>
    <row r="2026" spans="7:17" x14ac:dyDescent="0.25">
      <c r="G2026" s="3">
        <f t="shared" ca="1" si="195"/>
        <v>0</v>
      </c>
      <c r="H2026" s="3">
        <f t="shared" ca="1" si="196"/>
        <v>2.3828841292683456</v>
      </c>
      <c r="I2026" s="3">
        <f t="shared" ca="1" si="197"/>
        <v>7.7182966535180961</v>
      </c>
      <c r="O2026" s="3">
        <f t="shared" ca="1" si="198"/>
        <v>-2.693189095186078</v>
      </c>
      <c r="P2026" s="3">
        <f t="shared" ca="1" si="199"/>
        <v>-0.74995220648414995</v>
      </c>
      <c r="Q2026" s="3">
        <f t="shared" ca="1" si="200"/>
        <v>2.7956565980891948</v>
      </c>
    </row>
    <row r="2027" spans="7:17" x14ac:dyDescent="0.25">
      <c r="G2027" s="3">
        <f t="shared" ca="1" si="195"/>
        <v>0</v>
      </c>
      <c r="H2027" s="3">
        <f t="shared" ca="1" si="196"/>
        <v>5.2912186720873908</v>
      </c>
      <c r="I2027" s="3">
        <f t="shared" ca="1" si="197"/>
        <v>11.501324567291578</v>
      </c>
      <c r="O2027" s="3">
        <f t="shared" ca="1" si="198"/>
        <v>-8.2979064106951714</v>
      </c>
      <c r="P2027" s="3">
        <f t="shared" ca="1" si="199"/>
        <v>0.85291216354507293</v>
      </c>
      <c r="Q2027" s="3">
        <f t="shared" ca="1" si="200"/>
        <v>8.3416251389869558</v>
      </c>
    </row>
    <row r="2028" spans="7:17" x14ac:dyDescent="0.25">
      <c r="G2028" s="3">
        <f t="shared" ca="1" si="195"/>
        <v>1</v>
      </c>
      <c r="H2028" s="3">
        <f t="shared" ca="1" si="196"/>
        <v>0.90671033942121348</v>
      </c>
      <c r="I2028" s="3">
        <f t="shared" ca="1" si="197"/>
        <v>4.7610669482302317</v>
      </c>
      <c r="O2028" s="3">
        <f t="shared" ca="1" si="198"/>
        <v>-5.7632718301594741</v>
      </c>
      <c r="P2028" s="3">
        <f t="shared" ca="1" si="199"/>
        <v>-2.2494354670847305</v>
      </c>
      <c r="Q2028" s="3">
        <f t="shared" ca="1" si="200"/>
        <v>6.1867004217828772</v>
      </c>
    </row>
    <row r="2029" spans="7:17" x14ac:dyDescent="0.25">
      <c r="G2029" s="3">
        <f t="shared" ca="1" si="195"/>
        <v>0</v>
      </c>
      <c r="H2029" s="3">
        <f t="shared" ca="1" si="196"/>
        <v>12.234673785251349</v>
      </c>
      <c r="I2029" s="3">
        <f t="shared" ca="1" si="197"/>
        <v>17.489049277513164</v>
      </c>
      <c r="O2029" s="3">
        <f t="shared" ca="1" si="198"/>
        <v>-4.6922321624647587</v>
      </c>
      <c r="P2029" s="3">
        <f t="shared" ca="1" si="199"/>
        <v>-8.5852849961103956</v>
      </c>
      <c r="Q2029" s="3">
        <f t="shared" ca="1" si="200"/>
        <v>9.7838725017708086</v>
      </c>
    </row>
    <row r="2030" spans="7:17" x14ac:dyDescent="0.25">
      <c r="G2030" s="3">
        <f t="shared" ca="1" si="195"/>
        <v>0</v>
      </c>
      <c r="H2030" s="3">
        <f t="shared" ca="1" si="196"/>
        <v>1.7036725106206285</v>
      </c>
      <c r="I2030" s="3">
        <f t="shared" ca="1" si="197"/>
        <v>6.5262403239166513</v>
      </c>
      <c r="O2030" s="3">
        <f t="shared" ca="1" si="198"/>
        <v>-3.2993777964268891</v>
      </c>
      <c r="P2030" s="3">
        <f t="shared" ca="1" si="199"/>
        <v>1.9407817403617771</v>
      </c>
      <c r="Q2030" s="3">
        <f t="shared" ca="1" si="200"/>
        <v>3.8278620151824234</v>
      </c>
    </row>
    <row r="2031" spans="7:17" x14ac:dyDescent="0.25">
      <c r="G2031" s="3">
        <f t="shared" ca="1" si="195"/>
        <v>0</v>
      </c>
      <c r="H2031" s="3">
        <f t="shared" ca="1" si="196"/>
        <v>1.8717594254898058</v>
      </c>
      <c r="I2031" s="3">
        <f t="shared" ca="1" si="197"/>
        <v>6.8406129577140344</v>
      </c>
      <c r="O2031" s="3">
        <f t="shared" ca="1" si="198"/>
        <v>0.32817330554850344</v>
      </c>
      <c r="P2031" s="3">
        <f t="shared" ca="1" si="199"/>
        <v>-2.0017075369474058</v>
      </c>
      <c r="Q2031" s="3">
        <f t="shared" ca="1" si="200"/>
        <v>2.0284306204419913</v>
      </c>
    </row>
    <row r="2032" spans="7:17" x14ac:dyDescent="0.25">
      <c r="G2032" s="3">
        <f t="shared" ca="1" si="195"/>
        <v>0</v>
      </c>
      <c r="H2032" s="3">
        <f t="shared" ca="1" si="196"/>
        <v>0.11397549794933594</v>
      </c>
      <c r="I2032" s="3">
        <f t="shared" ca="1" si="197"/>
        <v>1.6880128698364236</v>
      </c>
      <c r="O2032" s="3">
        <f t="shared" ca="1" si="198"/>
        <v>-5.2718873516796645</v>
      </c>
      <c r="P2032" s="3">
        <f t="shared" ca="1" si="199"/>
        <v>7.071437529187433</v>
      </c>
      <c r="Q2032" s="3">
        <f t="shared" ca="1" si="200"/>
        <v>8.8203188705398006</v>
      </c>
    </row>
    <row r="2033" spans="7:17" x14ac:dyDescent="0.25">
      <c r="G2033" s="3">
        <f t="shared" ca="1" si="195"/>
        <v>0</v>
      </c>
      <c r="H2033" s="3">
        <f t="shared" ca="1" si="196"/>
        <v>0.69671695304168579</v>
      </c>
      <c r="I2033" s="3">
        <f t="shared" ca="1" si="197"/>
        <v>4.1734786241266582</v>
      </c>
      <c r="O2033" s="3">
        <f t="shared" ca="1" si="198"/>
        <v>-1.2625873238143841</v>
      </c>
      <c r="P2033" s="3">
        <f t="shared" ca="1" si="199"/>
        <v>-2.900459202851716</v>
      </c>
      <c r="Q2033" s="3">
        <f t="shared" ca="1" si="200"/>
        <v>3.1633511246246409</v>
      </c>
    </row>
    <row r="2034" spans="7:17" x14ac:dyDescent="0.25">
      <c r="G2034" s="3">
        <f t="shared" ca="1" si="195"/>
        <v>0</v>
      </c>
      <c r="H2034" s="3">
        <f t="shared" ca="1" si="196"/>
        <v>1.6785562302864618</v>
      </c>
      <c r="I2034" s="3">
        <f t="shared" ca="1" si="197"/>
        <v>6.4779553685681988</v>
      </c>
      <c r="O2034" s="3">
        <f t="shared" ca="1" si="198"/>
        <v>-1.4701239147761886</v>
      </c>
      <c r="P2034" s="3">
        <f t="shared" ca="1" si="199"/>
        <v>-0.11212715081693631</v>
      </c>
      <c r="Q2034" s="3">
        <f t="shared" ca="1" si="200"/>
        <v>1.4743937136149186</v>
      </c>
    </row>
    <row r="2035" spans="7:17" x14ac:dyDescent="0.25">
      <c r="G2035" s="3">
        <f t="shared" ca="1" si="195"/>
        <v>1</v>
      </c>
      <c r="H2035" s="3">
        <f t="shared" ca="1" si="196"/>
        <v>1.1237916524514706</v>
      </c>
      <c r="I2035" s="3">
        <f t="shared" ca="1" si="197"/>
        <v>5.3004519912255379</v>
      </c>
      <c r="O2035" s="3">
        <f t="shared" ca="1" si="198"/>
        <v>-7.8342183881289307</v>
      </c>
      <c r="P2035" s="3">
        <f t="shared" ca="1" si="199"/>
        <v>9.8376784952622831</v>
      </c>
      <c r="Q2035" s="3">
        <f t="shared" ca="1" si="200"/>
        <v>12.57596500985286</v>
      </c>
    </row>
    <row r="2036" spans="7:17" x14ac:dyDescent="0.25">
      <c r="G2036" s="3">
        <f t="shared" ca="1" si="195"/>
        <v>0</v>
      </c>
      <c r="H2036" s="3">
        <f t="shared" ca="1" si="196"/>
        <v>0.72664231970762017</v>
      </c>
      <c r="I2036" s="3">
        <f t="shared" ca="1" si="197"/>
        <v>4.2621658804756182</v>
      </c>
      <c r="O2036" s="3">
        <f t="shared" ca="1" si="198"/>
        <v>5.3462926828995094</v>
      </c>
      <c r="P2036" s="3">
        <f t="shared" ca="1" si="199"/>
        <v>2.3984693845410376</v>
      </c>
      <c r="Q2036" s="3">
        <f t="shared" ca="1" si="200"/>
        <v>5.8596502318658485</v>
      </c>
    </row>
    <row r="2037" spans="7:17" x14ac:dyDescent="0.25">
      <c r="G2037" s="3">
        <f t="shared" ca="1" si="195"/>
        <v>0</v>
      </c>
      <c r="H2037" s="3">
        <f t="shared" ca="1" si="196"/>
        <v>2.831539644448771</v>
      </c>
      <c r="I2037" s="3">
        <f t="shared" ca="1" si="197"/>
        <v>8.4135896685789984</v>
      </c>
      <c r="O2037" s="3">
        <f t="shared" ca="1" si="198"/>
        <v>0.39736449861545609</v>
      </c>
      <c r="P2037" s="3">
        <f t="shared" ca="1" si="199"/>
        <v>-10.202124795294079</v>
      </c>
      <c r="Q2037" s="3">
        <f t="shared" ca="1" si="200"/>
        <v>10.209860375319252</v>
      </c>
    </row>
    <row r="2038" spans="7:17" x14ac:dyDescent="0.25">
      <c r="G2038" s="3">
        <f t="shared" ca="1" si="195"/>
        <v>1</v>
      </c>
      <c r="H2038" s="3">
        <f t="shared" ca="1" si="196"/>
        <v>5.1485983537619067</v>
      </c>
      <c r="I2038" s="3">
        <f t="shared" ca="1" si="197"/>
        <v>11.345261515013556</v>
      </c>
      <c r="O2038" s="3">
        <f t="shared" ca="1" si="198"/>
        <v>-5.897546000886698</v>
      </c>
      <c r="P2038" s="3">
        <f t="shared" ca="1" si="199"/>
        <v>4.3278146333642686</v>
      </c>
      <c r="Q2038" s="3">
        <f t="shared" ca="1" si="200"/>
        <v>7.3151232616639197</v>
      </c>
    </row>
    <row r="2039" spans="7:17" x14ac:dyDescent="0.25">
      <c r="G2039" s="3">
        <f t="shared" ca="1" si="195"/>
        <v>0</v>
      </c>
      <c r="H2039" s="3">
        <f t="shared" ca="1" si="196"/>
        <v>0.85645150314625529</v>
      </c>
      <c r="I2039" s="3">
        <f t="shared" ca="1" si="197"/>
        <v>4.6272332531066969</v>
      </c>
      <c r="O2039" s="3">
        <f t="shared" ca="1" si="198"/>
        <v>-12.089267130599183</v>
      </c>
      <c r="P2039" s="3">
        <f t="shared" ca="1" si="199"/>
        <v>0.90548104607016178</v>
      </c>
      <c r="Q2039" s="3">
        <f t="shared" ca="1" si="200"/>
        <v>12.123129780703419</v>
      </c>
    </row>
    <row r="2040" spans="7:17" x14ac:dyDescent="0.25">
      <c r="G2040" s="3">
        <f t="shared" ca="1" si="195"/>
        <v>0</v>
      </c>
      <c r="H2040" s="3">
        <f t="shared" ca="1" si="196"/>
        <v>1.6441437928338491</v>
      </c>
      <c r="I2040" s="3">
        <f t="shared" ca="1" si="197"/>
        <v>6.4112085304446484</v>
      </c>
      <c r="O2040" s="3">
        <f t="shared" ca="1" si="198"/>
        <v>3.3663200626993408</v>
      </c>
      <c r="P2040" s="3">
        <f t="shared" ca="1" si="199"/>
        <v>1.5467371813366662</v>
      </c>
      <c r="Q2040" s="3">
        <f t="shared" ca="1" si="200"/>
        <v>3.7046601291699335</v>
      </c>
    </row>
    <row r="2041" spans="7:17" x14ac:dyDescent="0.25">
      <c r="G2041" s="3">
        <f t="shared" ca="1" si="195"/>
        <v>2</v>
      </c>
      <c r="H2041" s="3">
        <f t="shared" ca="1" si="196"/>
        <v>9.5145518681411687</v>
      </c>
      <c r="I2041" s="3">
        <f t="shared" ca="1" si="197"/>
        <v>15.422833614596547</v>
      </c>
      <c r="O2041" s="3">
        <f t="shared" ca="1" si="198"/>
        <v>-10.688227220045656</v>
      </c>
      <c r="P2041" s="3">
        <f t="shared" ca="1" si="199"/>
        <v>-0.50206481436308181</v>
      </c>
      <c r="Q2041" s="3">
        <f t="shared" ca="1" si="200"/>
        <v>10.700012625466679</v>
      </c>
    </row>
    <row r="2042" spans="7:17" x14ac:dyDescent="0.25">
      <c r="G2042" s="3">
        <f t="shared" ca="1" si="195"/>
        <v>0</v>
      </c>
      <c r="H2042" s="3">
        <f t="shared" ca="1" si="196"/>
        <v>2.0157188705890565</v>
      </c>
      <c r="I2042" s="3">
        <f t="shared" ca="1" si="197"/>
        <v>7.0988007272162825</v>
      </c>
      <c r="O2042" s="3">
        <f t="shared" ca="1" si="198"/>
        <v>-1.7411268154787036</v>
      </c>
      <c r="P2042" s="3">
        <f t="shared" ca="1" si="199"/>
        <v>-10.861984565448999</v>
      </c>
      <c r="Q2042" s="3">
        <f t="shared" ca="1" si="200"/>
        <v>11.000646857691201</v>
      </c>
    </row>
    <row r="2043" spans="7:17" x14ac:dyDescent="0.25">
      <c r="G2043" s="3">
        <f t="shared" ca="1" si="195"/>
        <v>1</v>
      </c>
      <c r="H2043" s="3">
        <f t="shared" ca="1" si="196"/>
        <v>3.7221976342941954</v>
      </c>
      <c r="I2043" s="3">
        <f t="shared" ca="1" si="197"/>
        <v>9.6464988911705625</v>
      </c>
      <c r="O2043" s="3">
        <f t="shared" ca="1" si="198"/>
        <v>-7.0553329654645367</v>
      </c>
      <c r="P2043" s="3">
        <f t="shared" ca="1" si="199"/>
        <v>-2.7105214875327222</v>
      </c>
      <c r="Q2043" s="3">
        <f t="shared" ca="1" si="200"/>
        <v>7.55808507414062</v>
      </c>
    </row>
    <row r="2044" spans="7:17" x14ac:dyDescent="0.25">
      <c r="G2044" s="3">
        <f t="shared" ca="1" si="195"/>
        <v>1</v>
      </c>
      <c r="H2044" s="3">
        <f t="shared" ca="1" si="196"/>
        <v>4.4679422085997667</v>
      </c>
      <c r="I2044" s="3">
        <f t="shared" ca="1" si="197"/>
        <v>10.568753720992563</v>
      </c>
      <c r="O2044" s="3">
        <f t="shared" ca="1" si="198"/>
        <v>3.4224765268317512</v>
      </c>
      <c r="P2044" s="3">
        <f t="shared" ca="1" si="199"/>
        <v>0.27487001852460574</v>
      </c>
      <c r="Q2044" s="3">
        <f t="shared" ca="1" si="200"/>
        <v>3.4334966293558589</v>
      </c>
    </row>
    <row r="2045" spans="7:17" x14ac:dyDescent="0.25">
      <c r="G2045" s="3">
        <f t="shared" ca="1" si="195"/>
        <v>1</v>
      </c>
      <c r="H2045" s="3">
        <f t="shared" ca="1" si="196"/>
        <v>0.60408064911798087</v>
      </c>
      <c r="I2045" s="3">
        <f t="shared" ca="1" si="197"/>
        <v>3.8861312674624777</v>
      </c>
      <c r="O2045" s="3">
        <f t="shared" ca="1" si="198"/>
        <v>-11.392504344626552</v>
      </c>
      <c r="P2045" s="3">
        <f t="shared" ca="1" si="199"/>
        <v>6.1980215143073654</v>
      </c>
      <c r="Q2045" s="3">
        <f t="shared" ca="1" si="200"/>
        <v>12.969372611431588</v>
      </c>
    </row>
    <row r="2046" spans="7:17" x14ac:dyDescent="0.25">
      <c r="G2046" s="3">
        <f t="shared" ca="1" si="195"/>
        <v>1</v>
      </c>
      <c r="H2046" s="3">
        <f t="shared" ca="1" si="196"/>
        <v>1.3396676920529897</v>
      </c>
      <c r="I2046" s="3">
        <f t="shared" ca="1" si="197"/>
        <v>5.7872007310378262</v>
      </c>
      <c r="O2046" s="3">
        <f t="shared" ca="1" si="198"/>
        <v>3.836065143435933</v>
      </c>
      <c r="P2046" s="3">
        <f t="shared" ca="1" si="199"/>
        <v>0.27394730701293468</v>
      </c>
      <c r="Q2046" s="3">
        <f t="shared" ca="1" si="200"/>
        <v>3.8458344883397912</v>
      </c>
    </row>
    <row r="2047" spans="7:17" x14ac:dyDescent="0.25">
      <c r="G2047" s="3">
        <f t="shared" ca="1" si="195"/>
        <v>1</v>
      </c>
      <c r="H2047" s="3">
        <f t="shared" ca="1" si="196"/>
        <v>5.9388673438514568</v>
      </c>
      <c r="I2047" s="3">
        <f t="shared" ca="1" si="197"/>
        <v>12.184895715445677</v>
      </c>
      <c r="O2047" s="3">
        <f t="shared" ca="1" si="198"/>
        <v>-6.5835079472843612</v>
      </c>
      <c r="P2047" s="3">
        <f t="shared" ca="1" si="199"/>
        <v>2.0722258103777587</v>
      </c>
      <c r="Q2047" s="3">
        <f t="shared" ca="1" si="200"/>
        <v>6.9019342724450876</v>
      </c>
    </row>
    <row r="2048" spans="7:17" x14ac:dyDescent="0.25">
      <c r="G2048" s="3">
        <f t="shared" ca="1" si="195"/>
        <v>0</v>
      </c>
      <c r="H2048" s="3">
        <f t="shared" ca="1" si="196"/>
        <v>3.1657848173622161</v>
      </c>
      <c r="I2048" s="3">
        <f t="shared" ca="1" si="197"/>
        <v>8.8963262324431085</v>
      </c>
      <c r="O2048" s="3">
        <f t="shared" ca="1" si="198"/>
        <v>-11.613007492191224</v>
      </c>
      <c r="P2048" s="3">
        <f t="shared" ca="1" si="199"/>
        <v>-0.10265430760997246</v>
      </c>
      <c r="Q2048" s="3">
        <f t="shared" ca="1" si="200"/>
        <v>11.613461194689567</v>
      </c>
    </row>
    <row r="2049" spans="7:17" x14ac:dyDescent="0.25">
      <c r="G2049" s="3">
        <f t="shared" ca="1" si="195"/>
        <v>0</v>
      </c>
      <c r="H2049" s="3">
        <f t="shared" ca="1" si="196"/>
        <v>9.8044631150659765</v>
      </c>
      <c r="I2049" s="3">
        <f t="shared" ca="1" si="197"/>
        <v>15.656039661314395</v>
      </c>
      <c r="O2049" s="3">
        <f t="shared" ca="1" si="198"/>
        <v>0.64247599916407072</v>
      </c>
      <c r="P2049" s="3">
        <f t="shared" ca="1" si="199"/>
        <v>-1.616456839345034</v>
      </c>
      <c r="Q2049" s="3">
        <f t="shared" ca="1" si="200"/>
        <v>1.7394562722204914</v>
      </c>
    </row>
    <row r="2050" spans="7:17" x14ac:dyDescent="0.25">
      <c r="G2050" s="3">
        <f t="shared" ca="1" si="195"/>
        <v>0</v>
      </c>
      <c r="H2050" s="3">
        <f t="shared" ca="1" si="196"/>
        <v>0.90886696024533964</v>
      </c>
      <c r="I2050" s="3">
        <f t="shared" ca="1" si="197"/>
        <v>4.7667257112333923</v>
      </c>
      <c r="O2050" s="3">
        <f t="shared" ca="1" si="198"/>
        <v>-4.2691273946921902</v>
      </c>
      <c r="P2050" s="3">
        <f t="shared" ca="1" si="199"/>
        <v>3.8944822393002068</v>
      </c>
      <c r="Q2050" s="3">
        <f t="shared" ca="1" si="200"/>
        <v>5.7786192662552249</v>
      </c>
    </row>
    <row r="2051" spans="7:17" x14ac:dyDescent="0.25">
      <c r="G2051" s="3">
        <f t="shared" ca="1" si="195"/>
        <v>0</v>
      </c>
      <c r="H2051" s="3">
        <f t="shared" ca="1" si="196"/>
        <v>1.161340765398466</v>
      </c>
      <c r="I2051" s="3">
        <f t="shared" ca="1" si="197"/>
        <v>5.3882760819172626</v>
      </c>
      <c r="O2051" s="3">
        <f t="shared" ca="1" si="198"/>
        <v>-8.1497560327144214</v>
      </c>
      <c r="P2051" s="3">
        <f t="shared" ca="1" si="199"/>
        <v>3.5659796429957185</v>
      </c>
      <c r="Q2051" s="3">
        <f t="shared" ca="1" si="200"/>
        <v>8.8957705797207343</v>
      </c>
    </row>
    <row r="2052" spans="7:17" x14ac:dyDescent="0.25">
      <c r="G2052" s="3">
        <f t="shared" ref="G2052:G2115" ca="1" si="201">VLOOKUP(RAND(),$B$9:$C$169,2,TRUE)</f>
        <v>0</v>
      </c>
      <c r="H2052" s="3">
        <f t="shared" ref="H2052:H2115" ca="1" si="202">_xlfn.CHISQ.INV(RAND(),2*G2052+2)</f>
        <v>0.37478542782604374</v>
      </c>
      <c r="I2052" s="3">
        <f t="shared" ref="I2052:I2115" ca="1" si="203">$C$4*SQRT(H2052)</f>
        <v>3.0609860659027985</v>
      </c>
      <c r="O2052" s="3">
        <f t="shared" ref="O2052:O2115" ca="1" si="204">_xlfn.NORM.INV(RAND(),$C$3*COS($N$2),$C$4)</f>
        <v>-2.5351220394357248</v>
      </c>
      <c r="P2052" s="3">
        <f t="shared" ref="P2052:P2115" ca="1" si="205">_xlfn.NORM.INV(RAND(),$C$3*SIN($N$2),$C$4)</f>
        <v>-1.2096060152625061</v>
      </c>
      <c r="Q2052" s="3">
        <f t="shared" ref="Q2052:Q2115" ca="1" si="206">SQRT(O2052^2+P2052^2)</f>
        <v>2.8089126841167538</v>
      </c>
    </row>
    <row r="2053" spans="7:17" x14ac:dyDescent="0.25">
      <c r="G2053" s="3">
        <f t="shared" ca="1" si="201"/>
        <v>0</v>
      </c>
      <c r="H2053" s="3">
        <f t="shared" ca="1" si="202"/>
        <v>0.2504482844566534</v>
      </c>
      <c r="I2053" s="3">
        <f t="shared" ca="1" si="203"/>
        <v>2.5022404183883564</v>
      </c>
      <c r="O2053" s="3">
        <f t="shared" ca="1" si="204"/>
        <v>-7.6484192860714728E-2</v>
      </c>
      <c r="P2053" s="3">
        <f t="shared" ca="1" si="205"/>
        <v>5.130475447299049</v>
      </c>
      <c r="Q2053" s="3">
        <f t="shared" ca="1" si="206"/>
        <v>5.131045521830413</v>
      </c>
    </row>
    <row r="2054" spans="7:17" x14ac:dyDescent="0.25">
      <c r="G2054" s="3">
        <f t="shared" ca="1" si="201"/>
        <v>0</v>
      </c>
      <c r="H2054" s="3">
        <f t="shared" ca="1" si="202"/>
        <v>2.1530393313954397</v>
      </c>
      <c r="I2054" s="3">
        <f t="shared" ca="1" si="203"/>
        <v>7.3366193362396821</v>
      </c>
      <c r="O2054" s="3">
        <f t="shared" ca="1" si="204"/>
        <v>-16.882401392320062</v>
      </c>
      <c r="P2054" s="3">
        <f t="shared" ca="1" si="205"/>
        <v>2.9911402723921814</v>
      </c>
      <c r="Q2054" s="3">
        <f t="shared" ca="1" si="206"/>
        <v>17.145331635770034</v>
      </c>
    </row>
    <row r="2055" spans="7:17" x14ac:dyDescent="0.25">
      <c r="G2055" s="3">
        <f t="shared" ca="1" si="201"/>
        <v>0</v>
      </c>
      <c r="H2055" s="3">
        <f t="shared" ca="1" si="202"/>
        <v>2.9063092372567474</v>
      </c>
      <c r="I2055" s="3">
        <f t="shared" ca="1" si="203"/>
        <v>8.5239504299015429</v>
      </c>
      <c r="O2055" s="3">
        <f t="shared" ca="1" si="204"/>
        <v>-3.5926485617890038</v>
      </c>
      <c r="P2055" s="3">
        <f t="shared" ca="1" si="205"/>
        <v>-4.8849444691706738</v>
      </c>
      <c r="Q2055" s="3">
        <f t="shared" ca="1" si="206"/>
        <v>6.0638111906131904</v>
      </c>
    </row>
    <row r="2056" spans="7:17" x14ac:dyDescent="0.25">
      <c r="G2056" s="3">
        <f t="shared" ca="1" si="201"/>
        <v>0</v>
      </c>
      <c r="H2056" s="3">
        <f t="shared" ca="1" si="202"/>
        <v>1.9716642804869846</v>
      </c>
      <c r="I2056" s="3">
        <f t="shared" ca="1" si="203"/>
        <v>7.0207981748640673</v>
      </c>
      <c r="O2056" s="3">
        <f t="shared" ca="1" si="204"/>
        <v>-4.677795213109551</v>
      </c>
      <c r="P2056" s="3">
        <f t="shared" ca="1" si="205"/>
        <v>2.2026018482192784</v>
      </c>
      <c r="Q2056" s="3">
        <f t="shared" ca="1" si="206"/>
        <v>5.1704180640998079</v>
      </c>
    </row>
    <row r="2057" spans="7:17" x14ac:dyDescent="0.25">
      <c r="G2057" s="3">
        <f t="shared" ca="1" si="201"/>
        <v>0</v>
      </c>
      <c r="H2057" s="3">
        <f t="shared" ca="1" si="202"/>
        <v>0.30380796002243754</v>
      </c>
      <c r="I2057" s="3">
        <f t="shared" ca="1" si="203"/>
        <v>2.755938860091228</v>
      </c>
      <c r="O2057" s="3">
        <f t="shared" ca="1" si="204"/>
        <v>-5.4749421786635439</v>
      </c>
      <c r="P2057" s="3">
        <f t="shared" ca="1" si="205"/>
        <v>-3.8733491409640619</v>
      </c>
      <c r="Q2057" s="3">
        <f t="shared" ca="1" si="206"/>
        <v>6.7065509337897486</v>
      </c>
    </row>
    <row r="2058" spans="7:17" x14ac:dyDescent="0.25">
      <c r="G2058" s="3">
        <f t="shared" ca="1" si="201"/>
        <v>0</v>
      </c>
      <c r="H2058" s="3">
        <f t="shared" ca="1" si="202"/>
        <v>6.0030446116339284</v>
      </c>
      <c r="I2058" s="3">
        <f t="shared" ca="1" si="203"/>
        <v>12.250555713552272</v>
      </c>
      <c r="O2058" s="3">
        <f t="shared" ca="1" si="204"/>
        <v>-3.7144490232883758</v>
      </c>
      <c r="P2058" s="3">
        <f t="shared" ca="1" si="205"/>
        <v>6.5845979073897185</v>
      </c>
      <c r="Q2058" s="3">
        <f t="shared" ca="1" si="206"/>
        <v>7.5600304991851077</v>
      </c>
    </row>
    <row r="2059" spans="7:17" x14ac:dyDescent="0.25">
      <c r="G2059" s="3">
        <f t="shared" ca="1" si="201"/>
        <v>0</v>
      </c>
      <c r="H2059" s="3">
        <f t="shared" ca="1" si="202"/>
        <v>0.16042794321412701</v>
      </c>
      <c r="I2059" s="3">
        <f t="shared" ca="1" si="203"/>
        <v>2.0026728590444258</v>
      </c>
      <c r="O2059" s="3">
        <f t="shared" ca="1" si="204"/>
        <v>-6.3980527789250754</v>
      </c>
      <c r="P2059" s="3">
        <f t="shared" ca="1" si="205"/>
        <v>2.7352846706484923</v>
      </c>
      <c r="Q2059" s="3">
        <f t="shared" ca="1" si="206"/>
        <v>6.9582225885203979</v>
      </c>
    </row>
    <row r="2060" spans="7:17" x14ac:dyDescent="0.25">
      <c r="G2060" s="3">
        <f t="shared" ca="1" si="201"/>
        <v>0</v>
      </c>
      <c r="H2060" s="3">
        <f t="shared" ca="1" si="202"/>
        <v>9.4479578722170374E-2</v>
      </c>
      <c r="I2060" s="3">
        <f t="shared" ca="1" si="203"/>
        <v>1.5368765298664233</v>
      </c>
      <c r="O2060" s="3">
        <f t="shared" ca="1" si="204"/>
        <v>-5.6953125493677152</v>
      </c>
      <c r="P2060" s="3">
        <f t="shared" ca="1" si="205"/>
        <v>-0.68134887086565654</v>
      </c>
      <c r="Q2060" s="3">
        <f t="shared" ca="1" si="206"/>
        <v>5.7359237546201127</v>
      </c>
    </row>
    <row r="2061" spans="7:17" x14ac:dyDescent="0.25">
      <c r="G2061" s="3">
        <f t="shared" ca="1" si="201"/>
        <v>0</v>
      </c>
      <c r="H2061" s="3">
        <f t="shared" ca="1" si="202"/>
        <v>0.62524340183386706</v>
      </c>
      <c r="I2061" s="3">
        <f t="shared" ca="1" si="203"/>
        <v>3.9536167044677812</v>
      </c>
      <c r="O2061" s="3">
        <f t="shared" ca="1" si="204"/>
        <v>-7.048780033437092</v>
      </c>
      <c r="P2061" s="3">
        <f t="shared" ca="1" si="205"/>
        <v>-1.5505718987235155</v>
      </c>
      <c r="Q2061" s="3">
        <f t="shared" ca="1" si="206"/>
        <v>7.2173106606888178</v>
      </c>
    </row>
    <row r="2062" spans="7:17" x14ac:dyDescent="0.25">
      <c r="G2062" s="3">
        <f t="shared" ca="1" si="201"/>
        <v>2</v>
      </c>
      <c r="H2062" s="3">
        <f t="shared" ca="1" si="202"/>
        <v>4.4709159948961616</v>
      </c>
      <c r="I2062" s="3">
        <f t="shared" ca="1" si="203"/>
        <v>10.572270327247788</v>
      </c>
      <c r="O2062" s="3">
        <f t="shared" ca="1" si="204"/>
        <v>-5.7261425451579813</v>
      </c>
      <c r="P2062" s="3">
        <f t="shared" ca="1" si="205"/>
        <v>5.5806981933309521</v>
      </c>
      <c r="Q2062" s="3">
        <f t="shared" ca="1" si="206"/>
        <v>7.9958051985097587</v>
      </c>
    </row>
    <row r="2063" spans="7:17" x14ac:dyDescent="0.25">
      <c r="G2063" s="3">
        <f t="shared" ca="1" si="201"/>
        <v>0</v>
      </c>
      <c r="H2063" s="3">
        <f t="shared" ca="1" si="202"/>
        <v>2.2888840762961604</v>
      </c>
      <c r="I2063" s="3">
        <f t="shared" ca="1" si="203"/>
        <v>7.56452919271279</v>
      </c>
      <c r="O2063" s="3">
        <f t="shared" ca="1" si="204"/>
        <v>1.7314969396515023</v>
      </c>
      <c r="P2063" s="3">
        <f t="shared" ca="1" si="205"/>
        <v>6.0733623571259026</v>
      </c>
      <c r="Q2063" s="3">
        <f t="shared" ca="1" si="206"/>
        <v>6.3153631703154192</v>
      </c>
    </row>
    <row r="2064" spans="7:17" x14ac:dyDescent="0.25">
      <c r="G2064" s="3">
        <f t="shared" ca="1" si="201"/>
        <v>0</v>
      </c>
      <c r="H2064" s="3">
        <f t="shared" ca="1" si="202"/>
        <v>0.11860219912543492</v>
      </c>
      <c r="I2064" s="3">
        <f t="shared" ca="1" si="203"/>
        <v>1.7219334999168443</v>
      </c>
      <c r="O2064" s="3">
        <f t="shared" ca="1" si="204"/>
        <v>-16.741880392016352</v>
      </c>
      <c r="P2064" s="3">
        <f t="shared" ca="1" si="205"/>
        <v>-3.7544075896300568</v>
      </c>
      <c r="Q2064" s="3">
        <f t="shared" ca="1" si="206"/>
        <v>17.157684441953506</v>
      </c>
    </row>
    <row r="2065" spans="7:17" x14ac:dyDescent="0.25">
      <c r="G2065" s="3">
        <f t="shared" ca="1" si="201"/>
        <v>2</v>
      </c>
      <c r="H2065" s="3">
        <f t="shared" ca="1" si="202"/>
        <v>3.3320661740580042</v>
      </c>
      <c r="I2065" s="3">
        <f t="shared" ca="1" si="203"/>
        <v>9.1269739975224056</v>
      </c>
      <c r="O2065" s="3">
        <f t="shared" ca="1" si="204"/>
        <v>-11.470088031636489</v>
      </c>
      <c r="P2065" s="3">
        <f t="shared" ca="1" si="205"/>
        <v>8.7779897565964191</v>
      </c>
      <c r="Q2065" s="3">
        <f t="shared" ca="1" si="206"/>
        <v>14.443546088838513</v>
      </c>
    </row>
    <row r="2066" spans="7:17" x14ac:dyDescent="0.25">
      <c r="G2066" s="3">
        <f t="shared" ca="1" si="201"/>
        <v>0</v>
      </c>
      <c r="H2066" s="3">
        <f t="shared" ca="1" si="202"/>
        <v>1.7096266384717562</v>
      </c>
      <c r="I2066" s="3">
        <f t="shared" ca="1" si="203"/>
        <v>6.5376345846027455</v>
      </c>
      <c r="O2066" s="3">
        <f t="shared" ca="1" si="204"/>
        <v>-10.779312547505631</v>
      </c>
      <c r="P2066" s="3">
        <f t="shared" ca="1" si="205"/>
        <v>-5.9422406136988544</v>
      </c>
      <c r="Q2066" s="3">
        <f t="shared" ca="1" si="206"/>
        <v>12.308688090446703</v>
      </c>
    </row>
    <row r="2067" spans="7:17" x14ac:dyDescent="0.25">
      <c r="G2067" s="3">
        <f t="shared" ca="1" si="201"/>
        <v>1</v>
      </c>
      <c r="H2067" s="3">
        <f t="shared" ca="1" si="202"/>
        <v>1.3451722346907335</v>
      </c>
      <c r="I2067" s="3">
        <f t="shared" ca="1" si="203"/>
        <v>5.7990780187257638</v>
      </c>
      <c r="O2067" s="3">
        <f t="shared" ca="1" si="204"/>
        <v>-7.027100194631787</v>
      </c>
      <c r="P2067" s="3">
        <f t="shared" ca="1" si="205"/>
        <v>8.194258715250152</v>
      </c>
      <c r="Q2067" s="3">
        <f t="shared" ca="1" si="206"/>
        <v>10.794721535910371</v>
      </c>
    </row>
    <row r="2068" spans="7:17" x14ac:dyDescent="0.25">
      <c r="G2068" s="3">
        <f t="shared" ca="1" si="201"/>
        <v>1</v>
      </c>
      <c r="H2068" s="3">
        <f t="shared" ca="1" si="202"/>
        <v>3.1649248900126454</v>
      </c>
      <c r="I2068" s="3">
        <f t="shared" ca="1" si="203"/>
        <v>8.8951178885001934</v>
      </c>
      <c r="O2068" s="3">
        <f t="shared" ca="1" si="204"/>
        <v>-11.908560579535207</v>
      </c>
      <c r="P2068" s="3">
        <f t="shared" ca="1" si="205"/>
        <v>1.7812166527720221</v>
      </c>
      <c r="Q2068" s="3">
        <f t="shared" ca="1" si="206"/>
        <v>12.041035995319186</v>
      </c>
    </row>
    <row r="2069" spans="7:17" x14ac:dyDescent="0.25">
      <c r="G2069" s="3">
        <f t="shared" ca="1" si="201"/>
        <v>0</v>
      </c>
      <c r="H2069" s="3">
        <f t="shared" ca="1" si="202"/>
        <v>2.1528840893435364</v>
      </c>
      <c r="I2069" s="3">
        <f t="shared" ca="1" si="203"/>
        <v>7.3363548328572827</v>
      </c>
      <c r="O2069" s="3">
        <f t="shared" ca="1" si="204"/>
        <v>-10.229586058570547</v>
      </c>
      <c r="P2069" s="3">
        <f t="shared" ca="1" si="205"/>
        <v>3.2634990083254554</v>
      </c>
      <c r="Q2069" s="3">
        <f t="shared" ca="1" si="206"/>
        <v>10.737544258676754</v>
      </c>
    </row>
    <row r="2070" spans="7:17" x14ac:dyDescent="0.25">
      <c r="G2070" s="3">
        <f t="shared" ca="1" si="201"/>
        <v>0</v>
      </c>
      <c r="H2070" s="3">
        <f t="shared" ca="1" si="202"/>
        <v>1.7529319596410529</v>
      </c>
      <c r="I2070" s="3">
        <f t="shared" ca="1" si="203"/>
        <v>6.6199168417002285</v>
      </c>
      <c r="O2070" s="3">
        <f t="shared" ca="1" si="204"/>
        <v>0.24404918521132402</v>
      </c>
      <c r="P2070" s="3">
        <f t="shared" ca="1" si="205"/>
        <v>2.2346655658098791</v>
      </c>
      <c r="Q2070" s="3">
        <f t="shared" ca="1" si="206"/>
        <v>2.2479524451862183</v>
      </c>
    </row>
    <row r="2071" spans="7:17" x14ac:dyDescent="0.25">
      <c r="G2071" s="3">
        <f t="shared" ca="1" si="201"/>
        <v>3</v>
      </c>
      <c r="H2071" s="3">
        <f t="shared" ca="1" si="202"/>
        <v>3.4370784054850829</v>
      </c>
      <c r="I2071" s="3">
        <f t="shared" ca="1" si="203"/>
        <v>9.269679613510224</v>
      </c>
      <c r="O2071" s="3">
        <f t="shared" ca="1" si="204"/>
        <v>-0.25683995349552724</v>
      </c>
      <c r="P2071" s="3">
        <f t="shared" ca="1" si="205"/>
        <v>-2.8144544996352101</v>
      </c>
      <c r="Q2071" s="3">
        <f t="shared" ca="1" si="206"/>
        <v>2.8261494815788613</v>
      </c>
    </row>
    <row r="2072" spans="7:17" x14ac:dyDescent="0.25">
      <c r="G2072" s="3">
        <f t="shared" ca="1" si="201"/>
        <v>0</v>
      </c>
      <c r="H2072" s="3">
        <f t="shared" ca="1" si="202"/>
        <v>0.14366130561444571</v>
      </c>
      <c r="I2072" s="3">
        <f t="shared" ca="1" si="203"/>
        <v>1.8951339373144958</v>
      </c>
      <c r="O2072" s="3">
        <f t="shared" ca="1" si="204"/>
        <v>-8.2174956491395363</v>
      </c>
      <c r="P2072" s="3">
        <f t="shared" ca="1" si="205"/>
        <v>-7.2966953165359678</v>
      </c>
      <c r="Q2072" s="3">
        <f t="shared" ca="1" si="206"/>
        <v>10.989494860364836</v>
      </c>
    </row>
    <row r="2073" spans="7:17" x14ac:dyDescent="0.25">
      <c r="G2073" s="3">
        <f t="shared" ca="1" si="201"/>
        <v>0</v>
      </c>
      <c r="H2073" s="3">
        <f t="shared" ca="1" si="202"/>
        <v>2.656702775934852</v>
      </c>
      <c r="I2073" s="3">
        <f t="shared" ca="1" si="203"/>
        <v>8.1496975034887829</v>
      </c>
      <c r="O2073" s="3">
        <f t="shared" ca="1" si="204"/>
        <v>-12.383837093535851</v>
      </c>
      <c r="P2073" s="3">
        <f t="shared" ca="1" si="205"/>
        <v>-4.3851981785927814</v>
      </c>
      <c r="Q2073" s="3">
        <f t="shared" ca="1" si="206"/>
        <v>13.137327895153105</v>
      </c>
    </row>
    <row r="2074" spans="7:17" x14ac:dyDescent="0.25">
      <c r="G2074" s="3">
        <f t="shared" ca="1" si="201"/>
        <v>0</v>
      </c>
      <c r="H2074" s="3">
        <f t="shared" ca="1" si="202"/>
        <v>0.27230208539935158</v>
      </c>
      <c r="I2074" s="3">
        <f t="shared" ca="1" si="203"/>
        <v>2.6091286160294569</v>
      </c>
      <c r="O2074" s="3">
        <f t="shared" ca="1" si="204"/>
        <v>-0.78193740865322514</v>
      </c>
      <c r="P2074" s="3">
        <f t="shared" ca="1" si="205"/>
        <v>-2.7152947018518678</v>
      </c>
      <c r="Q2074" s="3">
        <f t="shared" ca="1" si="206"/>
        <v>2.8256417729351582</v>
      </c>
    </row>
    <row r="2075" spans="7:17" x14ac:dyDescent="0.25">
      <c r="G2075" s="3">
        <f t="shared" ca="1" si="201"/>
        <v>3</v>
      </c>
      <c r="H2075" s="3">
        <f t="shared" ca="1" si="202"/>
        <v>3.5369611525490816</v>
      </c>
      <c r="I2075" s="3">
        <f t="shared" ca="1" si="203"/>
        <v>9.403405171198731</v>
      </c>
      <c r="O2075" s="3">
        <f t="shared" ca="1" si="204"/>
        <v>2.3806404441979634</v>
      </c>
      <c r="P2075" s="3">
        <f t="shared" ca="1" si="205"/>
        <v>-3.2047333929282384</v>
      </c>
      <c r="Q2075" s="3">
        <f t="shared" ca="1" si="206"/>
        <v>3.9922130509656442</v>
      </c>
    </row>
    <row r="2076" spans="7:17" x14ac:dyDescent="0.25">
      <c r="G2076" s="3">
        <f t="shared" ca="1" si="201"/>
        <v>0</v>
      </c>
      <c r="H2076" s="3">
        <f t="shared" ca="1" si="202"/>
        <v>0.9536562265640387</v>
      </c>
      <c r="I2076" s="3">
        <f t="shared" ca="1" si="203"/>
        <v>4.882766189784328</v>
      </c>
      <c r="O2076" s="3">
        <f t="shared" ca="1" si="204"/>
        <v>-12.560086934297731</v>
      </c>
      <c r="P2076" s="3">
        <f t="shared" ca="1" si="205"/>
        <v>-3.3228893926714838</v>
      </c>
      <c r="Q2076" s="3">
        <f t="shared" ca="1" si="206"/>
        <v>12.992204497815036</v>
      </c>
    </row>
    <row r="2077" spans="7:17" x14ac:dyDescent="0.25">
      <c r="G2077" s="3">
        <f t="shared" ca="1" si="201"/>
        <v>1</v>
      </c>
      <c r="H2077" s="3">
        <f t="shared" ca="1" si="202"/>
        <v>4.7445988514364794</v>
      </c>
      <c r="I2077" s="3">
        <f t="shared" ca="1" si="203"/>
        <v>10.891050054329563</v>
      </c>
      <c r="O2077" s="3">
        <f t="shared" ca="1" si="204"/>
        <v>1.6013684028543036</v>
      </c>
      <c r="P2077" s="3">
        <f t="shared" ca="1" si="205"/>
        <v>-4.6897773186381277</v>
      </c>
      <c r="Q2077" s="3">
        <f t="shared" ca="1" si="206"/>
        <v>4.9556424467542826</v>
      </c>
    </row>
    <row r="2078" spans="7:17" x14ac:dyDescent="0.25">
      <c r="G2078" s="3">
        <f t="shared" ca="1" si="201"/>
        <v>0</v>
      </c>
      <c r="H2078" s="3">
        <f t="shared" ca="1" si="202"/>
        <v>4.8917853828819391</v>
      </c>
      <c r="I2078" s="3">
        <f t="shared" ca="1" si="203"/>
        <v>11.058690454662726</v>
      </c>
      <c r="O2078" s="3">
        <f t="shared" ca="1" si="204"/>
        <v>-9.0338168005967674</v>
      </c>
      <c r="P2078" s="3">
        <f t="shared" ca="1" si="205"/>
        <v>2.254371490022502</v>
      </c>
      <c r="Q2078" s="3">
        <f t="shared" ca="1" si="206"/>
        <v>9.31085585764116</v>
      </c>
    </row>
    <row r="2079" spans="7:17" x14ac:dyDescent="0.25">
      <c r="G2079" s="3">
        <f t="shared" ca="1" si="201"/>
        <v>2</v>
      </c>
      <c r="H2079" s="3">
        <f t="shared" ca="1" si="202"/>
        <v>6.2079330007141973</v>
      </c>
      <c r="I2079" s="3">
        <f t="shared" ca="1" si="203"/>
        <v>12.457861976192179</v>
      </c>
      <c r="O2079" s="3">
        <f t="shared" ca="1" si="204"/>
        <v>-7.0533894895586142</v>
      </c>
      <c r="P2079" s="3">
        <f t="shared" ca="1" si="205"/>
        <v>1.7964361379138574</v>
      </c>
      <c r="Q2079" s="3">
        <f t="shared" ca="1" si="206"/>
        <v>7.2785634632816656</v>
      </c>
    </row>
    <row r="2080" spans="7:17" x14ac:dyDescent="0.25">
      <c r="G2080" s="3">
        <f t="shared" ca="1" si="201"/>
        <v>0</v>
      </c>
      <c r="H2080" s="3">
        <f t="shared" ca="1" si="202"/>
        <v>0.42683981658796138</v>
      </c>
      <c r="I2080" s="3">
        <f t="shared" ca="1" si="203"/>
        <v>3.2666489579841658</v>
      </c>
      <c r="O2080" s="3">
        <f t="shared" ca="1" si="204"/>
        <v>-1.5865956150455016</v>
      </c>
      <c r="P2080" s="3">
        <f t="shared" ca="1" si="205"/>
        <v>-0.20989601388843229</v>
      </c>
      <c r="Q2080" s="3">
        <f t="shared" ca="1" si="206"/>
        <v>1.6004193145322467</v>
      </c>
    </row>
    <row r="2081" spans="7:17" x14ac:dyDescent="0.25">
      <c r="G2081" s="3">
        <f t="shared" ca="1" si="201"/>
        <v>0</v>
      </c>
      <c r="H2081" s="3">
        <f t="shared" ca="1" si="202"/>
        <v>8.1067095292543023E-2</v>
      </c>
      <c r="I2081" s="3">
        <f t="shared" ca="1" si="203"/>
        <v>1.4236141971452714</v>
      </c>
      <c r="O2081" s="3">
        <f t="shared" ca="1" si="204"/>
        <v>-5.0643102302095606</v>
      </c>
      <c r="P2081" s="3">
        <f t="shared" ca="1" si="205"/>
        <v>-0.25122136610406837</v>
      </c>
      <c r="Q2081" s="3">
        <f t="shared" ca="1" si="206"/>
        <v>5.0705374747251799</v>
      </c>
    </row>
    <row r="2082" spans="7:17" x14ac:dyDescent="0.25">
      <c r="G2082" s="3">
        <f t="shared" ca="1" si="201"/>
        <v>0</v>
      </c>
      <c r="H2082" s="3">
        <f t="shared" ca="1" si="202"/>
        <v>2.2455514977006588</v>
      </c>
      <c r="I2082" s="3">
        <f t="shared" ca="1" si="203"/>
        <v>7.4925821612122787</v>
      </c>
      <c r="O2082" s="3">
        <f t="shared" ca="1" si="204"/>
        <v>-3.2516264492679081</v>
      </c>
      <c r="P2082" s="3">
        <f t="shared" ca="1" si="205"/>
        <v>-4.699537025812087</v>
      </c>
      <c r="Q2082" s="3">
        <f t="shared" ca="1" si="206"/>
        <v>5.7147810826450156</v>
      </c>
    </row>
    <row r="2083" spans="7:17" x14ac:dyDescent="0.25">
      <c r="G2083" s="3">
        <f t="shared" ca="1" si="201"/>
        <v>1</v>
      </c>
      <c r="H2083" s="3">
        <f t="shared" ca="1" si="202"/>
        <v>1.2960897215714757</v>
      </c>
      <c r="I2083" s="3">
        <f t="shared" ca="1" si="203"/>
        <v>5.6922968158105469</v>
      </c>
      <c r="O2083" s="3">
        <f t="shared" ca="1" si="204"/>
        <v>-3.5811885649385555</v>
      </c>
      <c r="P2083" s="3">
        <f t="shared" ca="1" si="205"/>
        <v>2.3519056760742809</v>
      </c>
      <c r="Q2083" s="3">
        <f t="shared" ca="1" si="206"/>
        <v>4.284433666985298</v>
      </c>
    </row>
    <row r="2084" spans="7:17" x14ac:dyDescent="0.25">
      <c r="G2084" s="3">
        <f t="shared" ca="1" si="201"/>
        <v>1</v>
      </c>
      <c r="H2084" s="3">
        <f t="shared" ca="1" si="202"/>
        <v>1.6050255169180254</v>
      </c>
      <c r="I2084" s="3">
        <f t="shared" ca="1" si="203"/>
        <v>6.3344800830810595</v>
      </c>
      <c r="O2084" s="3">
        <f t="shared" ca="1" si="204"/>
        <v>5.7417122140567862</v>
      </c>
      <c r="P2084" s="3">
        <f t="shared" ca="1" si="205"/>
        <v>-0.86676052233707757</v>
      </c>
      <c r="Q2084" s="3">
        <f t="shared" ca="1" si="206"/>
        <v>5.8067661354777265</v>
      </c>
    </row>
    <row r="2085" spans="7:17" x14ac:dyDescent="0.25">
      <c r="G2085" s="3">
        <f t="shared" ca="1" si="201"/>
        <v>3</v>
      </c>
      <c r="H2085" s="3">
        <f t="shared" ca="1" si="202"/>
        <v>3.0340779720851536</v>
      </c>
      <c r="I2085" s="3">
        <f t="shared" ca="1" si="203"/>
        <v>8.7093024578394811</v>
      </c>
      <c r="O2085" s="3">
        <f t="shared" ca="1" si="204"/>
        <v>-10.89686151696775</v>
      </c>
      <c r="P2085" s="3">
        <f t="shared" ca="1" si="205"/>
        <v>-4.8016709949200633</v>
      </c>
      <c r="Q2085" s="3">
        <f t="shared" ca="1" si="206"/>
        <v>11.907881224778375</v>
      </c>
    </row>
    <row r="2086" spans="7:17" x14ac:dyDescent="0.25">
      <c r="G2086" s="3">
        <f t="shared" ca="1" si="201"/>
        <v>1</v>
      </c>
      <c r="H2086" s="3">
        <f t="shared" ca="1" si="202"/>
        <v>4.3158178775907157</v>
      </c>
      <c r="I2086" s="3">
        <f t="shared" ca="1" si="203"/>
        <v>10.387273315926942</v>
      </c>
      <c r="O2086" s="3">
        <f t="shared" ca="1" si="204"/>
        <v>-18.557919896295303</v>
      </c>
      <c r="P2086" s="3">
        <f t="shared" ca="1" si="205"/>
        <v>-3.0371620305327931</v>
      </c>
      <c r="Q2086" s="3">
        <f t="shared" ca="1" si="206"/>
        <v>18.804806408921714</v>
      </c>
    </row>
    <row r="2087" spans="7:17" x14ac:dyDescent="0.25">
      <c r="G2087" s="3">
        <f t="shared" ca="1" si="201"/>
        <v>0</v>
      </c>
      <c r="H2087" s="3">
        <f t="shared" ca="1" si="202"/>
        <v>6.0990229251262669</v>
      </c>
      <c r="I2087" s="3">
        <f t="shared" ca="1" si="203"/>
        <v>12.34809998048917</v>
      </c>
      <c r="O2087" s="3">
        <f t="shared" ca="1" si="204"/>
        <v>-3.2507829948300735</v>
      </c>
      <c r="P2087" s="3">
        <f t="shared" ca="1" si="205"/>
        <v>7.889920807193854</v>
      </c>
      <c r="Q2087" s="3">
        <f t="shared" ca="1" si="206"/>
        <v>8.5333721601291312</v>
      </c>
    </row>
    <row r="2088" spans="7:17" x14ac:dyDescent="0.25">
      <c r="G2088" s="3">
        <f t="shared" ca="1" si="201"/>
        <v>1</v>
      </c>
      <c r="H2088" s="3">
        <f t="shared" ca="1" si="202"/>
        <v>1.3149587388999395</v>
      </c>
      <c r="I2088" s="3">
        <f t="shared" ca="1" si="203"/>
        <v>5.7335825164114009</v>
      </c>
      <c r="O2088" s="3">
        <f t="shared" ca="1" si="204"/>
        <v>-5.8907697447424452</v>
      </c>
      <c r="P2088" s="3">
        <f t="shared" ca="1" si="205"/>
        <v>-5.8042739578799472</v>
      </c>
      <c r="Q2088" s="3">
        <f t="shared" ca="1" si="206"/>
        <v>8.2698708795056959</v>
      </c>
    </row>
    <row r="2089" spans="7:17" x14ac:dyDescent="0.25">
      <c r="G2089" s="3">
        <f t="shared" ca="1" si="201"/>
        <v>1</v>
      </c>
      <c r="H2089" s="3">
        <f t="shared" ca="1" si="202"/>
        <v>2.6470897259498907</v>
      </c>
      <c r="I2089" s="3">
        <f t="shared" ca="1" si="203"/>
        <v>8.1349396524342623</v>
      </c>
      <c r="O2089" s="3">
        <f t="shared" ca="1" si="204"/>
        <v>7.6686751178048702</v>
      </c>
      <c r="P2089" s="3">
        <f t="shared" ca="1" si="205"/>
        <v>1.9585119637224142</v>
      </c>
      <c r="Q2089" s="3">
        <f t="shared" ca="1" si="206"/>
        <v>7.9148182022383411</v>
      </c>
    </row>
    <row r="2090" spans="7:17" x14ac:dyDescent="0.25">
      <c r="G2090" s="3">
        <f t="shared" ca="1" si="201"/>
        <v>1</v>
      </c>
      <c r="H2090" s="3">
        <f t="shared" ca="1" si="202"/>
        <v>8.4858196708758218</v>
      </c>
      <c r="I2090" s="3">
        <f t="shared" ca="1" si="203"/>
        <v>14.565215129612593</v>
      </c>
      <c r="O2090" s="3">
        <f t="shared" ca="1" si="204"/>
        <v>0.69815454997449233</v>
      </c>
      <c r="P2090" s="3">
        <f t="shared" ca="1" si="205"/>
        <v>7.0458242616815872</v>
      </c>
      <c r="Q2090" s="3">
        <f t="shared" ca="1" si="206"/>
        <v>7.0803290391161182</v>
      </c>
    </row>
    <row r="2091" spans="7:17" x14ac:dyDescent="0.25">
      <c r="G2091" s="3">
        <f t="shared" ca="1" si="201"/>
        <v>0</v>
      </c>
      <c r="H2091" s="3">
        <f t="shared" ca="1" si="202"/>
        <v>2.4387824315753019</v>
      </c>
      <c r="I2091" s="3">
        <f t="shared" ca="1" si="203"/>
        <v>7.8083007619700808</v>
      </c>
      <c r="O2091" s="3">
        <f t="shared" ca="1" si="204"/>
        <v>0.96177931546093198</v>
      </c>
      <c r="P2091" s="3">
        <f t="shared" ca="1" si="205"/>
        <v>-9.5707944181679547</v>
      </c>
      <c r="Q2091" s="3">
        <f t="shared" ca="1" si="206"/>
        <v>9.6189981415157462</v>
      </c>
    </row>
    <row r="2092" spans="7:17" x14ac:dyDescent="0.25">
      <c r="G2092" s="3">
        <f t="shared" ca="1" si="201"/>
        <v>0</v>
      </c>
      <c r="H2092" s="3">
        <f t="shared" ca="1" si="202"/>
        <v>6.0356345048256976</v>
      </c>
      <c r="I2092" s="3">
        <f t="shared" ca="1" si="203"/>
        <v>12.283764187765998</v>
      </c>
      <c r="O2092" s="3">
        <f t="shared" ca="1" si="204"/>
        <v>-10.875954538534666</v>
      </c>
      <c r="P2092" s="3">
        <f t="shared" ca="1" si="205"/>
        <v>0.31877257289158134</v>
      </c>
      <c r="Q2092" s="3">
        <f t="shared" ca="1" si="206"/>
        <v>10.880625123470651</v>
      </c>
    </row>
    <row r="2093" spans="7:17" x14ac:dyDescent="0.25">
      <c r="G2093" s="3">
        <f t="shared" ca="1" si="201"/>
        <v>1</v>
      </c>
      <c r="H2093" s="3">
        <f t="shared" ca="1" si="202"/>
        <v>1.4682229619064238</v>
      </c>
      <c r="I2093" s="3">
        <f t="shared" ca="1" si="203"/>
        <v>6.0585125276474088</v>
      </c>
      <c r="O2093" s="3">
        <f t="shared" ca="1" si="204"/>
        <v>-6.3616767843915509</v>
      </c>
      <c r="P2093" s="3">
        <f t="shared" ca="1" si="205"/>
        <v>-0.6573829908570149</v>
      </c>
      <c r="Q2093" s="3">
        <f t="shared" ca="1" si="206"/>
        <v>6.3955518843751502</v>
      </c>
    </row>
    <row r="2094" spans="7:17" x14ac:dyDescent="0.25">
      <c r="G2094" s="3">
        <f t="shared" ca="1" si="201"/>
        <v>0</v>
      </c>
      <c r="H2094" s="3">
        <f t="shared" ca="1" si="202"/>
        <v>1.4274552008549122</v>
      </c>
      <c r="I2094" s="3">
        <f t="shared" ca="1" si="203"/>
        <v>5.9738078326451713</v>
      </c>
      <c r="O2094" s="3">
        <f t="shared" ca="1" si="204"/>
        <v>-10.73613767049105</v>
      </c>
      <c r="P2094" s="3">
        <f t="shared" ca="1" si="205"/>
        <v>-4.4419189854059606</v>
      </c>
      <c r="Q2094" s="3">
        <f t="shared" ca="1" si="206"/>
        <v>11.618747624105058</v>
      </c>
    </row>
    <row r="2095" spans="7:17" x14ac:dyDescent="0.25">
      <c r="G2095" s="3">
        <f t="shared" ca="1" si="201"/>
        <v>0</v>
      </c>
      <c r="H2095" s="3">
        <f t="shared" ca="1" si="202"/>
        <v>1.8122214241810559</v>
      </c>
      <c r="I2095" s="3">
        <f t="shared" ca="1" si="203"/>
        <v>6.7309386867305809</v>
      </c>
      <c r="O2095" s="3">
        <f t="shared" ca="1" si="204"/>
        <v>-5.8439647679027269</v>
      </c>
      <c r="P2095" s="3">
        <f t="shared" ca="1" si="205"/>
        <v>-2.9081466520205193</v>
      </c>
      <c r="Q2095" s="3">
        <f t="shared" ca="1" si="206"/>
        <v>6.5275754425472963</v>
      </c>
    </row>
    <row r="2096" spans="7:17" x14ac:dyDescent="0.25">
      <c r="G2096" s="3">
        <f t="shared" ca="1" si="201"/>
        <v>0</v>
      </c>
      <c r="H2096" s="3">
        <f t="shared" ca="1" si="202"/>
        <v>2.8569838706642714</v>
      </c>
      <c r="I2096" s="3">
        <f t="shared" ca="1" si="203"/>
        <v>8.4513073998409727</v>
      </c>
      <c r="O2096" s="3">
        <f t="shared" ca="1" si="204"/>
        <v>-5.62096894219418</v>
      </c>
      <c r="P2096" s="3">
        <f t="shared" ca="1" si="205"/>
        <v>-1.8168227313735823</v>
      </c>
      <c r="Q2096" s="3">
        <f t="shared" ca="1" si="206"/>
        <v>5.9072952090061754</v>
      </c>
    </row>
    <row r="2097" spans="7:17" x14ac:dyDescent="0.25">
      <c r="G2097" s="3">
        <f t="shared" ca="1" si="201"/>
        <v>0</v>
      </c>
      <c r="H2097" s="3">
        <f t="shared" ca="1" si="202"/>
        <v>6.9741428188826999</v>
      </c>
      <c r="I2097" s="3">
        <f t="shared" ca="1" si="203"/>
        <v>13.204301211047387</v>
      </c>
      <c r="O2097" s="3">
        <f t="shared" ca="1" si="204"/>
        <v>-9.5083177354630379</v>
      </c>
      <c r="P2097" s="3">
        <f t="shared" ca="1" si="205"/>
        <v>-1.8988248331517774</v>
      </c>
      <c r="Q2097" s="3">
        <f t="shared" ca="1" si="206"/>
        <v>9.6960632168687315</v>
      </c>
    </row>
    <row r="2098" spans="7:17" x14ac:dyDescent="0.25">
      <c r="G2098" s="3">
        <f t="shared" ca="1" si="201"/>
        <v>1</v>
      </c>
      <c r="H2098" s="3">
        <f t="shared" ca="1" si="202"/>
        <v>3.5213959398951138</v>
      </c>
      <c r="I2098" s="3">
        <f t="shared" ca="1" si="203"/>
        <v>9.3826914314272241</v>
      </c>
      <c r="O2098" s="3">
        <f t="shared" ca="1" si="204"/>
        <v>5.0568924019460013</v>
      </c>
      <c r="P2098" s="3">
        <f t="shared" ca="1" si="205"/>
        <v>4.0507873580450697</v>
      </c>
      <c r="Q2098" s="3">
        <f t="shared" ca="1" si="206"/>
        <v>6.4792776591960433</v>
      </c>
    </row>
    <row r="2099" spans="7:17" x14ac:dyDescent="0.25">
      <c r="G2099" s="3">
        <f t="shared" ca="1" si="201"/>
        <v>0</v>
      </c>
      <c r="H2099" s="3">
        <f t="shared" ca="1" si="202"/>
        <v>2.1059100512864695</v>
      </c>
      <c r="I2099" s="3">
        <f t="shared" ca="1" si="203"/>
        <v>7.255877016747303</v>
      </c>
      <c r="O2099" s="3">
        <f t="shared" ca="1" si="204"/>
        <v>-1.3110507046186588</v>
      </c>
      <c r="P2099" s="3">
        <f t="shared" ca="1" si="205"/>
        <v>-2.4482169981613078</v>
      </c>
      <c r="Q2099" s="3">
        <f t="shared" ca="1" si="206"/>
        <v>2.7771604959323195</v>
      </c>
    </row>
    <row r="2100" spans="7:17" x14ac:dyDescent="0.25">
      <c r="G2100" s="3">
        <f t="shared" ca="1" si="201"/>
        <v>1</v>
      </c>
      <c r="H2100" s="3">
        <f t="shared" ca="1" si="202"/>
        <v>4.527829611655207</v>
      </c>
      <c r="I2100" s="3">
        <f t="shared" ca="1" si="203"/>
        <v>10.639348677968034</v>
      </c>
      <c r="O2100" s="3">
        <f t="shared" ca="1" si="204"/>
        <v>-10.024974579201388</v>
      </c>
      <c r="P2100" s="3">
        <f t="shared" ca="1" si="205"/>
        <v>2.5685433015481411</v>
      </c>
      <c r="Q2100" s="3">
        <f t="shared" ca="1" si="206"/>
        <v>10.348793649772029</v>
      </c>
    </row>
    <row r="2101" spans="7:17" x14ac:dyDescent="0.25">
      <c r="G2101" s="3">
        <f t="shared" ca="1" si="201"/>
        <v>1</v>
      </c>
      <c r="H2101" s="3">
        <f t="shared" ca="1" si="202"/>
        <v>3.7766026452708452</v>
      </c>
      <c r="I2101" s="3">
        <f t="shared" ca="1" si="203"/>
        <v>9.7167415387963842</v>
      </c>
      <c r="O2101" s="3">
        <f t="shared" ca="1" si="204"/>
        <v>-4.7439183183916729</v>
      </c>
      <c r="P2101" s="3">
        <f t="shared" ca="1" si="205"/>
        <v>1.6903069459230611</v>
      </c>
      <c r="Q2101" s="3">
        <f t="shared" ca="1" si="206"/>
        <v>5.0360598271871062</v>
      </c>
    </row>
    <row r="2102" spans="7:17" x14ac:dyDescent="0.25">
      <c r="G2102" s="3">
        <f t="shared" ca="1" si="201"/>
        <v>0</v>
      </c>
      <c r="H2102" s="3">
        <f t="shared" ca="1" si="202"/>
        <v>1.1398578941281814</v>
      </c>
      <c r="I2102" s="3">
        <f t="shared" ca="1" si="203"/>
        <v>5.3382063797875539</v>
      </c>
      <c r="O2102" s="3">
        <f t="shared" ca="1" si="204"/>
        <v>-8.900989501574859</v>
      </c>
      <c r="P2102" s="3">
        <f t="shared" ca="1" si="205"/>
        <v>-1.436521793746216</v>
      </c>
      <c r="Q2102" s="3">
        <f t="shared" ca="1" si="206"/>
        <v>9.0161637613263057</v>
      </c>
    </row>
    <row r="2103" spans="7:17" x14ac:dyDescent="0.25">
      <c r="G2103" s="3">
        <f t="shared" ca="1" si="201"/>
        <v>2</v>
      </c>
      <c r="H2103" s="3">
        <f t="shared" ca="1" si="202"/>
        <v>5.273072293921909</v>
      </c>
      <c r="I2103" s="3">
        <f t="shared" ca="1" si="203"/>
        <v>11.48158557639352</v>
      </c>
      <c r="O2103" s="3">
        <f t="shared" ca="1" si="204"/>
        <v>-2.4001927055148813</v>
      </c>
      <c r="P2103" s="3">
        <f t="shared" ca="1" si="205"/>
        <v>2.3862543841037365</v>
      </c>
      <c r="Q2103" s="3">
        <f t="shared" ca="1" si="206"/>
        <v>3.3845435451861374</v>
      </c>
    </row>
    <row r="2104" spans="7:17" x14ac:dyDescent="0.25">
      <c r="G2104" s="3">
        <f t="shared" ca="1" si="201"/>
        <v>0</v>
      </c>
      <c r="H2104" s="3">
        <f t="shared" ca="1" si="202"/>
        <v>4.3359114016963689</v>
      </c>
      <c r="I2104" s="3">
        <f t="shared" ca="1" si="203"/>
        <v>10.411425696916307</v>
      </c>
      <c r="O2104" s="3">
        <f t="shared" ca="1" si="204"/>
        <v>-14.555999127259042</v>
      </c>
      <c r="P2104" s="3">
        <f t="shared" ca="1" si="205"/>
        <v>-6.1003599258073384</v>
      </c>
      <c r="Q2104" s="3">
        <f t="shared" ca="1" si="206"/>
        <v>15.782632917772691</v>
      </c>
    </row>
    <row r="2105" spans="7:17" x14ac:dyDescent="0.25">
      <c r="G2105" s="3">
        <f t="shared" ca="1" si="201"/>
        <v>1</v>
      </c>
      <c r="H2105" s="3">
        <f t="shared" ca="1" si="202"/>
        <v>7.3897812091863688</v>
      </c>
      <c r="I2105" s="3">
        <f t="shared" ca="1" si="203"/>
        <v>13.592076008824378</v>
      </c>
      <c r="O2105" s="3">
        <f t="shared" ca="1" si="204"/>
        <v>-4.5596887177232235</v>
      </c>
      <c r="P2105" s="3">
        <f t="shared" ca="1" si="205"/>
        <v>-4.4182515572418595</v>
      </c>
      <c r="Q2105" s="3">
        <f t="shared" ca="1" si="206"/>
        <v>6.3491501813709341</v>
      </c>
    </row>
    <row r="2106" spans="7:17" x14ac:dyDescent="0.25">
      <c r="G2106" s="3">
        <f t="shared" ca="1" si="201"/>
        <v>0</v>
      </c>
      <c r="H2106" s="3">
        <f t="shared" ca="1" si="202"/>
        <v>1.5830672967345718</v>
      </c>
      <c r="I2106" s="3">
        <f t="shared" ca="1" si="203"/>
        <v>6.2910001127296367</v>
      </c>
      <c r="O2106" s="3">
        <f t="shared" ca="1" si="204"/>
        <v>-4.378939234561348</v>
      </c>
      <c r="P2106" s="3">
        <f t="shared" ca="1" si="205"/>
        <v>-5.1230910341093718</v>
      </c>
      <c r="Q2106" s="3">
        <f t="shared" ca="1" si="206"/>
        <v>6.7395230219765967</v>
      </c>
    </row>
    <row r="2107" spans="7:17" x14ac:dyDescent="0.25">
      <c r="G2107" s="3">
        <f t="shared" ca="1" si="201"/>
        <v>1</v>
      </c>
      <c r="H2107" s="3">
        <f t="shared" ca="1" si="202"/>
        <v>1.0870175175625327</v>
      </c>
      <c r="I2107" s="3">
        <f t="shared" ca="1" si="203"/>
        <v>5.2130066122213314</v>
      </c>
      <c r="O2107" s="3">
        <f t="shared" ca="1" si="204"/>
        <v>-12.080916163508977</v>
      </c>
      <c r="P2107" s="3">
        <f t="shared" ca="1" si="205"/>
        <v>4.7251423880412453</v>
      </c>
      <c r="Q2107" s="3">
        <f t="shared" ca="1" si="206"/>
        <v>12.97210491543283</v>
      </c>
    </row>
    <row r="2108" spans="7:17" x14ac:dyDescent="0.25">
      <c r="G2108" s="3">
        <f t="shared" ca="1" si="201"/>
        <v>0</v>
      </c>
      <c r="H2108" s="3">
        <f t="shared" ca="1" si="202"/>
        <v>0.33129016462176858</v>
      </c>
      <c r="I2108" s="3">
        <f t="shared" ca="1" si="203"/>
        <v>2.8778905669855162</v>
      </c>
      <c r="O2108" s="3">
        <f t="shared" ca="1" si="204"/>
        <v>-8.7795512033483512</v>
      </c>
      <c r="P2108" s="3">
        <f t="shared" ca="1" si="205"/>
        <v>-1.2126355090438181</v>
      </c>
      <c r="Q2108" s="3">
        <f t="shared" ca="1" si="206"/>
        <v>8.8629004400370786</v>
      </c>
    </row>
    <row r="2109" spans="7:17" x14ac:dyDescent="0.25">
      <c r="G2109" s="3">
        <f t="shared" ca="1" si="201"/>
        <v>0</v>
      </c>
      <c r="H2109" s="3">
        <f t="shared" ca="1" si="202"/>
        <v>5.9896800998108795</v>
      </c>
      <c r="I2109" s="3">
        <f t="shared" ca="1" si="203"/>
        <v>12.236911476972935</v>
      </c>
      <c r="O2109" s="3">
        <f t="shared" ca="1" si="204"/>
        <v>-7.6431979013724511</v>
      </c>
      <c r="P2109" s="3">
        <f t="shared" ca="1" si="205"/>
        <v>6.6145182266653002</v>
      </c>
      <c r="Q2109" s="3">
        <f t="shared" ca="1" si="206"/>
        <v>10.107933791355764</v>
      </c>
    </row>
    <row r="2110" spans="7:17" x14ac:dyDescent="0.25">
      <c r="G2110" s="3">
        <f t="shared" ca="1" si="201"/>
        <v>0</v>
      </c>
      <c r="H2110" s="3">
        <f t="shared" ca="1" si="202"/>
        <v>1.3770735569520607</v>
      </c>
      <c r="I2110" s="3">
        <f t="shared" ca="1" si="203"/>
        <v>5.8674388726088589</v>
      </c>
      <c r="O2110" s="3">
        <f t="shared" ca="1" si="204"/>
        <v>7.5542818270950107E-2</v>
      </c>
      <c r="P2110" s="3">
        <f t="shared" ca="1" si="205"/>
        <v>-3.5787956219961168</v>
      </c>
      <c r="Q2110" s="3">
        <f t="shared" ca="1" si="206"/>
        <v>3.5795928289975789</v>
      </c>
    </row>
    <row r="2111" spans="7:17" x14ac:dyDescent="0.25">
      <c r="G2111" s="3">
        <f t="shared" ca="1" si="201"/>
        <v>0</v>
      </c>
      <c r="H2111" s="3">
        <f t="shared" ca="1" si="202"/>
        <v>1.3966867561116698</v>
      </c>
      <c r="I2111" s="3">
        <f t="shared" ca="1" si="203"/>
        <v>5.9090751309144611</v>
      </c>
      <c r="O2111" s="3">
        <f t="shared" ca="1" si="204"/>
        <v>-3.3669775762492646</v>
      </c>
      <c r="P2111" s="3">
        <f t="shared" ca="1" si="205"/>
        <v>-5.3292696287530932</v>
      </c>
      <c r="Q2111" s="3">
        <f t="shared" ca="1" si="206"/>
        <v>6.3037808317640218</v>
      </c>
    </row>
    <row r="2112" spans="7:17" x14ac:dyDescent="0.25">
      <c r="G2112" s="3">
        <f t="shared" ca="1" si="201"/>
        <v>3</v>
      </c>
      <c r="H2112" s="3">
        <f t="shared" ca="1" si="202"/>
        <v>7.3087496432101062</v>
      </c>
      <c r="I2112" s="3">
        <f t="shared" ca="1" si="203"/>
        <v>13.517349632241249</v>
      </c>
      <c r="O2112" s="3">
        <f t="shared" ca="1" si="204"/>
        <v>-7.7251339232672276</v>
      </c>
      <c r="P2112" s="3">
        <f t="shared" ca="1" si="205"/>
        <v>2.986618828062547</v>
      </c>
      <c r="Q2112" s="3">
        <f t="shared" ca="1" si="206"/>
        <v>8.2823659757675419</v>
      </c>
    </row>
    <row r="2113" spans="7:17" x14ac:dyDescent="0.25">
      <c r="G2113" s="3">
        <f t="shared" ca="1" si="201"/>
        <v>0</v>
      </c>
      <c r="H2113" s="3">
        <f t="shared" ca="1" si="202"/>
        <v>5.3425735299111548</v>
      </c>
      <c r="I2113" s="3">
        <f t="shared" ca="1" si="203"/>
        <v>11.557003861199444</v>
      </c>
      <c r="O2113" s="3">
        <f t="shared" ca="1" si="204"/>
        <v>-11.07776221371557</v>
      </c>
      <c r="P2113" s="3">
        <f t="shared" ca="1" si="205"/>
        <v>0.14470687467384247</v>
      </c>
      <c r="Q2113" s="3">
        <f t="shared" ca="1" si="206"/>
        <v>11.078707313725836</v>
      </c>
    </row>
    <row r="2114" spans="7:17" x14ac:dyDescent="0.25">
      <c r="G2114" s="3">
        <f t="shared" ca="1" si="201"/>
        <v>0</v>
      </c>
      <c r="H2114" s="3">
        <f t="shared" ca="1" si="202"/>
        <v>0.69298567698372349</v>
      </c>
      <c r="I2114" s="3">
        <f t="shared" ca="1" si="203"/>
        <v>4.1622880636247519</v>
      </c>
      <c r="O2114" s="3">
        <f t="shared" ca="1" si="204"/>
        <v>-5.1147402784878562</v>
      </c>
      <c r="P2114" s="3">
        <f t="shared" ca="1" si="205"/>
        <v>2.9953338051575429</v>
      </c>
      <c r="Q2114" s="3">
        <f t="shared" ca="1" si="206"/>
        <v>5.9272753201370358</v>
      </c>
    </row>
    <row r="2115" spans="7:17" x14ac:dyDescent="0.25">
      <c r="G2115" s="3">
        <f t="shared" ca="1" si="201"/>
        <v>0</v>
      </c>
      <c r="H2115" s="3">
        <f t="shared" ca="1" si="202"/>
        <v>0.69469344930314969</v>
      </c>
      <c r="I2115" s="3">
        <f t="shared" ca="1" si="203"/>
        <v>4.1674136142910916</v>
      </c>
      <c r="O2115" s="3">
        <f t="shared" ca="1" si="204"/>
        <v>-16.461368410906317</v>
      </c>
      <c r="P2115" s="3">
        <f t="shared" ca="1" si="205"/>
        <v>8.2355446705934057</v>
      </c>
      <c r="Q2115" s="3">
        <f t="shared" ca="1" si="206"/>
        <v>18.40654356420357</v>
      </c>
    </row>
    <row r="2116" spans="7:17" x14ac:dyDescent="0.25">
      <c r="G2116" s="3">
        <f t="shared" ref="G2116:G2160" ca="1" si="207">VLOOKUP(RAND(),$B$9:$C$169,2,TRUE)</f>
        <v>0</v>
      </c>
      <c r="H2116" s="3">
        <f t="shared" ref="H2116:H2160" ca="1" si="208">_xlfn.CHISQ.INV(RAND(),2*G2116+2)</f>
        <v>0.66588155840816965</v>
      </c>
      <c r="I2116" s="3">
        <f t="shared" ref="I2116:I2160" ca="1" si="209">$C$4*SQRT(H2116)</f>
        <v>4.0800783031952017</v>
      </c>
      <c r="O2116" s="3">
        <f t="shared" ref="O2116:O2160" ca="1" si="210">_xlfn.NORM.INV(RAND(),$C$3*COS($N$2),$C$4)</f>
        <v>1.0562073193858588</v>
      </c>
      <c r="P2116" s="3">
        <f t="shared" ref="P2116:P2160" ca="1" si="211">_xlfn.NORM.INV(RAND(),$C$3*SIN($N$2),$C$4)</f>
        <v>5.5296426766156772</v>
      </c>
      <c r="Q2116" s="3">
        <f t="shared" ref="Q2116:Q2160" ca="1" si="212">SQRT(O2116^2+P2116^2)</f>
        <v>5.629611179519741</v>
      </c>
    </row>
    <row r="2117" spans="7:17" x14ac:dyDescent="0.25">
      <c r="G2117" s="3">
        <f t="shared" ca="1" si="207"/>
        <v>0</v>
      </c>
      <c r="H2117" s="3">
        <f t="shared" ca="1" si="208"/>
        <v>1.2190140286327527</v>
      </c>
      <c r="I2117" s="3">
        <f t="shared" ca="1" si="209"/>
        <v>5.5204484161903746</v>
      </c>
      <c r="O2117" s="3">
        <f t="shared" ca="1" si="210"/>
        <v>-5.8081391514236191</v>
      </c>
      <c r="P2117" s="3">
        <f t="shared" ca="1" si="211"/>
        <v>5.4466163623052397</v>
      </c>
      <c r="Q2117" s="3">
        <f t="shared" ca="1" si="212"/>
        <v>7.9624186149957632</v>
      </c>
    </row>
    <row r="2118" spans="7:17" x14ac:dyDescent="0.25">
      <c r="G2118" s="3">
        <f t="shared" ca="1" si="207"/>
        <v>2</v>
      </c>
      <c r="H2118" s="3">
        <f t="shared" ca="1" si="208"/>
        <v>6.1079898371624273</v>
      </c>
      <c r="I2118" s="3">
        <f t="shared" ca="1" si="209"/>
        <v>12.357173864968505</v>
      </c>
      <c r="O2118" s="3">
        <f t="shared" ca="1" si="210"/>
        <v>-3.527028332309845</v>
      </c>
      <c r="P2118" s="3">
        <f t="shared" ca="1" si="211"/>
        <v>7.1617633813991306</v>
      </c>
      <c r="Q2118" s="3">
        <f t="shared" ca="1" si="212"/>
        <v>7.9831562422431563</v>
      </c>
    </row>
    <row r="2119" spans="7:17" x14ac:dyDescent="0.25">
      <c r="G2119" s="3">
        <f t="shared" ca="1" si="207"/>
        <v>1</v>
      </c>
      <c r="H2119" s="3">
        <f t="shared" ca="1" si="208"/>
        <v>4.5477589515955978</v>
      </c>
      <c r="I2119" s="3">
        <f t="shared" ca="1" si="209"/>
        <v>10.66273763111003</v>
      </c>
      <c r="O2119" s="3">
        <f t="shared" ca="1" si="210"/>
        <v>-15.132877111370052</v>
      </c>
      <c r="P2119" s="3">
        <f t="shared" ca="1" si="211"/>
        <v>-2.3224476826842242</v>
      </c>
      <c r="Q2119" s="3">
        <f t="shared" ca="1" si="212"/>
        <v>15.310053328014012</v>
      </c>
    </row>
    <row r="2120" spans="7:17" x14ac:dyDescent="0.25">
      <c r="G2120" s="3">
        <f t="shared" ca="1" si="207"/>
        <v>0</v>
      </c>
      <c r="H2120" s="3">
        <f t="shared" ca="1" si="208"/>
        <v>0.64456749957241799</v>
      </c>
      <c r="I2120" s="3">
        <f t="shared" ca="1" si="209"/>
        <v>4.0142480602611554</v>
      </c>
      <c r="O2120" s="3">
        <f t="shared" ca="1" si="210"/>
        <v>-12.247904204925559</v>
      </c>
      <c r="P2120" s="3">
        <f t="shared" ca="1" si="211"/>
        <v>1.6919053015322401</v>
      </c>
      <c r="Q2120" s="3">
        <f t="shared" ca="1" si="212"/>
        <v>12.364210486819855</v>
      </c>
    </row>
    <row r="2121" spans="7:17" x14ac:dyDescent="0.25">
      <c r="G2121" s="3">
        <f t="shared" ca="1" si="207"/>
        <v>1</v>
      </c>
      <c r="H2121" s="3">
        <f t="shared" ca="1" si="208"/>
        <v>4.8654613868109093</v>
      </c>
      <c r="I2121" s="3">
        <f t="shared" ca="1" si="209"/>
        <v>11.028895441986597</v>
      </c>
      <c r="O2121" s="3">
        <f t="shared" ca="1" si="210"/>
        <v>-11.835105528669535</v>
      </c>
      <c r="P2121" s="3">
        <f t="shared" ca="1" si="211"/>
        <v>1.0078148875873596</v>
      </c>
      <c r="Q2121" s="3">
        <f t="shared" ca="1" si="212"/>
        <v>11.877938109048511</v>
      </c>
    </row>
    <row r="2122" spans="7:17" x14ac:dyDescent="0.25">
      <c r="G2122" s="3">
        <f t="shared" ca="1" si="207"/>
        <v>0</v>
      </c>
      <c r="H2122" s="3">
        <f t="shared" ca="1" si="208"/>
        <v>0.17269537528602624</v>
      </c>
      <c r="I2122" s="3">
        <f t="shared" ca="1" si="209"/>
        <v>2.0778316539485715</v>
      </c>
      <c r="O2122" s="3">
        <f t="shared" ca="1" si="210"/>
        <v>-9.8894525736202308</v>
      </c>
      <c r="P2122" s="3">
        <f t="shared" ca="1" si="211"/>
        <v>5.3248210284771735</v>
      </c>
      <c r="Q2122" s="3">
        <f t="shared" ca="1" si="212"/>
        <v>11.231873894911592</v>
      </c>
    </row>
    <row r="2123" spans="7:17" x14ac:dyDescent="0.25">
      <c r="G2123" s="3">
        <f t="shared" ca="1" si="207"/>
        <v>1</v>
      </c>
      <c r="H2123" s="3">
        <f t="shared" ca="1" si="208"/>
        <v>7.3195953486982077</v>
      </c>
      <c r="I2123" s="3">
        <f t="shared" ca="1" si="209"/>
        <v>13.527375344739097</v>
      </c>
      <c r="O2123" s="3">
        <f t="shared" ca="1" si="210"/>
        <v>6.9387584306723245</v>
      </c>
      <c r="P2123" s="3">
        <f t="shared" ca="1" si="211"/>
        <v>2.9397246604957572</v>
      </c>
      <c r="Q2123" s="3">
        <f t="shared" ca="1" si="212"/>
        <v>7.5358045117129437</v>
      </c>
    </row>
    <row r="2124" spans="7:17" x14ac:dyDescent="0.25">
      <c r="G2124" s="3">
        <f t="shared" ca="1" si="207"/>
        <v>0</v>
      </c>
      <c r="H2124" s="3">
        <f t="shared" ca="1" si="208"/>
        <v>2.2622511007939274</v>
      </c>
      <c r="I2124" s="3">
        <f t="shared" ca="1" si="209"/>
        <v>7.5203907823894491</v>
      </c>
      <c r="O2124" s="3">
        <f t="shared" ca="1" si="210"/>
        <v>-7.9683445714895011</v>
      </c>
      <c r="P2124" s="3">
        <f t="shared" ca="1" si="211"/>
        <v>3.717881719161293</v>
      </c>
      <c r="Q2124" s="3">
        <f t="shared" ca="1" si="212"/>
        <v>8.7930176667433084</v>
      </c>
    </row>
    <row r="2125" spans="7:17" x14ac:dyDescent="0.25">
      <c r="G2125" s="3">
        <f t="shared" ca="1" si="207"/>
        <v>1</v>
      </c>
      <c r="H2125" s="3">
        <f t="shared" ca="1" si="208"/>
        <v>2.4055159778106692</v>
      </c>
      <c r="I2125" s="3">
        <f t="shared" ca="1" si="209"/>
        <v>7.7548629546412187</v>
      </c>
      <c r="O2125" s="3">
        <f t="shared" ca="1" si="210"/>
        <v>-3.1816883653287853</v>
      </c>
      <c r="P2125" s="3">
        <f t="shared" ca="1" si="211"/>
        <v>2.9063242216525293</v>
      </c>
      <c r="Q2125" s="3">
        <f t="shared" ca="1" si="212"/>
        <v>4.3092761962344373</v>
      </c>
    </row>
    <row r="2126" spans="7:17" x14ac:dyDescent="0.25">
      <c r="G2126" s="3">
        <f t="shared" ca="1" si="207"/>
        <v>0</v>
      </c>
      <c r="H2126" s="3">
        <f t="shared" ca="1" si="208"/>
        <v>8.0326113947026559E-2</v>
      </c>
      <c r="I2126" s="3">
        <f t="shared" ca="1" si="209"/>
        <v>1.4170930980975329</v>
      </c>
      <c r="O2126" s="3">
        <f t="shared" ca="1" si="210"/>
        <v>-7.7471507872643564</v>
      </c>
      <c r="P2126" s="3">
        <f t="shared" ca="1" si="211"/>
        <v>2.0139587173443001</v>
      </c>
      <c r="Q2126" s="3">
        <f t="shared" ca="1" si="212"/>
        <v>8.0046470900207609</v>
      </c>
    </row>
    <row r="2127" spans="7:17" x14ac:dyDescent="0.25">
      <c r="G2127" s="3">
        <f t="shared" ca="1" si="207"/>
        <v>0</v>
      </c>
      <c r="H2127" s="3">
        <f t="shared" ca="1" si="208"/>
        <v>0.79602245477592903</v>
      </c>
      <c r="I2127" s="3">
        <f t="shared" ca="1" si="209"/>
        <v>4.4610045247004884</v>
      </c>
      <c r="O2127" s="3">
        <f t="shared" ca="1" si="210"/>
        <v>-13.640109318970001</v>
      </c>
      <c r="P2127" s="3">
        <f t="shared" ca="1" si="211"/>
        <v>2.8542288803952149</v>
      </c>
      <c r="Q2127" s="3">
        <f t="shared" ca="1" si="212"/>
        <v>13.935537475646012</v>
      </c>
    </row>
    <row r="2128" spans="7:17" x14ac:dyDescent="0.25">
      <c r="G2128" s="3">
        <f t="shared" ca="1" si="207"/>
        <v>1</v>
      </c>
      <c r="H2128" s="3">
        <f t="shared" ca="1" si="208"/>
        <v>2.2012564000254731</v>
      </c>
      <c r="I2128" s="3">
        <f t="shared" ca="1" si="209"/>
        <v>7.4183158466485386</v>
      </c>
      <c r="O2128" s="3">
        <f t="shared" ca="1" si="210"/>
        <v>-2.3606977578293655</v>
      </c>
      <c r="P2128" s="3">
        <f t="shared" ca="1" si="211"/>
        <v>6.9728959930418482</v>
      </c>
      <c r="Q2128" s="3">
        <f t="shared" ca="1" si="212"/>
        <v>7.3616691336679656</v>
      </c>
    </row>
    <row r="2129" spans="7:17" x14ac:dyDescent="0.25">
      <c r="G2129" s="3">
        <f t="shared" ca="1" si="207"/>
        <v>1</v>
      </c>
      <c r="H2129" s="3">
        <f t="shared" ca="1" si="208"/>
        <v>3.1271971587906635</v>
      </c>
      <c r="I2129" s="3">
        <f t="shared" ca="1" si="209"/>
        <v>8.8419414706141648</v>
      </c>
      <c r="O2129" s="3">
        <f t="shared" ca="1" si="210"/>
        <v>-2.8555492826617748</v>
      </c>
      <c r="P2129" s="3">
        <f t="shared" ca="1" si="211"/>
        <v>-1.4893066560488613</v>
      </c>
      <c r="Q2129" s="3">
        <f t="shared" ca="1" si="212"/>
        <v>3.220589390385185</v>
      </c>
    </row>
    <row r="2130" spans="7:17" x14ac:dyDescent="0.25">
      <c r="G2130" s="3">
        <f t="shared" ca="1" si="207"/>
        <v>0</v>
      </c>
      <c r="H2130" s="3">
        <f t="shared" ca="1" si="208"/>
        <v>4.2857597478499017</v>
      </c>
      <c r="I2130" s="3">
        <f t="shared" ca="1" si="209"/>
        <v>10.351038290734294</v>
      </c>
      <c r="O2130" s="3">
        <f t="shared" ca="1" si="210"/>
        <v>0.86095963285614019</v>
      </c>
      <c r="P2130" s="3">
        <f t="shared" ca="1" si="211"/>
        <v>-0.23226624242130703</v>
      </c>
      <c r="Q2130" s="3">
        <f t="shared" ca="1" si="212"/>
        <v>0.89173936594516956</v>
      </c>
    </row>
    <row r="2131" spans="7:17" x14ac:dyDescent="0.25">
      <c r="G2131" s="3">
        <f t="shared" ca="1" si="207"/>
        <v>0</v>
      </c>
      <c r="H2131" s="3">
        <f t="shared" ca="1" si="208"/>
        <v>2.0074567859933645</v>
      </c>
      <c r="I2131" s="3">
        <f t="shared" ca="1" si="209"/>
        <v>7.0842374077831494</v>
      </c>
      <c r="O2131" s="3">
        <f t="shared" ca="1" si="210"/>
        <v>-2.9515793569958708</v>
      </c>
      <c r="P2131" s="3">
        <f t="shared" ca="1" si="211"/>
        <v>1.41509304008215</v>
      </c>
      <c r="Q2131" s="3">
        <f t="shared" ca="1" si="212"/>
        <v>3.2732719124345748</v>
      </c>
    </row>
    <row r="2132" spans="7:17" x14ac:dyDescent="0.25">
      <c r="G2132" s="3">
        <f t="shared" ca="1" si="207"/>
        <v>2</v>
      </c>
      <c r="H2132" s="3">
        <f t="shared" ca="1" si="208"/>
        <v>4.2905374377074974</v>
      </c>
      <c r="I2132" s="3">
        <f t="shared" ca="1" si="209"/>
        <v>10.356806261714439</v>
      </c>
      <c r="O2132" s="3">
        <f t="shared" ca="1" si="210"/>
        <v>-2.9351252382833111</v>
      </c>
      <c r="P2132" s="3">
        <f t="shared" ca="1" si="211"/>
        <v>-8.7808447394642037</v>
      </c>
      <c r="Q2132" s="3">
        <f t="shared" ca="1" si="212"/>
        <v>9.2584120940355561</v>
      </c>
    </row>
    <row r="2133" spans="7:17" x14ac:dyDescent="0.25">
      <c r="G2133" s="3">
        <f t="shared" ca="1" si="207"/>
        <v>1</v>
      </c>
      <c r="H2133" s="3">
        <f t="shared" ca="1" si="208"/>
        <v>2.9012177379559088</v>
      </c>
      <c r="I2133" s="3">
        <f t="shared" ca="1" si="209"/>
        <v>8.5164806962088342</v>
      </c>
      <c r="O2133" s="3">
        <f t="shared" ca="1" si="210"/>
        <v>-15.173686452405216</v>
      </c>
      <c r="P2133" s="3">
        <f t="shared" ca="1" si="211"/>
        <v>-2.6485021051937108</v>
      </c>
      <c r="Q2133" s="3">
        <f t="shared" ca="1" si="212"/>
        <v>15.403094622741273</v>
      </c>
    </row>
    <row r="2134" spans="7:17" x14ac:dyDescent="0.25">
      <c r="G2134" s="3">
        <f t="shared" ca="1" si="207"/>
        <v>0</v>
      </c>
      <c r="H2134" s="3">
        <f t="shared" ca="1" si="208"/>
        <v>2.3597775705170627</v>
      </c>
      <c r="I2134" s="3">
        <f t="shared" ca="1" si="209"/>
        <v>7.6807837661873135</v>
      </c>
      <c r="O2134" s="3">
        <f t="shared" ca="1" si="210"/>
        <v>-9.1508927388446715</v>
      </c>
      <c r="P2134" s="3">
        <f t="shared" ca="1" si="211"/>
        <v>-5.1449417577283132</v>
      </c>
      <c r="Q2134" s="3">
        <f t="shared" ca="1" si="212"/>
        <v>10.49805999260133</v>
      </c>
    </row>
    <row r="2135" spans="7:17" x14ac:dyDescent="0.25">
      <c r="G2135" s="3">
        <f t="shared" ca="1" si="207"/>
        <v>0</v>
      </c>
      <c r="H2135" s="3">
        <f t="shared" ca="1" si="208"/>
        <v>0.17614883733467285</v>
      </c>
      <c r="I2135" s="3">
        <f t="shared" ca="1" si="209"/>
        <v>2.0985044515956646</v>
      </c>
      <c r="O2135" s="3">
        <f t="shared" ca="1" si="210"/>
        <v>-7.7079585338969174</v>
      </c>
      <c r="P2135" s="3">
        <f t="shared" ca="1" si="211"/>
        <v>-2.7544061773951025</v>
      </c>
      <c r="Q2135" s="3">
        <f t="shared" ca="1" si="212"/>
        <v>8.1853147862709967</v>
      </c>
    </row>
    <row r="2136" spans="7:17" x14ac:dyDescent="0.25">
      <c r="G2136" s="3">
        <f t="shared" ca="1" si="207"/>
        <v>0</v>
      </c>
      <c r="H2136" s="3">
        <f t="shared" ca="1" si="208"/>
        <v>0.74575589806841425</v>
      </c>
      <c r="I2136" s="3">
        <f t="shared" ca="1" si="209"/>
        <v>4.317857970303141</v>
      </c>
      <c r="O2136" s="3">
        <f t="shared" ca="1" si="210"/>
        <v>-10.317657122398312</v>
      </c>
      <c r="P2136" s="3">
        <f t="shared" ca="1" si="211"/>
        <v>3.0517936188792043</v>
      </c>
      <c r="Q2136" s="3">
        <f t="shared" ca="1" si="212"/>
        <v>10.759530323745942</v>
      </c>
    </row>
    <row r="2137" spans="7:17" x14ac:dyDescent="0.25">
      <c r="G2137" s="3">
        <f t="shared" ca="1" si="207"/>
        <v>1</v>
      </c>
      <c r="H2137" s="3">
        <f t="shared" ca="1" si="208"/>
        <v>3.530512926254898</v>
      </c>
      <c r="I2137" s="3">
        <f t="shared" ca="1" si="209"/>
        <v>9.3948295969843141</v>
      </c>
      <c r="O2137" s="3">
        <f t="shared" ca="1" si="210"/>
        <v>6.2017450566689227</v>
      </c>
      <c r="P2137" s="3">
        <f t="shared" ca="1" si="211"/>
        <v>-8.6954603087167879</v>
      </c>
      <c r="Q2137" s="3">
        <f t="shared" ca="1" si="212"/>
        <v>10.680480875334522</v>
      </c>
    </row>
    <row r="2138" spans="7:17" x14ac:dyDescent="0.25">
      <c r="G2138" s="3">
        <f t="shared" ca="1" si="207"/>
        <v>1</v>
      </c>
      <c r="H2138" s="3">
        <f t="shared" ca="1" si="208"/>
        <v>0.41508187146609599</v>
      </c>
      <c r="I2138" s="3">
        <f t="shared" ca="1" si="209"/>
        <v>3.2213423889199362</v>
      </c>
      <c r="O2138" s="3">
        <f t="shared" ca="1" si="210"/>
        <v>-5.9008642336163373</v>
      </c>
      <c r="P2138" s="3">
        <f t="shared" ca="1" si="211"/>
        <v>-0.56149104325530863</v>
      </c>
      <c r="Q2138" s="3">
        <f t="shared" ca="1" si="212"/>
        <v>5.9275181058541238</v>
      </c>
    </row>
    <row r="2139" spans="7:17" x14ac:dyDescent="0.25">
      <c r="G2139" s="3">
        <f t="shared" ca="1" si="207"/>
        <v>1</v>
      </c>
      <c r="H2139" s="3">
        <f t="shared" ca="1" si="208"/>
        <v>1.427630779260489</v>
      </c>
      <c r="I2139" s="3">
        <f t="shared" ca="1" si="209"/>
        <v>5.9741752134928401</v>
      </c>
      <c r="O2139" s="3">
        <f t="shared" ca="1" si="210"/>
        <v>-0.78303554275219867</v>
      </c>
      <c r="P2139" s="3">
        <f t="shared" ca="1" si="211"/>
        <v>8.2052348678790388</v>
      </c>
      <c r="Q2139" s="3">
        <f t="shared" ca="1" si="212"/>
        <v>8.2425132027962906</v>
      </c>
    </row>
    <row r="2140" spans="7:17" x14ac:dyDescent="0.25">
      <c r="G2140" s="3">
        <f t="shared" ca="1" si="207"/>
        <v>0</v>
      </c>
      <c r="H2140" s="3">
        <f t="shared" ca="1" si="208"/>
        <v>1.5124379726972843</v>
      </c>
      <c r="I2140" s="3">
        <f t="shared" ca="1" si="209"/>
        <v>6.1490608484086504</v>
      </c>
      <c r="O2140" s="3">
        <f t="shared" ca="1" si="210"/>
        <v>-6.7892761504941355</v>
      </c>
      <c r="P2140" s="3">
        <f t="shared" ca="1" si="211"/>
        <v>8.0644205057940646</v>
      </c>
      <c r="Q2140" s="3">
        <f t="shared" ca="1" si="212"/>
        <v>10.541781099128375</v>
      </c>
    </row>
    <row r="2141" spans="7:17" x14ac:dyDescent="0.25">
      <c r="G2141" s="3">
        <f t="shared" ca="1" si="207"/>
        <v>0</v>
      </c>
      <c r="H2141" s="3">
        <f t="shared" ca="1" si="208"/>
        <v>6.4830339090036517</v>
      </c>
      <c r="I2141" s="3">
        <f t="shared" ca="1" si="209"/>
        <v>12.730901292724379</v>
      </c>
      <c r="O2141" s="3">
        <f t="shared" ca="1" si="210"/>
        <v>-11.230626694542961</v>
      </c>
      <c r="P2141" s="3">
        <f t="shared" ca="1" si="211"/>
        <v>-1.4961509833922622</v>
      </c>
      <c r="Q2141" s="3">
        <f t="shared" ca="1" si="212"/>
        <v>11.329847471051258</v>
      </c>
    </row>
    <row r="2142" spans="7:17" x14ac:dyDescent="0.25">
      <c r="G2142" s="3">
        <f t="shared" ca="1" si="207"/>
        <v>0</v>
      </c>
      <c r="H2142" s="3">
        <f t="shared" ca="1" si="208"/>
        <v>2.1723942440996797</v>
      </c>
      <c r="I2142" s="3">
        <f t="shared" ca="1" si="209"/>
        <v>7.3695221081486686</v>
      </c>
      <c r="O2142" s="3">
        <f t="shared" ca="1" si="210"/>
        <v>1.6644731989243846</v>
      </c>
      <c r="P2142" s="3">
        <f t="shared" ca="1" si="211"/>
        <v>2.961476285920599</v>
      </c>
      <c r="Q2142" s="3">
        <f t="shared" ca="1" si="212"/>
        <v>3.3971771843705234</v>
      </c>
    </row>
    <row r="2143" spans="7:17" x14ac:dyDescent="0.25">
      <c r="G2143" s="3">
        <f t="shared" ca="1" si="207"/>
        <v>0</v>
      </c>
      <c r="H2143" s="3">
        <f t="shared" ca="1" si="208"/>
        <v>0.56065126090748341</v>
      </c>
      <c r="I2143" s="3">
        <f t="shared" ca="1" si="209"/>
        <v>3.7438324645591563</v>
      </c>
      <c r="O2143" s="3">
        <f t="shared" ca="1" si="210"/>
        <v>-2.6508450883502661</v>
      </c>
      <c r="P2143" s="3">
        <f t="shared" ca="1" si="211"/>
        <v>-11.840164651283519</v>
      </c>
      <c r="Q2143" s="3">
        <f t="shared" ca="1" si="212"/>
        <v>12.133279797809596</v>
      </c>
    </row>
    <row r="2144" spans="7:17" x14ac:dyDescent="0.25">
      <c r="G2144" s="3">
        <f t="shared" ca="1" si="207"/>
        <v>0</v>
      </c>
      <c r="H2144" s="3">
        <f t="shared" ca="1" si="208"/>
        <v>0.3072441741659665</v>
      </c>
      <c r="I2144" s="3">
        <f t="shared" ca="1" si="209"/>
        <v>2.7714805346870404</v>
      </c>
      <c r="O2144" s="3">
        <f t="shared" ca="1" si="210"/>
        <v>-11.906835325226181</v>
      </c>
      <c r="P2144" s="3">
        <f t="shared" ca="1" si="211"/>
        <v>-4.6174328288017596</v>
      </c>
      <c r="Q2144" s="3">
        <f t="shared" ca="1" si="212"/>
        <v>12.770803161530221</v>
      </c>
    </row>
    <row r="2145" spans="7:17" x14ac:dyDescent="0.25">
      <c r="G2145" s="3">
        <f t="shared" ca="1" si="207"/>
        <v>0</v>
      </c>
      <c r="H2145" s="3">
        <f t="shared" ca="1" si="208"/>
        <v>0.14496667251919707</v>
      </c>
      <c r="I2145" s="3">
        <f t="shared" ca="1" si="209"/>
        <v>1.9037244582606818</v>
      </c>
      <c r="O2145" s="3">
        <f t="shared" ca="1" si="210"/>
        <v>-4.2614985328777601</v>
      </c>
      <c r="P2145" s="3">
        <f t="shared" ca="1" si="211"/>
        <v>2.0184068771887325</v>
      </c>
      <c r="Q2145" s="3">
        <f t="shared" ca="1" si="212"/>
        <v>4.7153299001874807</v>
      </c>
    </row>
    <row r="2146" spans="7:17" x14ac:dyDescent="0.25">
      <c r="G2146" s="3">
        <f t="shared" ca="1" si="207"/>
        <v>1</v>
      </c>
      <c r="H2146" s="3">
        <f t="shared" ca="1" si="208"/>
        <v>4.0463614948449749</v>
      </c>
      <c r="I2146" s="3">
        <f t="shared" ca="1" si="209"/>
        <v>10.057784913743401</v>
      </c>
      <c r="O2146" s="3">
        <f t="shared" ca="1" si="210"/>
        <v>-11.293517998231604</v>
      </c>
      <c r="P2146" s="3">
        <f t="shared" ca="1" si="211"/>
        <v>-2.6411613249032975</v>
      </c>
      <c r="Q2146" s="3">
        <f t="shared" ca="1" si="212"/>
        <v>11.598244777575015</v>
      </c>
    </row>
    <row r="2147" spans="7:17" x14ac:dyDescent="0.25">
      <c r="G2147" s="3">
        <f t="shared" ca="1" si="207"/>
        <v>1</v>
      </c>
      <c r="H2147" s="3">
        <f t="shared" ca="1" si="208"/>
        <v>6.5427508468292812</v>
      </c>
      <c r="I2147" s="3">
        <f t="shared" ca="1" si="209"/>
        <v>12.789400735403206</v>
      </c>
      <c r="O2147" s="3">
        <f t="shared" ca="1" si="210"/>
        <v>-1.150471190594379</v>
      </c>
      <c r="P2147" s="3">
        <f t="shared" ca="1" si="211"/>
        <v>3.9258637339346811</v>
      </c>
      <c r="Q2147" s="3">
        <f t="shared" ca="1" si="212"/>
        <v>4.0909644361459812</v>
      </c>
    </row>
    <row r="2148" spans="7:17" x14ac:dyDescent="0.25">
      <c r="G2148" s="3">
        <f t="shared" ca="1" si="207"/>
        <v>0</v>
      </c>
      <c r="H2148" s="3">
        <f t="shared" ca="1" si="208"/>
        <v>0.93780232486623794</v>
      </c>
      <c r="I2148" s="3">
        <f t="shared" ca="1" si="209"/>
        <v>4.8420097192855724</v>
      </c>
      <c r="O2148" s="3">
        <f t="shared" ca="1" si="210"/>
        <v>-7.7154074014128877</v>
      </c>
      <c r="P2148" s="3">
        <f t="shared" ca="1" si="211"/>
        <v>-0.7033963505215548</v>
      </c>
      <c r="Q2148" s="3">
        <f t="shared" ca="1" si="212"/>
        <v>7.7474045844852979</v>
      </c>
    </row>
    <row r="2149" spans="7:17" x14ac:dyDescent="0.25">
      <c r="G2149" s="3">
        <f t="shared" ca="1" si="207"/>
        <v>1</v>
      </c>
      <c r="H2149" s="3">
        <f t="shared" ca="1" si="208"/>
        <v>6.5843620814410206</v>
      </c>
      <c r="I2149" s="3">
        <f t="shared" ca="1" si="209"/>
        <v>12.830005925019112</v>
      </c>
      <c r="O2149" s="3">
        <f t="shared" ca="1" si="210"/>
        <v>-4.9369431022120231</v>
      </c>
      <c r="P2149" s="3">
        <f t="shared" ca="1" si="211"/>
        <v>2.7142806383085962</v>
      </c>
      <c r="Q2149" s="3">
        <f t="shared" ca="1" si="212"/>
        <v>5.6338908915576091</v>
      </c>
    </row>
    <row r="2150" spans="7:17" x14ac:dyDescent="0.25">
      <c r="G2150" s="3">
        <f t="shared" ca="1" si="207"/>
        <v>1</v>
      </c>
      <c r="H2150" s="3">
        <f t="shared" ca="1" si="208"/>
        <v>5.9830438793013636</v>
      </c>
      <c r="I2150" s="3">
        <f t="shared" ca="1" si="209"/>
        <v>12.230130701776416</v>
      </c>
      <c r="O2150" s="3">
        <f t="shared" ca="1" si="210"/>
        <v>5.2381015500612644</v>
      </c>
      <c r="P2150" s="3">
        <f t="shared" ca="1" si="211"/>
        <v>5.5968463695351121</v>
      </c>
      <c r="Q2150" s="3">
        <f t="shared" ca="1" si="212"/>
        <v>7.6656635155042245</v>
      </c>
    </row>
    <row r="2151" spans="7:17" x14ac:dyDescent="0.25">
      <c r="G2151" s="3">
        <f t="shared" ca="1" si="207"/>
        <v>0</v>
      </c>
      <c r="H2151" s="3">
        <f t="shared" ca="1" si="208"/>
        <v>0.51346530642036148</v>
      </c>
      <c r="I2151" s="3">
        <f t="shared" ca="1" si="209"/>
        <v>3.5828246762169424</v>
      </c>
      <c r="O2151" s="3">
        <f t="shared" ca="1" si="210"/>
        <v>0.77585682563793856</v>
      </c>
      <c r="P2151" s="3">
        <f t="shared" ca="1" si="211"/>
        <v>0.87224517737833551</v>
      </c>
      <c r="Q2151" s="3">
        <f t="shared" ca="1" si="212"/>
        <v>1.1673754594596986</v>
      </c>
    </row>
    <row r="2152" spans="7:17" x14ac:dyDescent="0.25">
      <c r="G2152" s="3">
        <f t="shared" ca="1" si="207"/>
        <v>1</v>
      </c>
      <c r="H2152" s="3">
        <f t="shared" ca="1" si="208"/>
        <v>1.9819258978909495</v>
      </c>
      <c r="I2152" s="3">
        <f t="shared" ca="1" si="209"/>
        <v>7.0390444981740057</v>
      </c>
      <c r="O2152" s="3">
        <f t="shared" ca="1" si="210"/>
        <v>-3.3379327576775619</v>
      </c>
      <c r="P2152" s="3">
        <f t="shared" ca="1" si="211"/>
        <v>-3.8179983005873965</v>
      </c>
      <c r="Q2152" s="3">
        <f t="shared" ca="1" si="212"/>
        <v>5.0713810858645969</v>
      </c>
    </row>
    <row r="2153" spans="7:17" x14ac:dyDescent="0.25">
      <c r="G2153" s="3">
        <f t="shared" ca="1" si="207"/>
        <v>0</v>
      </c>
      <c r="H2153" s="3">
        <f t="shared" ca="1" si="208"/>
        <v>1.700231851169705</v>
      </c>
      <c r="I2153" s="3">
        <f t="shared" ca="1" si="209"/>
        <v>6.5196469443707317</v>
      </c>
      <c r="O2153" s="3">
        <f t="shared" ca="1" si="210"/>
        <v>-2.0904679328970892</v>
      </c>
      <c r="P2153" s="3">
        <f t="shared" ca="1" si="211"/>
        <v>-4.8911580352223406E-2</v>
      </c>
      <c r="Q2153" s="3">
        <f t="shared" ca="1" si="212"/>
        <v>2.0910400572833563</v>
      </c>
    </row>
    <row r="2154" spans="7:17" x14ac:dyDescent="0.25">
      <c r="G2154" s="3">
        <f t="shared" ca="1" si="207"/>
        <v>0</v>
      </c>
      <c r="H2154" s="3">
        <f t="shared" ca="1" si="208"/>
        <v>0.17323989217423344</v>
      </c>
      <c r="I2154" s="3">
        <f t="shared" ca="1" si="209"/>
        <v>2.0811048278152247</v>
      </c>
      <c r="O2154" s="3">
        <f t="shared" ca="1" si="210"/>
        <v>-6.4360250540998152</v>
      </c>
      <c r="P2154" s="3">
        <f t="shared" ca="1" si="211"/>
        <v>-4.0136880345747281</v>
      </c>
      <c r="Q2154" s="3">
        <f t="shared" ca="1" si="212"/>
        <v>7.584992428202475</v>
      </c>
    </row>
    <row r="2155" spans="7:17" x14ac:dyDescent="0.25">
      <c r="G2155" s="3">
        <f t="shared" ca="1" si="207"/>
        <v>0</v>
      </c>
      <c r="H2155" s="3">
        <f t="shared" ca="1" si="208"/>
        <v>1.3223121793435393</v>
      </c>
      <c r="I2155" s="3">
        <f t="shared" ca="1" si="209"/>
        <v>5.7495916797272208</v>
      </c>
      <c r="O2155" s="3">
        <f t="shared" ca="1" si="210"/>
        <v>-9.5048804780515628</v>
      </c>
      <c r="P2155" s="3">
        <f t="shared" ca="1" si="211"/>
        <v>0.62782242395430354</v>
      </c>
      <c r="Q2155" s="3">
        <f t="shared" ca="1" si="212"/>
        <v>9.5255925746415144</v>
      </c>
    </row>
    <row r="2156" spans="7:17" x14ac:dyDescent="0.25">
      <c r="G2156" s="3">
        <f t="shared" ca="1" si="207"/>
        <v>0</v>
      </c>
      <c r="H2156" s="3">
        <f t="shared" ca="1" si="208"/>
        <v>4.6932918796320919</v>
      </c>
      <c r="I2156" s="3">
        <f t="shared" ca="1" si="209"/>
        <v>10.832003369220409</v>
      </c>
      <c r="O2156" s="3">
        <f t="shared" ca="1" si="210"/>
        <v>-11.29324848332837</v>
      </c>
      <c r="P2156" s="3">
        <f t="shared" ca="1" si="211"/>
        <v>-2.6976142077415033</v>
      </c>
      <c r="Q2156" s="3">
        <f t="shared" ca="1" si="212"/>
        <v>11.610968250753567</v>
      </c>
    </row>
    <row r="2157" spans="7:17" x14ac:dyDescent="0.25">
      <c r="G2157" s="3">
        <f t="shared" ca="1" si="207"/>
        <v>1</v>
      </c>
      <c r="H2157" s="3">
        <f t="shared" ca="1" si="208"/>
        <v>1.8998001134997466</v>
      </c>
      <c r="I2157" s="3">
        <f t="shared" ca="1" si="209"/>
        <v>6.8916618342380715</v>
      </c>
      <c r="O2157" s="3">
        <f t="shared" ca="1" si="210"/>
        <v>-3.2635760131954088</v>
      </c>
      <c r="P2157" s="3">
        <f t="shared" ca="1" si="211"/>
        <v>5.8281150968018833</v>
      </c>
      <c r="Q2157" s="3">
        <f t="shared" ca="1" si="212"/>
        <v>6.679659720036228</v>
      </c>
    </row>
    <row r="2158" spans="7:17" x14ac:dyDescent="0.25">
      <c r="G2158" s="3">
        <f t="shared" ca="1" si="207"/>
        <v>1</v>
      </c>
      <c r="H2158" s="3">
        <f t="shared" ca="1" si="208"/>
        <v>2.3095275580615109</v>
      </c>
      <c r="I2158" s="3">
        <f t="shared" ca="1" si="209"/>
        <v>7.5985649271120774</v>
      </c>
      <c r="O2158" s="3">
        <f t="shared" ca="1" si="210"/>
        <v>-2.1054692377735589</v>
      </c>
      <c r="P2158" s="3">
        <f t="shared" ca="1" si="211"/>
        <v>4.0485197836996427</v>
      </c>
      <c r="Q2158" s="3">
        <f t="shared" ca="1" si="212"/>
        <v>4.563278771915888</v>
      </c>
    </row>
    <row r="2159" spans="7:17" x14ac:dyDescent="0.25">
      <c r="G2159" s="3">
        <f t="shared" ca="1" si="207"/>
        <v>0</v>
      </c>
      <c r="H2159" s="3">
        <f t="shared" ca="1" si="208"/>
        <v>1.0584291444764544</v>
      </c>
      <c r="I2159" s="3">
        <f t="shared" ca="1" si="209"/>
        <v>5.1439992818731382</v>
      </c>
      <c r="O2159" s="3">
        <f t="shared" ca="1" si="210"/>
        <v>-5.8643995313752004</v>
      </c>
      <c r="P2159" s="3">
        <f t="shared" ca="1" si="211"/>
        <v>-5.2870768539648294</v>
      </c>
      <c r="Q2159" s="3">
        <f t="shared" ca="1" si="212"/>
        <v>7.895844699797756</v>
      </c>
    </row>
    <row r="2160" spans="7:17" x14ac:dyDescent="0.25">
      <c r="G2160" s="3">
        <f t="shared" ca="1" si="207"/>
        <v>2</v>
      </c>
      <c r="H2160" s="3">
        <f t="shared" ca="1" si="208"/>
        <v>6.4206562521472677</v>
      </c>
      <c r="I2160" s="3">
        <f t="shared" ca="1" si="209"/>
        <v>12.669506947931385</v>
      </c>
      <c r="O2160" s="3">
        <f t="shared" ca="1" si="210"/>
        <v>-4.151269987925847</v>
      </c>
      <c r="P2160" s="3">
        <f t="shared" ca="1" si="211"/>
        <v>-6.973925683026958</v>
      </c>
      <c r="Q2160" s="3">
        <f t="shared" ca="1" si="212"/>
        <v>8.1159523128858311</v>
      </c>
    </row>
  </sheetData>
  <mergeCells count="2">
    <mergeCell ref="K10:L10"/>
    <mergeCell ref="K16:L16"/>
  </mergeCells>
  <dataValidations count="1">
    <dataValidation type="whole" allowBlank="1" showInputMessage="1" showErrorMessage="1" sqref="C6">
      <formula1>0</formula1>
      <formula2>80</formula2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RICE</vt:lpstr>
      <vt:lpstr>Pruebas 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2021-05-09T21:56:18Z</dcterms:created>
  <dcterms:modified xsi:type="dcterms:W3CDTF">2021-05-15T04:35:00Z</dcterms:modified>
</cp:coreProperties>
</file>